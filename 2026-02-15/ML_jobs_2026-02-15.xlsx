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in-ca83c9bd1462bf59</t>
        </is>
      </c>
      <c r="B2" t="inlineStr">
        <is>
          <t>Sr. Applied Scientist, Amazon Ads</t>
        </is>
      </c>
      <c r="C2" t="inlineStr">
        <is>
          <t>Amazon.com</t>
        </is>
      </c>
      <c r="D2" t="inlineStr">
        <is>
          <t>indeed</t>
        </is>
      </c>
      <c r="E2" t="inlineStr"/>
      <c r="F2" t="inlineStr"/>
      <c r="G2" t="inlineStr">
        <is>
          <t>Brooklyn, NY,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in-caee087fdfd77feb</t>
        </is>
      </c>
      <c r="B3" t="inlineStr">
        <is>
          <t>Sr. Applied Scientist, Amazon Ads</t>
        </is>
      </c>
      <c r="C3" t="inlineStr">
        <is>
          <t>Amazon.com</t>
        </is>
      </c>
      <c r="D3" t="inlineStr">
        <is>
          <t>indeed</t>
        </is>
      </c>
      <c r="E3" t="inlineStr"/>
      <c r="F3" t="inlineStr"/>
      <c r="G3" t="inlineStr">
        <is>
          <t>Santa Monica, CA,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in-937da4d088974856</t>
        </is>
      </c>
      <c r="B4" t="inlineStr">
        <is>
          <t>Sr. Applied Scientist, Amazon Ads</t>
        </is>
      </c>
      <c r="C4" t="inlineStr">
        <is>
          <t>Amazon.com</t>
        </is>
      </c>
      <c r="D4" t="inlineStr">
        <is>
          <t>indeed</t>
        </is>
      </c>
      <c r="E4" t="inlineStr"/>
      <c r="F4" t="inlineStr"/>
      <c r="G4" t="inlineStr">
        <is>
          <t>New York, NY,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in-cf78b212053de4dd</t>
        </is>
      </c>
      <c r="B5" t="inlineStr">
        <is>
          <t>Sr. Applied Scientist, Amazon Ads</t>
        </is>
      </c>
      <c r="C5" t="inlineStr">
        <is>
          <t>Amazon.com</t>
        </is>
      </c>
      <c r="D5" t="inlineStr">
        <is>
          <t>indeed</t>
        </is>
      </c>
      <c r="E5" t="inlineStr"/>
      <c r="F5" t="inlineStr"/>
      <c r="G5" t="inlineStr">
        <is>
          <t>Corvallis, OR,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in-b1315eef4f77956d</t>
        </is>
      </c>
      <c r="B6" t="inlineStr">
        <is>
          <t>Sr. Applied Scientist, Amazon Ads</t>
        </is>
      </c>
      <c r="C6" t="inlineStr">
        <is>
          <t>Amazon.com</t>
        </is>
      </c>
      <c r="D6" t="inlineStr">
        <is>
          <t>indeed</t>
        </is>
      </c>
      <c r="E6" t="inlineStr"/>
      <c r="F6" t="inlineStr"/>
      <c r="G6" t="inlineStr">
        <is>
          <t>Palo Alto, CA,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in-20195433fcac1e59</t>
        </is>
      </c>
      <c r="B7" t="inlineStr">
        <is>
          <t>Sr. Applied Scientist, Amazon Ads</t>
        </is>
      </c>
      <c r="C7" t="inlineStr">
        <is>
          <t>Amazon.com</t>
        </is>
      </c>
      <c r="D7" t="inlineStr">
        <is>
          <t>indeed</t>
        </is>
      </c>
      <c r="E7" t="inlineStr"/>
      <c r="F7" t="inlineStr"/>
      <c r="G7" t="inlineStr">
        <is>
          <t>Sunnyvale, CA,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in-d382de3e292c01ff</t>
        </is>
      </c>
      <c r="B8" t="inlineStr">
        <is>
          <t>Sr. Applied Scientist, Amazon Ads</t>
        </is>
      </c>
      <c r="C8" t="inlineStr">
        <is>
          <t>Amazon.com</t>
        </is>
      </c>
      <c r="D8" t="inlineStr">
        <is>
          <t>indeed</t>
        </is>
      </c>
      <c r="E8" t="inlineStr"/>
      <c r="F8" t="inlineStr"/>
      <c r="G8" t="inlineStr">
        <is>
          <t>Seattle, WA,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in-4e098f65ebed7da1</t>
        </is>
      </c>
      <c r="B9" t="inlineStr">
        <is>
          <t>Sr. Applied Scientist, Amazon Ads</t>
        </is>
      </c>
      <c r="C9" t="inlineStr">
        <is>
          <t>Amazon.com</t>
        </is>
      </c>
      <c r="D9" t="inlineStr">
        <is>
          <t>indeed</t>
        </is>
      </c>
      <c r="E9" t="inlineStr"/>
      <c r="F9" t="inlineStr"/>
      <c r="G9" t="inlineStr">
        <is>
          <t>Tukwila, WA,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in-dcee01ac589dd49d</t>
        </is>
      </c>
      <c r="B10" t="inlineStr">
        <is>
          <t>Sr. Applied Scientist, Amazon Ads</t>
        </is>
      </c>
      <c r="C10" t="inlineStr">
        <is>
          <t>Amazon.com</t>
        </is>
      </c>
      <c r="D10" t="inlineStr">
        <is>
          <t>indeed</t>
        </is>
      </c>
      <c r="E10" t="inlineStr"/>
      <c r="F10" t="inlineStr"/>
      <c r="G10" t="inlineStr">
        <is>
          <t>Boston, MA,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in-0cbd429840c0f59b</t>
        </is>
      </c>
      <c r="B11" t="inlineStr">
        <is>
          <t>Sr. Applied Scientist, Amazon Ads</t>
        </is>
      </c>
      <c r="C11" t="inlineStr">
        <is>
          <t>Amazon.com</t>
        </is>
      </c>
      <c r="D11" t="inlineStr">
        <is>
          <t>indeed</t>
        </is>
      </c>
      <c r="E11" t="inlineStr"/>
      <c r="F11" t="inlineStr"/>
      <c r="G11" t="inlineStr">
        <is>
          <t>Boulder, CO,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in-e4742d7508e07fab</t>
        </is>
      </c>
      <c r="B12" t="inlineStr">
        <is>
          <t>Applied Scientist</t>
        </is>
      </c>
      <c r="C12" t="inlineStr">
        <is>
          <t>Amazon.com</t>
        </is>
      </c>
      <c r="D12" t="inlineStr">
        <is>
          <t>indeed</t>
        </is>
      </c>
      <c r="E12" t="inlineStr"/>
      <c r="F12" t="inlineStr"/>
      <c r="G12" t="inlineStr">
        <is>
          <t>Palo Alto, CA, US</t>
        </is>
      </c>
      <c r="H12" s="2" t="n">
        <v>45939</v>
      </c>
      <c r="I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in-6341cf6d92d4233e</t>
        </is>
      </c>
      <c r="B13" t="inlineStr">
        <is>
          <t>Sr. Applied Scientist, SPB Advertiser Guidance</t>
        </is>
      </c>
      <c r="C13" t="inlineStr">
        <is>
          <t>Amazon.com</t>
        </is>
      </c>
      <c r="D13" t="inlineStr">
        <is>
          <t>indeed</t>
        </is>
      </c>
      <c r="E13" t="inlineStr"/>
      <c r="F13" t="inlineStr"/>
      <c r="G13" t="inlineStr">
        <is>
          <t>New York, NY, US</t>
        </is>
      </c>
      <c r="H13" s="2" t="n">
        <v>45939</v>
      </c>
      <c r="I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in-26803e9ee67448e2</t>
        </is>
      </c>
      <c r="B14" t="inlineStr">
        <is>
          <t>Applied Scientist</t>
        </is>
      </c>
      <c r="C14" t="inlineStr">
        <is>
          <t>Amazon.com</t>
        </is>
      </c>
      <c r="D14" t="inlineStr">
        <is>
          <t>indeed</t>
        </is>
      </c>
      <c r="E14" t="inlineStr"/>
      <c r="F14" t="inlineStr"/>
      <c r="G14" t="inlineStr">
        <is>
          <t>New York, NY, US</t>
        </is>
      </c>
      <c r="H14" s="2" t="n">
        <v>45939</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in-923751253e6bffcd</t>
        </is>
      </c>
      <c r="B15" t="inlineStr">
        <is>
          <t>Sr. Applied Scientist, SPB Advertiser Guidance</t>
        </is>
      </c>
      <c r="C15" t="inlineStr">
        <is>
          <t>Amazon.com</t>
        </is>
      </c>
      <c r="D15" t="inlineStr">
        <is>
          <t>indeed</t>
        </is>
      </c>
      <c r="E15" t="inlineStr"/>
      <c r="F15" t="inlineStr"/>
      <c r="G15" t="inlineStr">
        <is>
          <t>Palo Alto, CA, US</t>
        </is>
      </c>
      <c r="H15" s="2" t="n">
        <v>45939</v>
      </c>
      <c r="I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in-fadd58f95d1e095a</t>
        </is>
      </c>
      <c r="B16" t="inlineStr">
        <is>
          <t>Sr. Applied Scientist, SPB Advertiser Guidance</t>
        </is>
      </c>
      <c r="C16" t="inlineStr">
        <is>
          <t>Amazon.com</t>
        </is>
      </c>
      <c r="D16" t="inlineStr">
        <is>
          <t>indeed</t>
        </is>
      </c>
      <c r="E16" t="inlineStr"/>
      <c r="F16" t="inlineStr"/>
      <c r="G16" t="inlineStr">
        <is>
          <t>Seattle, WA, US</t>
        </is>
      </c>
      <c r="H16" s="2" t="n">
        <v>45939</v>
      </c>
      <c r="I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in-9209895ff11e4386</t>
        </is>
      </c>
      <c r="B17" t="inlineStr">
        <is>
          <t>Applied Scientist</t>
        </is>
      </c>
      <c r="C17" t="inlineStr">
        <is>
          <t>Amazon.com</t>
        </is>
      </c>
      <c r="D17" t="inlineStr">
        <is>
          <t>indeed</t>
        </is>
      </c>
      <c r="E17" t="inlineStr"/>
      <c r="F17" t="inlineStr"/>
      <c r="G17" t="inlineStr">
        <is>
          <t>Seattle, WA, US</t>
        </is>
      </c>
      <c r="H17" s="2" t="n">
        <v>45939</v>
      </c>
      <c r="I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in-191a401fa2222c06</t>
        </is>
      </c>
      <c r="B18" t="inlineStr">
        <is>
          <t>Applied Scientist II, Prime Video - Personalization and Discovery Science, Personalization and Discovery Science</t>
        </is>
      </c>
      <c r="C18" t="inlineStr">
        <is>
          <t>Amazon.com</t>
        </is>
      </c>
      <c r="D18" t="inlineStr">
        <is>
          <t>indeed</t>
        </is>
      </c>
      <c r="E18" t="inlineStr"/>
      <c r="F18" t="inlineStr"/>
      <c r="G18" t="inlineStr">
        <is>
          <t>New York, NY, US</t>
        </is>
      </c>
      <c r="H18" s="2" t="n">
        <v>45930</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in-f4a8b023f073a33c</t>
        </is>
      </c>
      <c r="B19" t="inlineStr">
        <is>
          <t>Applied Scientist II, Prime Video - Personalization and Discovery Science, Personalization and Discovery Science</t>
        </is>
      </c>
      <c r="C19" t="inlineStr">
        <is>
          <t>Amazon.com</t>
        </is>
      </c>
      <c r="D19" t="inlineStr">
        <is>
          <t>indeed</t>
        </is>
      </c>
      <c r="E19" t="inlineStr"/>
      <c r="F19" t="inlineStr"/>
      <c r="G19" t="inlineStr">
        <is>
          <t>Seattle, WA, US</t>
        </is>
      </c>
      <c r="H19" s="2" t="n">
        <v>45930</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in-e6b21c641ec02e5c</t>
        </is>
      </c>
      <c r="B20" t="inlineStr">
        <is>
          <t>Applied Scientist II, Prime Video - Personalization and Discovery Science, Personalization and Discovery Science</t>
        </is>
      </c>
      <c r="C20" t="inlineStr">
        <is>
          <t>Amazon.com</t>
        </is>
      </c>
      <c r="D20" t="inlineStr">
        <is>
          <t>indeed</t>
        </is>
      </c>
      <c r="E20" t="inlineStr"/>
      <c r="F20" t="inlineStr"/>
      <c r="G20" t="inlineStr">
        <is>
          <t>Sunnyvale, CA, US</t>
        </is>
      </c>
      <c r="H20" s="2"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in-dc232c6ea2967715</t>
        </is>
      </c>
      <c r="B21" t="inlineStr">
        <is>
          <t>Sr. Applied Scientist, Prime Video - Personalization and Discovery Science</t>
        </is>
      </c>
      <c r="C21" t="inlineStr">
        <is>
          <t>Amazon.com</t>
        </is>
      </c>
      <c r="D21" t="inlineStr">
        <is>
          <t>indeed</t>
        </is>
      </c>
      <c r="E21" t="inlineStr"/>
      <c r="F21" t="inlineStr"/>
      <c r="G21" t="inlineStr">
        <is>
          <t>New York, NY,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in-44e8f059b46defc2</t>
        </is>
      </c>
      <c r="B22" t="inlineStr">
        <is>
          <t>Sr. Applied Scientist, Prime Video - Personalization and Discovery Science</t>
        </is>
      </c>
      <c r="C22" t="inlineStr">
        <is>
          <t>Amazon.com</t>
        </is>
      </c>
      <c r="D22" t="inlineStr">
        <is>
          <t>indeed</t>
        </is>
      </c>
      <c r="E22" t="inlineStr"/>
      <c r="F22" t="inlineStr"/>
      <c r="G22" t="inlineStr">
        <is>
          <t>Seattle, WA,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in-71c5c7cae289a56b</t>
        </is>
      </c>
      <c r="B23" t="inlineStr">
        <is>
          <t>Applied Scientist II, Prime Video - Personalization and Discovery Science</t>
        </is>
      </c>
      <c r="C23" t="inlineStr">
        <is>
          <t>Amazon.com</t>
        </is>
      </c>
      <c r="D23" t="inlineStr">
        <is>
          <t>indeed</t>
        </is>
      </c>
      <c r="E23" t="inlineStr"/>
      <c r="F23" t="inlineStr"/>
      <c r="G23" t="inlineStr">
        <is>
          <t>Seattle, WA, US</t>
        </is>
      </c>
      <c r="H23" s="2"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in-0a10e85175740927</t>
        </is>
      </c>
      <c r="B24" t="inlineStr">
        <is>
          <t>Applied Scientist II, Prime Video - Personalization and Discovery Science</t>
        </is>
      </c>
      <c r="C24" t="inlineStr">
        <is>
          <t>Amazon.com</t>
        </is>
      </c>
      <c r="D24" t="inlineStr">
        <is>
          <t>indeed</t>
        </is>
      </c>
      <c r="E24" t="inlineStr"/>
      <c r="F24" t="inlineStr"/>
      <c r="G24" t="inlineStr">
        <is>
          <t>New York, NY, US</t>
        </is>
      </c>
      <c r="H24" s="2"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in-ee58d175af7fea6f</t>
        </is>
      </c>
      <c r="B25" t="inlineStr">
        <is>
          <t>Sr. Applied Scientist, Prime Video - Personalization and Discovery Science</t>
        </is>
      </c>
      <c r="C25" t="inlineStr">
        <is>
          <t>Amazon.com</t>
        </is>
      </c>
      <c r="D25" t="inlineStr">
        <is>
          <t>indeed</t>
        </is>
      </c>
      <c r="E25" t="inlineStr"/>
      <c r="F25" t="inlineStr"/>
      <c r="G25" t="inlineStr">
        <is>
          <t>Sunnyvale, CA, US</t>
        </is>
      </c>
      <c r="H25" s="2"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in-5ce161208b995549</t>
        </is>
      </c>
      <c r="B26" t="inlineStr">
        <is>
          <t>Applied Scientist II, Prime Video - Personalization and Discovery Science</t>
        </is>
      </c>
      <c r="C26" t="inlineStr">
        <is>
          <t>Amazon.com</t>
        </is>
      </c>
      <c r="D26" t="inlineStr">
        <is>
          <t>indeed</t>
        </is>
      </c>
      <c r="E26" t="inlineStr"/>
      <c r="F26" t="inlineStr"/>
      <c r="G26" t="inlineStr">
        <is>
          <t>Sunnyvale, CA, US</t>
        </is>
      </c>
      <c r="H26" s="2"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in-4cc3c52023240d17</t>
        </is>
      </c>
      <c r="B27" t="inlineStr">
        <is>
          <t>Senior Machine Learning Engineer Document Intelligence</t>
        </is>
      </c>
      <c r="C27" t="inlineStr">
        <is>
          <t>GEICO</t>
        </is>
      </c>
      <c r="D27" t="inlineStr">
        <is>
          <t>indeed</t>
        </is>
      </c>
      <c r="E27" t="inlineStr"/>
      <c r="F27" t="inlineStr"/>
      <c r="G27" t="inlineStr">
        <is>
          <t>Palo Alto, CA, US</t>
        </is>
      </c>
      <c r="H27" s="2" t="n">
        <v>46067</v>
      </c>
      <c r="I2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As a Senior Machine Learning Engineer , you will be a tech lead through design, development, and deployment of advanced machine learning models across the business. This role focuses on building scalable machine learning models, mentoring junior engineers, and driving the full lifecycle of machine learning model development. You will be the tech lead for a team of Machine Learning Engineers and/or Data Scientists focused on ensuring that machine learning models are robust, high\-performing, and seamlessly integrated into production systems. This position involves both hands\-on engineering work and leadership responsibilities in a dynamic environment.  
Responsibilities:  
* Design and implement machine learning models \&amp; components that solve real\-world business problems in close collaboration with the Product, Business units \&amp; Data Science teams.
* Write production\-grade code for ML models as services and APIs
* Collaborate with cross\-functional teams, including data engineering and software development, to integrate machine learning models into production systems.
* Build and maintain scalable data processing workflows and model deployment infrastructure.
* Debug and resolve model performance issues, track relevant metrics, and implement continuous improvements to ensure model accuracy and reliability.
* Keep up with the latest ML tooling and communities
* Lead the design and implementation of complex machine learning models across various business units.
* Architect and develop scalable infrastructure for automated model training, hyperparameter tuning, and deployment.
* Mentor and guide junior engineers, collaborating closely with machine learning engineers to optimize and refine models.
* Own the end\-to\-end systems for model monitoring, maintenance, and retraining to ensure high availability and performance.
Minimum Qualifications  
* B.Sc. in Machine Learning, Computer Science, Statistics, Mathematics, or related quantitative field
* 6\+ year of experience applying machine learning techniques (e.g. Ensemble learning, deep learning, reinforcement learning, NLP etc.)
* 6\+ years of experience with SQL, Spark and scripting languages like Python
* 6\+ years of experience with machine learning frameworks such as TensorFlow, PyTorch, and Scikit\-learn.
* 4\+ years of experience working with cloud platforms and environments like AWS, Microsoft Azure, Databricks, and Kubernetes.
* 4\+ years of experience applying machine learning techniques in a production environment for business solutions.
Required Skills \&amp; knowledge
* Machine Learning Algorithms: Strong foundation in and deep understanding of advanced machine learning algorithms including supervised and unsupervised learning techniques as well as familiarity generative models.
* Statistical Modeling: Proficiency in statistical modeling including probability theory \&amp; hypothesis testing to be able to interrogate, analyze and interpret data effectively.
* Programming Skills: Strong programming skills such as proficiency in Python and experience with machine learning frameworks such as TensorFlow, Keras, and PyTorch. Familiarity with software development best practices, including CI/CD pipelines, containerization (e.g., Docker), and orchestration (e.g., Kubernetes). Deep understanding of MLOps practices, including model versioning, A/B testing, and continuous deployment.
* Cloud Computing Platforms: A deep understanding of cloud computing platforms such as Azure, AWS or GCP, a deep understanding distributed systems and familiarity with large\-scale data processing technologies (e.g., Spark, Kafka).
* Leadership: Proven experience in leading machine learning projects, managing stakeholders, and scaling machine learning solutions in production environments
* Communication: Excellent communication skills, capable of presenting complex technical topics to both technical and non\-technical audiences.
* Analytical: Exceptional problem\-solving and analytical skills with a focus on continuous improvement and innovation.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8">
      <c r="A28" t="inlineStr">
        <is>
          <t>in-d458664bb30cd581</t>
        </is>
      </c>
      <c r="B28" t="inlineStr">
        <is>
          <t>Senior Machine Learning Engineer Document Intelligence</t>
        </is>
      </c>
      <c r="C28" t="inlineStr">
        <is>
          <t>GEICO</t>
        </is>
      </c>
      <c r="D28" t="inlineStr">
        <is>
          <t>indeed</t>
        </is>
      </c>
      <c r="E28" t="inlineStr"/>
      <c r="F28" t="inlineStr"/>
      <c r="G28" t="inlineStr">
        <is>
          <t>New York, NY, US</t>
        </is>
      </c>
      <c r="H28" s="2" t="n">
        <v>46067</v>
      </c>
      <c r="I2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As a Senior Machine Learning Engineer , you will be a tech lead through design, development, and deployment of advanced machine learning models across the business. This role focuses on building scalable machine learning models, mentoring junior engineers, and driving the full lifecycle of machine learning model development. You will be the tech lead for a team of Machine Learning Engineers and/or Data Scientists focused on ensuring that machine learning models are robust, high\-performing, and seamlessly integrated into production systems. This position involves both hands\-on engineering work and leadership responsibilities in a dynamic environment.  
Responsibilities:  
* Design and implement machine learning models \&amp; components that solve real\-world business problems in close collaboration with the Product, Business units \&amp; Data Science teams.
* Write production\-grade code for ML models as services and APIs
* Collaborate with cross\-functional teams, including data engineering and software development, to integrate machine learning models into production systems.
* Build and maintain scalable data processing workflows and model deployment infrastructure.
* Debug and resolve model performance issues, track relevant metrics, and implement continuous improvements to ensure model accuracy and reliability.
* Keep up with the latest ML tooling and communities
* Lead the design and implementation of complex machine learning models across various business units.
* Architect and develop scalable infrastructure for automated model training, hyperparameter tuning, and deployment.
* Mentor and guide junior engineers, collaborating closely with machine learning engineers to optimize and refine models.
* Own the end\-to\-end systems for model monitoring, maintenance, and retraining to ensure high availability and performance.
Minimum Qualifications  
* B.Sc. in Machine Learning, Computer Science, Statistics, Mathematics, or related quantitative field
* 6\+ year of experience applying machine learning techniques (e.g. Ensemble learning, deep learning, reinforcement learning, NLP etc.)
* 6\+ years of experience with SQL, Spark and scripting languages like Python
* 6\+ years of experience with machine learning frameworks such as TensorFlow, PyTorch, and Scikit\-learn.
* 4\+ years of experience working with cloud platforms and environments like AWS, Microsoft Azure, Databricks, and Kubernetes.
* 4\+ years of experience applying machine learning techniques in a production environment for business solutions.
Required Skills \&amp; knowledge
* Machine Learning Algorithms: Strong foundation in and deep understanding of advanced machine learning algorithms including supervised and unsupervised learning techniques as well as familiarity generative models.
* Statistical Modeling: Proficiency in statistical modeling including probability theory \&amp; hypothesis testing to be able to interrogate, analyze and interpret data effectively.
* Programming Skills: Strong programming skills such as proficiency in Python and experience with machine learning frameworks such as TensorFlow, Keras, and PyTorch. Familiarity with software development best practices, including CI/CD pipelines, containerization (e.g., Docker), and orchestration (e.g., Kubernetes). Deep understanding of MLOps practices, including model versioning, A/B testing, and continuous deployment.
* Cloud Computing Platforms: A deep understanding of cloud computing platforms such as Azure, AWS or GCP, a deep understanding distributed systems and familiarity with large\-scale data processing technologies (e.g., Spark, Kafka).
* Leadership: Proven experience in leading machine learning projects, managing stakeholders, and scaling machine learning solutions in production environments
* Communication: Excellent communication skills, capable of presenting complex technical topics to both technical and non\-technical audiences.
* Analytical: Exceptional problem\-solving and analytical skills with a focus on continuous improvement and innovation.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
      <c r="A29" t="inlineStr">
        <is>
          <t>in-a59aec11c93bdf7c</t>
        </is>
      </c>
      <c r="B29" t="inlineStr">
        <is>
          <t>AI Engineer</t>
        </is>
      </c>
      <c r="C29" t="inlineStr">
        <is>
          <t>Hope Global School</t>
        </is>
      </c>
      <c r="D29" t="inlineStr">
        <is>
          <t>indeed</t>
        </is>
      </c>
      <c r="E29" t="inlineStr"/>
      <c r="F29" t="inlineStr"/>
      <c r="G29" t="inlineStr">
        <is>
          <t>Boston, MA, US</t>
        </is>
      </c>
      <c r="H29" s="2" t="n">
        <v>46067</v>
      </c>
      <c r="I29" t="inlineStr">
        <is>
          <t>### **Job Description**
AI Engineer designs, develops, and deploys intelligent systems using machine learning and deep learning models to automate processes, enhance decision\-making, and deliver scalable data\-driven solutions across industries.
### **Key Responsibilities**
* Develop machine learning models for production deployment
* Design scalable data pipelines and automation workflows
* Train deep learning models using large datasets
* Optimize algorithms for accuracy and performance
* Collaborate with cross\-functional product development teams
* Integrate AI solutions into enterprise applications
* Monitor model performance and retrain periodically
* Ensure ethical AI practices and data security.
### **Skill \&amp; Experience**
* Strong Python programming and data structures knowledge
* Experience with TensorFlow, PyTorch, and scikit\-learn
* Solid understanding of statistics and probability concepts
* Proficiency in SQL and data engineering tools
* Knowledge of cloud platforms like AWS
* Ability to deploy models using MLOps frameworks.
**Note:** Salary is disbursed in the local currency of the country of employment.
* Date Posted
February 15, 2026
* Location
Boston, USA
* Offered Salary:
176000 \- 234000 / year
* Expiration date
August 21, 2028
* Experience
2 Year
* Gender
Both
* Qualification
Bachelor Degree</t>
        </is>
      </c>
    </row>
    <row r="30">
      <c r="A30" t="inlineStr">
        <is>
          <t>in-6c977a19c267f81e</t>
        </is>
      </c>
      <c r="B30" t="inlineStr">
        <is>
          <t>AI Engineer I - Active TS/SCI w/poly clearance</t>
        </is>
      </c>
      <c r="C30" t="inlineStr">
        <is>
          <t>CyberTrend Engineering LLC</t>
        </is>
      </c>
      <c r="D30" t="inlineStr">
        <is>
          <t>indeed</t>
        </is>
      </c>
      <c r="E30" t="inlineStr"/>
      <c r="F30" t="inlineStr"/>
      <c r="G30" t="inlineStr">
        <is>
          <t>Annapolis Junction, MD, US</t>
        </is>
      </c>
      <c r="H30" s="2" t="n">
        <v>46066</v>
      </c>
      <c r="I30"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Two (2\) years experience in applied machine learning in programs and contracts of similar scope, type, and complexity is required. A B.S. degree in advanced math (e.g., calculus, linear algebra or Bayesian statistics), computer science or related STEM discipline from an accredited college or university is required. Three (3\) years of additional machine learning experience on projects with similar machine learning processes may be substituted for a bachelor’s degree.
**Qualifications**
* Select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**Requirements:**
* Experience with TensorFlow, PyTorch, or Hugging Face.
* Hands\-on experience with AWS tools like Sagemaker, Lambda, EC2, and S3\.
* Experience with full\-stack software applications (JavaScript, Python, Java etc)
* Solid understanding of data structures, algorithms, and system design.
* Experience in Machine Learning model development including NLP.
* Familiarity with containerization tools.
* Experience working with Large Language Models (LLMs)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1">
      <c r="A31" t="inlineStr">
        <is>
          <t>in-08e99370f61f30ff</t>
        </is>
      </c>
      <c r="B31" t="inlineStr">
        <is>
          <t>Applied Machine Learning Engineer - Customer Feedback</t>
        </is>
      </c>
      <c r="C31" t="inlineStr">
        <is>
          <t>Apple</t>
        </is>
      </c>
      <c r="D31" t="inlineStr">
        <is>
          <t>indeed</t>
        </is>
      </c>
      <c r="E31" t="inlineStr"/>
      <c r="F31" t="inlineStr"/>
      <c r="G31" t="inlineStr">
        <is>
          <t>Cupertino, CA, US</t>
        </is>
      </c>
      <c r="H31" s="2" t="n">
        <v>46067</v>
      </c>
      <c r="I31" t="inlineStr">
        <is>
          <t>Join the team responsible for Apple’s Feedback and Beta Programs! Our tools and applications collect user feedback on beta software releases, helping to drive the direction and priorities of Apple’s engineering teams. To make the best use of feedback we receive from customers and developers, we develop and maintain machine learning systems and automated analysis to cluster, annotate, and escalate the millions of reports we receive yearly.  
We are looking for experienced Machine Learning engineers to deploy and tune both traditional ML and generative AI models to enhance our systems’ capability. There are tantalizing problems and products possible with our one\-of\-a\-kind dataset, and plenty of opportunity for a passionate engineer.  
**Description**  
Our team is seeking adept machine learning engineers who are excited by creating machine\-learning\-driven user experiences. Work includes implenting high\-performance machine learning models and infrastructure in concert with software engineers, designers, and teams of internal users.  
You will be responsible for full stack ML development in partnership with others on the team. This includes data generation and curation, creating and influencing ML tooling and infrastructure, driving evaluation efforts, and training or fine\-tuning models. You will also be involved in directly integrating ML into internal tools and systems. You will need to rely on your creativity and problem solving to develop scalable, maintainable, and cost\-effective solutions.  
The team values rapid iteration, based on bringing models into reality so stakeholders can play with cutting edge technology and research. To this end you will be engaged with hardware, software, and design teams across Apple; both representing the technology and implementing it into prototypes.  
You will be successful and feel fulfilled in our team if you enjoy tackling challenging problems, have a strong sense of shared ownership, and thrive in a collaborative team setting.  
**Preferred Qualifications**  
Working knowledge of applied Natural Language Processing.  
Strong hands\-on experience in building large scale ML based solutions or in building and scaling distributed systems.  
**Minimum Qualifications**  
Industry experience with applied machine learning.  
Industry experience in software engineering, data engineering, or similar.  
Strong fundamentals in problem solving, algorithm design, and model building  
Excellent verbal and written communication and presentation skills  
MS in Computer Science or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2">
      <c r="A32" t="inlineStr">
        <is>
          <t>in-bea41cc9b1c10862</t>
        </is>
      </c>
      <c r="B32" t="inlineStr">
        <is>
          <t>AIML - Sr Machine Learning Engineer, Responsible AI</t>
        </is>
      </c>
      <c r="C32" t="inlineStr">
        <is>
          <t>Apple</t>
        </is>
      </c>
      <c r="D32" t="inlineStr">
        <is>
          <t>indeed</t>
        </is>
      </c>
      <c r="E32" t="inlineStr"/>
      <c r="F32" t="inlineStr"/>
      <c r="G32" t="inlineStr">
        <is>
          <t>Cupertino, CA, US</t>
        </is>
      </c>
      <c r="H32" s="2" t="n">
        <v>46067</v>
      </c>
      <c r="I32" t="inlineStr">
        <is>
          <t>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","responsibilities":"Develop metrics for evaluation of safety and fairness risks inherent to generative AI features.  
Design datasets, identify data needs, and work on creative solutions, scaling and expanding data coverage through human and synthetic generation methods.  
Develop auto\-grading technologies and approaches for application in safety evaluations of generative AI features.  
Provide technical direction and expertise to team\-wide initiatives in safety auto\-grading.  
Use and implement data pipelines, and collaborate cross\-functionally to execute end\-to\-end safety evaluations.  
Work with highly\-sensitive content with exposure to offensive and controversial content.  
**Preferred Qualifications**  
Experience working in the Responsible AI space.  
Prior scientific research and publication experience.  
Strong organizational and operational skills working with large, multi\-functional, and diverse teams.  
Curiosity about fairness and bias in generative AI systems, and a strong desire to help make the technology more equitable.  
**Minimum Qualifications**  
MS, or PhD in Computer Science, Machine Learning, Statistics, or related fields; or an equivalent qualification acquired through other avenues.  
Experience working with generative models for evaluation and/or product development, and up\-to\-date knowledge of common challenges and failures.  
Strong engineering skills and experience in writing production\-quality code in Python.  
Deep experience in foundation model\-based AI programming (i.e.: using DSPy for optimizing foundation model prompts, for example) and a drive to innovate in this space.  
Experience working with noisy, crowd\-based data labels and human evaluations.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3">
      <c r="A33" t="inlineStr">
        <is>
          <t>in-b69bca8a2d9d8aeb</t>
        </is>
      </c>
      <c r="B33" t="inlineStr">
        <is>
          <t>AIML - Sr Machine Learning Engineer, Responsible AI</t>
        </is>
      </c>
      <c r="C33" t="inlineStr">
        <is>
          <t>Apple</t>
        </is>
      </c>
      <c r="D33" t="inlineStr">
        <is>
          <t>indeed</t>
        </is>
      </c>
      <c r="E33" t="inlineStr"/>
      <c r="F33" t="inlineStr"/>
      <c r="G33" t="inlineStr">
        <is>
          <t>Cupertino, CA, US</t>
        </is>
      </c>
      <c r="H33" s="2" t="n">
        <v>46067</v>
      </c>
      <c r="I33" t="inlineStr">
        <is>
          <t>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","responsibilities":"Develop metrics for evaluation of safety and fairness risks inherent to generative AI features.  
Design datasets, identify data needs, and work on creative solutions, scaling and expanding data coverage through human and synthetic generation methods.  
Develop auto\-grading technologies and approaches for application in safety evaluations of generative AI features.  
Provide technical direction and expertise to team\-wide initiatives in safety auto\-grading.  
Use and implement data pipelines, and collaborate cross\-functionally to execute end\-to\-end safety evaluations.  
Work with highly\-sensitive content with exposure to offensive and controversial content.  
**Preferred Qualifications**  
Experience working in the Responsible AI space.  
Prior scientific research and publication experience.  
Strong organizational and operational skills working with large, multi\-functional, and diverse teams.  
Curiosity about fairness and bias in generative AI systems, and a strong desire to help make the technology more equitable.  
**Minimum Qualifications**  
MS, or PhD in Computer Science, Machine Learning, Statistics, or related fields; or an equivalent qualification acquired through other avenues.  
Experience working with generative models for evaluation and/or product development, and up\-to\-date knowledge of common challenges and failures.  
Strong engineering skills and experience in writing production\-quality code in Python.  
Deep experience in foundation model\-based AI programming (i.e.: using DSPy for optimizing foundation model prompts, for example) and a drive to innovate in this space.  
Experience working with noisy, crowd\-based data labels and human evaluations.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4">
      <c r="A34" t="inlineStr">
        <is>
          <t>in-b9d29f82f335537a</t>
        </is>
      </c>
      <c r="B34" t="inlineStr">
        <is>
          <t>AIML - Applied ML Engineer, Responsible AI</t>
        </is>
      </c>
      <c r="C34" t="inlineStr">
        <is>
          <t>Apple</t>
        </is>
      </c>
      <c r="D34" t="inlineStr">
        <is>
          <t>indeed</t>
        </is>
      </c>
      <c r="E34" t="inlineStr"/>
      <c r="F34" t="inlineStr"/>
      <c r="G34" t="inlineStr">
        <is>
          <t>Cupertino, CA, US</t>
        </is>
      </c>
      <c r="H34" s="2" t="n">
        <v>46067</v>
      </c>
      <c r="I34" t="inlineStr">
        <is>
          <t>Join a team at the forefront of defending Apple's ecosystem. We build the large\-scale machine learning systems that protect millions of users from emerging threats and ensure the integrity of our products.  
We are looking for an experienced Applied ML Engineer who has a proven track record of shipping production models. The ideal candidate is passionate about tackling complex safety and security challenges using state\-of\-the\-art techniques. In this role, you will design, build, and deploy the critical machine learning systems that are foundational to the safety of Apple's products, all while upholding our deep commitment to user privacy.  
**Description**  
As engineer on this team, you will own the full lifecycle of our abuse detection machine learning models. You will collaborate closely with researchers to understand the threat landscape and partner with software and product teams to deploy robust, scalable defenses. We believe the most effective security systems are built by engineers who can translate adversarial insights into production\-ready code. Your work will directly contribute to the architecture of Apple's AI platform and protect users from real\-world harm. Here is what you will do:  
* Design, build, and deploy production\-grade ML models to detect and mitigate abuse across multiple modalities (text, image, audio).
* Own the full ML lifecycle: from prototyping and data analysis to deployment, monitoring, and the continuous improvement of models in production.
* Drive the data strategy to continuously improve model performance by analyzing distribution gaps, contributing to synthetic data pipelines, and creating automated annotation systems.
* Architect end\-to\-end systems for monitoring platform activity, detecting misuse, and triggering automated enforcement actions in real\-time.
* Collaborate with cross\-functional partners in engineering, research, and product to define project requirements, establish technical direction, and deliver robust security solutions.
**Preferred Qualifications**  
BS, MS or PhD in Computer Science, Machine Learning, or related fields or an equivalent qualification acquired through other avenues  
Hands\-on experience with fine\-tuning or aligning large language models for security or safety applications.  
Experience building large\-scale data processing pipelines and ML infrastructure.  
Experience driving technical projects and collaborating with large, diverse, cross\-functional teams.  
**Minimum Qualifications**  
2\+ years experience shipping machine learning models to production. You have owned the end\-to\-end lifecycle of a model, from development to deployment and maintenance.  
Strong familiarity with research fundamentals, machine learning principles, and development methodologies around LLMs, foundation models, and diffusion models  
Proficient programming skills in Python and deep learning toolkits (e.g. JAX, PyTorch, Tensorflow)  
Ability to work with sensitive and offensive content as part of building robust security and abuse detection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5">
      <c r="A35" t="inlineStr">
        <is>
          <t>in-1b2188ec0203b5d7</t>
        </is>
      </c>
      <c r="B35" t="inlineStr">
        <is>
          <t>Sr. Applied Scientist, Amazon Ads</t>
        </is>
      </c>
      <c r="C35" t="inlineStr">
        <is>
          <t>Amazon.com</t>
        </is>
      </c>
      <c r="D35" t="inlineStr">
        <is>
          <t>indeed</t>
        </is>
      </c>
      <c r="E35">
        <f>HYPERLINK("https://www.indeed.com/viewjob?jk=1b2188ec0203b5d7", "https://www.indeed.com/viewjob?jk=1b2188ec0203b5d7")</f>
        <v/>
      </c>
      <c r="F35">
        <f>HYPERLINK("https://www.amazon.jobs/jobs/3139328/sr-applied-scientist-amazon-ads?cmpid=DA_INAD200785B", "https://www.amazon.jobs/jobs/3139328/sr-applied-scientist-amazon-ads?cmpid=DA_INAD200785B")</f>
        <v/>
      </c>
      <c r="G35" t="inlineStr">
        <is>
          <t>Corvallis, OR, US</t>
        </is>
      </c>
      <c r="H35" s="3"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in-fdbbfb4ab71dd460</t>
        </is>
      </c>
      <c r="B36" t="inlineStr">
        <is>
          <t>Sr. Applied Scientist, Amazon Ads</t>
        </is>
      </c>
      <c r="C36" t="inlineStr">
        <is>
          <t>Amazon.com</t>
        </is>
      </c>
      <c r="D36" t="inlineStr">
        <is>
          <t>indeed</t>
        </is>
      </c>
      <c r="E36">
        <f>HYPERLINK("https://www.indeed.com/viewjob?jk=fdbbfb4ab71dd460", "https://www.indeed.com/viewjob?jk=fdbbfb4ab71dd460")</f>
        <v/>
      </c>
      <c r="F36">
        <f>HYPERLINK("https://www.amazon.jobs/jobs/3139328/sr-applied-scientist-amazon-ads?cmpid=DA_INAD200785B", "https://www.amazon.jobs/jobs/3139328/sr-applied-scientist-amazon-ads?cmpid=DA_INAD200785B")</f>
        <v/>
      </c>
      <c r="G36" t="inlineStr">
        <is>
          <t>Brooklyn, NY, US</t>
        </is>
      </c>
      <c r="H36" s="3"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in-eed2bfe90e85aeb2</t>
        </is>
      </c>
      <c r="B37" t="inlineStr">
        <is>
          <t>Sr. Applied Scientist, Amazon Ads</t>
        </is>
      </c>
      <c r="C37" t="inlineStr">
        <is>
          <t>Amazon.com</t>
        </is>
      </c>
      <c r="D37" t="inlineStr">
        <is>
          <t>indeed</t>
        </is>
      </c>
      <c r="E37">
        <f>HYPERLINK("https://www.indeed.com/viewjob?jk=eed2bfe90e85aeb2", "https://www.indeed.com/viewjob?jk=eed2bfe90e85aeb2")</f>
        <v/>
      </c>
      <c r="F37">
        <f>HYPERLINK("https://www.amazon.jobs/jobs/3139328/sr-applied-scientist-amazon-ads?cmpid=DA_INAD200785B", "https://www.amazon.jobs/jobs/3139328/sr-applied-scientist-amazon-ads?cmpid=DA_INAD200785B")</f>
        <v/>
      </c>
      <c r="G37" t="inlineStr">
        <is>
          <t>Tukwila, WA, US</t>
        </is>
      </c>
      <c r="H37" s="3"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in-ff41afcdddb84897</t>
        </is>
      </c>
      <c r="B38" t="inlineStr">
        <is>
          <t>Sr. Applied Scientist, Amazon Ads</t>
        </is>
      </c>
      <c r="C38" t="inlineStr">
        <is>
          <t>Amazon.com</t>
        </is>
      </c>
      <c r="D38" t="inlineStr">
        <is>
          <t>indeed</t>
        </is>
      </c>
      <c r="E38">
        <f>HYPERLINK("https://www.indeed.com/viewjob?jk=ff41afcdddb84897", "https://www.indeed.com/viewjob?jk=ff41afcdddb84897")</f>
        <v/>
      </c>
      <c r="F38">
        <f>HYPERLINK("https://www.amazon.jobs/jobs/3139328/sr-applied-scientist-amazon-ads?cmpid=DA_INAD200785B", "https://www.amazon.jobs/jobs/3139328/sr-applied-scientist-amazon-ads?cmpid=DA_INAD200785B")</f>
        <v/>
      </c>
      <c r="G38" t="inlineStr">
        <is>
          <t>Boulder, CO, US</t>
        </is>
      </c>
      <c r="H38" s="3"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in-4874ebfdbdda8cc3</t>
        </is>
      </c>
      <c r="B39" t="inlineStr">
        <is>
          <t>Sr. Applied Scientist, Amazon Ads</t>
        </is>
      </c>
      <c r="C39" t="inlineStr">
        <is>
          <t>Amazon.com</t>
        </is>
      </c>
      <c r="D39" t="inlineStr">
        <is>
          <t>indeed</t>
        </is>
      </c>
      <c r="E39">
        <f>HYPERLINK("https://www.indeed.com/viewjob?jk=4874ebfdbdda8cc3", "https://www.indeed.com/viewjob?jk=4874ebfdbdda8cc3")</f>
        <v/>
      </c>
      <c r="F39">
        <f>HYPERLINK("https://www.amazon.jobs/jobs/3139328/sr-applied-scientist-amazon-ads?cmpid=DA_INAD200785B", "https://www.amazon.jobs/jobs/3139328/sr-applied-scientist-amazon-ads?cmpid=DA_INAD200785B")</f>
        <v/>
      </c>
      <c r="G39" t="inlineStr">
        <is>
          <t>Sunnyvale, CA, US</t>
        </is>
      </c>
      <c r="H39" s="3"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in-aa3340748b54851f</t>
        </is>
      </c>
      <c r="B40" t="inlineStr">
        <is>
          <t>Sr. Applied Scientist, Amazon Ads</t>
        </is>
      </c>
      <c r="C40" t="inlineStr">
        <is>
          <t>Amazon.com</t>
        </is>
      </c>
      <c r="D40" t="inlineStr">
        <is>
          <t>indeed</t>
        </is>
      </c>
      <c r="E40">
        <f>HYPERLINK("https://www.indeed.com/viewjob?jk=aa3340748b54851f", "https://www.indeed.com/viewjob?jk=aa3340748b54851f")</f>
        <v/>
      </c>
      <c r="F40">
        <f>HYPERLINK("https://www.amazon.jobs/jobs/3139328/sr-applied-scientist-amazon-ads?cmpid=DA_INAD200785B", "https://www.amazon.jobs/jobs/3139328/sr-applied-scientist-amazon-ads?cmpid=DA_INAD200785B")</f>
        <v/>
      </c>
      <c r="G40" t="inlineStr">
        <is>
          <t>Santa Monica, CA, US</t>
        </is>
      </c>
      <c r="H40" s="3"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in-aa8eff05bdc97f9f</t>
        </is>
      </c>
      <c r="B41" t="inlineStr">
        <is>
          <t>Sr. Applied Scientist, Amazon Ads</t>
        </is>
      </c>
      <c r="C41" t="inlineStr">
        <is>
          <t>Amazon.com</t>
        </is>
      </c>
      <c r="D41" t="inlineStr">
        <is>
          <t>indeed</t>
        </is>
      </c>
      <c r="E41">
        <f>HYPERLINK("https://www.indeed.com/viewjob?jk=aa8eff05bdc97f9f", "https://www.indeed.com/viewjob?jk=aa8eff05bdc97f9f")</f>
        <v/>
      </c>
      <c r="F41">
        <f>HYPERLINK("https://www.amazon.jobs/jobs/3139328/sr-applied-scientist-amazon-ads?cmpid=DA_INAD200785B", "https://www.amazon.jobs/jobs/3139328/sr-applied-scientist-amazon-ads?cmpid=DA_INAD200785B")</f>
        <v/>
      </c>
      <c r="G41" t="inlineStr">
        <is>
          <t>Palo Alto, CA, US</t>
        </is>
      </c>
      <c r="H41" s="3"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in-c7ba3a6ea6aefcd0</t>
        </is>
      </c>
      <c r="B42" t="inlineStr">
        <is>
          <t>Sr. Applied Scientist, Amazon Ads</t>
        </is>
      </c>
      <c r="C42" t="inlineStr">
        <is>
          <t>Amazon.com</t>
        </is>
      </c>
      <c r="D42" t="inlineStr">
        <is>
          <t>indeed</t>
        </is>
      </c>
      <c r="E42">
        <f>HYPERLINK("https://www.indeed.com/viewjob?jk=c7ba3a6ea6aefcd0", "https://www.indeed.com/viewjob?jk=c7ba3a6ea6aefcd0")</f>
        <v/>
      </c>
      <c r="F42">
        <f>HYPERLINK("https://www.amazon.jobs/jobs/3139328/sr-applied-scientist-amazon-ads?cmpid=DA_INAD200785B", "https://www.amazon.jobs/jobs/3139328/sr-applied-scientist-amazon-ads?cmpid=DA_INAD200785B")</f>
        <v/>
      </c>
      <c r="G42" t="inlineStr">
        <is>
          <t>New York, NY, US</t>
        </is>
      </c>
      <c r="H42" s="3"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in-4458f721e089fffb</t>
        </is>
      </c>
      <c r="B43" t="inlineStr">
        <is>
          <t>Sr. Applied Scientist, Amazon Ads</t>
        </is>
      </c>
      <c r="C43" t="inlineStr">
        <is>
          <t>Amazon.com</t>
        </is>
      </c>
      <c r="D43" t="inlineStr">
        <is>
          <t>indeed</t>
        </is>
      </c>
      <c r="E43">
        <f>HYPERLINK("https://www.indeed.com/viewjob?jk=4458f721e089fffb", "https://www.indeed.com/viewjob?jk=4458f721e089fffb")</f>
        <v/>
      </c>
      <c r="F43">
        <f>HYPERLINK("https://www.amazon.jobs/jobs/3139328/sr-applied-scientist-amazon-ads?cmpid=DA_INAD200785B", "https://www.amazon.jobs/jobs/3139328/sr-applied-scientist-amazon-ads?cmpid=DA_INAD200785B")</f>
        <v/>
      </c>
      <c r="G43" t="inlineStr">
        <is>
          <t>Seattle, WA, US</t>
        </is>
      </c>
      <c r="H43" s="3"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in-87c6361a57a83308</t>
        </is>
      </c>
      <c r="B44" t="inlineStr">
        <is>
          <t>Sr. Applied Scientist, Amazon Ads</t>
        </is>
      </c>
      <c r="C44" t="inlineStr">
        <is>
          <t>Amazon.com</t>
        </is>
      </c>
      <c r="D44" t="inlineStr">
        <is>
          <t>indeed</t>
        </is>
      </c>
      <c r="E44">
        <f>HYPERLINK("https://www.indeed.com/viewjob?jk=87c6361a57a83308", "https://www.indeed.com/viewjob?jk=87c6361a57a83308")</f>
        <v/>
      </c>
      <c r="F44">
        <f>HYPERLINK("https://www.amazon.jobs/jobs/3139328/sr-applied-scientist-amazon-ads?cmpid=DA_INAD200785B", "https://www.amazon.jobs/jobs/3139328/sr-applied-scientist-amazon-ads?cmpid=DA_INAD200785B")</f>
        <v/>
      </c>
      <c r="G44" t="inlineStr">
        <is>
          <t>Boston, MA, US</t>
        </is>
      </c>
      <c r="H44" s="3"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in-d8c7f5783ac65910</t>
        </is>
      </c>
      <c r="B45" t="inlineStr">
        <is>
          <t>Applied Scientist</t>
        </is>
      </c>
      <c r="C45" t="inlineStr">
        <is>
          <t>Amazon.com</t>
        </is>
      </c>
      <c r="D45" t="inlineStr">
        <is>
          <t>indeed</t>
        </is>
      </c>
      <c r="E45">
        <f>HYPERLINK("https://www.indeed.com/viewjob?jk=d8c7f5783ac65910", "https://www.indeed.com/viewjob?jk=d8c7f5783ac65910")</f>
        <v/>
      </c>
      <c r="F45">
        <f>HYPERLINK("https://www.amazon.jobs/jobs/3106501/applied-scientist?cmpid=DA_INAD200785B", "https://www.amazon.jobs/jobs/3106501/applied-scientist?cmpid=DA_INAD200785B")</f>
        <v/>
      </c>
      <c r="G45" t="inlineStr">
        <is>
          <t>New York, NY, US</t>
        </is>
      </c>
      <c r="H45" s="3" t="n">
        <v>45939</v>
      </c>
      <c r="I4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in-cdbcca2e764e30ff</t>
        </is>
      </c>
      <c r="B46" t="inlineStr">
        <is>
          <t>Applied Scientist</t>
        </is>
      </c>
      <c r="C46" t="inlineStr">
        <is>
          <t>Amazon.com</t>
        </is>
      </c>
      <c r="D46" t="inlineStr">
        <is>
          <t>indeed</t>
        </is>
      </c>
      <c r="E46">
        <f>HYPERLINK("https://www.indeed.com/viewjob?jk=cdbcca2e764e30ff", "https://www.indeed.com/viewjob?jk=cdbcca2e764e30ff")</f>
        <v/>
      </c>
      <c r="F46">
        <f>HYPERLINK("https://www.amazon.jobs/jobs/3106501/applied-scientist?cmpid=DA_INAD200785B", "https://www.amazon.jobs/jobs/3106501/applied-scientist?cmpid=DA_INAD200785B")</f>
        <v/>
      </c>
      <c r="G46" t="inlineStr">
        <is>
          <t>Palo Alto, CA, US</t>
        </is>
      </c>
      <c r="H46" s="3" t="n">
        <v>45939</v>
      </c>
      <c r="I4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in-9695c7602c53c187</t>
        </is>
      </c>
      <c r="B47" t="inlineStr">
        <is>
          <t>Sr. Applied Scientist, SPB Advertiser Guidance</t>
        </is>
      </c>
      <c r="C47" t="inlineStr">
        <is>
          <t>Amazon.com</t>
        </is>
      </c>
      <c r="D47" t="inlineStr">
        <is>
          <t>indeed</t>
        </is>
      </c>
      <c r="E47">
        <f>HYPERLINK("https://www.indeed.com/viewjob?jk=9695c7602c53c187", "https://www.indeed.com/viewjob?jk=9695c7602c53c187")</f>
        <v/>
      </c>
      <c r="F47">
        <f>HYPERLINK("https://www.amazon.jobs/jobs/3106497/sr-applied-scientist-spb-advertiser-guidance?cmpid=DA_INAD200785B", "https://www.amazon.jobs/jobs/3106497/sr-applied-scientist-spb-advertiser-guidance?cmpid=DA_INAD200785B")</f>
        <v/>
      </c>
      <c r="G47" t="inlineStr">
        <is>
          <t>Palo Alto, CA, US</t>
        </is>
      </c>
      <c r="H47" s="3" t="n">
        <v>45939</v>
      </c>
      <c r="I4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in-08298c1365d63e17</t>
        </is>
      </c>
      <c r="B48" t="inlineStr">
        <is>
          <t>Applied Scientist</t>
        </is>
      </c>
      <c r="C48" t="inlineStr">
        <is>
          <t>Amazon.com</t>
        </is>
      </c>
      <c r="D48" t="inlineStr">
        <is>
          <t>indeed</t>
        </is>
      </c>
      <c r="E48">
        <f>HYPERLINK("https://www.indeed.com/viewjob?jk=08298c1365d63e17", "https://www.indeed.com/viewjob?jk=08298c1365d63e17")</f>
        <v/>
      </c>
      <c r="F48">
        <f>HYPERLINK("https://www.amazon.jobs/jobs/3106501/applied-scientist?cmpid=DA_INAD200785B", "https://www.amazon.jobs/jobs/3106501/applied-scientist?cmpid=DA_INAD200785B")</f>
        <v/>
      </c>
      <c r="G48" t="inlineStr">
        <is>
          <t>Seattle, WA, US</t>
        </is>
      </c>
      <c r="H48" s="3" t="n">
        <v>45939</v>
      </c>
      <c r="I4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in-9241635505934ad4</t>
        </is>
      </c>
      <c r="B49" t="inlineStr">
        <is>
          <t>Sr. Applied Scientist, SPB Advertiser Guidance</t>
        </is>
      </c>
      <c r="C49" t="inlineStr">
        <is>
          <t>Amazon.com</t>
        </is>
      </c>
      <c r="D49" t="inlineStr">
        <is>
          <t>indeed</t>
        </is>
      </c>
      <c r="E49">
        <f>HYPERLINK("https://www.indeed.com/viewjob?jk=9241635505934ad4", "https://www.indeed.com/viewjob?jk=9241635505934ad4")</f>
        <v/>
      </c>
      <c r="F49">
        <f>HYPERLINK("https://www.amazon.jobs/jobs/3106497/sr-applied-scientist-spb-advertiser-guidance?cmpid=DA_INAD200785B", "https://www.amazon.jobs/jobs/3106497/sr-applied-scientist-spb-advertiser-guidance?cmpid=DA_INAD200785B")</f>
        <v/>
      </c>
      <c r="G49" t="inlineStr">
        <is>
          <t>New York, NY, US</t>
        </is>
      </c>
      <c r="H49" s="3" t="n">
        <v>45939</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in-4a1aa846678ca8e7</t>
        </is>
      </c>
      <c r="B50" t="inlineStr">
        <is>
          <t>Sr. Applied Scientist, SPB Advertiser Guidance</t>
        </is>
      </c>
      <c r="C50" t="inlineStr">
        <is>
          <t>Amazon.com</t>
        </is>
      </c>
      <c r="D50" t="inlineStr">
        <is>
          <t>indeed</t>
        </is>
      </c>
      <c r="E50">
        <f>HYPERLINK("https://www.indeed.com/viewjob?jk=4a1aa846678ca8e7", "https://www.indeed.com/viewjob?jk=4a1aa846678ca8e7")</f>
        <v/>
      </c>
      <c r="F50">
        <f>HYPERLINK("https://www.amazon.jobs/jobs/3106497/sr-applied-scientist-spb-advertiser-guidance?cmpid=DA_INAD200785B", "https://www.amazon.jobs/jobs/3106497/sr-applied-scientist-spb-advertiser-guidance?cmpid=DA_INAD200785B")</f>
        <v/>
      </c>
      <c r="G50" t="inlineStr">
        <is>
          <t>Seattle, WA, US</t>
        </is>
      </c>
      <c r="H50" s="3" t="n">
        <v>45939</v>
      </c>
      <c r="I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in-3a3744746df23b1a</t>
        </is>
      </c>
      <c r="B51" t="inlineStr">
        <is>
          <t>Applied Scientist II, Prime Video - Personalization and Discovery Science, Personalization and Discovery Science</t>
        </is>
      </c>
      <c r="C51" t="inlineStr">
        <is>
          <t>Amazon.com</t>
        </is>
      </c>
      <c r="D51" t="inlineStr">
        <is>
          <t>indeed</t>
        </is>
      </c>
      <c r="E51">
        <f>HYPERLINK("https://www.indeed.com/viewjob?jk=3a3744746df23b1a", "https://www.indeed.com/viewjob?jk=3a3744746df23b1a")</f>
        <v/>
      </c>
      <c r="F5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51" t="inlineStr">
        <is>
          <t>New York, NY, US</t>
        </is>
      </c>
      <c r="H51" s="3" t="n">
        <v>45930</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in-51e054b4654b1c64</t>
        </is>
      </c>
      <c r="B52" t="inlineStr">
        <is>
          <t>Applied Scientist II, Prime Video - Personalization and Discovery Science, Personalization and Discovery Science</t>
        </is>
      </c>
      <c r="C52" t="inlineStr">
        <is>
          <t>Amazon.com</t>
        </is>
      </c>
      <c r="D52" t="inlineStr">
        <is>
          <t>indeed</t>
        </is>
      </c>
      <c r="E52">
        <f>HYPERLINK("https://www.indeed.com/viewjob?jk=51e054b4654b1c64", "https://www.indeed.com/viewjob?jk=51e054b4654b1c64")</f>
        <v/>
      </c>
      <c r="F5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52" t="inlineStr">
        <is>
          <t>Sunnyvale, CA, US</t>
        </is>
      </c>
      <c r="H52" s="3" t="n">
        <v>45930</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in-1cf785de29427b6b</t>
        </is>
      </c>
      <c r="B53" t="inlineStr">
        <is>
          <t>Applied Scientist II, Prime Video - Personalization and Discovery Science, Personalization and Discovery Science</t>
        </is>
      </c>
      <c r="C53" t="inlineStr">
        <is>
          <t>Amazon.com</t>
        </is>
      </c>
      <c r="D53" t="inlineStr">
        <is>
          <t>indeed</t>
        </is>
      </c>
      <c r="E53">
        <f>HYPERLINK("https://www.indeed.com/viewjob?jk=1cf785de29427b6b", "https://www.indeed.com/viewjob?jk=1cf785de29427b6b")</f>
        <v/>
      </c>
      <c r="F5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53" t="inlineStr">
        <is>
          <t>Seattle, WA, US</t>
        </is>
      </c>
      <c r="H53" s="3" t="n">
        <v>45930</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in-41b1de9af433b88f</t>
        </is>
      </c>
      <c r="B54" t="inlineStr">
        <is>
          <t>Sr. Applied Scientist, Prime Video - Personalization and Discovery Science</t>
        </is>
      </c>
      <c r="C54" t="inlineStr">
        <is>
          <t>Amazon.com</t>
        </is>
      </c>
      <c r="D54" t="inlineStr">
        <is>
          <t>indeed</t>
        </is>
      </c>
      <c r="E54">
        <f>HYPERLINK("https://www.indeed.com/viewjob?jk=41b1de9af433b88f", "https://www.indeed.com/viewjob?jk=41b1de9af433b88f")</f>
        <v/>
      </c>
      <c r="F54">
        <f>HYPERLINK("https://www.amazon.jobs/jobs/3059256/sr-applied-scientist-prime-video--personalization-and-discovery-science?cmpid=DA_INAD200785B", "https://www.amazon.jobs/jobs/3059256/sr-applied-scientist-prime-video--personalization-and-discovery-science?cmpid=DA_INAD200785B")</f>
        <v/>
      </c>
      <c r="G54" t="inlineStr">
        <is>
          <t>Seattle, WA, US</t>
        </is>
      </c>
      <c r="H54" s="3" t="n">
        <v>45881</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in-277d31b0ac78735e</t>
        </is>
      </c>
      <c r="B55" t="inlineStr">
        <is>
          <t>Applied Scientist II, Prime Video - Personalization and Discovery Science</t>
        </is>
      </c>
      <c r="C55" t="inlineStr">
        <is>
          <t>Amazon.com</t>
        </is>
      </c>
      <c r="D55" t="inlineStr">
        <is>
          <t>indeed</t>
        </is>
      </c>
      <c r="E55">
        <f>HYPERLINK("https://www.indeed.com/viewjob?jk=277d31b0ac78735e", "https://www.indeed.com/viewjob?jk=277d31b0ac78735e")</f>
        <v/>
      </c>
      <c r="F55">
        <f>HYPERLINK("https://www.amazon.jobs/jobs/3059253/applied-scientist-ii-prime-video--personalization-and-discovery-science?cmpid=DA_INAD200785B", "https://www.amazon.jobs/jobs/3059253/applied-scientist-ii-prime-video--personalization-and-discovery-science?cmpid=DA_INAD200785B")</f>
        <v/>
      </c>
      <c r="G55" t="inlineStr">
        <is>
          <t>Seattle, WA, US</t>
        </is>
      </c>
      <c r="H55" s="3" t="n">
        <v>45881</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in-c29dd7c21ce90b5b</t>
        </is>
      </c>
      <c r="B56" t="inlineStr">
        <is>
          <t>Applied Scientist II, Prime Video - Personalization and Discovery Science</t>
        </is>
      </c>
      <c r="C56" t="inlineStr">
        <is>
          <t>Amazon.com</t>
        </is>
      </c>
      <c r="D56" t="inlineStr">
        <is>
          <t>indeed</t>
        </is>
      </c>
      <c r="E56">
        <f>HYPERLINK("https://www.indeed.com/viewjob?jk=c29dd7c21ce90b5b", "https://www.indeed.com/viewjob?jk=c29dd7c21ce90b5b")</f>
        <v/>
      </c>
      <c r="F56">
        <f>HYPERLINK("https://www.amazon.jobs/jobs/3059253/applied-scientist-ii-prime-video--personalization-and-discovery-science?cmpid=DA_INAD200785B", "https://www.amazon.jobs/jobs/3059253/applied-scientist-ii-prime-video--personalization-and-discovery-science?cmpid=DA_INAD200785B")</f>
        <v/>
      </c>
      <c r="G56" t="inlineStr">
        <is>
          <t>Sunnyvale, CA, US</t>
        </is>
      </c>
      <c r="H56" s="3" t="n">
        <v>45881</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in-da5b8e75ac7784f3</t>
        </is>
      </c>
      <c r="B57" t="inlineStr">
        <is>
          <t>Sr. Applied Scientist, Prime Video - Personalization and Discovery Science</t>
        </is>
      </c>
      <c r="C57" t="inlineStr">
        <is>
          <t>Amazon.com</t>
        </is>
      </c>
      <c r="D57" t="inlineStr">
        <is>
          <t>indeed</t>
        </is>
      </c>
      <c r="E57">
        <f>HYPERLINK("https://www.indeed.com/viewjob?jk=da5b8e75ac7784f3", "https://www.indeed.com/viewjob?jk=da5b8e75ac7784f3")</f>
        <v/>
      </c>
      <c r="F57">
        <f>HYPERLINK("https://www.amazon.jobs/jobs/3059256/sr-applied-scientist-prime-video--personalization-and-discovery-science?cmpid=DA_INAD200785B", "https://www.amazon.jobs/jobs/3059256/sr-applied-scientist-prime-video--personalization-and-discovery-science?cmpid=DA_INAD200785B")</f>
        <v/>
      </c>
      <c r="G57" t="inlineStr">
        <is>
          <t>Sunnyvale, CA, US</t>
        </is>
      </c>
      <c r="H57" s="3" t="n">
        <v>45881</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in-36c3c12628488432</t>
        </is>
      </c>
      <c r="B58" t="inlineStr">
        <is>
          <t>Applied Scientist II, Prime Video - Personalization and Discovery Science</t>
        </is>
      </c>
      <c r="C58" t="inlineStr">
        <is>
          <t>Amazon.com</t>
        </is>
      </c>
      <c r="D58" t="inlineStr">
        <is>
          <t>indeed</t>
        </is>
      </c>
      <c r="E58">
        <f>HYPERLINK("https://www.indeed.com/viewjob?jk=36c3c12628488432", "https://www.indeed.com/viewjob?jk=36c3c12628488432")</f>
        <v/>
      </c>
      <c r="F58">
        <f>HYPERLINK("https://www.amazon.jobs/jobs/3059253/applied-scientist-ii-prime-video--personalization-and-discovery-science?cmpid=DA_INAD200785B", "https://www.amazon.jobs/jobs/3059253/applied-scientist-ii-prime-video--personalization-and-discovery-science?cmpid=DA_INAD200785B")</f>
        <v/>
      </c>
      <c r="G58" t="inlineStr">
        <is>
          <t>New York, NY, US</t>
        </is>
      </c>
      <c r="H58" s="3" t="n">
        <v>45881</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in-dd919a774a000e93</t>
        </is>
      </c>
      <c r="B59" t="inlineStr">
        <is>
          <t>Sr. Applied Scientist, Prime Video - Personalization and Discovery Science</t>
        </is>
      </c>
      <c r="C59" t="inlineStr">
        <is>
          <t>Amazon.com</t>
        </is>
      </c>
      <c r="D59" t="inlineStr">
        <is>
          <t>indeed</t>
        </is>
      </c>
      <c r="E59">
        <f>HYPERLINK("https://www.indeed.com/viewjob?jk=dd919a774a000e93", "https://www.indeed.com/viewjob?jk=dd919a774a000e93")</f>
        <v/>
      </c>
      <c r="F59">
        <f>HYPERLINK("https://www.amazon.jobs/jobs/3059256/sr-applied-scientist-prime-video--personalization-and-discovery-science?cmpid=DA_INAD200785B", "https://www.amazon.jobs/jobs/3059256/sr-applied-scientist-prime-video--personalization-and-discovery-science?cmpid=DA_INAD200785B")</f>
        <v/>
      </c>
      <c r="G59" t="inlineStr">
        <is>
          <t>New York, NY, US</t>
        </is>
      </c>
      <c r="H59" s="3" t="n">
        <v>45881</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in-a743be86a677de4f</t>
        </is>
      </c>
      <c r="B60" t="inlineStr">
        <is>
          <t>Sr. Applied Scientist - SLAM, Amazon Industrial Robotics</t>
        </is>
      </c>
      <c r="C60" t="inlineStr">
        <is>
          <t>Amazon.com</t>
        </is>
      </c>
      <c r="D60" t="inlineStr">
        <is>
          <t>indeed</t>
        </is>
      </c>
      <c r="E60">
        <f>HYPERLINK("https://www.indeed.com/viewjob?jk=a743be86a677de4f", "https://www.indeed.com/viewjob?jk=a743be86a677de4f")</f>
        <v/>
      </c>
      <c r="F60">
        <f>HYPERLINK("https://www.amazon.jobs/jobs/3172078/sr-applied-scientist--slam-amazon-industrial-robotics?cmpid=DA_INAD200785B", "https://www.amazon.jobs/jobs/3172078/sr-applied-scientist--slam-amazon-industrial-robotics?cmpid=DA_INAD200785B")</f>
        <v/>
      </c>
      <c r="G60" t="inlineStr">
        <is>
          <t>Reading, MA, US</t>
        </is>
      </c>
      <c r="H60" s="3" t="n">
        <v>46050</v>
      </c>
      <c r="I60"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1">
      <c r="A61" t="inlineStr">
        <is>
          <t>in-a2f53dd76355d8d3</t>
        </is>
      </c>
      <c r="B61" t="inlineStr">
        <is>
          <t>Sr. Applied Scientist, Sponsored Products Off-Search Sourcing</t>
        </is>
      </c>
      <c r="C61" t="inlineStr">
        <is>
          <t>Amazon.com</t>
        </is>
      </c>
      <c r="D61" t="inlineStr">
        <is>
          <t>indeed</t>
        </is>
      </c>
      <c r="E61">
        <f>HYPERLINK("https://www.indeed.com/viewjob?jk=a2f53dd76355d8d3", "https://www.indeed.com/viewjob?jk=a2f53dd76355d8d3")</f>
        <v/>
      </c>
      <c r="F61">
        <f>HYPERLINK("https://www.amazon.jobs/jobs/3169094/sr-applied-scientist-sponsored-products-offsearch-sourcing?cmpid=DA_INAD200785B", "https://www.amazon.jobs/jobs/3169094/sr-applied-scientist-sponsored-products-offsearch-sourcing?cmpid=DA_INAD200785B")</f>
        <v/>
      </c>
      <c r="G61" t="inlineStr">
        <is>
          <t>Palo Alto, CA, US</t>
        </is>
      </c>
      <c r="H61" s="3" t="n">
        <v>46049</v>
      </c>
      <c r="I6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2">
      <c r="A62" t="inlineStr">
        <is>
          <t>in-a8fd45ae421987fa</t>
        </is>
      </c>
      <c r="B62" t="inlineStr">
        <is>
          <t>Sr. Applied Scientist, Sponsored Products Off-Search Sourcing</t>
        </is>
      </c>
      <c r="C62" t="inlineStr">
        <is>
          <t>Amazon.com</t>
        </is>
      </c>
      <c r="D62" t="inlineStr">
        <is>
          <t>indeed</t>
        </is>
      </c>
      <c r="E62">
        <f>HYPERLINK("https://www.indeed.com/viewjob?jk=a8fd45ae421987fa", "https://www.indeed.com/viewjob?jk=a8fd45ae421987fa")</f>
        <v/>
      </c>
      <c r="F62">
        <f>HYPERLINK("https://www.amazon.jobs/jobs/3169094/sr-applied-scientist-sponsored-products-offsearch-sourcing?cmpid=DA_INAD200785B", "https://www.amazon.jobs/jobs/3169094/sr-applied-scientist-sponsored-products-offsearch-sourcing?cmpid=DA_INAD200785B")</f>
        <v/>
      </c>
      <c r="G62" t="inlineStr">
        <is>
          <t>Seattle, WA, US</t>
        </is>
      </c>
      <c r="H62" s="3" t="n">
        <v>46049</v>
      </c>
      <c r="I6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3">
      <c r="A63" t="inlineStr">
        <is>
          <t>in-d42905d1f0ffff56</t>
        </is>
      </c>
      <c r="B63" t="inlineStr">
        <is>
          <t>Sr. Applied Scientist, Sponsored Products Off-Search Sourcing</t>
        </is>
      </c>
      <c r="C63" t="inlineStr">
        <is>
          <t>Amazon.com</t>
        </is>
      </c>
      <c r="D63" t="inlineStr">
        <is>
          <t>indeed</t>
        </is>
      </c>
      <c r="E63">
        <f>HYPERLINK("https://www.indeed.com/viewjob?jk=d42905d1f0ffff56", "https://www.indeed.com/viewjob?jk=d42905d1f0ffff56")</f>
        <v/>
      </c>
      <c r="F63">
        <f>HYPERLINK("https://www.amazon.jobs/jobs/3169094/sr-applied-scientist-sponsored-products-offsearch-sourcing?cmpid=DA_INAD200785B", "https://www.amazon.jobs/jobs/3169094/sr-applied-scientist-sponsored-products-offsearch-sourcing?cmpid=DA_INAD200785B")</f>
        <v/>
      </c>
      <c r="G63" t="inlineStr">
        <is>
          <t>New York, NY, US</t>
        </is>
      </c>
      <c r="H63" s="3" t="n">
        <v>46049</v>
      </c>
      <c r="I6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4">
      <c r="A64" t="inlineStr">
        <is>
          <t>in-d9a33e81e214a970</t>
        </is>
      </c>
      <c r="B64" t="inlineStr">
        <is>
          <t>Principal Applied Scientist, AWS Science of Security</t>
        </is>
      </c>
      <c r="C64" t="inlineStr">
        <is>
          <t>Amazon.com</t>
        </is>
      </c>
      <c r="D64" t="inlineStr">
        <is>
          <t>indeed</t>
        </is>
      </c>
      <c r="E64">
        <f>HYPERLINK("https://www.indeed.com/viewjob?jk=d9a33e81e214a970", "https://www.indeed.com/viewjob?jk=d9a33e81e214a970")</f>
        <v/>
      </c>
      <c r="F64">
        <f>HYPERLINK("https://www.amazon.jobs/jobs/3170939/principal-applied-scientist-aws-science-of-security?cmpid=DA_INAD200785B", "https://www.amazon.jobs/jobs/3170939/principal-applied-scientist-aws-science-of-security?cmpid=DA_INAD200785B")</f>
        <v/>
      </c>
      <c r="G64" t="inlineStr">
        <is>
          <t>Seattle, WA, US</t>
        </is>
      </c>
      <c r="H64" s="3" t="n">
        <v>46049</v>
      </c>
      <c r="I64"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65">
      <c r="A65" t="inlineStr">
        <is>
          <t>in-51e535b61c8b6b05</t>
        </is>
      </c>
      <c r="B65" t="inlineStr">
        <is>
          <t>Principal Applied Scientist, AWS Science of Security</t>
        </is>
      </c>
      <c r="C65" t="inlineStr">
        <is>
          <t>Amazon.com</t>
        </is>
      </c>
      <c r="D65" t="inlineStr">
        <is>
          <t>indeed</t>
        </is>
      </c>
      <c r="E65">
        <f>HYPERLINK("https://www.indeed.com/viewjob?jk=51e535b61c8b6b05", "https://www.indeed.com/viewjob?jk=51e535b61c8b6b05")</f>
        <v/>
      </c>
      <c r="F65">
        <f>HYPERLINK("https://www.amazon.jobs/jobs/3170939/principal-applied-scientist-aws-science-of-security?cmpid=DA_INAD200785B", "https://www.amazon.jobs/jobs/3170939/principal-applied-scientist-aws-science-of-security?cmpid=DA_INAD200785B")</f>
        <v/>
      </c>
      <c r="G65" t="inlineStr">
        <is>
          <t>Arlington, VA, US</t>
        </is>
      </c>
      <c r="H65" s="3" t="n">
        <v>46049</v>
      </c>
      <c r="I65"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66">
      <c r="A66" t="inlineStr">
        <is>
          <t>in-87ce9d05e529b66f</t>
        </is>
      </c>
      <c r="B66" t="inlineStr">
        <is>
          <t>Principal Applied Scientist, AWS Science of Security</t>
        </is>
      </c>
      <c r="C66" t="inlineStr">
        <is>
          <t>Amazon.com</t>
        </is>
      </c>
      <c r="D66" t="inlineStr">
        <is>
          <t>indeed</t>
        </is>
      </c>
      <c r="E66">
        <f>HYPERLINK("https://www.indeed.com/viewjob?jk=87ce9d05e529b66f", "https://www.indeed.com/viewjob?jk=87ce9d05e529b66f")</f>
        <v/>
      </c>
      <c r="F66">
        <f>HYPERLINK("https://www.amazon.jobs/jobs/3170939/principal-applied-scientist-aws-science-of-security?cmpid=DA_INAD200785B", "https://www.amazon.jobs/jobs/3170939/principal-applied-scientist-aws-science-of-security?cmpid=DA_INAD200785B")</f>
        <v/>
      </c>
      <c r="G66" t="inlineStr">
        <is>
          <t>New York, NY, US</t>
        </is>
      </c>
      <c r="H66" s="3" t="n">
        <v>46049</v>
      </c>
      <c r="I66"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67">
      <c r="A67" t="inlineStr">
        <is>
          <t>in-099c1440e3dc3e0d</t>
        </is>
      </c>
      <c r="B67" t="inlineStr">
        <is>
          <t>Applied Scientist II, Prime Video Personalization and Discovery Science</t>
        </is>
      </c>
      <c r="C67" t="inlineStr">
        <is>
          <t>Amazon.com</t>
        </is>
      </c>
      <c r="D67" t="inlineStr">
        <is>
          <t>indeed</t>
        </is>
      </c>
      <c r="E67">
        <f>HYPERLINK("https://www.indeed.com/viewjob?jk=099c1440e3dc3e0d", "https://www.indeed.com/viewjob?jk=099c1440e3dc3e0d")</f>
        <v/>
      </c>
      <c r="F67">
        <f>HYPERLINK("https://www.amazon.jobs/jobs/3168905/applied-scientist-ii-prime-video-personalization-and-discovery-science?cmpid=DA_INAD200785B", "https://www.amazon.jobs/jobs/3168905/applied-scientist-ii-prime-video-personalization-and-discovery-science?cmpid=DA_INAD200785B")</f>
        <v/>
      </c>
      <c r="G67" t="inlineStr">
        <is>
          <t>Seattle, WA, US</t>
        </is>
      </c>
      <c r="H67" s="3" t="n">
        <v>46047</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8">
      <c r="A68" t="inlineStr">
        <is>
          <t>in-f4643d3b4064555a</t>
        </is>
      </c>
      <c r="B68" t="inlineStr">
        <is>
          <t>Applied Scientist II, Prime Video Personalization and Discovery Science</t>
        </is>
      </c>
      <c r="C68" t="inlineStr">
        <is>
          <t>Amazon.com</t>
        </is>
      </c>
      <c r="D68" t="inlineStr">
        <is>
          <t>indeed</t>
        </is>
      </c>
      <c r="E68">
        <f>HYPERLINK("https://www.indeed.com/viewjob?jk=f4643d3b4064555a", "https://www.indeed.com/viewjob?jk=f4643d3b4064555a")</f>
        <v/>
      </c>
      <c r="F68">
        <f>HYPERLINK("https://www.amazon.jobs/jobs/3168905/applied-scientist-ii-prime-video-personalization-and-discovery-science?cmpid=DA_INAD200785B", "https://www.amazon.jobs/jobs/3168905/applied-scientist-ii-prime-video-personalization-and-discovery-science?cmpid=DA_INAD200785B")</f>
        <v/>
      </c>
      <c r="G68" t="inlineStr">
        <is>
          <t>New York, NY, US</t>
        </is>
      </c>
      <c r="H68" s="3" t="n">
        <v>46047</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9">
      <c r="A69" t="inlineStr">
        <is>
          <t>in-0205bf17e01c46ef</t>
        </is>
      </c>
      <c r="B69" t="inlineStr">
        <is>
          <t>Applied Scientist, Amazon Connect</t>
        </is>
      </c>
      <c r="C69" t="inlineStr">
        <is>
          <t>Amazon Web Services</t>
        </is>
      </c>
      <c r="D69" t="inlineStr">
        <is>
          <t>indeed</t>
        </is>
      </c>
      <c r="E69">
        <f>HYPERLINK("https://www.indeed.com/viewjob?jk=0205bf17e01c46ef", "https://www.indeed.com/viewjob?jk=0205bf17e01c46ef")</f>
        <v/>
      </c>
      <c r="F69">
        <f>HYPERLINK("https://www.amazon.jobs/jobs/3168981/applied-scientist-amazon-connect?cmpid=DA_INAD200785B", "https://www.amazon.jobs/jobs/3168981/applied-scientist-amazon-connect?cmpid=DA_INAD200785B")</f>
        <v/>
      </c>
      <c r="G69" t="inlineStr">
        <is>
          <t>Seattle, WA, US</t>
        </is>
      </c>
      <c r="H69" s="3" t="n">
        <v>46047</v>
      </c>
      <c r="I6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0">
      <c r="A70" t="inlineStr">
        <is>
          <t>in-6e90401c6fbd247d</t>
        </is>
      </c>
      <c r="B70" t="inlineStr">
        <is>
          <t>Applied Scientist, Amazon Connect</t>
        </is>
      </c>
      <c r="C70" t="inlineStr">
        <is>
          <t>Amazon Web Services</t>
        </is>
      </c>
      <c r="D70" t="inlineStr">
        <is>
          <t>indeed</t>
        </is>
      </c>
      <c r="E70">
        <f>HYPERLINK("https://www.indeed.com/viewjob?jk=6e90401c6fbd247d", "https://www.indeed.com/viewjob?jk=6e90401c6fbd247d")</f>
        <v/>
      </c>
      <c r="F70">
        <f>HYPERLINK("https://www.amazon.jobs/jobs/3168981/applied-scientist-amazon-connect?cmpid=DA_INAD200785B", "https://www.amazon.jobs/jobs/3168981/applied-scientist-amazon-connect?cmpid=DA_INAD200785B")</f>
        <v/>
      </c>
      <c r="G70" t="inlineStr">
        <is>
          <t>New York, NY, US</t>
        </is>
      </c>
      <c r="H70" s="3" t="n">
        <v>46047</v>
      </c>
      <c r="I7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1">
      <c r="A71" t="inlineStr">
        <is>
          <t>in-36ef9e88112f0d69</t>
        </is>
      </c>
      <c r="B71" t="inlineStr">
        <is>
          <t>Applied Scientist II, Prime Video Personalization and Discovery Science</t>
        </is>
      </c>
      <c r="C71" t="inlineStr">
        <is>
          <t>Amazon.com</t>
        </is>
      </c>
      <c r="D71" t="inlineStr">
        <is>
          <t>indeed</t>
        </is>
      </c>
      <c r="E71">
        <f>HYPERLINK("https://www.indeed.com/viewjob?jk=36ef9e88112f0d69", "https://www.indeed.com/viewjob?jk=36ef9e88112f0d69")</f>
        <v/>
      </c>
      <c r="F71">
        <f>HYPERLINK("https://www.amazon.jobs/jobs/3168905/applied-scientist-ii-prime-video-personalization-and-discovery-science?cmpid=DA_INAD200785B", "https://www.amazon.jobs/jobs/3168905/applied-scientist-ii-prime-video-personalization-and-discovery-science?cmpid=DA_INAD200785B")</f>
        <v/>
      </c>
      <c r="G71" t="inlineStr">
        <is>
          <t>Sunnyvale, CA, US</t>
        </is>
      </c>
      <c r="H71" s="3" t="n">
        <v>46047</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2">
      <c r="A72" t="inlineStr">
        <is>
          <t>in-c27da14d92478bf0</t>
        </is>
      </c>
      <c r="B72" t="inlineStr">
        <is>
          <t>Sr. Applied Scientist, Amazon Connect</t>
        </is>
      </c>
      <c r="C72" t="inlineStr">
        <is>
          <t>Amazon Web Services</t>
        </is>
      </c>
      <c r="D72" t="inlineStr">
        <is>
          <t>indeed</t>
        </is>
      </c>
      <c r="E72">
        <f>HYPERLINK("https://www.indeed.com/viewjob?jk=c27da14d92478bf0", "https://www.indeed.com/viewjob?jk=c27da14d92478bf0")</f>
        <v/>
      </c>
      <c r="F72">
        <f>HYPERLINK("https://www.amazon.jobs/jobs/3168991/sr-applied-scientist-amazon-connect?cmpid=DA_INAD200785B", "https://www.amazon.jobs/jobs/3168991/sr-applied-scientist-amazon-connect?cmpid=DA_INAD200785B")</f>
        <v/>
      </c>
      <c r="G72" t="inlineStr">
        <is>
          <t>New York, NY, US</t>
        </is>
      </c>
      <c r="H72" s="3" t="n">
        <v>46047</v>
      </c>
      <c r="I7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3">
      <c r="A73" t="inlineStr">
        <is>
          <t>in-17e56d1c12fb9027</t>
        </is>
      </c>
      <c r="B73" t="inlineStr">
        <is>
          <t>Sr. Applied Scientist, Amazon Connect</t>
        </is>
      </c>
      <c r="C73" t="inlineStr">
        <is>
          <t>Amazon Web Services</t>
        </is>
      </c>
      <c r="D73" t="inlineStr">
        <is>
          <t>indeed</t>
        </is>
      </c>
      <c r="E73">
        <f>HYPERLINK("https://www.indeed.com/viewjob?jk=17e56d1c12fb9027", "https://www.indeed.com/viewjob?jk=17e56d1c12fb9027")</f>
        <v/>
      </c>
      <c r="F73">
        <f>HYPERLINK("https://www.amazon.jobs/jobs/3168991/sr-applied-scientist-amazon-connect?cmpid=DA_INAD200785B", "https://www.amazon.jobs/jobs/3168991/sr-applied-scientist-amazon-connect?cmpid=DA_INAD200785B")</f>
        <v/>
      </c>
      <c r="G73" t="inlineStr">
        <is>
          <t>Seattle, WA, US</t>
        </is>
      </c>
      <c r="H73" s="3" t="n">
        <v>46047</v>
      </c>
      <c r="I7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4">
      <c r="A74" t="inlineStr">
        <is>
          <t>in-e22e5848f80c5971</t>
        </is>
      </c>
      <c r="B74" t="inlineStr">
        <is>
          <t>Machine Learning Engineer, WWPS ProServe Data and Machine Learning</t>
        </is>
      </c>
      <c r="C74" t="inlineStr">
        <is>
          <t>Amazon Web Services</t>
        </is>
      </c>
      <c r="D74" t="inlineStr">
        <is>
          <t>indeed</t>
        </is>
      </c>
      <c r="E74">
        <f>HYPERLINK("https://www.indeed.com/viewjob?jk=e22e5848f80c5971", "https://www.indeed.com/viewjob?jk=e22e5848f80c5971")</f>
        <v/>
      </c>
      <c r="F74">
        <f>HYPERLINK("https://www.amazon.jobs/jobs/3168180/machine-learning-engineer-wwps-proserve-data-and-machine-learning?cmpid=DA_INAD200785B", "https://www.amazon.jobs/jobs/3168180/machine-learning-engineer-wwps-proserve-data-and-machine-learning?cmpid=DA_INAD200785B")</f>
        <v/>
      </c>
      <c r="G74" t="inlineStr">
        <is>
          <t>Arlington, VA, US</t>
        </is>
      </c>
      <c r="H74" s="3" t="n">
        <v>46043</v>
      </c>
      <c r="I7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75">
      <c r="A75" t="inlineStr">
        <is>
          <t>in-6d427dde60f51ac7</t>
        </is>
      </c>
      <c r="B75" t="inlineStr">
        <is>
          <t>Machine Learning Engineer, WWPS ProServe Data and Machine Learning</t>
        </is>
      </c>
      <c r="C75" t="inlineStr">
        <is>
          <t>Amazon Web Services</t>
        </is>
      </c>
      <c r="D75" t="inlineStr">
        <is>
          <t>indeed</t>
        </is>
      </c>
      <c r="E75">
        <f>HYPERLINK("https://www.indeed.com/viewjob?jk=6d427dde60f51ac7", "https://www.indeed.com/viewjob?jk=6d427dde60f51ac7")</f>
        <v/>
      </c>
      <c r="F75">
        <f>HYPERLINK("https://www.amazon.jobs/jobs/3168180/machine-learning-engineer-wwps-proserve-data-and-machine-learning?cmpid=DA_INAD200785B", "https://www.amazon.jobs/jobs/3168180/machine-learning-engineer-wwps-proserve-data-and-machine-learning?cmpid=DA_INAD200785B")</f>
        <v/>
      </c>
      <c r="G75" t="inlineStr">
        <is>
          <t>Herndon, VA, US</t>
        </is>
      </c>
      <c r="H75" s="3" t="n">
        <v>46043</v>
      </c>
      <c r="I7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76">
      <c r="A76" t="inlineStr">
        <is>
          <t>in-4936a7bdc2c382d2</t>
        </is>
      </c>
      <c r="B76" t="inlineStr">
        <is>
          <t>Applied Scientist, Safety ML</t>
        </is>
      </c>
      <c r="C76" t="inlineStr">
        <is>
          <t>Amazon.com</t>
        </is>
      </c>
      <c r="D76" t="inlineStr">
        <is>
          <t>indeed</t>
        </is>
      </c>
      <c r="E76">
        <f>HYPERLINK("https://www.indeed.com/viewjob?jk=4936a7bdc2c382d2", "https://www.indeed.com/viewjob?jk=4936a7bdc2c382d2")</f>
        <v/>
      </c>
      <c r="F76">
        <f>HYPERLINK("https://www.amazon.jobs/jobs/3161224/applied-scientist-safety-ml?cmpid=DA_INAD200785B", "https://www.amazon.jobs/jobs/3161224/applied-scientist-safety-ml?cmpid=DA_INAD200785B")</f>
        <v/>
      </c>
      <c r="G76" t="inlineStr">
        <is>
          <t>San Francisco, CA, US</t>
        </is>
      </c>
      <c r="H76" s="3" t="n">
        <v>46037</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77">
      <c r="A77" t="inlineStr">
        <is>
          <t>in-61155fe488e260e4</t>
        </is>
      </c>
      <c r="B77" t="inlineStr">
        <is>
          <t>Applied Scientist, Safety ML</t>
        </is>
      </c>
      <c r="C77" t="inlineStr">
        <is>
          <t>Amazon.com</t>
        </is>
      </c>
      <c r="D77" t="inlineStr">
        <is>
          <t>indeed</t>
        </is>
      </c>
      <c r="E77">
        <f>HYPERLINK("https://www.indeed.com/viewjob?jk=61155fe488e260e4", "https://www.indeed.com/viewjob?jk=61155fe488e260e4")</f>
        <v/>
      </c>
      <c r="F77">
        <f>HYPERLINK("https://www.amazon.jobs/jobs/3161224/applied-scientist-safety-ml?cmpid=DA_INAD200785B", "https://www.amazon.jobs/jobs/3161224/applied-scientist-safety-ml?cmpid=DA_INAD200785B")</f>
        <v/>
      </c>
      <c r="G77" t="inlineStr">
        <is>
          <t>Seattle, WA, US</t>
        </is>
      </c>
      <c r="H77" s="3" t="n">
        <v>46037</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78">
      <c r="A78" t="inlineStr">
        <is>
          <t>in-e42dca8ece8d909d</t>
        </is>
      </c>
      <c r="B78" t="inlineStr">
        <is>
          <t>Applied Scientist, LLM Code Agents, Kiro Science</t>
        </is>
      </c>
      <c r="C78" t="inlineStr">
        <is>
          <t>Amazon.com</t>
        </is>
      </c>
      <c r="D78" t="inlineStr">
        <is>
          <t>indeed</t>
        </is>
      </c>
      <c r="E78">
        <f>HYPERLINK("https://www.indeed.com/viewjob?jk=e42dca8ece8d909d", "https://www.indeed.com/viewjob?jk=e42dca8ece8d909d")</f>
        <v/>
      </c>
      <c r="F78">
        <f>HYPERLINK("https://www.amazon.jobs/jobs/3161363/applied-scientist-llm-code-agents-kiro-science?cmpid=DA_INAD200785B", "https://www.amazon.jobs/jobs/3161363/applied-scientist-llm-code-agents-kiro-science?cmpid=DA_INAD200785B")</f>
        <v/>
      </c>
      <c r="G78" t="inlineStr">
        <is>
          <t>Seattle, WA, US</t>
        </is>
      </c>
      <c r="H78" s="3" t="n">
        <v>46035</v>
      </c>
      <c r="I7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79">
      <c r="A79" t="inlineStr">
        <is>
          <t>in-9f4bddaf51ea988e</t>
        </is>
      </c>
      <c r="B79" t="inlineStr">
        <is>
          <t>Applied Scientist, LLM Code Agents, Kiro Science</t>
        </is>
      </c>
      <c r="C79" t="inlineStr">
        <is>
          <t>Amazon.com</t>
        </is>
      </c>
      <c r="D79" t="inlineStr">
        <is>
          <t>indeed</t>
        </is>
      </c>
      <c r="E79">
        <f>HYPERLINK("https://www.indeed.com/viewjob?jk=9f4bddaf51ea988e", "https://www.indeed.com/viewjob?jk=9f4bddaf51ea988e")</f>
        <v/>
      </c>
      <c r="F79">
        <f>HYPERLINK("https://www.amazon.jobs/jobs/3161363/applied-scientist-llm-code-agents-kiro-science?cmpid=DA_INAD200785B", "https://www.amazon.jobs/jobs/3161363/applied-scientist-llm-code-agents-kiro-science?cmpid=DA_INAD200785B")</f>
        <v/>
      </c>
      <c r="G79" t="inlineStr">
        <is>
          <t>Santa Clara, CA, US</t>
        </is>
      </c>
      <c r="H79" s="3" t="n">
        <v>46035</v>
      </c>
      <c r="I7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80">
      <c r="A80" t="inlineStr">
        <is>
          <t>in-fb0881b233a39bd9</t>
        </is>
      </c>
      <c r="B80" t="inlineStr">
        <is>
          <t>Applied Scientist II, Prime Video Personalization and Discovery Science</t>
        </is>
      </c>
      <c r="C80" t="inlineStr">
        <is>
          <t>Amazon.com</t>
        </is>
      </c>
      <c r="D80" t="inlineStr">
        <is>
          <t>indeed</t>
        </is>
      </c>
      <c r="E80">
        <f>HYPERLINK("https://www.indeed.com/viewjob?jk=fb0881b233a39bd9", "https://www.indeed.com/viewjob?jk=fb0881b233a39bd9")</f>
        <v/>
      </c>
      <c r="F80">
        <f>HYPERLINK("https://www.amazon.jobs/jobs/3165157/applied-scientist-ii-prime-video-personalization-and-discovery-science?cmpid=DA_INAD200785B", "https://www.amazon.jobs/jobs/3165157/applied-scientist-ii-prime-video-personalization-and-discovery-science?cmpid=DA_INAD200785B")</f>
        <v/>
      </c>
      <c r="G80" t="inlineStr">
        <is>
          <t>Sunnyvale, CA, US</t>
        </is>
      </c>
      <c r="H80" s="3" t="n">
        <v>46034</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1">
      <c r="A81" t="inlineStr">
        <is>
          <t>in-9e88232a94bad983</t>
        </is>
      </c>
      <c r="B81" t="inlineStr">
        <is>
          <t>Applied Scientist II, Prime Video Personalization and Discovery Science</t>
        </is>
      </c>
      <c r="C81" t="inlineStr">
        <is>
          <t>Amazon.com</t>
        </is>
      </c>
      <c r="D81" t="inlineStr">
        <is>
          <t>indeed</t>
        </is>
      </c>
      <c r="E81">
        <f>HYPERLINK("https://www.indeed.com/viewjob?jk=9e88232a94bad983", "https://www.indeed.com/viewjob?jk=9e88232a94bad983")</f>
        <v/>
      </c>
      <c r="F81">
        <f>HYPERLINK("https://www.amazon.jobs/jobs/3165157/applied-scientist-ii-prime-video-personalization-and-discovery-science?cmpid=DA_INAD200785B", "https://www.amazon.jobs/jobs/3165157/applied-scientist-ii-prime-video-personalization-and-discovery-science?cmpid=DA_INAD200785B")</f>
        <v/>
      </c>
      <c r="G81" t="inlineStr">
        <is>
          <t>Seattle, WA, US</t>
        </is>
      </c>
      <c r="H81" s="3" t="n">
        <v>46034</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2">
      <c r="A82" t="inlineStr">
        <is>
          <t>in-133ee3ccaba005d8</t>
        </is>
      </c>
      <c r="B82" t="inlineStr">
        <is>
          <t>Applied Scientist, Alexa Smart Home</t>
        </is>
      </c>
      <c r="C82" t="inlineStr">
        <is>
          <t>Amazon.com</t>
        </is>
      </c>
      <c r="D82" t="inlineStr">
        <is>
          <t>indeed</t>
        </is>
      </c>
      <c r="E82">
        <f>HYPERLINK("https://www.indeed.com/viewjob?jk=133ee3ccaba005d8", "https://www.indeed.com/viewjob?jk=133ee3ccaba005d8")</f>
        <v/>
      </c>
      <c r="F82">
        <f>HYPERLINK("https://www.amazon.jobs/jobs/3169205/applied-scientist-alexa-smart-home?cmpid=DA_INAD200785B", "https://www.amazon.jobs/jobs/3169205/applied-scientist-alexa-smart-home?cmpid=DA_INAD200785B")</f>
        <v/>
      </c>
      <c r="G82" t="inlineStr">
        <is>
          <t>Sunnyvale, CA, US</t>
        </is>
      </c>
      <c r="H82" s="3" t="n">
        <v>46033</v>
      </c>
      <c r="I8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3">
      <c r="A83" t="inlineStr">
        <is>
          <t>in-fe586957bb8552b0</t>
        </is>
      </c>
      <c r="B83" t="inlineStr">
        <is>
          <t>Applied Scientist, Alexa Smart Home</t>
        </is>
      </c>
      <c r="C83" t="inlineStr">
        <is>
          <t>Amazon.com</t>
        </is>
      </c>
      <c r="D83" t="inlineStr">
        <is>
          <t>indeed</t>
        </is>
      </c>
      <c r="E83">
        <f>HYPERLINK("https://www.indeed.com/viewjob?jk=fe586957bb8552b0", "https://www.indeed.com/viewjob?jk=fe586957bb8552b0")</f>
        <v/>
      </c>
      <c r="F83">
        <f>HYPERLINK("https://www.amazon.jobs/jobs/3169205/applied-scientist-alexa-smart-home?cmpid=DA_INAD200785B", "https://www.amazon.jobs/jobs/3169205/applied-scientist-alexa-smart-home?cmpid=DA_INAD200785B")</f>
        <v/>
      </c>
      <c r="G83" t="inlineStr">
        <is>
          <t>Seattle, WA, US</t>
        </is>
      </c>
      <c r="H83" s="3" t="n">
        <v>46033</v>
      </c>
      <c r="I8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4">
      <c r="A84" t="inlineStr">
        <is>
          <t>in-a5b196805c3a5ce4</t>
        </is>
      </c>
      <c r="B84" t="inlineStr">
        <is>
          <t>Sr Applied Scientist, AWS Proactive Security</t>
        </is>
      </c>
      <c r="C84" t="inlineStr">
        <is>
          <t>Amazon.com</t>
        </is>
      </c>
      <c r="D84" t="inlineStr">
        <is>
          <t>indeed</t>
        </is>
      </c>
      <c r="E84">
        <f>HYPERLINK("https://www.indeed.com/viewjob?jk=a5b196805c3a5ce4", "https://www.indeed.com/viewjob?jk=a5b196805c3a5ce4")</f>
        <v/>
      </c>
      <c r="F84">
        <f>HYPERLINK("https://www.amazon.jobs/jobs/3164664/sr-applied-scientist-aws-proactive-security?cmpid=DA_INAD200785B", "https://www.amazon.jobs/jobs/3164664/sr-applied-scientist-aws-proactive-security?cmpid=DA_INAD200785B")</f>
        <v/>
      </c>
      <c r="G84" t="inlineStr">
        <is>
          <t>Herndon, VA, US</t>
        </is>
      </c>
      <c r="H84" s="3" t="n">
        <v>46030</v>
      </c>
      <c r="I8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85">
      <c r="A85" t="inlineStr">
        <is>
          <t>in-bd21bbeba520fc70</t>
        </is>
      </c>
      <c r="B85" t="inlineStr">
        <is>
          <t>Sr Applied Scientist, AWS Proactive Security</t>
        </is>
      </c>
      <c r="C85" t="inlineStr">
        <is>
          <t>Amazon.com</t>
        </is>
      </c>
      <c r="D85" t="inlineStr">
        <is>
          <t>indeed</t>
        </is>
      </c>
      <c r="E85">
        <f>HYPERLINK("https://www.indeed.com/viewjob?jk=bd21bbeba520fc70", "https://www.indeed.com/viewjob?jk=bd21bbeba520fc70")</f>
        <v/>
      </c>
      <c r="F85">
        <f>HYPERLINK("https://www.amazon.jobs/jobs/3164664/sr-applied-scientist-aws-proactive-security?cmpid=DA_INAD200785B", "https://www.amazon.jobs/jobs/3164664/sr-applied-scientist-aws-proactive-security?cmpid=DA_INAD200785B")</f>
        <v/>
      </c>
      <c r="G85" t="inlineStr">
        <is>
          <t>Arlington, VA, US</t>
        </is>
      </c>
      <c r="H85" s="3" t="n">
        <v>46030</v>
      </c>
      <c r="I8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86">
      <c r="A86" t="inlineStr">
        <is>
          <t>in-1a7ee1e1fba46d75</t>
        </is>
      </c>
      <c r="B86" t="inlineStr">
        <is>
          <t>Sr Applied Scientist, AWS Proactive Security</t>
        </is>
      </c>
      <c r="C86" t="inlineStr">
        <is>
          <t>Amazon.com</t>
        </is>
      </c>
      <c r="D86" t="inlineStr">
        <is>
          <t>indeed</t>
        </is>
      </c>
      <c r="E86">
        <f>HYPERLINK("https://www.indeed.com/viewjob?jk=1a7ee1e1fba46d75", "https://www.indeed.com/viewjob?jk=1a7ee1e1fba46d75")</f>
        <v/>
      </c>
      <c r="F86">
        <f>HYPERLINK("https://www.amazon.jobs/jobs/3164664/sr-applied-scientist-aws-proactive-security?cmpid=DA_INAD200785B", "https://www.amazon.jobs/jobs/3164664/sr-applied-scientist-aws-proactive-security?cmpid=DA_INAD200785B")</f>
        <v/>
      </c>
      <c r="G86" t="inlineStr">
        <is>
          <t>Sunnyvale, CA, US</t>
        </is>
      </c>
      <c r="H86" s="3" t="n">
        <v>46030</v>
      </c>
      <c r="I8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87">
      <c r="A87" t="inlineStr">
        <is>
          <t>in-8d89f3c94f7e5fd0</t>
        </is>
      </c>
      <c r="B87" t="inlineStr">
        <is>
          <t>Applied Scientist, AWS Applied AI Solutions</t>
        </is>
      </c>
      <c r="C87" t="inlineStr">
        <is>
          <t>Amazon Web Services</t>
        </is>
      </c>
      <c r="D87" t="inlineStr">
        <is>
          <t>indeed</t>
        </is>
      </c>
      <c r="E87">
        <f>HYPERLINK("https://www.indeed.com/viewjob?jk=8d89f3c94f7e5fd0", "https://www.indeed.com/viewjob?jk=8d89f3c94f7e5fd0")</f>
        <v/>
      </c>
      <c r="F87">
        <f>HYPERLINK("https://www.amazon.jobs/jobs/3166907/applied-scientist-aws-applied-ai-solutions?cmpid=DA_INAD200785B", "https://www.amazon.jobs/jobs/3166907/applied-scientist-aws-applied-ai-solutions?cmpid=DA_INAD200785B")</f>
        <v/>
      </c>
      <c r="G87" t="inlineStr">
        <is>
          <t>New York, NY, US</t>
        </is>
      </c>
      <c r="H87" s="3" t="n">
        <v>46030</v>
      </c>
      <c r="I8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8">
      <c r="A88" t="inlineStr">
        <is>
          <t>in-5aaac31327849251</t>
        </is>
      </c>
      <c r="B88" t="inlineStr">
        <is>
          <t>Applied Scientist, AWS Applied AI Solutions</t>
        </is>
      </c>
      <c r="C88" t="inlineStr">
        <is>
          <t>Amazon Web Services</t>
        </is>
      </c>
      <c r="D88" t="inlineStr">
        <is>
          <t>indeed</t>
        </is>
      </c>
      <c r="E88">
        <f>HYPERLINK("https://www.indeed.com/viewjob?jk=5aaac31327849251", "https://www.indeed.com/viewjob?jk=5aaac31327849251")</f>
        <v/>
      </c>
      <c r="F88">
        <f>HYPERLINK("https://www.amazon.jobs/jobs/3166907/applied-scientist-aws-applied-ai-solutions?cmpid=DA_INAD200785B", "https://www.amazon.jobs/jobs/3166907/applied-scientist-aws-applied-ai-solutions?cmpid=DA_INAD200785B")</f>
        <v/>
      </c>
      <c r="G88" t="inlineStr">
        <is>
          <t>Seattle, WA, US</t>
        </is>
      </c>
      <c r="H88" s="3" t="n">
        <v>46030</v>
      </c>
      <c r="I8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9">
      <c r="A89" t="inlineStr">
        <is>
          <t>in-3d991a8e4991834a</t>
        </is>
      </c>
      <c r="B89" t="inlineStr">
        <is>
          <t>Applied Scientist, Last Mile Delivery Automation</t>
        </is>
      </c>
      <c r="C89" t="inlineStr">
        <is>
          <t>Amazon.com</t>
        </is>
      </c>
      <c r="D89" t="inlineStr">
        <is>
          <t>indeed</t>
        </is>
      </c>
      <c r="E89">
        <f>HYPERLINK("https://www.indeed.com/viewjob?jk=3d991a8e4991834a", "https://www.indeed.com/viewjob?jk=3d991a8e4991834a")</f>
        <v/>
      </c>
      <c r="F89">
        <f>HYPERLINK("https://www.amazon.jobs/jobs/3155354/applied-scientist-last-mile-delivery-automation?cmpid=DA_INAD200785B", "https://www.amazon.jobs/jobs/3155354/applied-scientist-last-mile-delivery-automation?cmpid=DA_INAD200785B")</f>
        <v/>
      </c>
      <c r="G89" t="inlineStr">
        <is>
          <t>Santa Clara, CA, US</t>
        </is>
      </c>
      <c r="H89" s="3" t="n">
        <v>46026</v>
      </c>
      <c r="I8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in-9064f9a27993a116</t>
        </is>
      </c>
      <c r="B90" t="inlineStr">
        <is>
          <t>Applied Scientist, Last Mile Delivery Automation</t>
        </is>
      </c>
      <c r="C90" t="inlineStr">
        <is>
          <t>Amazon.com</t>
        </is>
      </c>
      <c r="D90" t="inlineStr">
        <is>
          <t>indeed</t>
        </is>
      </c>
      <c r="E90">
        <f>HYPERLINK("https://www.indeed.com/viewjob?jk=9064f9a27993a116", "https://www.indeed.com/viewjob?jk=9064f9a27993a116")</f>
        <v/>
      </c>
      <c r="F90">
        <f>HYPERLINK("https://www.amazon.jobs/jobs/3155354/applied-scientist-last-mile-delivery-automation?cmpid=DA_INAD200785B", "https://www.amazon.jobs/jobs/3155354/applied-scientist-last-mile-delivery-automation?cmpid=DA_INAD200785B")</f>
        <v/>
      </c>
      <c r="G90" t="inlineStr">
        <is>
          <t>Bellevue, WA, US</t>
        </is>
      </c>
      <c r="H90" s="3" t="n">
        <v>46026</v>
      </c>
      <c r="I9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in-433bbe37f4fbd44b</t>
        </is>
      </c>
      <c r="B91" t="inlineStr">
        <is>
          <t>Senior Applied Scientist, Sponsored Products and Brands, Off-Search</t>
        </is>
      </c>
      <c r="C91" t="inlineStr">
        <is>
          <t>Amazon.com</t>
        </is>
      </c>
      <c r="D91" t="inlineStr">
        <is>
          <t>indeed</t>
        </is>
      </c>
      <c r="E91">
        <f>HYPERLINK("https://www.indeed.com/viewjob?jk=433bbe37f4fbd44b", "https://www.indeed.com/viewjob?jk=433bbe37f4fbd44b")</f>
        <v/>
      </c>
      <c r="F91">
        <f>HYPERLINK("https://www.amazon.jobs/jobs/3153569/senior-applied-scientist-sponsored-products-and-brands-offsearch?cmpid=DA_INAD200785B", "https://www.amazon.jobs/jobs/3153569/senior-applied-scientist-sponsored-products-and-brands-offsearch?cmpid=DA_INAD200785B")</f>
        <v/>
      </c>
      <c r="G91" t="inlineStr">
        <is>
          <t>Palo Alto, CA, US</t>
        </is>
      </c>
      <c r="H91" s="3" t="n">
        <v>46017</v>
      </c>
      <c r="I9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in-f639123dd39f7637</t>
        </is>
      </c>
      <c r="B92" t="inlineStr">
        <is>
          <t>Senior Applied Scientist, Sponsored Products and Brands, Off-Search</t>
        </is>
      </c>
      <c r="C92" t="inlineStr">
        <is>
          <t>Amazon.com</t>
        </is>
      </c>
      <c r="D92" t="inlineStr">
        <is>
          <t>indeed</t>
        </is>
      </c>
      <c r="E92">
        <f>HYPERLINK("https://www.indeed.com/viewjob?jk=f639123dd39f7637", "https://www.indeed.com/viewjob?jk=f639123dd39f7637")</f>
        <v/>
      </c>
      <c r="F92">
        <f>HYPERLINK("https://www.amazon.jobs/jobs/3153569/senior-applied-scientist-sponsored-products-and-brands-offsearch?cmpid=DA_INAD200785B", "https://www.amazon.jobs/jobs/3153569/senior-applied-scientist-sponsored-products-and-brands-offsearch?cmpid=DA_INAD200785B")</f>
        <v/>
      </c>
      <c r="G92" t="inlineStr">
        <is>
          <t>New York, NY, US</t>
        </is>
      </c>
      <c r="H92" s="3" t="n">
        <v>46017</v>
      </c>
      <c r="I9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in-47eee3e17cc9eafc</t>
        </is>
      </c>
      <c r="B93" t="inlineStr">
        <is>
          <t>Senior Applied Scientist, Sponsored Products and Brands, Off-Search</t>
        </is>
      </c>
      <c r="C93" t="inlineStr">
        <is>
          <t>Amazon.com</t>
        </is>
      </c>
      <c r="D93" t="inlineStr">
        <is>
          <t>indeed</t>
        </is>
      </c>
      <c r="E93">
        <f>HYPERLINK("https://www.indeed.com/viewjob?jk=47eee3e17cc9eafc", "https://www.indeed.com/viewjob?jk=47eee3e17cc9eafc")</f>
        <v/>
      </c>
      <c r="F93">
        <f>HYPERLINK("https://www.amazon.jobs/jobs/3153569/senior-applied-scientist-sponsored-products-and-brands-offsearch?cmpid=DA_INAD200785B", "https://www.amazon.jobs/jobs/3153569/senior-applied-scientist-sponsored-products-and-brands-offsearch?cmpid=DA_INAD200785B")</f>
        <v/>
      </c>
      <c r="G93" t="inlineStr">
        <is>
          <t>Seattle, WA, US</t>
        </is>
      </c>
      <c r="H93" s="3" t="n">
        <v>46017</v>
      </c>
      <c r="I9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in-94ca1e10701fd33e</t>
        </is>
      </c>
      <c r="B94" t="inlineStr">
        <is>
          <t>Applied Scientist II, Prime Video - Personalization and Discovery Science</t>
        </is>
      </c>
      <c r="C94" t="inlineStr">
        <is>
          <t>Amazon.com</t>
        </is>
      </c>
      <c r="D94" t="inlineStr">
        <is>
          <t>indeed</t>
        </is>
      </c>
      <c r="E94">
        <f>HYPERLINK("https://www.indeed.com/viewjob?jk=94ca1e10701fd33e", "https://www.indeed.com/viewjob?jk=94ca1e10701fd33e")</f>
        <v/>
      </c>
      <c r="F94">
        <f>HYPERLINK("https://www.amazon.jobs/jobs/3154128/applied-scientist-ii-prime-video--personalization-and-discovery-science?cmpid=DA_INAD200785B", "https://www.amazon.jobs/jobs/3154128/applied-scientist-ii-prime-video--personalization-and-discovery-science?cmpid=DA_INAD200785B")</f>
        <v/>
      </c>
      <c r="G94" t="inlineStr">
        <is>
          <t>Sunnyvale, CA, US</t>
        </is>
      </c>
      <c r="H94" s="3" t="n">
        <v>46012</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5">
      <c r="A95" t="inlineStr">
        <is>
          <t>in-8cdb7ea16437cadd</t>
        </is>
      </c>
      <c r="B95" t="inlineStr">
        <is>
          <t>Applied Scientist II, Prime Video - Personalization and Discovery Science</t>
        </is>
      </c>
      <c r="C95" t="inlineStr">
        <is>
          <t>Amazon.com</t>
        </is>
      </c>
      <c r="D95" t="inlineStr">
        <is>
          <t>indeed</t>
        </is>
      </c>
      <c r="E95">
        <f>HYPERLINK("https://www.indeed.com/viewjob?jk=8cdb7ea16437cadd", "https://www.indeed.com/viewjob?jk=8cdb7ea16437cadd")</f>
        <v/>
      </c>
      <c r="F95">
        <f>HYPERLINK("https://www.amazon.jobs/jobs/3154128/applied-scientist-ii-prime-video--personalization-and-discovery-science?cmpid=DA_INAD200785B", "https://www.amazon.jobs/jobs/3154128/applied-scientist-ii-prime-video--personalization-and-discovery-science?cmpid=DA_INAD200785B")</f>
        <v/>
      </c>
      <c r="G95" t="inlineStr">
        <is>
          <t>Seattle, WA, US</t>
        </is>
      </c>
      <c r="H95" s="3" t="n">
        <v>46012</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6">
      <c r="A96" t="inlineStr">
        <is>
          <t>in-ee12748afd9ce309</t>
        </is>
      </c>
      <c r="B96" t="inlineStr">
        <is>
          <t>Applied Scientist, Delivery Foundation Model</t>
        </is>
      </c>
      <c r="C96" t="inlineStr">
        <is>
          <t>Amazon.com</t>
        </is>
      </c>
      <c r="D96" t="inlineStr">
        <is>
          <t>indeed</t>
        </is>
      </c>
      <c r="E96">
        <f>HYPERLINK("https://www.indeed.com/viewjob?jk=ee12748afd9ce309", "https://www.indeed.com/viewjob?jk=ee12748afd9ce309")</f>
        <v/>
      </c>
      <c r="F96">
        <f>HYPERLINK("https://www.amazon.jobs/jobs/3169077/applied-scientist-delivery-foundation-model-?cmpid=DA_INAD200785B", "https://www.amazon.jobs/jobs/3169077/applied-scientist-delivery-foundation-model-?cmpid=DA_INAD200785B")</f>
        <v/>
      </c>
      <c r="G96" t="inlineStr">
        <is>
          <t>Santa Clara, CA, US</t>
        </is>
      </c>
      <c r="H96" s="3" t="n">
        <v>46009</v>
      </c>
      <c r="I9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97">
      <c r="A97" t="inlineStr">
        <is>
          <t>in-b0f5d9a6da39c1c6</t>
        </is>
      </c>
      <c r="B97" t="inlineStr">
        <is>
          <t>Applied Scientist, Delivery Foundation Model</t>
        </is>
      </c>
      <c r="C97" t="inlineStr">
        <is>
          <t>Amazon.com</t>
        </is>
      </c>
      <c r="D97" t="inlineStr">
        <is>
          <t>indeed</t>
        </is>
      </c>
      <c r="E97">
        <f>HYPERLINK("https://www.indeed.com/viewjob?jk=b0f5d9a6da39c1c6", "https://www.indeed.com/viewjob?jk=b0f5d9a6da39c1c6")</f>
        <v/>
      </c>
      <c r="F97">
        <f>HYPERLINK("https://www.amazon.jobs/jobs/3169077/applied-scientist-delivery-foundation-model-?cmpid=DA_INAD200785B", "https://www.amazon.jobs/jobs/3169077/applied-scientist-delivery-foundation-model-?cmpid=DA_INAD200785B")</f>
        <v/>
      </c>
      <c r="G97" t="inlineStr">
        <is>
          <t>Bellevue, WA, US</t>
        </is>
      </c>
      <c r="H97" s="3" t="n">
        <v>46009</v>
      </c>
      <c r="I9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98">
      <c r="A98" t="inlineStr">
        <is>
          <t>in-6b8c7946878b8b32</t>
        </is>
      </c>
      <c r="B98" t="inlineStr">
        <is>
          <t>Principal Applied Scientist, Kiro Science</t>
        </is>
      </c>
      <c r="C98" t="inlineStr">
        <is>
          <t>Amazon Web Services</t>
        </is>
      </c>
      <c r="D98" t="inlineStr">
        <is>
          <t>indeed</t>
        </is>
      </c>
      <c r="E98">
        <f>HYPERLINK("https://www.indeed.com/viewjob?jk=6b8c7946878b8b32", "https://www.indeed.com/viewjob?jk=6b8c7946878b8b32")</f>
        <v/>
      </c>
      <c r="F98">
        <f>HYPERLINK("https://www.amazon.jobs/jobs/3161064/principal-applied-scientist-kiro-science?cmpid=DA_INAD200785B", "https://www.amazon.jobs/jobs/3161064/principal-applied-scientist-kiro-science?cmpid=DA_INAD200785B")</f>
        <v/>
      </c>
      <c r="G98" t="inlineStr">
        <is>
          <t>New York, NY, US</t>
        </is>
      </c>
      <c r="H98" s="3" t="n">
        <v>45999</v>
      </c>
      <c r="I9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99">
      <c r="A99" t="inlineStr">
        <is>
          <t>in-3e0a70c2265aa5e1</t>
        </is>
      </c>
      <c r="B99" t="inlineStr">
        <is>
          <t>Principal Applied Scientist, Kiro Science</t>
        </is>
      </c>
      <c r="C99" t="inlineStr">
        <is>
          <t>Amazon Web Services</t>
        </is>
      </c>
      <c r="D99" t="inlineStr">
        <is>
          <t>indeed</t>
        </is>
      </c>
      <c r="E99">
        <f>HYPERLINK("https://www.indeed.com/viewjob?jk=3e0a70c2265aa5e1", "https://www.indeed.com/viewjob?jk=3e0a70c2265aa5e1")</f>
        <v/>
      </c>
      <c r="F99">
        <f>HYPERLINK("https://www.amazon.jobs/jobs/3161064/principal-applied-scientist-kiro-science?cmpid=DA_INAD200785B", "https://www.amazon.jobs/jobs/3161064/principal-applied-scientist-kiro-science?cmpid=DA_INAD200785B")</f>
        <v/>
      </c>
      <c r="G99" t="inlineStr">
        <is>
          <t>Santa Clara, CA, US</t>
        </is>
      </c>
      <c r="H99" s="3" t="n">
        <v>45999</v>
      </c>
      <c r="I9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00">
      <c r="A100" t="inlineStr">
        <is>
          <t>in-63f260b8232d8546</t>
        </is>
      </c>
      <c r="B100" t="inlineStr">
        <is>
          <t>Applied Scientist, Robotic Sensing and Actuation Engineer , Amazon Industrial Robotics</t>
        </is>
      </c>
      <c r="C100" t="inlineStr">
        <is>
          <t>Amazon.com</t>
        </is>
      </c>
      <c r="D100" t="inlineStr">
        <is>
          <t>indeed</t>
        </is>
      </c>
      <c r="E100">
        <f>HYPERLINK("https://www.indeed.com/viewjob?jk=63f260b8232d8546", "https://www.indeed.com/viewjob?jk=63f260b8232d8546")</f>
        <v/>
      </c>
      <c r="F100">
        <f>HYPERLINK("https://www.amazon.jobs/jobs/3132318/applied-scientist-robotic-sensing-and-actuation-engineer---amazon-industrial-robotics?cmpid=DA_INAD200785B", "https://www.amazon.jobs/jobs/3132318/applied-scientist-robotic-sensing-and-actuation-engineer---amazon-industrial-robotics?cmpid=DA_INAD200785B")</f>
        <v/>
      </c>
      <c r="G100" t="inlineStr">
        <is>
          <t>Reading, MA, US</t>
        </is>
      </c>
      <c r="H100" s="3" t="n">
        <v>45984</v>
      </c>
      <c r="I10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sensing and actuation technologies for dexterous manipulation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Master's degree in Mechanical or Electrical Engineering, or 4\+ years of relevant discipline work experience
* Experience with CAD modelling software, such as Solidworks or MATLAB
* Experience applying theoretical models in an applied environment
* Experience in tactile sensing technologies
* Experience in dynamics simulation with physics engine (mujoco, drake, or similar)
* Experience in finger actuation, under\-actuation, active and passive compliance
* Experience in tactile sensing
**PREFERRED QUALIFICATIONS**
----------------------------
* Experience programming in Java, C\+\+, Python or related language
* Experience working effectively across cross\-functional teams and partnering well with people at all levels within an organization
* PhD in Robotics, with focus on mechanical design and robot control
* Experience in tendon\-driven, electrical and series elastic actuators
\- Experience Matlab \- Simulink / Real time workshop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101">
      <c r="A101" t="inlineStr">
        <is>
          <t>in-a4d75c00af7bcabf</t>
        </is>
      </c>
      <c r="B101" t="inlineStr">
        <is>
          <t>Principal Applied Scientist, Sponsored Products and Brands</t>
        </is>
      </c>
      <c r="C101" t="inlineStr">
        <is>
          <t>Amazon.com</t>
        </is>
      </c>
      <c r="D101" t="inlineStr">
        <is>
          <t>indeed</t>
        </is>
      </c>
      <c r="E101">
        <f>HYPERLINK("https://www.indeed.com/viewjob?jk=a4d75c00af7bcabf", "https://www.indeed.com/viewjob?jk=a4d75c00af7bcabf")</f>
        <v/>
      </c>
      <c r="F101">
        <f>HYPERLINK("https://www.amazon.jobs/jobs/3130855/principal-applied-scientist-sponsored-products-and-brands?cmpid=DA_INAD200785B", "https://www.amazon.jobs/jobs/3130855/principal-applied-scientist-sponsored-products-and-brands?cmpid=DA_INAD200785B")</f>
        <v/>
      </c>
      <c r="G101" t="inlineStr">
        <is>
          <t>New York, NY, US</t>
        </is>
      </c>
      <c r="H101" s="3" t="n">
        <v>45979</v>
      </c>
      <c r="I10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in-eff6df143351703a</t>
        </is>
      </c>
      <c r="B102" t="inlineStr">
        <is>
          <t>Principal Applied Scientist, Sponsored Products and Brands</t>
        </is>
      </c>
      <c r="C102" t="inlineStr">
        <is>
          <t>Amazon.com</t>
        </is>
      </c>
      <c r="D102" t="inlineStr">
        <is>
          <t>indeed</t>
        </is>
      </c>
      <c r="E102">
        <f>HYPERLINK("https://www.indeed.com/viewjob?jk=eff6df143351703a", "https://www.indeed.com/viewjob?jk=eff6df143351703a")</f>
        <v/>
      </c>
      <c r="F102">
        <f>HYPERLINK("https://www.amazon.jobs/jobs/3130855/principal-applied-scientist-sponsored-products-and-brands?cmpid=DA_INAD200785B", "https://www.amazon.jobs/jobs/3130855/principal-applied-scientist-sponsored-products-and-brands?cmpid=DA_INAD200785B")</f>
        <v/>
      </c>
      <c r="G102" t="inlineStr">
        <is>
          <t>Seattle, WA, US</t>
        </is>
      </c>
      <c r="H102" s="3" t="n">
        <v>45979</v>
      </c>
      <c r="I10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in-521ec862fd1556ee</t>
        </is>
      </c>
      <c r="B103" t="inlineStr">
        <is>
          <t>Applied Scientist, Personalization, DTx Science</t>
        </is>
      </c>
      <c r="C103" t="inlineStr">
        <is>
          <t>Amazon.com</t>
        </is>
      </c>
      <c r="D103" t="inlineStr">
        <is>
          <t>indeed</t>
        </is>
      </c>
      <c r="E103">
        <f>HYPERLINK("https://www.indeed.com/viewjob?jk=521ec862fd1556ee", "https://www.indeed.com/viewjob?jk=521ec862fd1556ee")</f>
        <v/>
      </c>
      <c r="F103">
        <f>HYPERLINK("https://www.amazon.jobs/jobs/3136853/applied-scientist-personalization-dtx-science?cmpid=DA_INAD200785B", "https://www.amazon.jobs/jobs/3136853/applied-scientist-personalization-dtx-science?cmpid=DA_INAD200785B")</f>
        <v/>
      </c>
      <c r="G103" t="inlineStr">
        <is>
          <t>Seattle, WA, US</t>
        </is>
      </c>
      <c r="H103" s="3" t="n">
        <v>45979</v>
      </c>
      <c r="I10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04">
      <c r="A104" t="inlineStr">
        <is>
          <t>in-afbed178978e2d62</t>
        </is>
      </c>
      <c r="B104" t="inlineStr">
        <is>
          <t>Applied Scientist, Personalization, DTx Science</t>
        </is>
      </c>
      <c r="C104" t="inlineStr">
        <is>
          <t>Amazon.com</t>
        </is>
      </c>
      <c r="D104" t="inlineStr">
        <is>
          <t>indeed</t>
        </is>
      </c>
      <c r="E104">
        <f>HYPERLINK("https://www.indeed.com/viewjob?jk=afbed178978e2d62", "https://www.indeed.com/viewjob?jk=afbed178978e2d62")</f>
        <v/>
      </c>
      <c r="F104">
        <f>HYPERLINK("https://www.amazon.jobs/jobs/3136853/applied-scientist-personalization-dtx-science?cmpid=DA_INAD200785B", "https://www.amazon.jobs/jobs/3136853/applied-scientist-personalization-dtx-science?cmpid=DA_INAD200785B")</f>
        <v/>
      </c>
      <c r="G104" t="inlineStr">
        <is>
          <t>New York, NY, US</t>
        </is>
      </c>
      <c r="H104" s="3" t="n">
        <v>45979</v>
      </c>
      <c r="I10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05">
      <c r="A105" t="inlineStr">
        <is>
          <t>in-ef4b2d77e11aaab2</t>
        </is>
      </c>
      <c r="B105" t="inlineStr">
        <is>
          <t>Senior Applied Scientist, Sponsored Products and Brands</t>
        </is>
      </c>
      <c r="C105" t="inlineStr">
        <is>
          <t>Amazon.com</t>
        </is>
      </c>
      <c r="D105" t="inlineStr">
        <is>
          <t>indeed</t>
        </is>
      </c>
      <c r="E105">
        <f>HYPERLINK("https://www.indeed.com/viewjob?jk=ef4b2d77e11aaab2", "https://www.indeed.com/viewjob?jk=ef4b2d77e11aaab2")</f>
        <v/>
      </c>
      <c r="F105">
        <f>HYPERLINK("https://www.amazon.jobs/jobs/3130062/senior-applied-scientist-sponsored-products-and-brands?cmpid=DA_INAD200785B", "https://www.amazon.jobs/jobs/3130062/senior-applied-scientist-sponsored-products-and-brands?cmpid=DA_INAD200785B")</f>
        <v/>
      </c>
      <c r="G105" t="inlineStr">
        <is>
          <t>New York, NY, US</t>
        </is>
      </c>
      <c r="H105" s="3" t="n">
        <v>45979</v>
      </c>
      <c r="I10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06">
      <c r="A106" t="inlineStr">
        <is>
          <t>in-f9149a995fcf0ffb</t>
        </is>
      </c>
      <c r="B106" t="inlineStr">
        <is>
          <t>Senior Applied Scientist, Sponsored Products and Brands</t>
        </is>
      </c>
      <c r="C106" t="inlineStr">
        <is>
          <t>Amazon.com</t>
        </is>
      </c>
      <c r="D106" t="inlineStr">
        <is>
          <t>indeed</t>
        </is>
      </c>
      <c r="E106">
        <f>HYPERLINK("https://www.indeed.com/viewjob?jk=f9149a995fcf0ffb", "https://www.indeed.com/viewjob?jk=f9149a995fcf0ffb")</f>
        <v/>
      </c>
      <c r="F106">
        <f>HYPERLINK("https://www.amazon.jobs/jobs/3130062/senior-applied-scientist-sponsored-products-and-brands?cmpid=DA_INAD200785B", "https://www.amazon.jobs/jobs/3130062/senior-applied-scientist-sponsored-products-and-brands?cmpid=DA_INAD200785B")</f>
        <v/>
      </c>
      <c r="G106" t="inlineStr">
        <is>
          <t>Seattle, WA, US</t>
        </is>
      </c>
      <c r="H106" s="3" t="n">
        <v>45979</v>
      </c>
      <c r="I10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07">
      <c r="A107" t="inlineStr">
        <is>
          <t>in-7637ce90642c042c</t>
        </is>
      </c>
      <c r="B107" t="inlineStr">
        <is>
          <t>Applied Scientist II, Prime Video Personalization and Discovery Science</t>
        </is>
      </c>
      <c r="C107" t="inlineStr">
        <is>
          <t>Amazon.com</t>
        </is>
      </c>
      <c r="D107" t="inlineStr">
        <is>
          <t>indeed</t>
        </is>
      </c>
      <c r="E107">
        <f>HYPERLINK("https://www.indeed.com/viewjob?jk=7637ce90642c042c", "https://www.indeed.com/viewjob?jk=7637ce90642c042c")</f>
        <v/>
      </c>
      <c r="F107">
        <f>HYPERLINK("https://www.amazon.jobs/jobs/3129475/applied-scientist-ii-prime-video-personalization-and-discovery-science?cmpid=DA_INAD200785B", "https://www.amazon.jobs/jobs/3129475/applied-scientist-ii-prime-video-personalization-and-discovery-science?cmpid=DA_INAD200785B")</f>
        <v/>
      </c>
      <c r="G107" t="inlineStr">
        <is>
          <t>Sunnyvale, CA, US</t>
        </is>
      </c>
      <c r="H107" s="3" t="n">
        <v>45978</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8">
      <c r="A108" t="inlineStr">
        <is>
          <t>in-e91abbb437465dea</t>
        </is>
      </c>
      <c r="B108" t="inlineStr">
        <is>
          <t>Applied Scientist II, Prime Video Personalization and Discovery Science</t>
        </is>
      </c>
      <c r="C108" t="inlineStr">
        <is>
          <t>Amazon.com</t>
        </is>
      </c>
      <c r="D108" t="inlineStr">
        <is>
          <t>indeed</t>
        </is>
      </c>
      <c r="E108">
        <f>HYPERLINK("https://www.indeed.com/viewjob?jk=e91abbb437465dea", "https://www.indeed.com/viewjob?jk=e91abbb437465dea")</f>
        <v/>
      </c>
      <c r="F108">
        <f>HYPERLINK("https://www.amazon.jobs/jobs/3129475/applied-scientist-ii-prime-video-personalization-and-discovery-science?cmpid=DA_INAD200785B", "https://www.amazon.jobs/jobs/3129475/applied-scientist-ii-prime-video-personalization-and-discovery-science?cmpid=DA_INAD200785B")</f>
        <v/>
      </c>
      <c r="G108" t="inlineStr">
        <is>
          <t>Seattle, WA, US</t>
        </is>
      </c>
      <c r="H108" s="3" t="n">
        <v>45978</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9">
      <c r="A109" t="inlineStr">
        <is>
          <t>in-b7b4197294c54de3</t>
        </is>
      </c>
      <c r="B109" t="inlineStr">
        <is>
          <t>Applied Scientist II, Prime Video Personalization and Discovery Science</t>
        </is>
      </c>
      <c r="C109" t="inlineStr">
        <is>
          <t>Amazon.com</t>
        </is>
      </c>
      <c r="D109" t="inlineStr">
        <is>
          <t>indeed</t>
        </is>
      </c>
      <c r="E109">
        <f>HYPERLINK("https://www.indeed.com/viewjob?jk=b7b4197294c54de3", "https://www.indeed.com/viewjob?jk=b7b4197294c54de3")</f>
        <v/>
      </c>
      <c r="F109">
        <f>HYPERLINK("https://www.amazon.jobs/jobs/3129475/applied-scientist-ii-prime-video-personalization-and-discovery-science?cmpid=DA_INAD200785B", "https://www.amazon.jobs/jobs/3129475/applied-scientist-ii-prime-video-personalization-and-discovery-science?cmpid=DA_INAD200785B")</f>
        <v/>
      </c>
      <c r="G109" t="inlineStr">
        <is>
          <t>New York, NY, US</t>
        </is>
      </c>
      <c r="H109" s="3" t="n">
        <v>45978</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0">
      <c r="A110" t="inlineStr">
        <is>
          <t>in-7e1a4cecb033a5c0</t>
        </is>
      </c>
      <c r="B110" t="inlineStr">
        <is>
          <t>Sr. Applied Scientist, Sponsored Products</t>
        </is>
      </c>
      <c r="C110" t="inlineStr">
        <is>
          <t>Amazon.com</t>
        </is>
      </c>
      <c r="D110" t="inlineStr">
        <is>
          <t>indeed</t>
        </is>
      </c>
      <c r="E110">
        <f>HYPERLINK("https://www.indeed.com/viewjob?jk=7e1a4cecb033a5c0", "https://www.indeed.com/viewjob?jk=7e1a4cecb033a5c0")</f>
        <v/>
      </c>
      <c r="F110">
        <f>HYPERLINK("https://www.amazon.jobs/jobs/3136156/sr-applied-scientist-sponsored-products?cmpid=DA_INAD200785B", "https://www.amazon.jobs/jobs/3136156/sr-applied-scientist-sponsored-products?cmpid=DA_INAD200785B")</f>
        <v/>
      </c>
      <c r="G110" t="inlineStr">
        <is>
          <t>New York, NY, US</t>
        </is>
      </c>
      <c r="H110" s="3" t="n">
        <v>45976</v>
      </c>
      <c r="I11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1">
      <c r="A111" t="inlineStr">
        <is>
          <t>in-dc68be7fead19b7e</t>
        </is>
      </c>
      <c r="B111" t="inlineStr">
        <is>
          <t>Sr. Applied Scientist, Sponsored Products</t>
        </is>
      </c>
      <c r="C111" t="inlineStr">
        <is>
          <t>Amazon.com</t>
        </is>
      </c>
      <c r="D111" t="inlineStr">
        <is>
          <t>indeed</t>
        </is>
      </c>
      <c r="E111">
        <f>HYPERLINK("https://www.indeed.com/viewjob?jk=dc68be7fead19b7e", "https://www.indeed.com/viewjob?jk=dc68be7fead19b7e")</f>
        <v/>
      </c>
      <c r="F111">
        <f>HYPERLINK("https://www.amazon.jobs/jobs/3136156/sr-applied-scientist-sponsored-products?cmpid=DA_INAD200785B", "https://www.amazon.jobs/jobs/3136156/sr-applied-scientist-sponsored-products?cmpid=DA_INAD200785B")</f>
        <v/>
      </c>
      <c r="G111" t="inlineStr">
        <is>
          <t>Arlington, VA, US</t>
        </is>
      </c>
      <c r="H111" s="3" t="n">
        <v>45976</v>
      </c>
      <c r="I11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2">
      <c r="A112" t="inlineStr">
        <is>
          <t>in-6eec9ece52c0ddde</t>
        </is>
      </c>
      <c r="B112" t="inlineStr">
        <is>
          <t>Sr. Applied Scientist, Sponsored Products</t>
        </is>
      </c>
      <c r="C112" t="inlineStr">
        <is>
          <t>Amazon.com</t>
        </is>
      </c>
      <c r="D112" t="inlineStr">
        <is>
          <t>indeed</t>
        </is>
      </c>
      <c r="E112">
        <f>HYPERLINK("https://www.indeed.com/viewjob?jk=6eec9ece52c0ddde", "https://www.indeed.com/viewjob?jk=6eec9ece52c0ddde")</f>
        <v/>
      </c>
      <c r="F112">
        <f>HYPERLINK("https://www.amazon.jobs/jobs/3136156/sr-applied-scientist-sponsored-products?cmpid=DA_INAD200785B", "https://www.amazon.jobs/jobs/3136156/sr-applied-scientist-sponsored-products?cmpid=DA_INAD200785B")</f>
        <v/>
      </c>
      <c r="G112" t="inlineStr">
        <is>
          <t>Seattle, WA, US</t>
        </is>
      </c>
      <c r="H112" s="3" t="n">
        <v>45976</v>
      </c>
      <c r="I11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3">
      <c r="A113" t="inlineStr">
        <is>
          <t>in-6c89843d8bb3cdee</t>
        </is>
      </c>
      <c r="B113" t="inlineStr">
        <is>
          <t>Applied Scientist II, Robotics and ML, Amazon Industrial Robotics</t>
        </is>
      </c>
      <c r="C113" t="inlineStr">
        <is>
          <t>Amazon.com</t>
        </is>
      </c>
      <c r="D113" t="inlineStr">
        <is>
          <t>indeed</t>
        </is>
      </c>
      <c r="E113">
        <f>HYPERLINK("https://www.indeed.com/viewjob?jk=6c89843d8bb3cdee", "https://www.indeed.com/viewjob?jk=6c89843d8bb3cdee")</f>
        <v/>
      </c>
      <c r="F113">
        <f>HYPERLINK("https://www.amazon.jobs/jobs/3128219/applied-scientist-ii-robotics-and-ml-amazon-industrial-robotics?cmpid=DA_INAD200785B", "https://www.amazon.jobs/jobs/3128219/applied-scientist-ii-robotics-and-ml-amazon-industrial-robotics?cmpid=DA_INAD200785B")</f>
        <v/>
      </c>
      <c r="G113" t="inlineStr">
        <is>
          <t>Reading, MA, US</t>
        </is>
      </c>
      <c r="H113" s="3" t="n">
        <v>45975</v>
      </c>
      <c r="I11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114">
      <c r="A114" t="inlineStr">
        <is>
          <t>in-6009895e9c03aba1</t>
        </is>
      </c>
      <c r="B114" t="inlineStr">
        <is>
          <t>Applied Scientist II, Amazon Industrial Robotics</t>
        </is>
      </c>
      <c r="C114" t="inlineStr">
        <is>
          <t>Amazon.com</t>
        </is>
      </c>
      <c r="D114" t="inlineStr">
        <is>
          <t>indeed</t>
        </is>
      </c>
      <c r="E114">
        <f>HYPERLINK("https://www.indeed.com/viewjob?jk=6009895e9c03aba1", "https://www.indeed.com/viewjob?jk=6009895e9c03aba1")</f>
        <v/>
      </c>
      <c r="F114">
        <f>HYPERLINK("https://www.amazon.jobs/jobs/3126443/applied-scientist-ii-amazon-industrial-robotics?cmpid=DA_INAD200785B", "https://www.amazon.jobs/jobs/3126443/applied-scientist-ii-amazon-industrial-robotics?cmpid=DA_INAD200785B")</f>
        <v/>
      </c>
      <c r="G114" t="inlineStr">
        <is>
          <t>Reading, MA, US</t>
        </is>
      </c>
      <c r="H114" s="3" t="n">
        <v>45973</v>
      </c>
      <c r="I11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highly dexterous and reliable robotic dexterous hand morphologies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PhD, or Master's degree and 4\+ years of CS, CE, ML or related field experience
* Experience using one or more of the following technologies (e.g., AutoCAD, Rhino, Revit, SolidWorks, CREO, SketchUp, KeyShot, etc.) to deliver high quality models and designs
* Experience applying theoretical models in an applied environment
* Experience in finger actuation, under\-actuation, active and passive compliance
* Experience in tactile sensing
**PREFERRED QUALIFICATIONS**
----------------------------
* Experience programming in Java, C\+\+, Python or related language
* Experience with at least one of the following: Matlab, R, Python, Stata
* Experience working effectively across cross\-functional teams and partnering well with people at all levels within an organization
* PhD in Robotics, with focus on mechanical design and robot control
* Experience in tendon\-driven, electrical and series elastic actuators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115">
      <c r="A115" t="inlineStr">
        <is>
          <t>in-a9de4e95257e0c02</t>
        </is>
      </c>
      <c r="B115" t="inlineStr">
        <is>
          <t>Applied Scientist, Sponsored Products and Brands</t>
        </is>
      </c>
      <c r="C115" t="inlineStr">
        <is>
          <t>Amazon.com</t>
        </is>
      </c>
      <c r="D115" t="inlineStr">
        <is>
          <t>indeed</t>
        </is>
      </c>
      <c r="E115">
        <f>HYPERLINK("https://www.indeed.com/viewjob?jk=a9de4e95257e0c02", "https://www.indeed.com/viewjob?jk=a9de4e95257e0c02")</f>
        <v/>
      </c>
      <c r="F115">
        <f>HYPERLINK("https://www.amazon.jobs/jobs/3122617/applied-scientist-sponsored-products-and-brands?cmpid=DA_INAD200785B", "https://www.amazon.jobs/jobs/3122617/applied-scientist-sponsored-products-and-brands?cmpid=DA_INAD200785B")</f>
        <v/>
      </c>
      <c r="G115" t="inlineStr">
        <is>
          <t>New York, NY, US</t>
        </is>
      </c>
      <c r="H115" s="3" t="n">
        <v>45965</v>
      </c>
      <c r="I11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16">
      <c r="A116" t="inlineStr">
        <is>
          <t>in-67c7f73c157fe0a9</t>
        </is>
      </c>
      <c r="B116" t="inlineStr">
        <is>
          <t>Applied Scientist, Sponsored Products and Brands</t>
        </is>
      </c>
      <c r="C116" t="inlineStr">
        <is>
          <t>Amazon.com</t>
        </is>
      </c>
      <c r="D116" t="inlineStr">
        <is>
          <t>indeed</t>
        </is>
      </c>
      <c r="E116">
        <f>HYPERLINK("https://www.indeed.com/viewjob?jk=67c7f73c157fe0a9", "https://www.indeed.com/viewjob?jk=67c7f73c157fe0a9")</f>
        <v/>
      </c>
      <c r="F116">
        <f>HYPERLINK("https://www.amazon.jobs/jobs/3122617/applied-scientist-sponsored-products-and-brands?cmpid=DA_INAD200785B", "https://www.amazon.jobs/jobs/3122617/applied-scientist-sponsored-products-and-brands?cmpid=DA_INAD200785B")</f>
        <v/>
      </c>
      <c r="G116" t="inlineStr">
        <is>
          <t>Seattle, WA, US</t>
        </is>
      </c>
      <c r="H116" s="3" t="n">
        <v>45965</v>
      </c>
      <c r="I11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17">
      <c r="A117" t="inlineStr">
        <is>
          <t>in-e3f7213f2865faa8</t>
        </is>
      </c>
      <c r="B117" t="inlineStr">
        <is>
          <t>Applied Scientist, AWS Agentic AI</t>
        </is>
      </c>
      <c r="C117" t="inlineStr">
        <is>
          <t>Amazon Web Services</t>
        </is>
      </c>
      <c r="D117" t="inlineStr">
        <is>
          <t>indeed</t>
        </is>
      </c>
      <c r="E117">
        <f>HYPERLINK("https://www.indeed.com/viewjob?jk=e3f7213f2865faa8", "https://www.indeed.com/viewjob?jk=e3f7213f2865faa8")</f>
        <v/>
      </c>
      <c r="F117">
        <f>HYPERLINK("https://www.amazon.jobs/jobs/3141517/applied-scientist-aws-agentic-ai-?cmpid=DA_INAD200785B", "https://www.amazon.jobs/jobs/3141517/applied-scientist-aws-agentic-ai-?cmpid=DA_INAD200785B")</f>
        <v/>
      </c>
      <c r="G117" t="inlineStr">
        <is>
          <t>Santa Clara, CA, US</t>
        </is>
      </c>
      <c r="H117" s="3" t="n">
        <v>45962</v>
      </c>
      <c r="I11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in-ec2b7f2e1200495f</t>
        </is>
      </c>
      <c r="B118" t="inlineStr">
        <is>
          <t>Applied Scientist, AWS Agentic AI</t>
        </is>
      </c>
      <c r="C118" t="inlineStr">
        <is>
          <t>Amazon Web Services</t>
        </is>
      </c>
      <c r="D118" t="inlineStr">
        <is>
          <t>indeed</t>
        </is>
      </c>
      <c r="E118">
        <f>HYPERLINK("https://www.indeed.com/viewjob?jk=ec2b7f2e1200495f", "https://www.indeed.com/viewjob?jk=ec2b7f2e1200495f")</f>
        <v/>
      </c>
      <c r="F118">
        <f>HYPERLINK("https://www.amazon.jobs/jobs/3141517/applied-scientist-aws-agentic-ai-?cmpid=DA_INAD200785B", "https://www.amazon.jobs/jobs/3141517/applied-scientist-aws-agentic-ai-?cmpid=DA_INAD200785B")</f>
        <v/>
      </c>
      <c r="G118" t="inlineStr">
        <is>
          <t>New York, NY, US</t>
        </is>
      </c>
      <c r="H118" s="3" t="n">
        <v>45962</v>
      </c>
      <c r="I11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in-5898743cd2fb2a24</t>
        </is>
      </c>
      <c r="B119" t="inlineStr">
        <is>
          <t>Applied Scientist, AWS Agentic AI</t>
        </is>
      </c>
      <c r="C119" t="inlineStr">
        <is>
          <t>Amazon Web Services</t>
        </is>
      </c>
      <c r="D119" t="inlineStr">
        <is>
          <t>indeed</t>
        </is>
      </c>
      <c r="E119">
        <f>HYPERLINK("https://www.indeed.com/viewjob?jk=5898743cd2fb2a24", "https://www.indeed.com/viewjob?jk=5898743cd2fb2a24")</f>
        <v/>
      </c>
      <c r="F119">
        <f>HYPERLINK("https://www.amazon.jobs/jobs/3141517/applied-scientist-aws-agentic-ai-?cmpid=DA_INAD200785B", "https://www.amazon.jobs/jobs/3141517/applied-scientist-aws-agentic-ai-?cmpid=DA_INAD200785B")</f>
        <v/>
      </c>
      <c r="G119" t="inlineStr">
        <is>
          <t>Seattle, WA, US</t>
        </is>
      </c>
      <c r="H119" s="3" t="n">
        <v>45962</v>
      </c>
      <c r="I11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in-4702de6f9c9ba4b7</t>
        </is>
      </c>
      <c r="B120" t="inlineStr">
        <is>
          <t>Applied Scientist, AI Automation, Prime Video</t>
        </is>
      </c>
      <c r="C120" t="inlineStr">
        <is>
          <t>Amazon.com</t>
        </is>
      </c>
      <c r="D120" t="inlineStr">
        <is>
          <t>indeed</t>
        </is>
      </c>
      <c r="E120">
        <f>HYPERLINK("https://www.indeed.com/viewjob?jk=4702de6f9c9ba4b7", "https://www.indeed.com/viewjob?jk=4702de6f9c9ba4b7")</f>
        <v/>
      </c>
      <c r="F120">
        <f>HYPERLINK("https://www.amazon.jobs/jobs/3119822/applied-scientist-ai-automation-prime-video?cmpid=DA_INAD200785B", "https://www.amazon.jobs/jobs/3119822/applied-scientist-ai-automation-prime-video?cmpid=DA_INAD200785B")</f>
        <v/>
      </c>
      <c r="G120" t="inlineStr">
        <is>
          <t>Culver City, CA, US</t>
        </is>
      </c>
      <c r="H120" s="3" t="n">
        <v>45949</v>
      </c>
      <c r="I1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in-79b5bb01b818634a</t>
        </is>
      </c>
      <c r="B121" t="inlineStr">
        <is>
          <t>Applied Scientist, AI Automation, Prime Video</t>
        </is>
      </c>
      <c r="C121" t="inlineStr">
        <is>
          <t>Amazon.com</t>
        </is>
      </c>
      <c r="D121" t="inlineStr">
        <is>
          <t>indeed</t>
        </is>
      </c>
      <c r="E121">
        <f>HYPERLINK("https://www.indeed.com/viewjob?jk=79b5bb01b818634a", "https://www.indeed.com/viewjob?jk=79b5bb01b818634a")</f>
        <v/>
      </c>
      <c r="F121">
        <f>HYPERLINK("https://www.amazon.jobs/jobs/3119822/applied-scientist-ai-automation-prime-video?cmpid=DA_INAD200785B", "https://www.amazon.jobs/jobs/3119822/applied-scientist-ai-automation-prime-video?cmpid=DA_INAD200785B")</f>
        <v/>
      </c>
      <c r="G121" t="inlineStr">
        <is>
          <t>Seattle, WA, US</t>
        </is>
      </c>
      <c r="H121" s="3" t="n">
        <v>45949</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in-30d1519dd36fc49e</t>
        </is>
      </c>
      <c r="B122" t="inlineStr">
        <is>
          <t>Principal Applied Scientist, Advertiser Growth, Amazon Sponsored Products &amp; Brands</t>
        </is>
      </c>
      <c r="C122" t="inlineStr">
        <is>
          <t>Amazon.com</t>
        </is>
      </c>
      <c r="D122" t="inlineStr">
        <is>
          <t>indeed</t>
        </is>
      </c>
      <c r="E122">
        <f>HYPERLINK("https://www.indeed.com/viewjob?jk=30d1519dd36fc49e", "https://www.indeed.com/viewjob?jk=30d1519dd36fc49e")</f>
        <v/>
      </c>
      <c r="F122">
        <f>HYPERLINK("https://www.amazon.jobs/jobs/3115279/principal-applied-scientist-advertiser-growth-amazon-sponsored-products--brands?cmpid=DA_INAD200785B", "https://www.amazon.jobs/jobs/3115279/principal-applied-scientist-advertiser-growth-amazon-sponsored-products--brands?cmpid=DA_INAD200785B")</f>
        <v/>
      </c>
      <c r="G122" t="inlineStr">
        <is>
          <t>Seattle, WA, US</t>
        </is>
      </c>
      <c r="H122" s="3" t="n">
        <v>45942</v>
      </c>
      <c r="I12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in-6ce8658b9b1a6177</t>
        </is>
      </c>
      <c r="B123" t="inlineStr">
        <is>
          <t>Principal Applied Scientist, Advertiser Growth, Amazon Sponsored Products &amp; Brands</t>
        </is>
      </c>
      <c r="C123" t="inlineStr">
        <is>
          <t>Amazon.com</t>
        </is>
      </c>
      <c r="D123" t="inlineStr">
        <is>
          <t>indeed</t>
        </is>
      </c>
      <c r="E123">
        <f>HYPERLINK("https://www.indeed.com/viewjob?jk=6ce8658b9b1a6177", "https://www.indeed.com/viewjob?jk=6ce8658b9b1a6177")</f>
        <v/>
      </c>
      <c r="F123">
        <f>HYPERLINK("https://www.amazon.jobs/jobs/3115279/principal-applied-scientist-advertiser-growth-amazon-sponsored-products--brands?cmpid=DA_INAD200785B", "https://www.amazon.jobs/jobs/3115279/principal-applied-scientist-advertiser-growth-amazon-sponsored-products--brands?cmpid=DA_INAD200785B")</f>
        <v/>
      </c>
      <c r="G123" t="inlineStr">
        <is>
          <t>New York, NY, US</t>
        </is>
      </c>
      <c r="H123" s="3" t="n">
        <v>45942</v>
      </c>
      <c r="I12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in-078314c0c7eb63af</t>
        </is>
      </c>
      <c r="B124" t="inlineStr">
        <is>
          <t>Principal Applied Scientist, Advertiser Growth, Amazon Sponsored Products &amp; Brands</t>
        </is>
      </c>
      <c r="C124" t="inlineStr">
        <is>
          <t>Amazon.com</t>
        </is>
      </c>
      <c r="D124" t="inlineStr">
        <is>
          <t>indeed</t>
        </is>
      </c>
      <c r="E124">
        <f>HYPERLINK("https://www.indeed.com/viewjob?jk=078314c0c7eb63af", "https://www.indeed.com/viewjob?jk=078314c0c7eb63af")</f>
        <v/>
      </c>
      <c r="F124">
        <f>HYPERLINK("https://www.amazon.jobs/jobs/3115279/principal-applied-scientist-advertiser-growth-amazon-sponsored-products--brands?cmpid=DA_INAD200785B", "https://www.amazon.jobs/jobs/3115279/principal-applied-scientist-advertiser-growth-amazon-sponsored-products--brands?cmpid=DA_INAD200785B")</f>
        <v/>
      </c>
      <c r="G124" t="inlineStr">
        <is>
          <t>Palo Alto, CA, US</t>
        </is>
      </c>
      <c r="H124" s="3" t="n">
        <v>45942</v>
      </c>
      <c r="I12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in-64a907ba39ca58f4</t>
        </is>
      </c>
      <c r="B125" t="inlineStr">
        <is>
          <t>Applied Scientist, Workplace Health &amp; Safety</t>
        </is>
      </c>
      <c r="C125" t="inlineStr">
        <is>
          <t>Amazon.com</t>
        </is>
      </c>
      <c r="D125" t="inlineStr">
        <is>
          <t>indeed</t>
        </is>
      </c>
      <c r="E125">
        <f>HYPERLINK("https://www.indeed.com/viewjob?jk=64a907ba39ca58f4", "https://www.indeed.com/viewjob?jk=64a907ba39ca58f4")</f>
        <v/>
      </c>
      <c r="F125">
        <f>HYPERLINK("https://www.amazon.jobs/jobs/3144886/applied-scientist-workplace-health--safety-?cmpid=DA_INAD200785B", "https://www.amazon.jobs/jobs/3144886/applied-scientist-workplace-health--safety-?cmpid=DA_INAD200785B")</f>
        <v/>
      </c>
      <c r="G125" t="inlineStr">
        <is>
          <t>Nashville, TN, US</t>
        </is>
      </c>
      <c r="H125" s="3" t="n">
        <v>45917</v>
      </c>
      <c r="I12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in-a210be3bab969e3d</t>
        </is>
      </c>
      <c r="B126" t="inlineStr">
        <is>
          <t>Applied Scientist, Workplace Health &amp; Safety</t>
        </is>
      </c>
      <c r="C126" t="inlineStr">
        <is>
          <t>Amazon.com</t>
        </is>
      </c>
      <c r="D126" t="inlineStr">
        <is>
          <t>indeed</t>
        </is>
      </c>
      <c r="E126">
        <f>HYPERLINK("https://www.indeed.com/viewjob?jk=a210be3bab969e3d", "https://www.indeed.com/viewjob?jk=a210be3bab969e3d")</f>
        <v/>
      </c>
      <c r="F126">
        <f>HYPERLINK("https://www.amazon.jobs/jobs/3144886/applied-scientist-workplace-health--safety-?cmpid=DA_INAD200785B", "https://www.amazon.jobs/jobs/3144886/applied-scientist-workplace-health--safety-?cmpid=DA_INAD200785B")</f>
        <v/>
      </c>
      <c r="G126" t="inlineStr">
        <is>
          <t>Bellevue, WA, US</t>
        </is>
      </c>
      <c r="H126" s="3" t="n">
        <v>45917</v>
      </c>
      <c r="I12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in-a1554973ccf6d879</t>
        </is>
      </c>
      <c r="B127" t="inlineStr">
        <is>
          <t>Sr. Applied Scientist, Prime Video - Personalization and Discovery Science</t>
        </is>
      </c>
      <c r="C127" t="inlineStr">
        <is>
          <t>Amazon.com</t>
        </is>
      </c>
      <c r="D127" t="inlineStr">
        <is>
          <t>indeed</t>
        </is>
      </c>
      <c r="E127">
        <f>HYPERLINK("https://www.indeed.com/viewjob?jk=a1554973ccf6d879", "https://www.indeed.com/viewjob?jk=a1554973ccf6d879")</f>
        <v/>
      </c>
      <c r="F127">
        <f>HYPERLINK("https://www.amazon.jobs/jobs/3084479/sr-applied-scientist-prime-video--personalization-and-discovery-science?cmpid=DA_INAD200785B", "https://www.amazon.jobs/jobs/3084479/sr-applied-scientist-prime-video--personalization-and-discovery-science?cmpid=DA_INAD200785B")</f>
        <v/>
      </c>
      <c r="G127" t="inlineStr">
        <is>
          <t>Seattle, WA, US</t>
        </is>
      </c>
      <c r="H127" s="3" t="n">
        <v>45896</v>
      </c>
      <c r="I1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28">
      <c r="A128" t="inlineStr">
        <is>
          <t>in-60d4fb175a49c2a0</t>
        </is>
      </c>
      <c r="B128" t="inlineStr">
        <is>
          <t>Sr. Applied Scientist, Prime Video - Personalization and Discovery Science</t>
        </is>
      </c>
      <c r="C128" t="inlineStr">
        <is>
          <t>Amazon.com</t>
        </is>
      </c>
      <c r="D128" t="inlineStr">
        <is>
          <t>indeed</t>
        </is>
      </c>
      <c r="E128">
        <f>HYPERLINK("https://www.indeed.com/viewjob?jk=60d4fb175a49c2a0", "https://www.indeed.com/viewjob?jk=60d4fb175a49c2a0")</f>
        <v/>
      </c>
      <c r="F128">
        <f>HYPERLINK("https://www.amazon.jobs/jobs/3084479/sr-applied-scientist-prime-video--personalization-and-discovery-science?cmpid=DA_INAD200785B", "https://www.amazon.jobs/jobs/3084479/sr-applied-scientist-prime-video--personalization-and-discovery-science?cmpid=DA_INAD200785B")</f>
        <v/>
      </c>
      <c r="G128" t="inlineStr">
        <is>
          <t>Sunnyvale, CA, US</t>
        </is>
      </c>
      <c r="H128" s="3" t="n">
        <v>45896</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29">
      <c r="A129" t="inlineStr">
        <is>
          <t>in-416930317bc89ba9</t>
        </is>
      </c>
      <c r="B129" t="inlineStr">
        <is>
          <t>Sr. Applied Scientist, Prime Video - Personalization and Discovery Science</t>
        </is>
      </c>
      <c r="C129" t="inlineStr">
        <is>
          <t>Amazon.com</t>
        </is>
      </c>
      <c r="D129" t="inlineStr">
        <is>
          <t>indeed</t>
        </is>
      </c>
      <c r="E129">
        <f>HYPERLINK("https://www.indeed.com/viewjob?jk=416930317bc89ba9", "https://www.indeed.com/viewjob?jk=416930317bc89ba9")</f>
        <v/>
      </c>
      <c r="F129">
        <f>HYPERLINK("https://www.amazon.jobs/jobs/3084479/sr-applied-scientist-prime-video--personalization-and-discovery-science?cmpid=DA_INAD200785B", "https://www.amazon.jobs/jobs/3084479/sr-applied-scientist-prime-video--personalization-and-discovery-science?cmpid=DA_INAD200785B")</f>
        <v/>
      </c>
      <c r="G129" t="inlineStr">
        <is>
          <t>New York, NY, US</t>
        </is>
      </c>
      <c r="H129" s="3" t="n">
        <v>45896</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30">
      <c r="A130" t="inlineStr">
        <is>
          <t>in-db21acbecc0b94f5</t>
        </is>
      </c>
      <c r="B130" t="inlineStr">
        <is>
          <t>Applied Scientist II, Prime Video , Personalization and Discovery Science</t>
        </is>
      </c>
      <c r="C130" t="inlineStr">
        <is>
          <t>Amazon.com</t>
        </is>
      </c>
      <c r="D130" t="inlineStr">
        <is>
          <t>indeed</t>
        </is>
      </c>
      <c r="E130">
        <f>HYPERLINK("https://www.indeed.com/viewjob?jk=db21acbecc0b94f5", "https://www.indeed.com/viewjob?jk=db21acbecc0b94f5")</f>
        <v/>
      </c>
      <c r="F130">
        <f>HYPERLINK("https://www.amazon.jobs/jobs/3061303/applied-scientist-ii-prime-video--personalization-and-discovery-science?cmpid=DA_INAD200785B", "https://www.amazon.jobs/jobs/3061303/applied-scientist-ii-prime-video--personalization-and-discovery-science?cmpid=DA_INAD200785B")</f>
        <v/>
      </c>
      <c r="G130" t="inlineStr">
        <is>
          <t>Seattle, WA, US</t>
        </is>
      </c>
      <c r="H130" s="3" t="n">
        <v>45886</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31">
      <c r="A131" t="inlineStr">
        <is>
          <t>in-a57f123fdaed9d83</t>
        </is>
      </c>
      <c r="B131" t="inlineStr">
        <is>
          <t>Applied Scientist II, Prime Video , Personalization and Discovery Science</t>
        </is>
      </c>
      <c r="C131" t="inlineStr">
        <is>
          <t>Amazon.com</t>
        </is>
      </c>
      <c r="D131" t="inlineStr">
        <is>
          <t>indeed</t>
        </is>
      </c>
      <c r="E131">
        <f>HYPERLINK("https://www.indeed.com/viewjob?jk=a57f123fdaed9d83", "https://www.indeed.com/viewjob?jk=a57f123fdaed9d83")</f>
        <v/>
      </c>
      <c r="F131">
        <f>HYPERLINK("https://www.amazon.jobs/jobs/3061303/applied-scientist-ii-prime-video--personalization-and-discovery-science?cmpid=DA_INAD200785B", "https://www.amazon.jobs/jobs/3061303/applied-scientist-ii-prime-video--personalization-and-discovery-science?cmpid=DA_INAD200785B")</f>
        <v/>
      </c>
      <c r="G131" t="inlineStr">
        <is>
          <t>New York, NY, US</t>
        </is>
      </c>
      <c r="H131" s="3" t="n">
        <v>45886</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32">
      <c r="A132" t="inlineStr">
        <is>
          <t>in-30cbca173e27577f</t>
        </is>
      </c>
      <c r="B132" t="inlineStr">
        <is>
          <t>Applied Scientist II, Prime Video , Personalization and Discovery Science</t>
        </is>
      </c>
      <c r="C132" t="inlineStr">
        <is>
          <t>Amazon.com</t>
        </is>
      </c>
      <c r="D132" t="inlineStr">
        <is>
          <t>indeed</t>
        </is>
      </c>
      <c r="E132">
        <f>HYPERLINK("https://www.indeed.com/viewjob?jk=30cbca173e27577f", "https://www.indeed.com/viewjob?jk=30cbca173e27577f")</f>
        <v/>
      </c>
      <c r="F132">
        <f>HYPERLINK("https://www.amazon.jobs/jobs/3061303/applied-scientist-ii-prime-video--personalization-and-discovery-science?cmpid=DA_INAD200785B", "https://www.amazon.jobs/jobs/3061303/applied-scientist-ii-prime-video--personalization-and-discovery-science?cmpid=DA_INAD200785B")</f>
        <v/>
      </c>
      <c r="G132" t="inlineStr">
        <is>
          <t>Sunnyvale, CA, US</t>
        </is>
      </c>
      <c r="H132" s="3" t="n">
        <v>45886</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33">
      <c r="A133" t="inlineStr">
        <is>
          <t>in-7fdd1545e5d89948</t>
        </is>
      </c>
      <c r="B133" t="inlineStr">
        <is>
          <t>Sr. Applied Scientist, Prime Video - Personalization and Discovery Science</t>
        </is>
      </c>
      <c r="C133" t="inlineStr">
        <is>
          <t>Amazon.com</t>
        </is>
      </c>
      <c r="D133" t="inlineStr">
        <is>
          <t>indeed</t>
        </is>
      </c>
      <c r="E133">
        <f>HYPERLINK("https://www.indeed.com/viewjob?jk=7fdd1545e5d89948", "https://www.indeed.com/viewjob?jk=7fdd1545e5d89948")</f>
        <v/>
      </c>
      <c r="F133">
        <f>HYPERLINK("https://www.amazon.jobs/jobs/3061266/sr-applied-scientist-prime-video--personalization-and-discovery-science?cmpid=DA_INAD200785B", "https://www.amazon.jobs/jobs/3061266/sr-applied-scientist-prime-video--personalization-and-discovery-science?cmpid=DA_INAD200785B")</f>
        <v/>
      </c>
      <c r="G133" t="inlineStr">
        <is>
          <t>Seattle, WA, US</t>
        </is>
      </c>
      <c r="H133" s="3" t="n">
        <v>45886</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in-7b1a5e465ccf80fa</t>
        </is>
      </c>
      <c r="B134" t="inlineStr">
        <is>
          <t>Sr. Applied Scientist, Prime Video - Personalization and Discovery Science</t>
        </is>
      </c>
      <c r="C134" t="inlineStr">
        <is>
          <t>Amazon.com</t>
        </is>
      </c>
      <c r="D134" t="inlineStr">
        <is>
          <t>indeed</t>
        </is>
      </c>
      <c r="E134">
        <f>HYPERLINK("https://www.indeed.com/viewjob?jk=7b1a5e465ccf80fa", "https://www.indeed.com/viewjob?jk=7b1a5e465ccf80fa")</f>
        <v/>
      </c>
      <c r="F134">
        <f>HYPERLINK("https://www.amazon.jobs/jobs/3061266/sr-applied-scientist-prime-video--personalization-and-discovery-science?cmpid=DA_INAD200785B", "https://www.amazon.jobs/jobs/3061266/sr-applied-scientist-prime-video--personalization-and-discovery-science?cmpid=DA_INAD200785B")</f>
        <v/>
      </c>
      <c r="G134" t="inlineStr">
        <is>
          <t>Sunnyvale, CA, US</t>
        </is>
      </c>
      <c r="H134" s="3" t="n">
        <v>45886</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in-f481cade774d66c2</t>
        </is>
      </c>
      <c r="B135" t="inlineStr">
        <is>
          <t>Sr. Applied Scientist, Prime Video - Personalization and Discovery Science</t>
        </is>
      </c>
      <c r="C135" t="inlineStr">
        <is>
          <t>Amazon.com</t>
        </is>
      </c>
      <c r="D135" t="inlineStr">
        <is>
          <t>indeed</t>
        </is>
      </c>
      <c r="E135">
        <f>HYPERLINK("https://www.indeed.com/viewjob?jk=f481cade774d66c2", "https://www.indeed.com/viewjob?jk=f481cade774d66c2")</f>
        <v/>
      </c>
      <c r="F135">
        <f>HYPERLINK("https://www.amazon.jobs/jobs/3061266/sr-applied-scientist-prime-video--personalization-and-discovery-science?cmpid=DA_INAD200785B", "https://www.amazon.jobs/jobs/3061266/sr-applied-scientist-prime-video--personalization-and-discovery-science?cmpid=DA_INAD200785B")</f>
        <v/>
      </c>
      <c r="G135" t="inlineStr">
        <is>
          <t>New York, NY, US</t>
        </is>
      </c>
      <c r="H135" s="3" t="n">
        <v>45886</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in-3b5ce99252ef3959</t>
        </is>
      </c>
      <c r="B136" t="inlineStr">
        <is>
          <t>Applied Scientist III, StoreGen</t>
        </is>
      </c>
      <c r="C136" t="inlineStr">
        <is>
          <t>Amazon.com</t>
        </is>
      </c>
      <c r="D136" t="inlineStr">
        <is>
          <t>indeed</t>
        </is>
      </c>
      <c r="E136">
        <f>HYPERLINK("https://www.indeed.com/viewjob?jk=3b5ce99252ef3959", "https://www.indeed.com/viewjob?jk=3b5ce99252ef3959")</f>
        <v/>
      </c>
      <c r="F136">
        <f>HYPERLINK("https://www.amazon.jobs/jobs/3065534/applied-scientist-iii-storegen?cmpid=DA_INAD200785B", "https://www.amazon.jobs/jobs/3065534/applied-scientist-iii-storegen?cmpid=DA_INAD200785B")</f>
        <v/>
      </c>
      <c r="G136" t="inlineStr">
        <is>
          <t>Sunnyvale, CA, US</t>
        </is>
      </c>
      <c r="H136" s="3" t="n">
        <v>45868</v>
      </c>
      <c r="I13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in-95cb076d0b3e9617</t>
        </is>
      </c>
      <c r="B137" t="inlineStr">
        <is>
          <t>Applied Scientist III, StoreGen</t>
        </is>
      </c>
      <c r="C137" t="inlineStr">
        <is>
          <t>Amazon.com</t>
        </is>
      </c>
      <c r="D137" t="inlineStr">
        <is>
          <t>indeed</t>
        </is>
      </c>
      <c r="E137">
        <f>HYPERLINK("https://www.indeed.com/viewjob?jk=95cb076d0b3e9617", "https://www.indeed.com/viewjob?jk=95cb076d0b3e9617")</f>
        <v/>
      </c>
      <c r="F137">
        <f>HYPERLINK("https://www.amazon.jobs/jobs/3065534/applied-scientist-iii-storegen?cmpid=DA_INAD200785B", "https://www.amazon.jobs/jobs/3065534/applied-scientist-iii-storegen?cmpid=DA_INAD200785B")</f>
        <v/>
      </c>
      <c r="G137" t="inlineStr">
        <is>
          <t>Seattle, WA, US</t>
        </is>
      </c>
      <c r="H137" s="3" t="n">
        <v>45868</v>
      </c>
      <c r="I13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in-87f279bce1c10b86</t>
        </is>
      </c>
      <c r="B138" t="inlineStr">
        <is>
          <t>Sr. Applied Scientist, Amazon Advertising</t>
        </is>
      </c>
      <c r="C138" t="inlineStr">
        <is>
          <t>Amazon.com</t>
        </is>
      </c>
      <c r="D138" t="inlineStr">
        <is>
          <t>indeed</t>
        </is>
      </c>
      <c r="E138">
        <f>HYPERLINK("https://www.indeed.com/viewjob?jk=87f279bce1c10b86", "https://www.indeed.com/viewjob?jk=87f279bce1c10b86")</f>
        <v/>
      </c>
      <c r="F138">
        <f>HYPERLINK("https://www.amazon.jobs/jobs/3035686/sr-applied-scientist-amazon-advertising?cmpid=DA_INAD200785B", "https://www.amazon.jobs/jobs/3035686/sr-applied-scientist-amazon-advertising?cmpid=DA_INAD200785B")</f>
        <v/>
      </c>
      <c r="G138" t="inlineStr">
        <is>
          <t>Los Angeles, CA, US</t>
        </is>
      </c>
      <c r="H138" s="3"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in-50e131e0c4fa124f</t>
        </is>
      </c>
      <c r="B139" t="inlineStr">
        <is>
          <t>Sr. Applied Scientist, Amazon Advertising</t>
        </is>
      </c>
      <c r="C139" t="inlineStr">
        <is>
          <t>Amazon.com</t>
        </is>
      </c>
      <c r="D139" t="inlineStr">
        <is>
          <t>indeed</t>
        </is>
      </c>
      <c r="E139">
        <f>HYPERLINK("https://www.indeed.com/viewjob?jk=50e131e0c4fa124f", "https://www.indeed.com/viewjob?jk=50e131e0c4fa124f")</f>
        <v/>
      </c>
      <c r="F139">
        <f>HYPERLINK("https://www.amazon.jobs/jobs/3035686/sr-applied-scientist-amazon-advertising?cmpid=DA_INAD200785B", "https://www.amazon.jobs/jobs/3035686/sr-applied-scientist-amazon-advertising?cmpid=DA_INAD200785B")</f>
        <v/>
      </c>
      <c r="G139" t="inlineStr">
        <is>
          <t>New York, NY, US</t>
        </is>
      </c>
      <c r="H139" s="3"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in-9e1ac8290edd7114</t>
        </is>
      </c>
      <c r="B140" t="inlineStr">
        <is>
          <t>Sr. Applied Scientist, Amazon Advertising</t>
        </is>
      </c>
      <c r="C140" t="inlineStr">
        <is>
          <t>Amazon.com</t>
        </is>
      </c>
      <c r="D140" t="inlineStr">
        <is>
          <t>indeed</t>
        </is>
      </c>
      <c r="E140">
        <f>HYPERLINK("https://www.indeed.com/viewjob?jk=9e1ac8290edd7114", "https://www.indeed.com/viewjob?jk=9e1ac8290edd7114")</f>
        <v/>
      </c>
      <c r="F140">
        <f>HYPERLINK("https://www.amazon.jobs/jobs/3035686/sr-applied-scientist-amazon-advertising?cmpid=DA_INAD200785B", "https://www.amazon.jobs/jobs/3035686/sr-applied-scientist-amazon-advertising?cmpid=DA_INAD200785B")</f>
        <v/>
      </c>
      <c r="G140" t="inlineStr">
        <is>
          <t>West Hollywood, CA, US</t>
        </is>
      </c>
      <c r="H140" s="3"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in-8aa84b9d4e0b67b9</t>
        </is>
      </c>
      <c r="B141" t="inlineStr">
        <is>
          <t>Sr. Applied Scientist, Amazon Advertising</t>
        </is>
      </c>
      <c r="C141" t="inlineStr">
        <is>
          <t>Amazon.com</t>
        </is>
      </c>
      <c r="D141" t="inlineStr">
        <is>
          <t>indeed</t>
        </is>
      </c>
      <c r="E141">
        <f>HYPERLINK("https://www.indeed.com/viewjob?jk=8aa84b9d4e0b67b9", "https://www.indeed.com/viewjob?jk=8aa84b9d4e0b67b9")</f>
        <v/>
      </c>
      <c r="F141">
        <f>HYPERLINK("https://www.amazon.jobs/jobs/3035686/sr-applied-scientist-amazon-advertising?cmpid=DA_INAD200785B", "https://www.amazon.jobs/jobs/3035686/sr-applied-scientist-amazon-advertising?cmpid=DA_INAD200785B")</f>
        <v/>
      </c>
      <c r="G141" t="inlineStr">
        <is>
          <t>Palo Alto, CA, US</t>
        </is>
      </c>
      <c r="H141" s="3" t="n">
        <v>45851</v>
      </c>
      <c r="I1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in-fa950ce1ba144bab</t>
        </is>
      </c>
      <c r="B142" t="inlineStr">
        <is>
          <t>Sr. Applied Scientist, Amazon Advertising</t>
        </is>
      </c>
      <c r="C142" t="inlineStr">
        <is>
          <t>Amazon.com</t>
        </is>
      </c>
      <c r="D142" t="inlineStr">
        <is>
          <t>indeed</t>
        </is>
      </c>
      <c r="E142">
        <f>HYPERLINK("https://www.indeed.com/viewjob?jk=fa950ce1ba144bab", "https://www.indeed.com/viewjob?jk=fa950ce1ba144bab")</f>
        <v/>
      </c>
      <c r="F142">
        <f>HYPERLINK("https://www.amazon.jobs/jobs/3035686/sr-applied-scientist-amazon-advertising?cmpid=DA_INAD200785B", "https://www.amazon.jobs/jobs/3035686/sr-applied-scientist-amazon-advertising?cmpid=DA_INAD200785B")</f>
        <v/>
      </c>
      <c r="G142" t="inlineStr">
        <is>
          <t>Seattle, WA, US</t>
        </is>
      </c>
      <c r="H142" s="3" t="n">
        <v>45851</v>
      </c>
      <c r="I1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in-3e968481bf70e495</t>
        </is>
      </c>
      <c r="B143" t="inlineStr">
        <is>
          <t>Sr. Applied Scientist, Amazon Advertising</t>
        </is>
      </c>
      <c r="C143" t="inlineStr">
        <is>
          <t>Amazon.com</t>
        </is>
      </c>
      <c r="D143" t="inlineStr">
        <is>
          <t>indeed</t>
        </is>
      </c>
      <c r="E143">
        <f>HYPERLINK("https://www.indeed.com/viewjob?jk=3e968481bf70e495", "https://www.indeed.com/viewjob?jk=3e968481bf70e495")</f>
        <v/>
      </c>
      <c r="F143">
        <f>HYPERLINK("https://www.amazon.jobs/jobs/3035686/sr-applied-scientist-amazon-advertising?cmpid=DA_INAD200785B", "https://www.amazon.jobs/jobs/3035686/sr-applied-scientist-amazon-advertising?cmpid=DA_INAD200785B")</f>
        <v/>
      </c>
      <c r="G143" t="inlineStr">
        <is>
          <t>Austin, TX, US</t>
        </is>
      </c>
      <c r="H143" s="3" t="n">
        <v>45851</v>
      </c>
      <c r="I1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in-d07025958ab18971</t>
        </is>
      </c>
      <c r="B144" t="inlineStr">
        <is>
          <t>Sr. Applied Scientist, Amazon Advertising</t>
        </is>
      </c>
      <c r="C144" t="inlineStr">
        <is>
          <t>Amazon.com</t>
        </is>
      </c>
      <c r="D144" t="inlineStr">
        <is>
          <t>indeed</t>
        </is>
      </c>
      <c r="E144">
        <f>HYPERLINK("https://www.indeed.com/viewjob?jk=d07025958ab18971", "https://www.indeed.com/viewjob?jk=d07025958ab18971")</f>
        <v/>
      </c>
      <c r="F144">
        <f>HYPERLINK("https://www.amazon.jobs/jobs/3035686/sr-applied-scientist-amazon-advertising?cmpid=DA_INAD200785B", "https://www.amazon.jobs/jobs/3035686/sr-applied-scientist-amazon-advertising?cmpid=DA_INAD200785B")</f>
        <v/>
      </c>
      <c r="G144" t="inlineStr">
        <is>
          <t>Arlington, VA, US</t>
        </is>
      </c>
      <c r="H144" s="3" t="n">
        <v>45851</v>
      </c>
      <c r="I1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in-dc3480e556571bcf</t>
        </is>
      </c>
      <c r="B145" t="inlineStr">
        <is>
          <t>Sr. Applied Scientist, Amazon Advertising</t>
        </is>
      </c>
      <c r="C145" t="inlineStr">
        <is>
          <t>Amazon.com</t>
        </is>
      </c>
      <c r="D145" t="inlineStr">
        <is>
          <t>indeed</t>
        </is>
      </c>
      <c r="E145">
        <f>HYPERLINK("https://www.indeed.com/viewjob?jk=dc3480e556571bcf", "https://www.indeed.com/viewjob?jk=dc3480e556571bcf")</f>
        <v/>
      </c>
      <c r="F145">
        <f>HYPERLINK("https://www.amazon.jobs/jobs/3035686/sr-applied-scientist-amazon-advertising?cmpid=DA_INAD200785B", "https://www.amazon.jobs/jobs/3035686/sr-applied-scientist-amazon-advertising?cmpid=DA_INAD200785B")</f>
        <v/>
      </c>
      <c r="G145" t="inlineStr">
        <is>
          <t>Simi Valley, CA, US</t>
        </is>
      </c>
      <c r="H145" s="3" t="n">
        <v>45851</v>
      </c>
      <c r="I1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in-66c65f6a4fd73585</t>
        </is>
      </c>
      <c r="B146" t="inlineStr">
        <is>
          <t>Sr. Applied Scientist, Sales AI</t>
        </is>
      </c>
      <c r="C146" t="inlineStr">
        <is>
          <t>Amazon.com</t>
        </is>
      </c>
      <c r="D146" t="inlineStr">
        <is>
          <t>indeed</t>
        </is>
      </c>
      <c r="E146">
        <f>HYPERLINK("https://www.indeed.com/viewjob?jk=66c65f6a4fd73585", "https://www.indeed.com/viewjob?jk=66c65f6a4fd73585")</f>
        <v/>
      </c>
      <c r="F146">
        <f>HYPERLINK("https://www.amazon.jobs/jobs/3020528/sr-applied-scientist-sales-ai?cmpid=DA_INAD200785B", "https://www.amazon.jobs/jobs/3020528/sr-applied-scientist-sales-ai?cmpid=DA_INAD200785B")</f>
        <v/>
      </c>
      <c r="G146" t="inlineStr">
        <is>
          <t>New York, NY, US</t>
        </is>
      </c>
      <c r="H146" s="3" t="n">
        <v>45830</v>
      </c>
      <c r="I14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in-501b24f9e3fe6b28</t>
        </is>
      </c>
      <c r="B147" t="inlineStr">
        <is>
          <t>Sr. Applied Scientist, Sales AI</t>
        </is>
      </c>
      <c r="C147" t="inlineStr">
        <is>
          <t>Amazon.com</t>
        </is>
      </c>
      <c r="D147" t="inlineStr">
        <is>
          <t>indeed</t>
        </is>
      </c>
      <c r="E147">
        <f>HYPERLINK("https://www.indeed.com/viewjob?jk=501b24f9e3fe6b28", "https://www.indeed.com/viewjob?jk=501b24f9e3fe6b28")</f>
        <v/>
      </c>
      <c r="F147">
        <f>HYPERLINK("https://www.amazon.jobs/jobs/3020528/sr-applied-scientist-sales-ai?cmpid=DA_INAD200785B", "https://www.amazon.jobs/jobs/3020528/sr-applied-scientist-sales-ai?cmpid=DA_INAD200785B")</f>
        <v/>
      </c>
      <c r="G147" t="inlineStr">
        <is>
          <t>Sunnyvale, CA, US</t>
        </is>
      </c>
      <c r="H147" s="3" t="n">
        <v>45830</v>
      </c>
      <c r="I14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in-bfdff12a5820dc14</t>
        </is>
      </c>
      <c r="B148" t="inlineStr">
        <is>
          <t>Sr. Applied Scientist, Sales AI</t>
        </is>
      </c>
      <c r="C148" t="inlineStr">
        <is>
          <t>Amazon.com</t>
        </is>
      </c>
      <c r="D148" t="inlineStr">
        <is>
          <t>indeed</t>
        </is>
      </c>
      <c r="E148">
        <f>HYPERLINK("https://www.indeed.com/viewjob?jk=bfdff12a5820dc14", "https://www.indeed.com/viewjob?jk=bfdff12a5820dc14")</f>
        <v/>
      </c>
      <c r="F148">
        <f>HYPERLINK("https://www.amazon.jobs/jobs/3020528/sr-applied-scientist-sales-ai?cmpid=DA_INAD200785B", "https://www.amazon.jobs/jobs/3020528/sr-applied-scientist-sales-ai?cmpid=DA_INAD200785B")</f>
        <v/>
      </c>
      <c r="G148" t="inlineStr">
        <is>
          <t>Seattle, WA, US</t>
        </is>
      </c>
      <c r="H148" s="3" t="n">
        <v>45830</v>
      </c>
      <c r="I14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in-79097143b1ee57ff</t>
        </is>
      </c>
      <c r="B149" t="inlineStr">
        <is>
          <t>Senior Applied Scientist, Delivery Foundation Model</t>
        </is>
      </c>
      <c r="C149" t="inlineStr">
        <is>
          <t>Amazon.com</t>
        </is>
      </c>
      <c r="D149" t="inlineStr">
        <is>
          <t>indeed</t>
        </is>
      </c>
      <c r="E149">
        <f>HYPERLINK("https://www.indeed.com/viewjob?jk=79097143b1ee57ff", "https://www.indeed.com/viewjob?jk=79097143b1ee57ff")</f>
        <v/>
      </c>
      <c r="F149">
        <f>HYPERLINK("https://www.amazon.jobs/jobs/2998435/senior-applied-scientist-delivery-foundation-model-?cmpid=DA_INAD200785B", "https://www.amazon.jobs/jobs/2998435/senior-applied-scientist-delivery-foundation-model-?cmpid=DA_INAD200785B")</f>
        <v/>
      </c>
      <c r="G149" t="inlineStr">
        <is>
          <t>New York, NY, US</t>
        </is>
      </c>
      <c r="H149" s="3" t="n">
        <v>45806</v>
      </c>
      <c r="I1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in-be33b3b9c852c620</t>
        </is>
      </c>
      <c r="B150" t="inlineStr">
        <is>
          <t>Senior Applied Scientist, Delivery Foundation Model</t>
        </is>
      </c>
      <c r="C150" t="inlineStr">
        <is>
          <t>Amazon.com</t>
        </is>
      </c>
      <c r="D150" t="inlineStr">
        <is>
          <t>indeed</t>
        </is>
      </c>
      <c r="E150">
        <f>HYPERLINK("https://www.indeed.com/viewjob?jk=be33b3b9c852c620", "https://www.indeed.com/viewjob?jk=be33b3b9c852c620")</f>
        <v/>
      </c>
      <c r="F150">
        <f>HYPERLINK("https://www.amazon.jobs/jobs/2998435/senior-applied-scientist-delivery-foundation-model-?cmpid=DA_INAD200785B", "https://www.amazon.jobs/jobs/2998435/senior-applied-scientist-delivery-foundation-model-?cmpid=DA_INAD200785B")</f>
        <v/>
      </c>
      <c r="G150" t="inlineStr">
        <is>
          <t>Bellevue, WA, US</t>
        </is>
      </c>
      <c r="H150" s="3" t="n">
        <v>45806</v>
      </c>
      <c r="I15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in-e84590678114f6c5</t>
        </is>
      </c>
      <c r="B151" t="inlineStr">
        <is>
          <t>Senior Applied Scientist, Delivery Foundation Model</t>
        </is>
      </c>
      <c r="C151" t="inlineStr">
        <is>
          <t>Amazon.com</t>
        </is>
      </c>
      <c r="D151" t="inlineStr">
        <is>
          <t>indeed</t>
        </is>
      </c>
      <c r="E151">
        <f>HYPERLINK("https://www.indeed.com/viewjob?jk=e84590678114f6c5", "https://www.indeed.com/viewjob?jk=e84590678114f6c5")</f>
        <v/>
      </c>
      <c r="F151">
        <f>HYPERLINK("https://www.amazon.jobs/jobs/2998435/senior-applied-scientist-delivery-foundation-model-?cmpid=DA_INAD200785B", "https://www.amazon.jobs/jobs/2998435/senior-applied-scientist-delivery-foundation-model-?cmpid=DA_INAD200785B")</f>
        <v/>
      </c>
      <c r="G151" t="inlineStr">
        <is>
          <t>Santa Clara, CA, US</t>
        </is>
      </c>
      <c r="H151" s="3" t="n">
        <v>45806</v>
      </c>
      <c r="I15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in-f0450ad35c2c0adf</t>
        </is>
      </c>
      <c r="B152" t="inlineStr">
        <is>
          <t>Sr. Applied Scientist - Privacy, Privacy Engineering</t>
        </is>
      </c>
      <c r="C152" t="inlineStr">
        <is>
          <t>Amazon.com</t>
        </is>
      </c>
      <c r="D152" t="inlineStr">
        <is>
          <t>indeed</t>
        </is>
      </c>
      <c r="E152">
        <f>HYPERLINK("https://www.indeed.com/viewjob?jk=f0450ad35c2c0adf", "https://www.indeed.com/viewjob?jk=f0450ad35c2c0adf")</f>
        <v/>
      </c>
      <c r="F152">
        <f>HYPERLINK("https://www.amazon.jobs/jobs/2997657/sr-applied-scientist--privacy-privacy-engineering?cmpid=DA_INAD200785B", "https://www.amazon.jobs/jobs/2997657/sr-applied-scientist--privacy-privacy-engineering?cmpid=DA_INAD200785B")</f>
        <v/>
      </c>
      <c r="G152" t="inlineStr">
        <is>
          <t>Santa Clara, CA, US</t>
        </is>
      </c>
      <c r="H152" s="3" t="n">
        <v>45787</v>
      </c>
      <c r="I15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in-4a76b1c0a48d9af9</t>
        </is>
      </c>
      <c r="B153" t="inlineStr">
        <is>
          <t>Sr. Applied Scientist - Privacy, Privacy Engineering</t>
        </is>
      </c>
      <c r="C153" t="inlineStr">
        <is>
          <t>Amazon.com</t>
        </is>
      </c>
      <c r="D153" t="inlineStr">
        <is>
          <t>indeed</t>
        </is>
      </c>
      <c r="E153">
        <f>HYPERLINK("https://www.indeed.com/viewjob?jk=4a76b1c0a48d9af9", "https://www.indeed.com/viewjob?jk=4a76b1c0a48d9af9")</f>
        <v/>
      </c>
      <c r="F153">
        <f>HYPERLINK("https://www.amazon.jobs/jobs/2997657/sr-applied-scientist--privacy-privacy-engineering?cmpid=DA_INAD200785B", "https://www.amazon.jobs/jobs/2997657/sr-applied-scientist--privacy-privacy-engineering?cmpid=DA_INAD200785B")</f>
        <v/>
      </c>
      <c r="G153" t="inlineStr">
        <is>
          <t>San Francisco, CA, US</t>
        </is>
      </c>
      <c r="H153" s="3" t="n">
        <v>45787</v>
      </c>
      <c r="I15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in-5d4c749ba36b545a</t>
        </is>
      </c>
      <c r="B154" t="inlineStr">
        <is>
          <t>Sr. Applied Scientist - Privacy, Privacy Engineering</t>
        </is>
      </c>
      <c r="C154" t="inlineStr">
        <is>
          <t>Amazon.com</t>
        </is>
      </c>
      <c r="D154" t="inlineStr">
        <is>
          <t>indeed</t>
        </is>
      </c>
      <c r="E154">
        <f>HYPERLINK("https://www.indeed.com/viewjob?jk=5d4c749ba36b545a", "https://www.indeed.com/viewjob?jk=5d4c749ba36b545a")</f>
        <v/>
      </c>
      <c r="F154">
        <f>HYPERLINK("https://www.amazon.jobs/jobs/2997657/sr-applied-scientist--privacy-privacy-engineering?cmpid=DA_INAD200785B", "https://www.amazon.jobs/jobs/2997657/sr-applied-scientist--privacy-privacy-engineering?cmpid=DA_INAD200785B")</f>
        <v/>
      </c>
      <c r="G154" t="inlineStr">
        <is>
          <t>Seattle, WA, US</t>
        </is>
      </c>
      <c r="H154" s="3" t="n">
        <v>45787</v>
      </c>
      <c r="I15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in-36163d74928904d6</t>
        </is>
      </c>
      <c r="B155" t="inlineStr">
        <is>
          <t>Sr. Applied Scientist - Privacy, Privacy Engineering</t>
        </is>
      </c>
      <c r="C155" t="inlineStr">
        <is>
          <t>Amazon.com</t>
        </is>
      </c>
      <c r="D155" t="inlineStr">
        <is>
          <t>indeed</t>
        </is>
      </c>
      <c r="E155">
        <f>HYPERLINK("https://www.indeed.com/viewjob?jk=36163d74928904d6", "https://www.indeed.com/viewjob?jk=36163d74928904d6")</f>
        <v/>
      </c>
      <c r="F155">
        <f>HYPERLINK("https://www.amazon.jobs/jobs/2997657/sr-applied-scientist--privacy-privacy-engineering?cmpid=DA_INAD200785B", "https://www.amazon.jobs/jobs/2997657/sr-applied-scientist--privacy-privacy-engineering?cmpid=DA_INAD200785B")</f>
        <v/>
      </c>
      <c r="G155" t="inlineStr">
        <is>
          <t>Sunnyvale, CA, US</t>
        </is>
      </c>
      <c r="H155" s="3" t="n">
        <v>45787</v>
      </c>
      <c r="I15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in-794f6cf63a91b2d6</t>
        </is>
      </c>
      <c r="B156" t="inlineStr">
        <is>
          <t>Staff AI ML Engineer</t>
        </is>
      </c>
      <c r="C156" t="inlineStr">
        <is>
          <t>General Motors (GM)</t>
        </is>
      </c>
      <c r="D156" t="inlineStr">
        <is>
          <t>indeed</t>
        </is>
      </c>
      <c r="E156">
        <f>HYPERLINK("https://www.indeed.com/viewjob?jk=794f6cf63a91b2d6", "https://www.indeed.com/viewjob?jk=794f6cf63a91b2d6")</f>
        <v/>
      </c>
      <c r="F156">
        <f>HYPERLINK("https://generalmotors.wd5.myworkdayjobs.com/en-US/Careers_GM/job/Remote---United-States/Staff-AI-ML-Engineer_JR-202603412", "https://generalmotors.wd5.myworkdayjobs.com/en-US/Careers_GM/job/Remote---United-States/Staff-AI-ML-Engineer_JR-202603412")</f>
        <v/>
      </c>
      <c r="G156" t="inlineStr">
        <is>
          <t>Remote, US</t>
        </is>
      </c>
      <c r="H156" s="3" t="n">
        <v>46067</v>
      </c>
      <c r="I156" t="inlineStr">
        <is>
          <t>**Job Description**
**About the Role**
We are seeking an experienced Staff full stack engineer with a strong ability to execute hands\-on technical work. The AI Lifecycle Team provides the UX backbone and visualization products that Machine Learning Engineers use to shepherd their ideas from data collection to model deployment in the AV. We enable MLEs at Cruise to Run and debug ML pipelines, Initiate data collection, Manage model training, Evaluate model performance, Deploy models to the AV. As a Staff Full Stack Engineer, you will collaborate c losely with machine learning engineers, research scientists, and other partners to develop state\-of\-the\-art AI solutions that enable the future of intelligent driving technologies across General Motors vehicles.  
What You’ll Do:
* Build UX experiences and agentic workflows to improve MLE workflows and productivity
* Build backend integrations to provide unified experience across ML lifecycle
* Raise the bar on system observability, debuggability, and operational excellence, and user experience.
* Own and drive the design and architecture across the ecosystem that meets security and compliance standards
* Establish consistent metrics to measure platform performance \&amp; health and create the roadmap for scale, reliability, low latency and speed of development and deployment
* Partner with cross functional teams to understand requirements to design, architect and build framework of UX and backend integrations. Partner with engineering teams to ensure seamless end\-to\-end flow and data quality
* Work across the project lifecycle: requirements, design, prototype, implementation, review, release, monitoring
* Review and approve technical design documents and pull requests. Improve and enhance engineering systems documentation and development processes
* Identify and pursue new paths of inquiry, innovation and challenge status quo
* Develop and nurture technical talent within the team and recruiting
Your Skills \&amp; Abilities (Required Qualifications)
* Experience building, deploying, and operating high\-availability services
* Led large technical initiatives from idea to operationalization and continuous evolution of technical solution to enable new business capabilities and improve efficiencies
* Ability to identify broad challenges (technical, functional, business challenges) worth tackling, and parse them into initiatives within and across engineering teams
* Experience creating ground up enterprise architecture, systems architecture, integration architecture standards, frameworks, and practices
* Programming experience in Python, Java, Go
* Experience working with cloud infrastructure, automations, configuration management, artifact management and building advanced CI/CD solutions
* Experience building production\-level frontend applications using React, Angular or similar frameworks
* Strong understanding of JavaScript/TypeScript and dynamic frontend fundamentals
* A passion for all things tech and has a drive to experiment with new technologies to see where they can benefit the business
* BS, MS, or PhD in Computer Science, Math, Physics, or equivalent experience
* Willingness to travel to Sunnyvale, CA as needed
What Will Give You a Competitive Edge (preferred qualifications):
* Experience working with technologies including Web services, JSON, GraphQL , agentic workflows
* Experience building interactive tools that are core to people's daily work
* Experience with data science/visualization
* ML or experimental design knowledge
* Self\-motivated, strong execution, impact\-delivery oriented
* Excellent communication skills to resolve conflicts, build consensus, communicate risks and provide constructive feedback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$218,800\-$335,300\.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57">
      <c r="A157" t="inlineStr">
        <is>
          <t>in-5166c93e9ea6d827</t>
        </is>
      </c>
      <c r="B157" t="inlineStr">
        <is>
          <t>Senior Wireless Machine Learning Engineer, AI-RAN</t>
        </is>
      </c>
      <c r="C157" t="inlineStr">
        <is>
          <t>DeepSig Inc</t>
        </is>
      </c>
      <c r="D157" t="inlineStr">
        <is>
          <t>indeed</t>
        </is>
      </c>
      <c r="E157">
        <f>HYPERLINK("https://www.indeed.com/viewjob?jk=5166c93e9ea6d827", "https://www.indeed.com/viewjob?jk=5166c93e9ea6d827")</f>
        <v/>
      </c>
      <c r="F157">
        <f>HYPERLINK("https://recruiting.paylocity.com/recruiting/jobs/Details/3922609/DeepSig-Inc/Senior-Wireless-Machine-Learning-Engineer-AI-RAN?source=Indeed_Feed", "https://recruiting.paylocity.com/recruiting/jobs/Details/3922609/DeepSig-Inc/Senior-Wireless-Machine-Learning-Engineer-AI-RAN?source=Indeed_Feed")</f>
        <v/>
      </c>
      <c r="G157" t="inlineStr">
        <is>
          <t>Arlington, VA, US</t>
        </is>
      </c>
      <c r="H157" s="3" t="n">
        <v>46067</v>
      </c>
      <c r="I157" t="inlineStr">
        <is>
          <t>**Type:** Full\-Time(W2\) On\-site/Hybrid, Arlington, VA (Remote option available for the right candidate)
DeepSig is defining the future of wireless communications by merging deep learning with the Radio Access Network (RAN). We are seeking an experienced Technical Lead to architect and drive the development of our next\-generation AI\-native RAN.
In this role, you will design, prototype, and validate novel AI/ML components—such as neural receivers, neural beamforming, neural scheduling, digital twin, and ISAC (Integrated Sensing and Communications)—that outperform traditional signal processing methods. You will work at the cutting edge of 6G innovation, taking concepts from mathematical intuition to simulation (e.g. NVIDIA Sionna) and real\-time implementation.
**What You’ll be Doing**
* **Applied AI Research**: Design and train modern deep learning models (Transformers, Vision architectures, etc.) to solve complex physical layer problems, including channel estimation, MIMO detection, and beam management
* **Simulation \&amp; Validation**: Build high\-fidelity link\-level simulations using NVIDIA Sionna and ray\-tracing to train, test, and benchmark AI models against legacy 5G baselines
* **Prototyping \&amp; Deployment**: Transition research models into deployable "dApps" for the Distributed Unit (DU), optimizing inference for latency and compute efficiency on NVIDIA GPUs
* **New Capabilities**: Explore emerging AI\-RAN frontiers such as Integrated Sensing and Communications (ISAC), neural scheduling, and channel digital twins
* **Innovation \&amp; IPR**: Drive technical innovation by authoring invention disclosures, filing patents, and generating technical reports to support our standardization team in 3GPP and O\-RAN Alliance contributions
* **Data Engineering**: Architect data pipelines for generating synthetic training datasets and developing "Sim\-to\-Real" transfer techniques to ensure robust performance in real\-world networks
**Required Qualifications**
* **Education**: Ph.D. or Master’s in Computer Science, Electrical Engineering, or Applied Mathematics with a focus on Deep Learning and/or Communications Systems
* **AI/ML Expertise**: 3\+ years of experience designing and training deep neural networks from scratch. Strong grasp of modern architectures and optimization techniques
* **Applied Signal Processing**: Experience applying machine learning to real\-time time\-series data, signal processing, or physics\-based problems (Audio, RF, or similar domains)
* **Research to Code**: Proven ability to read academic papers and implement their methods in robust Python code
* **Simulation Skills**: Experience with differentiable simulation or digital twins (e.g., Sionna, JAX\-based physics sims)
**Preferred Qualifications**
* **Wireless Knowledge**: Understanding of wireless fundamentals (OFDM, MIMO, IQ data) is highly helpful, though we prioritize strong ML intuition over pure communication theory
* **Performance Optimization**: Experience with model quantization (FP16/INT8\), pruning, or using TensorRT for real\-time inference
* **Standardization Support**: Experience writing technical whitepapers or supporting patent filings in a research environment
* **C\+\+ Integration**: Ability to write C\+\+ bindings or integrate Python models into C\+\+, SIMD, and Cuda production pipelines
**Working at DeepSig**
DeepSig is growing its technical team while cultivating a collaborative, agile, and fun small\-team culture. We value creativity, knowledge sharing, and employee growth, and we encourage participation in scientific publications, conferences, and open\-source software. We offer competitive salaries and benefits, an employee stock option grant program, an environment where we are excited to be transforming and disrupting how signal processing is done with AI/ML, a welcoming and inclusive environment, a flexible schedule, and a great work / life balance.
DeepSig is an equal\-opportunity employer and does not discriminate based on race, ethnicity, religion, color, national origin, gender, sexual orientation, age, marital status, veteran status, or disability. We are dedicated to cultivating an inclusive, diverse, and engaging workplace where individuals feel fulfilled, inspired, and motivated. We value the unique perspectives that our team brings.</t>
        </is>
      </c>
    </row>
    <row r="158">
      <c r="A158" t="inlineStr">
        <is>
          <t>in-f2c8f68934d8bcff</t>
        </is>
      </c>
      <c r="B158" t="inlineStr">
        <is>
          <t>Machine Learning Engineer</t>
        </is>
      </c>
      <c r="C158" t="inlineStr">
        <is>
          <t>Dhara Consulting Group</t>
        </is>
      </c>
      <c r="D158" t="inlineStr">
        <is>
          <t>indeed</t>
        </is>
      </c>
      <c r="E158">
        <f>HYPERLINK("https://www.indeed.com/viewjob?jk=f2c8f68934d8bcff", "https://www.indeed.com/viewjob?jk=f2c8f68934d8bcff")</f>
        <v/>
      </c>
      <c r="F158">
        <f>HYPERLINK("https://www.clearancejobs.com/jobs/8757264/machine-learning-engineer", "https://www.clearancejobs.com/jobs/8757264/machine-learning-engineer")</f>
        <v/>
      </c>
      <c r="G158" t="inlineStr">
        <is>
          <t>Washington, DC, US</t>
        </is>
      </c>
      <c r="H158" s="3" t="n">
        <v>46067</v>
      </c>
      <c r="I158" t="inlineStr">
        <is>
          <t>Posted today
Public Trust
$150,000 \- $170,000
Unspecified
Construction/Facilities
Washington, DC (On\-Site/Office)
Piper Companies is currently looking for an **Machine Learning Engineer** in **Washington DC** to design, build, and operationalize scalable AI/ML solutions across a variety of mission\-critical applications. This is a hybrid role and candidates will undergo a federal background check to receive a security clearance. Candidates with a prior or active clearance are preferred.  
**Responsibilities for the** **Machine Learning Engineer****:**  
* Collaborate with data scientists and subject matter experts to design, build, and train machine learning systems
* Implement and optimize Large Language Models (LLMs), Retrieval\-Augmented Generation (RAG) systems, and AI agent architectures for enterprise use cases
* Deploy ML solutions via MLflow, AWS SageMaker, or custom APIs
* Document ML artifacts, processes, and performance outcomes clearly and comprehensively
**Qualifications for the** **Machine Learning Engineer****:**  
* 5\+ years of experience in ML Engineering or Applied Machine Learning and Python programming
* Hands\-on experience with ML frameworks (e.g., scikit\-learn, XGBoost, PyTorch, TensorFlow)
* Hands\-on experience with training frameworks such as TensorFlow, PyTorch, or Hugging Face
* Proficiency with Databricks, MLflow, and PySpark
* Practical experience building and deploying LLMs, RAGs, and AI agent systems
* Experience with AWS services such as S3, EC2, Lambda, SageMaker, and Step Functions for scalable ML workloads
**Compensation for the** **Machine Learning Engineer****:**  
* Salary Range: $150,000\-170,000 (depending on experience)
* Comprehensive benefit package; Cigna Medical, Cigna Dental, Vision, 401k w/ ADP, PTO, paid holidays, sick Leave as required by law
This job opens for applications on 2/13/26\. Applications for this job will be accepted for at least 30 days from the posting date  
\#LI\-BM2
\#LI\-HYBRID
transformers, attention mechanisms, self\-attention, multi\-head attention, positional encoding, tokenization, subword tokenization, Byte Pair Encoding (BPE), sentencepiece, embeddings, contextual embeddings, vector representations, model fine\-tuning, instruction tuning, supervised fine\-tuning (SFT), reinforcement learning from human feedback (RLHF), direct preference optimization (DPO), quantization, QLoRA, LoRA adapters, parameter\-efficient fine\-tuning (PEFT), model distillation, hallucination mitigation, prompt engineering, prompt templates, chain\-of\-thought prompting, zero\-shot inference, few\-shot learning, model latency optimization, inference serving, model sharding, distributed training, gradient checkpointing, mixed precision training, FP16, BF16, tensor parallelism, pipeline parallelism, model parallelism, GPU acceleration, CUDA kernels, vLLM, Hugging Face Transformers, tokenizer parallelization, vector databases, dense retrieval, semantic search, ANN search, FAISS, Milvus, Pinecone, Weaviate, ChromaDB, hybrid search, BM25 retrieval, chunking strategies, document splitting, embedding generation, retriever\-ranker architecture, context window management, retrieval latency, indexing pipelines, retrieval evaluators, grounding, context injection, query expansion, document reranking, relevance scoring, metadata filtering, context compression, synthetic data generation for retrieval, RAG evaluation metrics, retrieval latency optimization, MLflow Tracking, MLflow Models, MLflow Registry, MLflow Projects, experiment tracking, model lineage, model versioning, artifact storage, run metadata, autologging, reproducible ML pipelines, conda environments, model deployment, model packaging, MLflow scoring server, parameters \&amp; metrics tracking, model governance, reproducibility, A/B model comparison, deployment to REST endpoints, MLflow \+ Databricks integration, ageMaker Studio, SageMaker Notebook Instances, SageMaker Training Jobs, SageMaker Inference Endpoints, SageMaker Serverless Inference, SageMaker JumpStart, SageMaker Pipelines, SageMaker Feature Store, SageMaker Model Registry, SageMaker Experiments, SageMaker Autopilot, model monitoring, Data Wrangler, processing jobs, distributed training on SageMaker, multi\-model endpoints, batch transform, SageMaker SDK, ECR containers, IAM roles for ML, VPC\-configured training, spot training, Hugging Face DLCs, SageMaker Clarify, SageMaker Debugger, Databricks Runtime, Delta Lake, Delta Tables, Unity Catalog, Databricks Workflows, Databricks Jobs, Databricks Model Serving, Databricks Feature Store, MLflow on Databricks, Databricks Notebooks, DBFS, Photon engine, Databricks SQL, vector search in Databricks, Mosaic AI, MosaicML training, distributed compute clusters, autoscaling clusters, Lakehouse architecture, Databricks Marketplace, data ingestion pipelines, clustering policies, secret scopes, job clusters, ML runtime versions**GROUP ID:** 10430981</t>
        </is>
      </c>
    </row>
    <row r="159">
      <c r="A159" t="inlineStr">
        <is>
          <t>in-53850792eca3ab15</t>
        </is>
      </c>
      <c r="B159" t="inlineStr">
        <is>
          <t>Sr. Machine Learning Engineer, WWPS ProServe Data and Machine Learning</t>
        </is>
      </c>
      <c r="C159" t="inlineStr">
        <is>
          <t>Amazon Web Services</t>
        </is>
      </c>
      <c r="D159" t="inlineStr">
        <is>
          <t>indeed</t>
        </is>
      </c>
      <c r="E159">
        <f>HYPERLINK("https://www.indeed.com/viewjob?jk=53850792eca3ab15", "https://www.indeed.com/viewjob?jk=53850792eca3ab15")</f>
        <v/>
      </c>
      <c r="F159">
        <f>HYPERLINK("https://www.amazon.jobs/jobs/3181063/sr-machine-learning-engineer-wwps-proserve-data-and-machine-learning?cmpid=DA_INAD200785B", "https://www.amazon.jobs/jobs/3181063/sr-machine-learning-engineer-wwps-proserve-data-and-machine-learning?cmpid=DA_INAD200785B")</f>
        <v/>
      </c>
      <c r="G159" t="inlineStr">
        <is>
          <t>Herndon, VA, US</t>
        </is>
      </c>
      <c r="H159" s="3" t="n">
        <v>46062</v>
      </c>
      <c r="I159"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60">
      <c r="A160" t="inlineStr">
        <is>
          <t>in-3b7c7c06bf9919ed</t>
        </is>
      </c>
      <c r="B160" t="inlineStr">
        <is>
          <t>Sr. Machine Learning Engineer, WWPS ProServe Data and Machine Learning</t>
        </is>
      </c>
      <c r="C160" t="inlineStr">
        <is>
          <t>Amazon Web Services</t>
        </is>
      </c>
      <c r="D160" t="inlineStr">
        <is>
          <t>indeed</t>
        </is>
      </c>
      <c r="E160">
        <f>HYPERLINK("https://www.indeed.com/viewjob?jk=3b7c7c06bf9919ed", "https://www.indeed.com/viewjob?jk=3b7c7c06bf9919ed")</f>
        <v/>
      </c>
      <c r="F160">
        <f>HYPERLINK("https://www.amazon.jobs/jobs/3181063/sr-machine-learning-engineer-wwps-proserve-data-and-machine-learning?cmpid=DA_INAD200785B", "https://www.amazon.jobs/jobs/3181063/sr-machine-learning-engineer-wwps-proserve-data-and-machine-learning?cmpid=DA_INAD200785B")</f>
        <v/>
      </c>
      <c r="G160" t="inlineStr">
        <is>
          <t>Arlington, VA, US</t>
        </is>
      </c>
      <c r="H160" s="3" t="n">
        <v>46062</v>
      </c>
      <c r="I160"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61">
      <c r="A161" t="inlineStr">
        <is>
          <t>in-e5a0d0c81b0a81d3</t>
        </is>
      </c>
      <c r="B161" t="inlineStr">
        <is>
          <t>Data and Machine Learning Engineer - Vision Language Models, Data &amp; Machine Learning (DML)</t>
        </is>
      </c>
      <c r="C161" t="inlineStr">
        <is>
          <t>Amazon Web Services</t>
        </is>
      </c>
      <c r="D161" t="inlineStr">
        <is>
          <t>indeed</t>
        </is>
      </c>
      <c r="E161">
        <f>HYPERLINK("https://www.indeed.com/viewjob?jk=e5a0d0c81b0a81d3", "https://www.indeed.com/viewjob?jk=e5a0d0c81b0a81d3")</f>
        <v/>
      </c>
      <c r="F161">
        <f>HYPERLINK("https://www.amazon.jobs/jobs/3173014/data-and-machine-learning-engineer--vision-language-models-data--machine-learning-dml?cmpid=DA_INAD200785B", "https://www.amazon.jobs/jobs/3173014/data-and-machine-learning-engineer--vision-language-models-data--machine-learning-dml?cmpid=DA_INAD200785B")</f>
        <v/>
      </c>
      <c r="G161" t="inlineStr">
        <is>
          <t>Herndon, VA, US</t>
        </is>
      </c>
      <c r="H161" s="3" t="n">
        <v>46051</v>
      </c>
      <c r="I16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62">
      <c r="A162" t="inlineStr">
        <is>
          <t>in-abd9aefc2b06e8a8</t>
        </is>
      </c>
      <c r="B162" t="inlineStr">
        <is>
          <t>Data and Machine Learning Engineer - Vision Language Models, Data &amp; Machine Learning (DML)</t>
        </is>
      </c>
      <c r="C162" t="inlineStr">
        <is>
          <t>Amazon Web Services</t>
        </is>
      </c>
      <c r="D162" t="inlineStr">
        <is>
          <t>indeed</t>
        </is>
      </c>
      <c r="E162">
        <f>HYPERLINK("https://www.indeed.com/viewjob?jk=abd9aefc2b06e8a8", "https://www.indeed.com/viewjob?jk=abd9aefc2b06e8a8")</f>
        <v/>
      </c>
      <c r="F162">
        <f>HYPERLINK("https://www.amazon.jobs/jobs/3173014/data-and-machine-learning-engineer--vision-language-models-data--machine-learning-dml?cmpid=DA_INAD200785B", "https://www.amazon.jobs/jobs/3173014/data-and-machine-learning-engineer--vision-language-models-data--machine-learning-dml?cmpid=DA_INAD200785B")</f>
        <v/>
      </c>
      <c r="G162" t="inlineStr">
        <is>
          <t>Arlington, VA, US</t>
        </is>
      </c>
      <c r="H162" s="3" t="n">
        <v>46051</v>
      </c>
      <c r="I16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63">
      <c r="A163" t="inlineStr">
        <is>
          <t>in-62c16e60edb5fafa</t>
        </is>
      </c>
      <c r="B163" t="inlineStr">
        <is>
          <t>Machine Learning Engineer, WWPS ProServe Data and Machine Learning</t>
        </is>
      </c>
      <c r="C163" t="inlineStr">
        <is>
          <t>Amazon Web Services</t>
        </is>
      </c>
      <c r="D163" t="inlineStr">
        <is>
          <t>indeed</t>
        </is>
      </c>
      <c r="E163">
        <f>HYPERLINK("https://www.indeed.com/viewjob?jk=62c16e60edb5fafa", "https://www.indeed.com/viewjob?jk=62c16e60edb5fafa")</f>
        <v/>
      </c>
      <c r="F163">
        <f>HYPERLINK("https://www.amazon.jobs/jobs/3168182/machine-learning-engineer-wwps-proserve-data-and-machine-learning?cmpid=DA_INAD200785B", "https://www.amazon.jobs/jobs/3168182/machine-learning-engineer-wwps-proserve-data-and-machine-learning?cmpid=DA_INAD200785B")</f>
        <v/>
      </c>
      <c r="G163" t="inlineStr">
        <is>
          <t>Herndon, VA, US</t>
        </is>
      </c>
      <c r="H163" s="3" t="n">
        <v>46044</v>
      </c>
      <c r="I16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64">
      <c r="A164" t="inlineStr">
        <is>
          <t>in-1de3b99d89edcec9</t>
        </is>
      </c>
      <c r="B164" t="inlineStr">
        <is>
          <t>Machine Learning Engineer, WWPS ProServe Data and Machine Learning</t>
        </is>
      </c>
      <c r="C164" t="inlineStr">
        <is>
          <t>Amazon Web Services</t>
        </is>
      </c>
      <c r="D164" t="inlineStr">
        <is>
          <t>indeed</t>
        </is>
      </c>
      <c r="E164">
        <f>HYPERLINK("https://www.indeed.com/viewjob?jk=1de3b99d89edcec9", "https://www.indeed.com/viewjob?jk=1de3b99d89edcec9")</f>
        <v/>
      </c>
      <c r="F164">
        <f>HYPERLINK("https://www.amazon.jobs/jobs/3168182/machine-learning-engineer-wwps-proserve-data-and-machine-learning?cmpid=DA_INAD200785B", "https://www.amazon.jobs/jobs/3168182/machine-learning-engineer-wwps-proserve-data-and-machine-learning?cmpid=DA_INAD200785B")</f>
        <v/>
      </c>
      <c r="G164" t="inlineStr">
        <is>
          <t>Arlington, VA, US</t>
        </is>
      </c>
      <c r="H164" s="3" t="n">
        <v>46044</v>
      </c>
      <c r="I16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65">
      <c r="A165" t="inlineStr">
        <is>
          <t>in-6a8b214ab1c74113</t>
        </is>
      </c>
      <c r="B165" t="inlineStr">
        <is>
          <t>ML Engineer, GO-AI Technology &amp; Development Team</t>
        </is>
      </c>
      <c r="C165" t="inlineStr">
        <is>
          <t>Amazon.com</t>
        </is>
      </c>
      <c r="D165" t="inlineStr">
        <is>
          <t>indeed</t>
        </is>
      </c>
      <c r="E165">
        <f>HYPERLINK("https://www.indeed.com/viewjob?jk=6a8b214ab1c74113", "https://www.indeed.com/viewjob?jk=6a8b214ab1c74113")</f>
        <v/>
      </c>
      <c r="F165">
        <f>HYPERLINK("https://www.amazon.jobs/jobs/3173298/ml-engineer-goai-technology--development-team?cmpid=DA_INAD200785B", "https://www.amazon.jobs/jobs/3173298/ml-engineer-goai-technology--development-team?cmpid=DA_INAD200785B")</f>
        <v/>
      </c>
      <c r="G165" t="inlineStr">
        <is>
          <t>Seattle, WA, US</t>
        </is>
      </c>
      <c r="H165" s="3" t="n">
        <v>45998</v>
      </c>
      <c r="I16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66">
      <c r="A166" t="inlineStr">
        <is>
          <t>in-df0d701b71713467</t>
        </is>
      </c>
      <c r="B166" t="inlineStr">
        <is>
          <t>ML Engineer, GO-AI Technology &amp; Development Team</t>
        </is>
      </c>
      <c r="C166" t="inlineStr">
        <is>
          <t>Amazon.com</t>
        </is>
      </c>
      <c r="D166" t="inlineStr">
        <is>
          <t>indeed</t>
        </is>
      </c>
      <c r="E166">
        <f>HYPERLINK("https://www.indeed.com/viewjob?jk=df0d701b71713467", "https://www.indeed.com/viewjob?jk=df0d701b71713467")</f>
        <v/>
      </c>
      <c r="F166">
        <f>HYPERLINK("https://www.amazon.jobs/jobs/3173298/ml-engineer-goai-technology--development-team?cmpid=DA_INAD200785B", "https://www.amazon.jobs/jobs/3173298/ml-engineer-goai-technology--development-team?cmpid=DA_INAD200785B")</f>
        <v/>
      </c>
      <c r="G166" t="inlineStr">
        <is>
          <t>Westborough, MA, US</t>
        </is>
      </c>
      <c r="H166" s="3" t="n">
        <v>45998</v>
      </c>
      <c r="I16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67">
      <c r="A167" t="inlineStr">
        <is>
          <t>in-40ba09214632c8ac</t>
        </is>
      </c>
      <c r="B167" t="inlineStr">
        <is>
          <t>ML Engineer, GO-AI Technology &amp; Development Team</t>
        </is>
      </c>
      <c r="C167" t="inlineStr">
        <is>
          <t>Amazon.com</t>
        </is>
      </c>
      <c r="D167" t="inlineStr">
        <is>
          <t>indeed</t>
        </is>
      </c>
      <c r="E167">
        <f>HYPERLINK("https://www.indeed.com/viewjob?jk=40ba09214632c8ac", "https://www.indeed.com/viewjob?jk=40ba09214632c8ac")</f>
        <v/>
      </c>
      <c r="F167">
        <f>HYPERLINK("https://www.amazon.jobs/jobs/3173298/ml-engineer-goai-technology--development-team?cmpid=DA_INAD200785B", "https://www.amazon.jobs/jobs/3173298/ml-engineer-goai-technology--development-team?cmpid=DA_INAD200785B")</f>
        <v/>
      </c>
      <c r="G167" t="inlineStr">
        <is>
          <t>Boston, MA, US</t>
        </is>
      </c>
      <c r="H167" s="3" t="n">
        <v>45998</v>
      </c>
      <c r="I16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68">
      <c r="A168" t="inlineStr">
        <is>
          <t>in-5a8b2b14a602afd3</t>
        </is>
      </c>
      <c r="B168" t="inlineStr">
        <is>
          <t>ML Engineer, GO-AI Technology &amp; Development Team</t>
        </is>
      </c>
      <c r="C168" t="inlineStr">
        <is>
          <t>Amazon.com</t>
        </is>
      </c>
      <c r="D168" t="inlineStr">
        <is>
          <t>indeed</t>
        </is>
      </c>
      <c r="E168">
        <f>HYPERLINK("https://www.indeed.com/viewjob?jk=5a8b2b14a602afd3", "https://www.indeed.com/viewjob?jk=5a8b2b14a602afd3")</f>
        <v/>
      </c>
      <c r="F168">
        <f>HYPERLINK("https://www.amazon.jobs/jobs/3173298/ml-engineer-goai-technology--development-team?cmpid=DA_INAD200785B", "https://www.amazon.jobs/jobs/3173298/ml-engineer-goai-technology--development-team?cmpid=DA_INAD200785B")</f>
        <v/>
      </c>
      <c r="G168" t="inlineStr">
        <is>
          <t>Reading, MA, US</t>
        </is>
      </c>
      <c r="H168" s="3" t="n">
        <v>45998</v>
      </c>
      <c r="I16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li-4373285083</t>
        </is>
      </c>
      <c r="B2" t="inlineStr">
        <is>
          <t>AI Engineer &amp; Data Engineer - Head of AI Engineering / Lead Data Engineering</t>
        </is>
      </c>
      <c r="C2" t="inlineStr">
        <is>
          <t>Aventis Solutions</t>
        </is>
      </c>
      <c r="D2" t="inlineStr">
        <is>
          <t>linkedin</t>
        </is>
      </c>
      <c r="E2" t="inlineStr"/>
      <c r="F2" t="inlineStr"/>
      <c r="G2" t="inlineStr">
        <is>
          <t>Miami, FL</t>
        </is>
      </c>
      <c r="H2" t="inlineStr"/>
      <c r="I2" t="inlineStr">
        <is>
          <t>We are exclusively partnering with a leading financial services firm to appoint a Head of AI Engineering \&amp; Data Engineering to lead the design and build of the firm’s AI knowledge platform and data intelligence architecture.
 This is a high\-impact, build\-first mandate. You will architect and scale enterprise AI systems that power underwriting, portfolio analytics, and investment decision\-making across the platform.
**Key Details:** 
* **Location:** 
 Miami, FL (Hybrid model)
* **Compensation:** 
 $170,000 – $240,000 base salary \+
 performance\-based annual bonus
* **Level:** 
 Lead / Head of Function
* **Future Outlook:** 
 This role is designed to evolve. You will become the technical authority for AI across the firm, shaping standards, governance, architecture, and long\-term AI strategy. As adoption scales, this position naturally progresses into leading AI transformation at the enterprise level, influencing how data and intelligence are embedded into every investment workflow.
**Key Technology Stack \&amp; Skills Required:** 
* **LLM \&amp; AI Engineering:** 
 Azure OpenAI, OpenAI, Anthropic Claude, production\-grade RAG architecture, embeddings, retrieval strategies
* **Orchestration Frameworks:** 
 LangChain, LlamaIndex, Semantic Kernel
* **Vector \&amp; Data Platforms:** 
 Pinecone, Cosmos DB (vector), Azure AI Search
* **Data Engineering:** 
 SQL / Azure SQL, graph data modeling, Microsoft Fabric (Lakehouse, pipelines, analytics)
* **Backend Engineering:** 
 Python (FastAPI), Node.js, secure API architecture, async processing, distributed systems
* **Cloud \&amp; DevOps:** 
 Azure\-first deployments, CI/CD pipelines, observability, governance frameworks
* **Domain Exposure:** 
 Financial services
**Role Overview** 
 As Lead/Head of AI \&amp; Data Engineering, you will own the architecture and implementation of Rialto’s AI knowledge platform and investment analytics ecosystem. Sitting at the intersection of AI engineering, data engineering, and backend systems design, you will build scalable middleware and AI\-ready data infrastructure that supports LLM\-driven applications, knowledge ingestion pipelines, vector search, graph intelligence, and analytical modelling.
 You will transform internal and third\-party financial datasets into secure, auditable, production\-grade AI systems that directly support underwriting, portfolio management, and investment decision\-making.
 This is a hands\-on technical leadership role across AI engineering, data engineering, backend development, or applied machine learning, with at least 2\-3 years in a leadership capacity.
**Interested?** 
 Please apply with your CV and/or message Billy Hall with further details.
 Aventis is working on behalf of its partner</t>
        </is>
      </c>
    </row>
    <row r="3">
      <c r="A3" t="inlineStr">
        <is>
          <t>li-4332959084</t>
        </is>
      </c>
      <c r="B3" t="inlineStr">
        <is>
          <t>AI Engineer (Applied Scientist) III</t>
        </is>
      </c>
      <c r="C3" t="inlineStr">
        <is>
          <t>Cedar</t>
        </is>
      </c>
      <c r="D3" t="inlineStr">
        <is>
          <t>linkedin</t>
        </is>
      </c>
      <c r="E3" t="inlineStr"/>
      <c r="F3" t="inlineStr"/>
      <c r="G3" t="inlineStr"/>
      <c r="H3" t="inlineStr"/>
      <c r="I3"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seeking an
 **AI Engineer** 
**/Applied Scientist III** 
 to join our team and help build and optimize product features powered by generative AI
 . Our goal is to use AI to drive bill clarity for patients and streamline workflows for our customers, which are large healthcare systems across the US. 
 This role is for the Support/Kora squad, where you will work on Kora, an AI Voice Agent purpose\-built for patient billing, which is the central product for our Cedar Support offering. In this role, you will develop a deep understanding of Cedar’s data and workflows and utilize your skillset in rigorous data analysis combined with production\-level coding and rapid execution to design, build, and improve the AI workflows that solve problems for patients via the voice medium.  
**Responsibilities:** 
* Dive into unstructured data with finesse and rigor, combining quantitative and qualitative approaches to solve complex problems. This data can include call transcripts, patient account details, and more
* Design robust experiment plans that allow you to rapidly test hypotheses and solve problems that will lead to an improved patient experience (and execute these plans!)
* Build and enhance features for our AI Voice Agent, Kora – utilizing your skillset in production\-level coding as well as prompt and context engineering
* Measure and track the impact of the new features and enhancements that you build, displaying a strong ownership mentality as you continue to iterate on Kora based on your results and findings
* Partner closely with other scientists, engineers, designers, and product counterparts to solve problems as a team
* Work in a fast\-paced environment where we cheer each other on as we find small ways to make the patient experience a little bit better every day, while we work towards our ultimate goal to transform the healthcare financial experience
**Skills and Experience:** 
* 3 or more years of full\-time experience working in a structured product development environment on a product that had frequent releases (i.e., regular updates with enhancements, bug fixes, and new features)
* Experience collaborating with partners from different job functions, and the ability to translate business requirements into technical builds
* A strong understanding of both the scientific method and software engineering principles, with a proven ability to balance experimental rigor and rapid production deployment
* Experience with modern programming languages (in this role, you’ll use both Python and Typescript)
* Ability to thrive in an entrepreneurial environment, showing a tendency toward speed and action while achieving clarity from ambiguity
* A passion not only for AI, but also in the application of AI to solve real problems for real users.
 If you are a match for this role, you’ll feel comfortable diving deep into the data to figure out the best way to solve a particular user problem, presenting your findings, incorporating updates based on feedback, and implementing your solution in code. Ultimately doing all of this to make a
 tangible difference for users
* You are excited by the opportunity to use your combined skillset in data science and AI engineering to make a true impact on patient lives
**Compensation Range and Benefits** 
* Salary/Hourly Rate Range\*: $170,000 \- $200,000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4">
      <c r="A4" t="inlineStr">
        <is>
          <t>li-4292579407</t>
        </is>
      </c>
      <c r="B4" t="inlineStr">
        <is>
          <t>Applied Scientist II, Prime Video Recommendation/Search Science</t>
        </is>
      </c>
      <c r="C4" t="inlineStr">
        <is>
          <t>Prime Video &amp; Amazon MGM Studios</t>
        </is>
      </c>
      <c r="D4" t="inlineStr">
        <is>
          <t>linkedin</t>
        </is>
      </c>
      <c r="E4" t="inlineStr"/>
      <c r="F4" t="inlineStr"/>
      <c r="G4" t="inlineStr">
        <is>
          <t>Seattle, WA</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5">
      <c r="A5" t="inlineStr">
        <is>
          <t>li-4337128962</t>
        </is>
      </c>
      <c r="B5" t="inlineStr">
        <is>
          <t>Senior/Lead Applied Scientist, Responsible AI</t>
        </is>
      </c>
      <c r="C5" t="inlineStr">
        <is>
          <t>Salesforce</t>
        </is>
      </c>
      <c r="D5" t="inlineStr">
        <is>
          <t>linkedin</t>
        </is>
      </c>
      <c r="E5" t="inlineStr"/>
      <c r="F5" t="inlineStr"/>
      <c r="G5" t="inlineStr">
        <is>
          <t>Palo Alto, CA</t>
        </is>
      </c>
      <c r="H5" t="inlineStr"/>
      <c r="I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seeking a forward\-thinking and accomplished Applied Scientist with deep expertise in AI fairness, accountability, transparency, and explainability (FATE). In this high\-impact role, you will operate at the forefront of responsible AI development, working closely with research scientists and engineers in AI Research, as well as cross\-functional partners in Responsible AI, Agentforce, and other teams across Salesforce.
 You will lead the design and implementation of Trust Layer models, as well as RAI tools and frameworks that ensure our AI systems are fair, accountable, and transparent. Using advanced machine learning techniques, you’ll generate actionable insights, drive research excellence, and support responsible AI practices across the full development lifecycle—from experimentation to production deployment.
 We’re looking for a principled and collaborative thought leader who is passionate about bridging the gap between innovation and ethical implementation. You will engage with interdisciplinary teams, strategic partners, vendors, and customers while upholding Salesforce’s core values: trust, customer success, equality, innovation, and sustainability.
 Check out our website to learn more about the Salesforce AI Research team https://www.salesforceairesearch.com
**Job Responsibilities**
* Build state\-of\-the\-art LLM safeguards for enterprise.
* Analyze data and models to identify potential trust and safety issues; define testing protocols for different data types and model architectures; recommend mitigation strategies, tooling investments, and safe thresholds for deployment.
* Define technical goals and guide research/engineering teams on responsible AI best practices. Offer development support and thought leadership on critical ethical tradeoffs in algorithmic design.
* Contribute to the development and adoption of libraries and tools that support evaluation, testing, and mitigation of risks. Build features that enhance explainability and user trust in model outputs.
* Collaborate with industry leaders in similar positions in peer organizations on ways to improve the state of responsible AI development.
**Minimum Qualifications**
* Practical experience in machine learning
* MS or Ph.D. in a quantitative discipline with 3\+ years of industrial experience, or a BS in a quantitative discipline with 5\+ years of industrial experience.
* Fluent in building/prototyping machine learning models and algorithms and wrangling large datasets.
* Proficient in using Python and common machine learning frameworks (e.g., TensorFlow, PyTorch) and AI tools to implement models and algorithms.
* Up to date on the evolution of trusted AI and ability to meet both state\-of\-the\-art and global standards for evaluation, particularly in generative AI.
* Experience working across teams of engineers, data scientists, and researchers.
* Strong communication skills. Comfortable presenting ideas to peers, cross\-functional groups, and executives in multiple formats, from slide decks to informal chats.
* Builds trusted relationships across all levels, both internally and externally. Thoughtfully challenges the status quo to enhance team productivity, effectiveness, and culture while maintaining strong, positive partnerships.
* Ability to creatively prioritize, stage, and sequence solutions to challenging/complex problems.
* Demonstrated experience with actually shipping code, getting data science into production.
* Passion for the idea that technology can be a force for social good and for ethics and fairness.
**Preferred Qualifications**
* Strong experience leading multi\-disciplinary teams driving significant business results.
* Knowledge of enterprise SaaS space.
* Experience with designing and building micro\-services, familiar with Kubernetes/containerization/RESTful API/gRPC, etc.
* Proficient in SQL, shell scripting, and Unix/Linux command\-line tools.
* Strong publications at top AI conferences.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$313,700 annually. In select cities within the San Francisco and New York City metropolitan area, the base salary range for this role is $178,900 \- $344,700 annually. The range represents base salary only, and does not include company bonus, incentive for sales roles, equity or benefits, as applicable.</t>
        </is>
      </c>
    </row>
    <row r="6">
      <c r="A6" t="inlineStr">
        <is>
          <t>li-4349056174</t>
        </is>
      </c>
      <c r="B6" t="inlineStr">
        <is>
          <t>Senior Applied Scientist – Research Products</t>
        </is>
      </c>
      <c r="C6" t="inlineStr">
        <is>
          <t>Thomson Reuters</t>
        </is>
      </c>
      <c r="D6" t="inlineStr">
        <is>
          <t>linkedin</t>
        </is>
      </c>
      <c r="E6" t="inlineStr"/>
      <c r="F6" t="inlineStr"/>
      <c r="G6" t="inlineStr">
        <is>
          <t>Frisco, TX</t>
        </is>
      </c>
      <c r="H6" t="inlineStr"/>
      <c r="I6" t="inlineStr">
        <is>
          <t>Are you excited about working at the forefront of applied research in an industry setting? Thomson Reuters Labs in the USA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in informational retrieval and natural language processing. We work closely with product and domain experts to identify compelling solutions at the intersection of user needs and technical feasibility. Our team is designing the next generation of research technology for Legal and Tax Professionals globally. We drive AI innovation for Thomson Reuters’ Core Research Products, including Westlaw, Practical Law, and Checkpoint.
**About The Role**
 Senior Applied Scientists are experts in Machine Learning / NLP, responsible for the design and delivery of AI solutions that enhance Thomson Reuters' products. They leverage information retrieval techniques, agentic workflows, and extensive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2\+ years experience building customer\-facing products with generative AI
* 1\+ years experience building agentic AI systems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$137,100 USD \- $254,700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03/31/2026\.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7">
      <c r="A7" t="inlineStr">
        <is>
          <t>li-4312073984</t>
        </is>
      </c>
      <c r="B7" t="inlineStr">
        <is>
          <t>Machine Learning Engineer, Distributed &amp; Scalable Training</t>
        </is>
      </c>
      <c r="C7" t="inlineStr">
        <is>
          <t>Lila Sciences</t>
        </is>
      </c>
      <c r="D7" t="inlineStr">
        <is>
          <t>linkedin</t>
        </is>
      </c>
      <c r="E7" t="inlineStr"/>
      <c r="F7" t="inlineStr"/>
      <c r="G7" t="inlineStr">
        <is>
          <t>Cambridge, MA</t>
        </is>
      </c>
      <c r="H7" t="inlineStr"/>
      <c r="I7" t="inlineStr">
        <is>
          <t>**Your Impact at Lila**
 We’re seeking a ML Engineer specializing in
 **distributed and scalable training** 
 . You’ll design and maintain large\-scale training systems, optimize performance for massive models, and integrate cutting\-edge techniques to improve efficiency and throughput.
**What You’ll Be Building**
* Ray\-based distributed training infrastructure for LLMs and multi\-modal models.
* Performance optimizations for large\-scale model training including training and optimization workflows (SFT, MoE, long\-context scaling).
* Orchestrate frontier and open source LLMs along with complex compute\-intensive tool use
* Scalable pipelines for data preprocessing and experiment orchestration, including tools for efficient data loading, pipeline parallelism, and optimizer tuning.
* System\-level performance benchmarks and debugging utilities.
**What You’ll Need To Succeed**
* Proven experience with distributed ML training frameworks (Megatron\-LM, TorchTitan, DeepSpeed, Ray).
* Strong software engineering skills (Python, C\+\+ kernel contributions are a plus).
* Understanding of large\-scale model training techniques.
* Experience with cloud or HPC environments.
**Bonus Points For**
* Prior work with scientific datasets or domain\-specific modeling.
* Contributions to open\-source ML frameworks.
**Location**
 San Francisco, CA or Cambridge, MA (Hybrid and On\-Site available depending on team needs).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**$116,000–$170,000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8">
      <c r="A8" t="inlineStr">
        <is>
          <t>li-4373280283</t>
        </is>
      </c>
      <c r="B8" t="inlineStr">
        <is>
          <t>ML Engineer/AI Engineer</t>
        </is>
      </c>
      <c r="C8" t="inlineStr">
        <is>
          <t>Wiraa</t>
        </is>
      </c>
      <c r="D8" t="inlineStr">
        <is>
          <t>linkedin</t>
        </is>
      </c>
      <c r="E8" t="inlineStr"/>
      <c r="F8" t="inlineStr"/>
      <c r="G8" t="inlineStr"/>
      <c r="H8" t="inlineStr"/>
      <c r="I8" t="inlineStr">
        <is>
          <t>**About The Company**
 Acentra Health exists to empower better health outcomes through innovative technology, comprehensive services, and clinical expertise. Our mission is to develop and deliver health solutions that maximize value and impact, transforming healthcare delivery and improving patient outcomes. At Acentra Health, we believe in leading the way by fostering a culture of problem\-solving, ownership, and continuous improvement. Our team comprises passionate professionals dedicated to being a vital partner for health solutions in the public sector, offering unparalleled opportunities for career growth and meaningful contributions. We are committed to creating an inclusive environment where innovation thrives and every team member can make a tangible difference in healthcare.
**About The Role**
 We are seeking a skilled Machine Learning Engineer/AI Engineer to join our dynamic team remotely, with preferred candidates based in Raleigh/Durham/Cary, NC or the DC area. In this role, you will operate at the intersection of applied AI, data science, and software engineering, focusing on building, optimizing, and deploying machine learning (ML) and large language model (LLM) solutions. Your work will emphasize generative AI (GenAI), retrieval\-augmented generation (RAG), and natural language processing (NLP) to drive innovation, enhance healthcare outcomes, and streamline operational efficiencies. The ideal candidate will have proven experience deploying ML/LLM solutions in production environments, familiarity with MLOps/LLMOps practices, and a strong aptitude for mentoring engineering teams. This role offers a unique opportunity to influence healthcare technology through scalable, compliant, and impactful AI solutions, making a real difference in patient care and health systems.
**Qualifications**
* Bachelor’s degree in Computer Science, Data Science, or a related field (Master’s or PhD preferred)
* 4\+ years of experience as an ML/AI Engineer with demonstrated applied AI/LLM deployments
* Proficiency in Python and ML/AI frameworks such as TensorFlow, PyTorch, Hugging Face, scikit\-learn
* Hands\-on experience with large language models, embeddings, vector databases, and RAG pipelines
* Cloud experience with AWS and Azure for deploying and managing AI systems
* Familiarity with MLOps/LLMOps practices, including CI/CD pipelines, version control, monitoring, and governance
* Experience deploying ML/LLM solutions within healthcare or other regulated environments
* Excellent communication skills and experience mentoring engineering teams
 Preferred qualifications include experience with LangChain, LlamaIndex, or agentic AI frameworks, knowledge of healthcare data standards such as HL7 and FHIR, and understanding of HIPAA compliance requirements.
**Responsibilities**
* Design, develop, and deploy LLM\-powered applications such as summarization tools, intelligent assistants, document processing systems, and automation workflows
* Develop APIs and integrate AI solutions across full\-stack applications to ensure seamless functionality
* Build and optimize retrieval\-augmented generation pipelines utilizing embeddings and vector databases like Pinecone, Weaviate, or FAISS
* Support and maintain ML pipelines, including data preparation, training workflows, and deployment processes
* Implement and uphold MLOps/LLMOps best practices, including CI/CD pipelines, model versioning, performance monitoring, and governance
* Mentor and coach engineers on solution architecture, AI best practices, and applied AI strategies
* Collaborate with business and product teams to translate requirements into effective AI solutions that meet organizational goals
* Stay current on advancements in LLMs, GenAI, compliance standards (HIPAA, GDPR, FDA), and industry best practices
* Ensure all AI solutions adhere to corporate policies, including data privacy and security regulations
**Benefits**
* Comprehensive health insurance plans
* Paid time off and holidays
* Retirement savings plans
* Corporate wellness programs
* Educational assistance and professional development opportunities
* Corporate discounts and employee perks
* Flexible remote work arrangements
 Equal Opportunity
 Acentra Health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protected characteristic under applicable law.</t>
        </is>
      </c>
    </row>
    <row r="9">
      <c r="A9" t="inlineStr">
        <is>
          <t>li-4310261742</t>
        </is>
      </c>
      <c r="B9" t="inlineStr">
        <is>
          <t>Machine Learning Engineer, End-to-end Autonomy</t>
        </is>
      </c>
      <c r="C9" t="inlineStr">
        <is>
          <t>Woven by Toyota</t>
        </is>
      </c>
      <c r="D9" t="inlineStr">
        <is>
          <t>linkedin</t>
        </is>
      </c>
      <c r="E9" t="inlineStr"/>
      <c r="F9" t="inlineStr"/>
      <c r="G9" t="inlineStr">
        <is>
          <t>Palo Alto, CA</t>
        </is>
      </c>
      <c r="H9" t="inlineStr"/>
      <c r="I9"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Support the design and development of ML models or model components for end\-to\-end autonomous driving: ranging from initial data strategy, design, development, experimentation, evaluation and deployment;
* Able to navigate ambiguities and address uncertainties arising from complex projects involving multiple teams and legacy codebases;
* Writes high\-quality code while being rigorous with Machine Learning experimentation;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Experience with data sampling and data curation pipelines for autonomous driving datasets
* Experience in state of the art architectures for end\-to\-end autonomous driving
* Experience in ML workflows: data sampling and curation, pre\-processing, model training, ablation studies, evaluation, deployment, inference optimization
* Python and C\+\+ experience
* Experience with infrastructure for large scale datasets and distributed model training
* Experience working with a modern cloud service (AWS, GCP, Azure etc.)
**Nice to Have**
* Hands\-on experience with autonomous driving systems
* Experience with model deployment with NVIDIA stack (e.g. ONNX graphs, TensorRT, profiling)
* Familiarity with recent breakthroughs in ML (e.g. foundation models, pre\-training and efficient fine\-tuning, multimodal Transformer architectures)
* Knowledge of autonomous driving large scale data curation pipelines
 For positions based in Palo Alto, CA, the base pay ranges from $112,000\- $184,000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10">
      <c r="A10" t="inlineStr">
        <is>
          <t>li-4310260811</t>
        </is>
      </c>
      <c r="B10" t="inlineStr">
        <is>
          <t>Machine Learning Engineer, End-to-end Autonomy</t>
        </is>
      </c>
      <c r="C10" t="inlineStr">
        <is>
          <t>Woven by Toyota</t>
        </is>
      </c>
      <c r="D10" t="inlineStr">
        <is>
          <t>linkedin</t>
        </is>
      </c>
      <c r="E10" t="inlineStr"/>
      <c r="F10" t="inlineStr"/>
      <c r="G10" t="inlineStr">
        <is>
          <t>Ann Arbor, MI</t>
        </is>
      </c>
      <c r="H10" t="inlineStr"/>
      <c r="I10"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Support the design and development of ML models or model components for end\-to\-end autonomous driving: ranging from initial data strategy, design, development, experimentation, evaluation and deployment;
* Able to navigate ambiguities and address uncertainties arising from complex projects involving multiple teams and legacy codebases;
* Writes high\-quality code while being rigorous with Machine Learning experimentation;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Experience with data sampling and data curation pipelines for autonomous driving datasets
* Experience in state of the art architectures for end\-to\-end autonomous driving
* Experience in ML workflows: data sampling and curation, pre\-processing, model training, ablation studies, evaluation, deployment, inference optimization
* Python and C\+\+ experience
* Experience with infrastructure for large scale datasets and distributed model training
* Experience working with a modern cloud service (AWS, GCP, Azure etc.)
**Nice to Have**
* Hands\-on experience with autonomous driving systems
* Experience with model deployment with NVIDIA stack (e.g. ONNX graphs, TensorRT, profiling)
* Familiarity with recent breakthroughs in ML (e.g. foundation models, pre\-training and efficient fine\-tuning, multimodal Transformer architectures)
* Knowledge of autonomous driving large scale data curation pipelines
 For positions based in Palo Alto, CA, the base pay ranges from $112,000\- $184,000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11">
      <c r="A11" t="inlineStr">
        <is>
          <t>li-4267570232</t>
        </is>
      </c>
      <c r="B11" t="inlineStr">
        <is>
          <t>Machine Learning Engineer, 3D Simulation</t>
        </is>
      </c>
      <c r="C11" t="inlineStr">
        <is>
          <t>Zoox</t>
        </is>
      </c>
      <c r="D11" t="inlineStr">
        <is>
          <t>linkedin</t>
        </is>
      </c>
      <c r="E11" t="inlineStr"/>
      <c r="F11" t="inlineStr"/>
      <c r="G11" t="inlineStr">
        <is>
          <t>Seattle, WA</t>
        </is>
      </c>
      <c r="H11" t="inlineStr"/>
      <c r="I11" t="inlineStr">
        <is>
          <t>The 3D Simulation group at Zoox is looking for machine learning engineers to bring the latest research in 3D vision to improve diversity and blur the line between simulation and reality. You will have access to the best sensor data in the world and an incredible infrastructure for testing and validating your algorithms. Our ML group is working on generating rich and diverse 3D environments, humans, and environmental conditions, and you will be able to contribute to all of these.
**In This Role, You Will**
* Research, implement, and optimize state of the art machine learning approaches to improve simulation variation and fidelity
* Collaborate with ML Researchers, Technical Artists and Simulation engineers to bring new ML techniques to our production simulator
* Build scalable, useable cloud pipelines for machine learning solutions in 3D simulation
* Improve rendering and tooling for generating realistic data at scale
**Qualifications**
* 3\+ years of experience with programming and algorithm design
* Fluency in Python and C\+\+
* Experience building and extending radiance field ML models
* Publications or production experience in human\-centric 3D vision, 3D reconstruction, or style transfer
* Strong mathematical skills and understanding of probabilistic techniques
**Bonus Qualifications**
* Bachelor's, Master's or PhD in computer science, mathematics, physics, or related field
* Publications in your field (CVPR, ICCV, RSS, ICRA preferred)
* Experience with generative models for 3D or video content
* Experience automating 3D content pipelines using applications like Houdini, Maya, or Blender
* Experience in distributed systems and cloud computing platforms
* Experience in generative camera, lidar, radar, or LWIR
 $151,000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li-4373283079</t>
        </is>
      </c>
      <c r="B12" t="inlineStr">
        <is>
          <t>Machine Learning Engineer</t>
        </is>
      </c>
      <c r="C12" t="inlineStr">
        <is>
          <t>Wiraa</t>
        </is>
      </c>
      <c r="D12" t="inlineStr">
        <is>
          <t>linkedin</t>
        </is>
      </c>
      <c r="E12" t="inlineStr"/>
      <c r="F12" t="inlineStr"/>
      <c r="G12" t="inlineStr"/>
      <c r="H12" t="inlineStr"/>
      <c r="I12" t="inlineStr">
        <is>
          <t>**About The Company**
 Waymo is a pioneering autonomous driving technology company dedicated to transforming mobility and saving lives through innovative solutions. Originating from the Google Self\-Driving Car Project in 2009, Waymo has established itself as a leader in autonomous vehicle technology with the mission to be the world's most trusted driver. The company's core focus is on developing the Waymo Driver, the world's most experienced driver, which powers its fully autonomous ride\-hail service and can be integrated across various vehicle platforms and use cases. With over ten million rider\-only trips completed and autonomous driving over 100 million miles on public roads across more than 15 states, Waymo continues to push the boundaries of safe and reliable autonomous transportation. The company's commitment to safety, innovation, and collaboration drives its ongoing efforts to improve access to mobility and reduce traffic\-related fatalities.
**About The Role**
 We are seeking a highly skilled and innovative Machine Learning Engineer to join our AI Foundations team. This role involves working on cutting\-edge machine learning solutions to address complex open problems in autonomous driving. The successful candidate will lead the development of evaluation systems and benchmarks for Waymo's foundational models, covering all stages from pretraining and supervised fine\-tuning to reinforcement learning. You will collaborate with cross\-functional teams to implement scalable data pipelines, develop robust evaluation frameworks, and contribute to the deployment of disruptive AI technologies in real\-world autonomous systems. Reporting to a Senior Staff Software Engineer, this position offers a hybrid work schedule, providing flexibility while engaging in impactful projects that shape the future of autonomous mobility.
**Qualifications**
* Master's degree or PhD in Computer Science, Electrical Engineering, or a related technical field
* Minimum of 5\+ years of experience in machine learning engineering and applied deep learning
* Proven track record with shipped products or publications in relevant areas
* Experience working with large\-scale distributed systems
* Proficient in programming languages such as Python and C/C\+\+
* Strong analytical, problem\-solving, and debugging skills
**Responsibilities**
* Collaborate with a creative team to develop state\-of\-the\-art foundation models utilized in autonomous vehicle systems and simulation environments
* Lead the design and implementation of end\-to\-end evaluation systems and benchmarks for foundation models, encompassing pretraining, fine\-tuning, and reinforcement learning stages
* Partner across organizational boundaries to integrate innovative AI technologies into production environments
* Extend and optimize large\-scale data processing and evaluation pipelines to support model training and assessment
* Contribute to research and development efforts in areas such as reinforcement learning, generative modeling, and Bayesian inference
* Ensure the safety, quality, and realism of AI agents through rigorous evaluation and testing frameworks
**Benefits**
* Competitive base salary ranging from $238,000 to $302,000 USD, commensurate with experience and location
* Participation in Waymo's discretionary annual bonus program
* Eligibility for equity incentive plans
* Comprehensive health, dental, and vision insurance coverage
* Generous paid time off and flexible work arrangements
* Professional development opportunities and collaborative work environment
* Access to cutting\-edge autonomous driving technology and projects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teams foster innovation and are essential to our mission of building the most trusted driver in the world.</t>
        </is>
      </c>
    </row>
    <row r="13">
      <c r="A13" t="inlineStr">
        <is>
          <t>li-4292011886</t>
        </is>
      </c>
      <c r="B13" t="inlineStr">
        <is>
          <t>AI Staff Machine Learning Engineer -Gen AI,Machine Learning,Graph ML,Big Data(10030)</t>
        </is>
      </c>
      <c r="C13" t="inlineStr">
        <is>
          <t>Extreme Networks</t>
        </is>
      </c>
      <c r="D13" t="inlineStr">
        <is>
          <t>linkedin</t>
        </is>
      </c>
      <c r="E13" t="inlineStr"/>
      <c r="F13" t="inlineStr"/>
      <c r="G13" t="inlineStr">
        <is>
          <t>San Jose, CA</t>
        </is>
      </c>
      <c r="H13" t="inlineStr"/>
      <c r="I13"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Position : AI Staff Machine Learning Engineer \-Gen AI,Machine Learning,Graph ML,Big Data
 Experience : 5 to 14 Years
 Hybrid/Remote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**About The Position**
* Be a thought leader and forward thinker, help drive an innovative vision for our various products and platforms, design and launch strategic machine learning (ML) solutions and drive business\-wide innovation.
* Take the lead in the end\-to\-end software development lifecycle, encompassing design, testing, deployment, and operations, lead technical discussions and strategy, and participate hands\-on in design reviews, code reviews, and implementation.
* Craft high\-performance, high\-scale microservices architectures, including synchronous and asynchronous web services.
* Develop real\-time online inferencing for highly complex models using Triton, TensorRT and mixed precision computing.
* Mentor and develop other engineers on the team, establish technical direction and foster team culture.
* Uphold the highest standards of technical rigor in engineering and operational excellence, build highly resilient and scalable systems, and champion operational and process improvements.
**Basic Qualifications**
* Degree in mathematics/computer science or related discipline.
* 5 to 10 years of experience in the complete software development lifecycle including design, coding, code reviews, testing, build processes, deployments and operations.
* 5 to 10 years of experience in Python with an in\-depth knowledge of its advanced features and libraries.
* Expertise in designing RESTful APIs with hands\-on experience with technologies such as FastAPI.
* Proficient in Docker, Kubernetes, and modern CI/CD practices.
* 3\+ years of experience in leading the design and architecture of large distributed systems preferably on cloud platforms (e.g., AWS, Azure, Google Cloud).
* Experience as a mentor, tech lead or leading an engineering team.
**Preferred Qualifications**
* MS or PhD in Computer Science or equivalent experience in ML.
* Experience working with ML technologies (PyTorch, Sagemaker, Triton, TensorRT, etc.).
* Experience with NoSQL and document databases.
* Proven ability to handle big data, optimize workflows, and improve system performance.
* Come work with a team of highly talented engineers, and advance with us to achieve new heights every day!
* Salary based on qualifications, experience and region up to USD 170 k to 240 K plus benefits.
 $170,000 \- $240,000 a year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li-4341918365</t>
        </is>
      </c>
      <c r="B14" t="inlineStr">
        <is>
          <t>Senior Machine Learning Engineer</t>
        </is>
      </c>
      <c r="C14" t="inlineStr">
        <is>
          <t>Samsara</t>
        </is>
      </c>
      <c r="D14" t="inlineStr">
        <is>
          <t>linkedin</t>
        </is>
      </c>
      <c r="E14" t="inlineStr"/>
      <c r="F14" t="inlineStr"/>
      <c r="G14" t="inlineStr"/>
      <c r="H14" t="inlineStr"/>
      <c r="I1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the industry leader in AI for physical operations.
 We’re hiring a founding Machine Learning Engineer to join a growing Product ML organization at Samsara. This role pairs hands‑on ML systems work with product impact \- you’ll design and ship customer‑facing ML features (including anomaly detection, crash‑risk scoring, predictive maintenance and more) using multimodal vehicle and telematics data. You’ll own architectural decisions (online serving, streaming/batch pipelines, features \&amp; infra tradeoffs) and partner closely with applied scientists to turn models into actionable products. Compensation bands are flexible for strong candidates; this is an opportunity to shape the MLE function and grow a team.
**This is a remote position open to candidates residing in the United States.**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Founding impact \&amp; scope: Be the first dedicated MLE in a product‑ML org \- influence architecture, launch production ML products, and define how MLEs partner with applied scientists across \~30 people in the broader data organization.
* High‑value, real‑world domain: Work on customer‑facing systems (crash risk, anomaly detection, predictive maintenance) using rich GPS/IMU/telemetry, fleet video, and maintenance logs \- models that directly reduce risk, saving lives and operational costs.
* Systems \+ product blend: Role includes ML infrastructure (feature design, online serving, batch \&amp; streaming pipelines) and product ownership \- not just productionizing models but owning end‑to‑end decisions and tradeoffs.
* Room to grow \&amp; experiment: The team encourages prototyping (including GenAI/CV layers where appropriate), and the hiring manager is open to shaping the role to include modeling ownership or team expansion for senior candidates.
**Minimum requirements for the role:**
* 5\+ years experience as an Machine Learning Engineer, Applied Scientist, or similar role.
* BS or MS in Computer Science or another quantitative field.
* Strong proficiency in one or more common languages (e.g., Python, Java, C\+\+, Golang).
* Proficiency with common ML tools and frameworks (e.g., PyTorch, TensorFlow, Spark).
* A working understanding of the algorithms you will bring to life.
* Proven experience with the E2E ML application development.
**An ideal candidate also has:**
* Experience leading a small cross\-functional team to deliver new ML experiences.
* Experience building zero\-to\-one ML applications.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$170,170—$286,000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5">
      <c r="A15" t="inlineStr">
        <is>
          <t>li-4349683046</t>
        </is>
      </c>
      <c r="B15" t="inlineStr">
        <is>
          <t>Senior AI/ML Engineer (AI Platform)</t>
        </is>
      </c>
      <c r="C15" t="inlineStr">
        <is>
          <t>WHOOP</t>
        </is>
      </c>
      <c r="D15" t="inlineStr">
        <is>
          <t>linkedin</t>
        </is>
      </c>
      <c r="E15" t="inlineStr"/>
      <c r="F15" t="inlineStr"/>
      <c r="G15" t="inlineStr">
        <is>
          <t>Boston, MA</t>
        </is>
      </c>
      <c r="H15" t="inlineStr"/>
      <c r="I15" t="inlineStr">
        <is>
          <t>At WHOOP, we’re on a mission to unlock human performance and healthspan. WHOOP empowers members to perform at a higher level and live longer by using AI to transform continuous physiological data into clear insights and actionable recommendations. Our AI platform is central to this mission, turning raw physiological signals into trusted, personalized guidance that members can act on every day.
 WHOOP is hiring a Senior AI/ML Engineer to help scale the intelligence layer behind WHOOP’s AI\-powered experiences, including WHOOP Coach, AI\-powered Support, and new intelligent features across the product. In this role, you will own core components of the AI Platform that power our internal AI Studio : evaluation pipelines, fine\-tuning workflows, LLM observability, and experimentation tooling. You will partner closely with product and data science to translate real member needs into reliable, impactful AI systems that improve continuously based on real\-world usage.
**Responsibilities**
* Design, build, and operate production AI systems and scaffolding around language models that power conversational, predictive, and generative capabilities across WHOOP products.
* Lead end\-to\-end AI system initiatives spanning problem definition, data flows, dataset design, evaluation harnesses, deployment, and iteration in close partnership with data science and product.
* Build and maintain pipelines for collecting, curating, and reshaping messy, multi\-source data into high\-quality, well\-structured training and evaluation datasets for language model–based systems.
* Operationalize fine\-tuning and evaluation workflows for large language models behind member\-facing features such as WHOOP Coach and AI Support, including defining datasets, labels, and taxonomies that reflect real member needs.
* Develop tooling and frameworks that make experimentation, offline/online evaluation, and model deployment faster, safer, and more repeatable, including robust observability for AI features in production.
* Build and maintain feedback loops that connect real member interactions, offline evaluations, and training data updates so that models improve continuously based on real\-world behavior.
* Mentor other engineers and data scientists, share best practices in applied AI/ML, and help elevate the overall technical bar of the AI Platform team.
**Qualifications**
* 3\+ years of experience in applied machine learning, AI engineering, or ML\-focused software engineering roles, including significant work in production environments.
* Hands\-on experience building with modern language models (open\-weight or API\-based), including prompt design, fine\-tuning, and rigorous evaluation.
* Solid working understanding of ML fundamentals (dataset construction, feature engineering, training workflows, evaluation metrics, experiment design) sufficient to make good engineering tradeoffs and partner effectively with data scientists.
* Familiarity with modern LLM training and alignment techniques such as supervised fine\-tuning (SFT), direct preference optimization (DPO), and reinforcement learning (RL), and how they influence data requirements, evaluation strategies, and system design in production.
* Proven track record building, shipping, and operating ML\-powered systems end to end, from data pipelines (batch and/or streaming) that transform large datasets into usable training and evaluation sets to production deployments with inference optimization, observability, and lifecycle management.
* Strong proficiency in data manipulation and analysis, including working with messy, multi\-source, and semi\-structured data and translating product questions into well\-defined datasets, labels, and evaluation splits.
* Familiarity with best practices for secure, privacy\-aware AI and working with sensitive data.
* Excellent communication and collaboration skills, with the ability to influence across teams and drive alignment on technical direction.
*Learn more about our Software Org and how to be successful in your engineering career at WHOOP via our* 
*Career Framework* 
*. Also check out our AI studio blog here.*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6">
      <c r="A16" t="inlineStr">
        <is>
          <t>li-4372341117</t>
        </is>
      </c>
      <c r="B16" t="inlineStr">
        <is>
          <t>Machine Learning Engineer | Python | Pytorch | Distributed Training | Optimisation | GPU | Hybrid, San Jose, CA</t>
        </is>
      </c>
      <c r="C16" t="inlineStr">
        <is>
          <t>Enigma</t>
        </is>
      </c>
      <c r="D16" t="inlineStr">
        <is>
          <t>linkedin</t>
        </is>
      </c>
      <c r="E16" t="inlineStr"/>
      <c r="F16" t="inlineStr"/>
      <c r="G16" t="inlineStr">
        <is>
          <t>San Jose, CA</t>
        </is>
      </c>
      <c r="H16" t="inlineStr"/>
      <c r="I16"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17">
      <c r="A17" t="inlineStr">
        <is>
          <t>li-4333099773</t>
        </is>
      </c>
      <c r="B17" t="inlineStr">
        <is>
          <t>Senior AI/ML Engineer - AV Infra</t>
        </is>
      </c>
      <c r="C17" t="inlineStr">
        <is>
          <t>General Motors</t>
        </is>
      </c>
      <c r="D17" t="inlineStr">
        <is>
          <t>linkedin</t>
        </is>
      </c>
      <c r="E17" t="inlineStr"/>
      <c r="F17" t="inlineStr"/>
      <c r="G17" t="inlineStr">
        <is>
          <t>Sunnyvale, CA</t>
        </is>
      </c>
      <c r="H17" t="inlineStr"/>
      <c r="I17" t="inlineStr">
        <is>
          <t>**Job Description**
**Senior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As a
 **Senior AI/ML Engineer** 
 , you will focus on designing and implementing scalable ML infrastructure solutions. You will take ownership of key technical projects, provide mentorship to junior engineers, and collaborate across teams to solve complex problems. This is an individual contributor role emphasizing deep technical impact rather than leadership of large teams.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5\+ years of experience, with a strong background in large\-scale distributed systems preferred.
* 1\+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$170,600\- $261,300\.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8">
      <c r="A18" t="inlineStr">
        <is>
          <t>li-4290329829</t>
        </is>
      </c>
      <c r="B18" t="inlineStr">
        <is>
          <t>Senior to Mid-level Machine Learning Engineer - Content Moderation and Safety</t>
        </is>
      </c>
      <c r="C18" t="inlineStr">
        <is>
          <t>Sony Interactive Entertainment</t>
        </is>
      </c>
      <c r="D18" t="inlineStr">
        <is>
          <t>linkedin</t>
        </is>
      </c>
      <c r="E18" t="inlineStr"/>
      <c r="F18" t="inlineStr"/>
      <c r="G18" t="inlineStr">
        <is>
          <t>San Mateo, CA</t>
        </is>
      </c>
      <c r="H18" t="inlineStr"/>
      <c r="I1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to Mid\-level Machine Learning Engineer \- Content Moderation and Safety**
**San Mateo, CA**
 Do you want to join a Machine Learning team committed to making PlayStation the safest place to play? The work we do delivers impactful insights to build a safe ecosystem for PlayStation users! The Machine Learning Engineers within the platform engineering group will deliver optimized interactions across PlayStation experiences and systems by designing, coding, training, documenting, cost\-effectively deploying and evaluating very large\-scale machine learning systems.
 We are looking for someone who can build delightful products and experiences for millions, in an agile environment, collaborating with teams\-across Engineering and Product. Further, you will be immersed in groundbreaking ML technologies, tools and processes, as you help to advance our technical objectives and architectural initiatives.
**You Will:**
* Build and deploy ML models to detect and offensive content in areas like abuse, and child safety across modalities like text, voice and images.
* Work with a broad spectrum of state of the art machine learning and deep learning technologies, in the areas of various machine learning problems such as multilingual text classification, language modeling and multi\-modal learning.
* Create metrics and configure A/B testing to evaluate model performance offline and online to inform and convey our impacts to diverse groups of stakeholders.
* Maintain and produce reusable code according to standard methodologies in Python, Scala or Java with adherence to best practices
* Collaborate with cross\-functional teams of technical members and non\-technical members in architecture, design and code reviews.
**You Bring:**
* Masters degree in CS/Statistics/Data Science, with a specialization in machine learning or equivalent technical degree with experience.
* 5 years \+ experience in applied machine learning or related fields with strong NLP, statistical and analytical knowledge.
* 3\-5 years of prior experience in Trust and Safety or using ML to solve content moderation problems.
* Experience with Python or Scala or Java.
* Experience in developing production\-level large\-scale ML models and data pipelines.
* Industry work experience in designing and implementing machine learning\-based solutions that ideally include: online safety, voice\-activated conversational systems, time series forecasting, and A/B testing.
**Preferred Qualifications:**
* Prior work in content moderation ML, security, fraud detection, or adversarial ML.
* Prior experience working with Computer vision and voice\-related tasks.
* Proficient with Machine learning frameworks such as Tensorflow, PyTorch, MLlib.
* Experience with Spark, Kubernetes, Jenkins, Prometheus.
* Familiarity with standard methodologies in large\-scale Deep Learning training/Inference.
* Experience in cloud\-based environments, such as AWS.
* Experience working with custom ML platforms.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or parental,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$187,400—$281,200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9">
      <c r="A19" t="inlineStr">
        <is>
          <t>li-4333322561</t>
        </is>
      </c>
      <c r="B19" t="inlineStr">
        <is>
          <t>Staff AI/ML Engineer - CI Platform</t>
        </is>
      </c>
      <c r="C19" t="inlineStr">
        <is>
          <t>General Motors</t>
        </is>
      </c>
      <c r="D19" t="inlineStr">
        <is>
          <t>linkedin</t>
        </is>
      </c>
      <c r="E19" t="inlineStr"/>
      <c r="F19" t="inlineStr"/>
      <c r="G19" t="inlineStr">
        <is>
          <t>Mountain View, CA</t>
        </is>
      </c>
      <c r="H19" t="inlineStr"/>
      <c r="I19"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Staff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7\+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
      <c r="A20" t="inlineStr">
        <is>
          <t>li-4299925152</t>
        </is>
      </c>
      <c r="B20" t="inlineStr">
        <is>
          <t>Machine Learning Engineer Graduate - Global E-commerce Recommendation/Search - 2026 Start (BS/MS)</t>
        </is>
      </c>
      <c r="C20" t="inlineStr">
        <is>
          <t>TikTok</t>
        </is>
      </c>
      <c r="D20" t="inlineStr">
        <is>
          <t>linkedin</t>
        </is>
      </c>
      <c r="E20" t="inlineStr"/>
      <c r="F20" t="inlineStr"/>
      <c r="G20" t="inlineStr">
        <is>
          <t>Seattle, WA</t>
        </is>
      </c>
      <c r="H20" t="inlineStr"/>
      <c r="I20"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Data\-E\-commerce team oversees algorithmic and corresponding engineering work in the e\-commerce business. Our responsibilities encompass not only utilizing recommendation and search algorithms to help users discover appealing products but also implementing risk control and content safety algorithms to identify malicious sellers/influencers and violations in products/videos/live streams, ensuring a secure shopping experience. Furthermore, we are involved in constructing intelligent customer service technology and large\-scale product knowledge graphs, aiming to enhance efficiency across various transaction processes. Through operations optimization and intelligent supply chain algorithms, we work to improve logistics efficiency.
**Responsibilities:**
* Work in a team to conduct cutting\-edge research in machine learning algorithms, such as retrieval and recommendation algorithms.
* Participate in building large\-scale (10 million to 100 million) e\-commerce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Apply machine learning algorithms to improve the different business scenarios, such as search ranking, natural language and video understanding, and trust and safety.
**Qualifications**
 Minimum Qualifications
* Final year or recent graduate with a background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1">
      <c r="A21" t="inlineStr">
        <is>
          <t>li-4372319211</t>
        </is>
      </c>
      <c r="B21" t="inlineStr">
        <is>
          <t>AI Engineer</t>
        </is>
      </c>
      <c r="C21" t="inlineStr">
        <is>
          <t>RemoteHunter</t>
        </is>
      </c>
      <c r="D21" t="inlineStr">
        <is>
          <t>linkedin</t>
        </is>
      </c>
      <c r="E21" t="inlineStr"/>
      <c r="F21" t="inlineStr"/>
      <c r="G21" t="inlineStr"/>
      <c r="H21" t="inlineStr"/>
      <c r="I21" t="inlineStr">
        <is>
          <t>About the Opportunity:
 A leading nonprofit software provider seeks a foundational AI Engineer to build and scale an AI platform that supports thousands of nonprofits. This role involves working with diverse datasets and intelligent systems to enhance tools for the social good sector. The AI Engineer will collaborate with data scientists, data engineers, and developers to implement advanced AI solutions, particularly focusing on Agentic Workflows and Large Language Models (LLMs), bridging model development and product integration.
 Responsibilities:
 • Design and implement AI solutions using LLMs, including advanced Agentic Orchestration and Retrieval\-Augmented Generation (RAG) systems
 • Develop, refine, and optimize prompts to maximize AI model accuracy and quality
 • Integrate AI/ML models and services into core products ensuring scalability, reliability, and efficiency
 • Support internal teams in adopting AI tools, including building agents and integrating AI services
 • Collaborate with product and data teams to explore new AI technologies and apply them to business challenges
 • Utilize cloud platforms, especially AWS AI services, to build, deploy, and manage AI\-powered features
 Requirements:
 • 3\+ years of hands\-on experience in software engineering, machine learning, or related roles focused on building and deploying AI systems
 • Deep understanding of prompt engineering, LLM integration, and fine\-tuning techniques
 • Strong software development skills and experience delivering scalable, production\-ready software
 • Proficiency in at least one programming language (Node.js and/or Python preferred)
 • Experience with AI agents and common AI/ML frameworks and libraries
 • Experience handling large, complex datasets with solid knowledge of data structures and algorithms
 • Familiarity with cloud\-based AI services, particularly AWS Bedrock services and Agent Core preferred
 • Ability to communicate complex technical concepts effectively to both technical and non\-technical audiences
 • Bachelor’s degree in Computer Science, Engineering, or a related technical field
 Bonus Points for:
 • Experience with vector databases
 • Practical experience building, training, or fine\-tuning LLMs/ML models
 • Knowledge of MLOps principles and tools
 • Experience with data platforms like Snowflake
 • Working knowledge of Node.js
 • Experience or passion for the nonprofit sector
 Benefits \&amp; Perks:
 No direct benefits or perks were specified in the original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li-4333302615</t>
        </is>
      </c>
      <c r="B22" t="inlineStr">
        <is>
          <t>Staff AI/ML Engineer - AV ML Infra</t>
        </is>
      </c>
      <c r="C22" t="inlineStr">
        <is>
          <t>General Motors</t>
        </is>
      </c>
      <c r="D22" t="inlineStr">
        <is>
          <t>linkedin</t>
        </is>
      </c>
      <c r="E22" t="inlineStr"/>
      <c r="F22" t="inlineStr"/>
      <c r="G22" t="inlineStr">
        <is>
          <t>Austin, TX</t>
        </is>
      </c>
      <c r="H22" t="inlineStr"/>
      <c r="I22" t="inlineStr">
        <is>
          <t>**Job Description**
**Staff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 As a Staff AI/ML Engineer, you will be a technical expert within the AV ML Infra team, driving the design and implementation of scalable ML infrastructure solutions. You will influence the direction of our technical projects, provide mentorship to peers, and help shape the adoption of best practices across GM’s ML infrastructure. This is an individual contributor/Tech Lead role focused on deep technical impact rather than team management.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8\+ years of experience, with a strong background in large\-scale distributed systems preferred.
* 3\+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$218,800 \- $335,300\.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
      <c r="A23" t="inlineStr">
        <is>
          <t>li-4332813389</t>
        </is>
      </c>
      <c r="B23" t="inlineStr">
        <is>
          <t>Machine Learning Engineer Graduate (E-Commerce Knowledge Graph - CV/Multimodal/NLP) -2026 Start (BS/MS)</t>
        </is>
      </c>
      <c r="C23" t="inlineStr">
        <is>
          <t>ByteDance</t>
        </is>
      </c>
      <c r="D23" t="inlineStr">
        <is>
          <t>linkedin</t>
        </is>
      </c>
      <c r="E23" t="inlineStr"/>
      <c r="F23" t="inlineStr"/>
      <c r="G23" t="inlineStr">
        <is>
          <t>Seattle, WA</t>
        </is>
      </c>
      <c r="H23" t="inlineStr"/>
      <c r="I23" t="inlineStr">
        <is>
          <t>**Responsibilities**
 Team Introduction:
 The Knowledge Graph team is responsible for the neural network of e\-commerce, which includes tasks such as categorizing products, influencers, and merchants, mining product information, and providing this data to the recommendation team. Additionally, they manage operations related to product tags and category attributes. When we come across a product, they determine whether it belongs to the clothing or sports category, who thie product will be suitable for, etc. Furthermore, the team conducts competitive research, identifying top\-performing items on the platform and analyzing why one similar product outperforms others. They are also involved in brand recognition. This team plays a pivotal role, in bridging various aspects of our business and maintaining close collaboration with other teams.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Dive deep into the construction and development of vast knowledge graphs that encapsulate real\-world products, aiding in feed ranking, recommendations, and ads.
* Collaborate closely with our dedicated product managers, astute data scientists, and the strategic product \&amp; operation team to craft forward\-thinking product strategies and features.
**Key Responsibilities:**
* Craft intricate knowledge graphs, encompassing areas like product/content insights and category/brand/SPU development.
* Architect knowledge maps detailing buyer and product connections.
**Qualifications**
 Minimum Qualifications:
* Bachelor's degree or above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Passion or exposure to areas like machine learning, NLP (Natural Language Processing), multimodal systems, and computer vision.
* Familiarity with or coursework related to programming languages like C\+\+, Python, Go, or Java.
* Strong teamwork and communication skills. Any hands\-on experience or group projects in relevant technical scenarios will be a plus!
**Preferred Qualifications:**
* Familiarity with deep learning frameworks like TensorFlow/PyTorch.
* Coursework or projects related to text classification, text matching, sequence labeling, and knowledge graphs.
* Knowledge of domain adaptation, text mining, and unsupervised/semi\-supervised methodologies.
* Experience with machine learning and deep learning algorithms, and text representation methods.
* Exposure to large\-scale text data processing or tools like Hadoop/Spark/Hive/Flink.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4">
      <c r="A24" t="inlineStr">
        <is>
          <t>li-4302123397</t>
        </is>
      </c>
      <c r="B24" t="inlineStr">
        <is>
          <t>Sr. Machine Learning Engineer (Recommendation Systems)</t>
        </is>
      </c>
      <c r="C24" t="inlineStr">
        <is>
          <t>Philo</t>
        </is>
      </c>
      <c r="D24" t="inlineStr">
        <is>
          <t>linkedin</t>
        </is>
      </c>
      <c r="E24" t="inlineStr"/>
      <c r="F24" t="inlineStr"/>
      <c r="G24" t="inlineStr">
        <is>
          <t>San Francisco, CA</t>
        </is>
      </c>
      <c r="H24" t="inlineStr"/>
      <c r="I24" t="inlineStr">
        <is>
          <t>At Philo, we’re a group of technology and product people who set out to build the future of television, marrying the best in modern technology with the most compelling medium ever invented — in short, we’re building the TV experience that we’ve always wanted for ourselves. In practice this means leveraging cloud delivery, modern tech stacks, machine learning, and hand\-crafted native app experiences on all of our platforms. We aim to deliver a rock solid experience on the streaming basics, while cooking up next generation multi\-screen and multi\-user playback experiences.
**Senior Machine Learning Engineer (Recommendation Systems)**
 Philo’s recommendation system improves user engagement and customer satisfaction by tailoring content discovery to individual preferences and viewing habits. We want users to be confident that Philo will have something they want to watch every time they open the app.
 We are seeking a Senior Machine Learning Engineer to lead our content personalization efforts, shaping experiences that impact millions of users. In this role, you will research, design, and build advanced algorithms and large\-scale systems that power Philo’s recommendation engine.
 As a senior member of a growing team, you will tackle complex machine learning challenges and collaborate with data science, product, infrastructure, and backend engineering teams to deliver innovative, data\-driven personalization solutions. Your work will directly impact content discovery, deepen user engagement, and drive long\-term retention.
**Responsibilities:**
* Lead development of recommendation systems: Design, build, and optimize advanced algorithms for SVOD, Live TV, and FAST personalization.
* Drive ML innovation at scale: Conduct deep dives into models and system components, ensuring performance, scalability, and robustness across regions and product areas.
* Own the ML pipeline: Build and maintain reliable pipelines for data extraction, feature engineering, model training, testing, and deployment.
* Collaborate with Product, Data Science \&amp; Engineering: Translate product requirements into ML solutions, set clear expectations, and deliver measurable improvements in user engagement.
* Advance deep learning in recommendations: Apply frameworks such as TensorFlow, PyTorch, or similar to develop state\-of\-the\-art recommendation models.
* Experimentation: Conduct rigorous A/B testing and ML experiments to understand model performance and iterate rapidly based on feedback.
* ML Vision and Roadmap: Contribute to the strategic planning of the recommendations roadmap, aligning engineering efforts with business objectives and user needs.
* Explore advanced architectures: Experience with frameworks like Two\-Tower models and Deep Cross Networks (DCN) is a strong plus.
**Qualifications:**
* 8\+ years of experience in backend engineering and/or data science, including 4\+ years focused on machine learning. Experience with recommendation systems is a big plus.
* Strong coding skills in Python, as well as proficiency in using ML frameworks like PyTorch or TensorFlow.
* Excellent analytical and problem\-solving skills, with the ability to translate complex technical challenges into business solutions.
* Proven track record of leading projects and delivering impactful machine learning solutions.
* Strong communication and documentation skills; capable of explaining complex, technical concepts to non\-technical stakeholders and to diligently document your work to help the team as a whole learn and move quickly.
* Experience with Amazon SageMaker or similar MLOps platforms
**More About Philo**
 At Philo, we’re a company that puts people first—both our subscribers and our team. We empower our colleagues to do their best work while supporting one another in pursuing shared goals. We value pragmatism, pride in our work, and passion, with transparency and openness as fundamental parts of our culture.
 We’re committed to diversity, equity, inclusion, and accessibility as we grow the Philo team and shape the future of TV. We believe that a diverse range of voices and perspectives enables us to innovate faster and create the best experiences for our subscribers. Philo is proud to be an Equal Opportunity Employer. We’re committed to supporting every candidate and employee. If you need an accommodation at any stage of the process, please email
 **recruiting@philo.com** 
 and we’ll work with you to meet your needs.
 Philo offers 70\+ top\-rated networks, including AMC, BET, CMT, Comedy Central, Discovery Channel, Food Network, Hallmark Channel, HGTV, HISTORY, Investigation Discovery, Lifetime, MTV, Nickelodeon, OWN, VH1, We TV, and more. It also includes all the groundbreaking originals and blockbuster movies available with AMC\+ and access to HBO Max Basic With Ads and discovery\+. Our service also includes 100\+ free channels and premium add\-ons like STARZ and MGM\+.
 Our extensive library boasts over 85,000 titles, and our unlimited DVR allows users to save their favorite shows and movies for up to a year, skipping ads for a seamless viewing experience. Stream on up to three devices simultaneously, whether on your phone, tablet, laptop, or TV using Roku, Apple TV, Fire TV, Samsung TV, Android TV, Vizio TV, or Chromecast.
 Philo is headquartered in San Francisco, with offices in New York and Cambridge, MA. Our leadership team includes a Facebook co\-founder and alums from Meraki and HBO, backed by NEA and industry partners like Discovery, Viacom, AMC, and A\&amp;E.
 Join us at Philo and be part of a team that's shaping the future of TV!
**Status:** 
 Full\-time
**Location:** 
 San Francisco, CA or remote within the U.S.
**Compensation:** 
 Includes annual salary, company stock options, and health benefits. Salary is determined by experience and location:
* San Francisco, New York City: $175K \- $235K
* Boston, DC Metro, Los Angeles, Seattle: $165K \- $225K
* Denver, Atlanta, Austin, Las Vegas, Sacramento, Chicago: $155K \- $215K
* Texas, Florida: $150K \- $205K
 We value a diverse and inclusive workplace and we welcome people of different backgrounds, experiences, skills, and perspectives. Philo is an equal opportunity employer. We believe that everyone does their best work when they are supported by each other and the company, and we offer a generous set of benefits to make sure the Philo team is happy and healthy. Here is a sampling of the benefits we offer our team:
* Full health, dental and vision coverage for you and your family
* 401(k) plan with employer contributions (we match 100% of deferrals up to 3% of pay and 50% of the next 2% of pay)
* Flexible working hours
* Up to 20 weeks of fully paid parental leave
* Unlimited paid time off for vacation and sick leave
* $2,000 annual vacation bonus (we pay you to take a two week vacation)
* $5,250 annually for professional development and educational assistance
* $1,250 annual home office \+ TV stipend during first year of employment ($250 annually thereafter)
* $500/month ($6,000/year) bonus for employees who commit to working at least 3 days per week in our offices, plus generous commuter benefits ($315/month towards transit, rideshare, bike rental, or parking at our HQ office in San Francisco)
* Free Gympass subscription — an all\-in\-one corporate benefit that gives employees the largest selection of gyms, studios, classes, training and wellness apps
* Dog\-friendly office
* And much more!
 For California Residents: Philo’s CCPA Notice at Collection – Employees, Applicants, Owners, Directors, Officers and Contractors
 Pursuant to the San Francisco Fair Chance Ordinance, we will consider for employment qualified applicants with arrest and conviction records.</t>
        </is>
      </c>
    </row>
    <row r="25">
      <c r="A25" t="inlineStr">
        <is>
          <t>li-4312929369</t>
        </is>
      </c>
      <c r="B25" t="inlineStr">
        <is>
          <t>Staff Applied AI Engineer</t>
        </is>
      </c>
      <c r="C25" t="inlineStr">
        <is>
          <t>Zscaler</t>
        </is>
      </c>
      <c r="D25" t="inlineStr">
        <is>
          <t>linkedin</t>
        </is>
      </c>
      <c r="E25" t="inlineStr"/>
      <c r="F25" t="inlineStr"/>
      <c r="G25" t="inlineStr">
        <is>
          <t>San Jose, CA</t>
        </is>
      </c>
      <c r="H25" t="inlineStr"/>
      <c r="I25"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Staff Applied AI Engineer to join our IT AI/ML Engineering team. This is a Hybrid role based in San Jose, CA or Bellevue, WA (3 days in office), reporting to the Manager of Applied AI Solutions Engineering. You will serve as a technical leader responsible for developing and implementing end\-to\-end AI solutions that enhance productivity and optimize decision\-making across the organization. By designing robust AI lifecycle management strategies and scalable cloud\-based pipelines, you will provide the strong foundation necessary for our continued growth as the world’s cloud security leader.
**What You’ll Do (Role Expectations)**
* Develop and implement end\-to\-end AI solutions to enhance productivity and optimize decision\-making across the organization
* Design AI lifecycle management strategies with automated observability, CI/CD workflows and robust testing frameworks
* Collaborate with cross\-functional teams to identify AI opportunities and translate them into technical requirements
* Mentor team members, conduct architecture/code reviews and support AI governance policies for ethical and efficient AI use
* Build scalable, cloud\-based AI pipelines leveraging state\-of\-the\-art technologies
**Who You Are (Success Profile)**
* You thrive in ambiguity. You're comfortable building the path as you walk it. You thrive in a dynamic environment, seeing ambiguity not as a hindrance, but as the raw material to build something meaningful.
*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 You are a problem\-solver. You love running towards the challenges because you are laser\-focused on finding the solution, knowing that solving the hard problems delivers the biggest impact.
* You are a high\-trust collaborator. You are ambitious for the team, not just yourself. You embrace our challenge culture by giving and receiving ongoing feedback—knowing that candor delivered with clarity and respect is the truest form of teamwork and the fastest way to earn trust.
* You are a learner. You have a true growth mindset and are obsessed with your own development, actively seeking feedback to become a better partner and a stronger teammate. You love what you do and you do it with purpose.
**What We’re Looking For (Minimum Qualifications)**
* 6\+ years of professional software engineering experience, including 3\+ years focused on AI/ML projects
* Bachelor’s degree in computer science, software engineering, data science or related field
* Proficiency in Python and SQL, with experience designing, building and deploying production\-grade AI/ML solutions
* Experience with cloud platforms (AWS, GCP or Azure) and familiarity with MLOps/AI DevOps tools (e.g., MLflow, Kubeflow)
* Expertise with CI/CD pipelines, model observability and scalable architectures
**What Will Make You Stand Out (Preferred Qualifications)**
* Prior experience deploying scalable and secure AI solutions for real\-world use cases
* Proficiency in fine\-tuning LLMs, Retrieval\-Augmented Generation (RAG) and technologies like Langchain or Langgraph, GraphRAG and Model Context Protocol
* Knowledge of AI lifecycle management, governance frameworks and strategies for monitoring and retraining models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$154,000 \- $220,000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26">
      <c r="A26" t="inlineStr">
        <is>
          <t>li-4333159460</t>
        </is>
      </c>
      <c r="B26" t="inlineStr">
        <is>
          <t>Principal Staff AI/ML Engineer - AV ML Infra</t>
        </is>
      </c>
      <c r="C26" t="inlineStr">
        <is>
          <t>General Motors</t>
        </is>
      </c>
      <c r="D26" t="inlineStr">
        <is>
          <t>linkedin</t>
        </is>
      </c>
      <c r="E26" t="inlineStr"/>
      <c r="F26" t="inlineStr"/>
      <c r="G26" t="inlineStr">
        <is>
          <t>Sunnyvale, CA</t>
        </is>
      </c>
      <c r="H26" t="inlineStr"/>
      <c r="I26" t="inlineStr">
        <is>
          <t>**Job Description**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The Principal AI/ML Engineer will lead a growing organization, guiding the AV ML Infra team in achieving its mission while shaping a long\-term vision and execution strategies across GM’s AI and ML efforts. This leadership role will drive a transformative leap in our infrastructure capabilities to meet the scale we anticipate. The leader will articulate a clear vision and strategy, design an organizational structure to enable effective execution, and cultivate strong partnerships across cross\-functional teams and stakeholders.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10\+ years of experience, with a strong background in large\-scale distributed systems preferred.
* 5\+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$296,300 \- $453,900\.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7">
      <c r="A27" t="inlineStr">
        <is>
          <t>li-4343359283</t>
        </is>
      </c>
      <c r="B27" t="inlineStr">
        <is>
          <t>Staff Machine Learning Engineer</t>
        </is>
      </c>
      <c r="C27" t="inlineStr">
        <is>
          <t>Uber</t>
        </is>
      </c>
      <c r="D27" t="inlineStr">
        <is>
          <t>linkedin</t>
        </is>
      </c>
      <c r="E27" t="inlineStr"/>
      <c r="F27" t="inlineStr"/>
      <c r="G27" t="inlineStr">
        <is>
          <t>Seattle, WA</t>
        </is>
      </c>
      <c r="H27" t="inlineStr"/>
      <c r="I27" t="inlineStr">
        <is>
          <t>**About The Role**
 Have you ever ordered a car service on Uber, and when the ride arrives, wondered how it got to you so fast? Ever ordered food on UberEats and wondered where the driver was before receiving your order and how long it took to get to the restaurant or if your order was ready when the courier arrived? Ever wondered why your grocery delivery from Uber always has the best apple picked?
 If so, Uber is for you. In our Sciences division, we strive to make magic within Uber's marketplace. This requires judgment to make difficult trade\-offs, blending algorithms with human resourcefulness, and the ability to build simplicity from complexity. When we get the balance right for everyone, Uber magic happens. We build systems to peer into the future to craft the most cost\-efficient marketplace for matching supply and demand. We are passionate about using innovative economics, machine learning, and scalable distributed software that automates and optimizes every aspect of this intricate dance between participants of the marketplace.
 We are involved in every stage of the product development cycle and use data to inform product decisions, build models to power our solutions, and also develop platform tools that are used across teams with a primary focus on Mobility and Delivery. We work with millions of earners across the globe to make this magic happen and want you to join us!
**About The Team**
 Earners (drivers and couriers) are an integral part of Uber's multi\-sided marketplace. They provide the time and the means to move people and things. Importantly, they enable the connection between the physical and digital world to make the movement happen at the push of a button for everyone, everywhere.
 Within Uber, Earner Growth plays a critical role in earners' journey as the team is responsible for earner onboarding, activation, early life cycle, and resurrection. This presents the teams with the opportunity to shape and tailor the product experience during earners' many firsts (i.e., first time interacting on the Uber platform, choosing the earning opportunity, going online, receiving incentive offers, completing a trip, or reading the earnings summary). These firsts can be daunting.
 Therefore, making sure that the earner journey is great at every touch point is important to build trust with Earners, communicate Uber's value proposition, and ensure each firsts to be a great experience.
**What You Will Do**
* Build statistical, optimization, and machine learning models
* Develop innovative new earner incentives that earners for choosing our network and optimizing Uber's new earner incentives spend
* Optimize Uber's background check spend and onboarding funnel
* Design recommendation engines to recommend the most relevant earning opportunities and early lifecycle content
* Develop matching algorithms for driver to driver mentorship program
* Model and predict earner behaviors to improve earner experience throughout the onboarding funnel
* The team employs a variety of ML/AI techniques, spanning from causal ML meta learners, supervised ML, RL multi\-armed bandits, genAI LLM to deep learning embeddings to build impactful data products.
* Work closely with multi\-functional leads to develop technical vision, new methodological approaches, and drive team direction.
* Collaborate with cross\-functional teams such as product, engineering, operations, and marketing to drive ML system development end\-to\-end from conceptualization to final product.
**Basic Qualifications**
* Masters or PhD or equivalent experience in Computer Science, Machine Learning, Operations Research, Statistics, or other related quantitative fields or related field
* 7 years minimum of industry experience as a Machine Learning Engineer/Research Scientist with a strong focus on deep learning and probabilistic modeling.
* Proficiency in multiple object\-oriented programming languages (e.g. Python, Go, Java, C\+\+).
* Experience with any of the following: Spark, Hive, Kafka, Cassandra.
* Experience building and productionizing innovative end\-to\-end Machine Learning systems.
* Experience in exploratory data analysis, statistical modeling, hypothesis testing, and experimental design.
* Experience working with cross\-functional teams(product, science, product ops etc).
**Preferred Qualifications**
* 8\+ years of industry experience in machine learning, including building and deploying ML models.
* Publications at industry recognized ML conferences.
* Experience in modern deep learning architectures and probabilistic modeling.
* Experience with optimization techniques, including reinforcement learning (RL), Bayesian methods, causal ML meta learners, genAI LLM.
* Expertise in the design and architecture of ML systems and workflows.
 For New York, NY\-based roles: The base salary range for this role is USD$232,000 per year \- USD$258,000 per year. For San Francisco, CA\-based roles: The base salary range for this role is USD$232,000 per year \- USD$258,000 per year. For Seattle, WA\-based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8">
      <c r="A28" t="inlineStr">
        <is>
          <t>li-4017612349</t>
        </is>
      </c>
      <c r="B28" t="inlineStr">
        <is>
          <t>Senior Staff Machine Learning Engineer</t>
        </is>
      </c>
      <c r="C28" t="inlineStr">
        <is>
          <t>Rippling</t>
        </is>
      </c>
      <c r="D28" t="inlineStr">
        <is>
          <t>linkedin</t>
        </is>
      </c>
      <c r="E28" t="inlineStr"/>
      <c r="F28" t="inlineStr"/>
      <c r="G28" t="inlineStr">
        <is>
          <t>San Francisco, CA</t>
        </is>
      </c>
      <c r="H28" t="inlineStr"/>
      <c r="I2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 are seeking a highly skilled and experienced Senior Staff Machine Learning Engineer to join our team. As an engineer working on large language models (LLMs) at Rippling, you will work closely with product teams to build tools that people use. The work is necessarily cross\-functional, and successful individuals on our team have an unusually high degree of ownership. Your expertise will contribute to the advancement of our organization's machine learning capabilities and drive innovation in our products and services.
**What You Will Do**
* Collaborate with cross\-functional teams to translate business requirements into models.
* Design and develop scalable machine learning pipelines for data preprocessing, feature engineering, model training, and evaluation. You will work with data engineers to collect and preprocess data sets for model training.
* Implement models in our production code base (primarily Python, Go).
* Stay up\-to\-date with the latest research in ML and related fields, and apply this knowledge to improve Rippling products.
**Qualifications**
* Ph.D. or equivalent in Computer Science, Engineering, Mathematics, or related field AND 6 or more years full\-time Software Engineering work experience; OR
* 10 years full\-time Software Engineering work experience, which includes 4\+ years of software engineering experience in one or more of the following areas: advertising, recommendation systems, risk/fraud modeling, or natural language processing.
* Comfortable with hands\-on programming (eg, Python, Go, Java, C/C\+\+)
* Ability to communicate complex technical ideas with clarity and precision.
**Additional Qualifications**
* Experience with developing things that use large language models (LLMs) and familiarity with pre\-training and fine\-tuning techniques.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201,000 \- 351,750 USD per year(US Tier 1\)</t>
        </is>
      </c>
    </row>
    <row r="29">
      <c r="A29" t="inlineStr">
        <is>
          <t>li-4333188401</t>
        </is>
      </c>
      <c r="B29" t="inlineStr">
        <is>
          <t>Principal Staff AI/ML Engineer - AV ML Infra</t>
        </is>
      </c>
      <c r="C29" t="inlineStr">
        <is>
          <t>General Motors</t>
        </is>
      </c>
      <c r="D29" t="inlineStr">
        <is>
          <t>linkedin</t>
        </is>
      </c>
      <c r="E29" t="inlineStr"/>
      <c r="F29" t="inlineStr"/>
      <c r="G29" t="inlineStr">
        <is>
          <t>Austin, TX</t>
        </is>
      </c>
      <c r="H29" t="inlineStr"/>
      <c r="I29" t="inlineStr">
        <is>
          <t>**Job Description**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The Principal AI/ML Engineer will lead a growing organization, guiding the AV ML Infra team in achieving its mission while shaping a long\-term vision and execution strategies across GM’s AI and ML efforts. This leadership role will drive a transformative leap in our infrastructure capabilities to meet the scale we anticipate. The leader will articulate a clear vision and strategy, design an organizational structure to enable effective execution, and cultivate strong partnerships across cross\-functional teams and stakeholders.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10\+ years of experience, with a strong background in large\-scale distributed systems preferred.
* 5\+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$296,300 \- $453,900\.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
      <c r="A30" t="inlineStr">
        <is>
          <t>li-4365666842</t>
        </is>
      </c>
      <c r="B30" t="inlineStr">
        <is>
          <t>AI/ML Engineer – Agentic Private Bank Engineer , Sr Associate</t>
        </is>
      </c>
      <c r="C30" t="inlineStr">
        <is>
          <t>JPMorganChase</t>
        </is>
      </c>
      <c r="D30" t="inlineStr">
        <is>
          <t>linkedin</t>
        </is>
      </c>
      <c r="E30" t="inlineStr"/>
      <c r="F30" t="inlineStr"/>
      <c r="G30" t="inlineStr">
        <is>
          <t>Jersey City, NJ</t>
        </is>
      </c>
      <c r="H30" t="inlineStr"/>
      <c r="I30" t="inlineStr">
        <is>
          <t>**Job Description**
 This is a rare opportunity to help shape the future of our Private Bank. With the sponsorship from the CEO and the heads of the business, our goal is to create
 **an Agentic Private Bank \-** 
 reimagining the entire process from start to finish, rethinking the operating model including organizational structures and developing AI agents equipped with the latest tools and technologies to fundamentally reshape how we perform this business.
 Join our dynamic team of innovators and technologists as a Senior Applied AI/ML Associate , where your mission will be to revolutionize how the Bank services and advises clients, deepen client engagements, and drive process transformation. You will analyze existing processes and vast amounts of data to design autonomous AI agents. We seek individuals passionate about leveraging advanced data analysis, statistical modeling, and AI/ML techniques to solve complex business challenges through high\-quality, cloud\-centric software delivery. Our culture thrives on experimentation, continuous improvement, and learning. You will work in a collaborative, trusting, and intellectually stimulating environment—one that values diversity of thought and fosters creative solutions that serve the best interests of our global clientele.
 J
 **ob Responsibilities**
* Develop and implement GenAI and Agentic AI solutions using Python to enhance automation and decision\-making processes.
* Collaborate with internal stakeholders to identify business needs and develop NLP/ML solutions that address client needs and drive transformation.
* Apply large language models (LLMs), machine learning (ML) techniques, and statistical analysis to enhance informed decision\-making and improve workflow efficiency, which can be utilized across investment functions, client services, and operational process.
* Collect and curate datasets for model training and evaluation.
* Perform experiments using different model architectures and hyperparameters, determine appropriate objective functions and evaluation metrics, and run statistical analysis of results.
* Monitor and improve model performance through feedback and active learning.
* Collaborate with technology teams to deploy and scale the developed models in production.
* Deliver written, visual, and oral presentation of modeling results to business and technical stakeholders.
* Stay up\-to\-date with the latest research in LLM, ML and data science. Identify and leverage emerging techniques to drive ongoing enhancement.
**Required Qualifications, Capabilities, And Skills**
* Advanced degree (MS or PhD) in a quantitative or technical discipline or significant practical experience in industry.
* Minimum of 4 years of experience in applying NLP, LLM and ML techniques in solving high\-impact business problems, such as semantic search, information extraction, question answering, summarization, personalization, classification or forecasting.
* Advanced python programming skills with experience writing production quality code
* Good understanding of the foundational principles and practical implementations of ML algorithms such as clustering, decision trees, gradient descent etc.
* Hands\-on experience with deep learning toolkits such as PyTorch, Transformers, HuggingFace.
* Strong knowledge of language models, prompt engineering, model finetuning, and domain adaptation.
* Familiarity with latest development in deep learning frameworks.
* Ability to communicate complex concepts and results to both technical and business audiences.
**Preferred Qualifications, Capabilities, And Skills**
* Prior experience of developing solutions for Financial domain
* Exposure to distributed model training, and deployment
* Familiarity with techniques for model explainability and self\-validation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31">
      <c r="A31" t="inlineStr">
        <is>
          <t>li-4341922674</t>
        </is>
      </c>
      <c r="B31" t="inlineStr">
        <is>
          <t>AI &amp; Machine Learning Engineering Consultant - Manager - Consulting - Location OPEN</t>
        </is>
      </c>
      <c r="C31" t="inlineStr">
        <is>
          <t>EY</t>
        </is>
      </c>
      <c r="D31" t="inlineStr">
        <is>
          <t>linkedin</t>
        </is>
      </c>
      <c r="E31" t="inlineStr"/>
      <c r="F31" t="inlineStr"/>
      <c r="G31" t="inlineStr">
        <is>
          <t>Greenville, SC</t>
        </is>
      </c>
      <c r="H31" t="inlineStr"/>
      <c r="I3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2">
      <c r="A32" t="inlineStr">
        <is>
          <t>li-4341902740</t>
        </is>
      </c>
      <c r="B32" t="inlineStr">
        <is>
          <t>AI &amp; Machine Learning Engineering Consultant - Manager - Consulting - Location OPEN</t>
        </is>
      </c>
      <c r="C32" t="inlineStr">
        <is>
          <t>EY</t>
        </is>
      </c>
      <c r="D32" t="inlineStr">
        <is>
          <t>linkedin</t>
        </is>
      </c>
      <c r="E32" t="inlineStr"/>
      <c r="F32" t="inlineStr"/>
      <c r="G32" t="inlineStr">
        <is>
          <t>Nashville, TN</t>
        </is>
      </c>
      <c r="H32" t="inlineStr"/>
      <c r="I3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3">
      <c r="A33" t="inlineStr">
        <is>
          <t>li-4341812703</t>
        </is>
      </c>
      <c r="B33" t="inlineStr">
        <is>
          <t>AI &amp; Machine Learning Engineering Consultant - Manager - Consulting - Location OPEN</t>
        </is>
      </c>
      <c r="C33" t="inlineStr">
        <is>
          <t>EY</t>
        </is>
      </c>
      <c r="D33" t="inlineStr">
        <is>
          <t>linkedin</t>
        </is>
      </c>
      <c r="E33" t="inlineStr"/>
      <c r="F33" t="inlineStr"/>
      <c r="G33" t="inlineStr">
        <is>
          <t>Baton Rouge, LA</t>
        </is>
      </c>
      <c r="H33" t="inlineStr"/>
      <c r="I3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4">
      <c r="A34" t="inlineStr">
        <is>
          <t>li-4341882760</t>
        </is>
      </c>
      <c r="B34" t="inlineStr">
        <is>
          <t>AI &amp; Machine Learning Engineering Consultant - Manager - Consulting - Location OPEN</t>
        </is>
      </c>
      <c r="C34" t="inlineStr">
        <is>
          <t>EY</t>
        </is>
      </c>
      <c r="D34" t="inlineStr">
        <is>
          <t>linkedin</t>
        </is>
      </c>
      <c r="E34" t="inlineStr"/>
      <c r="F34" t="inlineStr"/>
      <c r="G34" t="inlineStr">
        <is>
          <t>Tucson, AZ</t>
        </is>
      </c>
      <c r="H34" t="inlineStr"/>
      <c r="I3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5">
      <c r="A35" t="inlineStr">
        <is>
          <t>li-4341932691</t>
        </is>
      </c>
      <c r="B35" t="inlineStr">
        <is>
          <t>AI &amp; Machine Learning Engineering Consultant - Manager - Consulting - Location OPEN</t>
        </is>
      </c>
      <c r="C35" t="inlineStr">
        <is>
          <t>EY</t>
        </is>
      </c>
      <c r="D35" t="inlineStr">
        <is>
          <t>linkedin</t>
        </is>
      </c>
      <c r="E35" t="inlineStr"/>
      <c r="F35" t="inlineStr"/>
      <c r="G35" t="inlineStr">
        <is>
          <t>Des Moines, IA</t>
        </is>
      </c>
      <c r="H35" t="inlineStr"/>
      <c r="I3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6">
      <c r="A36" t="inlineStr">
        <is>
          <t>li-4341952597</t>
        </is>
      </c>
      <c r="B36" t="inlineStr">
        <is>
          <t>AI &amp; Machine Learning Engineering Consultant - Manager - Consulting - Location OPEN</t>
        </is>
      </c>
      <c r="C36" t="inlineStr">
        <is>
          <t>EY</t>
        </is>
      </c>
      <c r="D36" t="inlineStr">
        <is>
          <t>linkedin</t>
        </is>
      </c>
      <c r="E36" t="inlineStr"/>
      <c r="F36" t="inlineStr"/>
      <c r="G36" t="inlineStr">
        <is>
          <t>Wichita, KS</t>
        </is>
      </c>
      <c r="H36" t="inlineStr"/>
      <c r="I3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7">
      <c r="A37" t="inlineStr">
        <is>
          <t>li-4365686220</t>
        </is>
      </c>
      <c r="B37" t="inlineStr">
        <is>
          <t>Staff Agentic AI Engineer - People Places and Workforce Tech</t>
        </is>
      </c>
      <c r="C37" t="inlineStr">
        <is>
          <t>Intuit</t>
        </is>
      </c>
      <c r="D37" t="inlineStr">
        <is>
          <t>linkedin</t>
        </is>
      </c>
      <c r="E37" t="inlineStr"/>
      <c r="F37" t="inlineStr"/>
      <c r="G37" t="inlineStr">
        <is>
          <t>Mountain View, CA</t>
        </is>
      </c>
      <c r="H37" t="inlineStr"/>
      <c r="I37" t="inlineStr">
        <is>
          <t>**Overview**
 The Intuit T4I (Tech for Intuit) team is responsible for building Intuit’s core capabilities supporting enterprise Workforce, People, and Places technologies. Our stakeholders include HR, Facilities, IT, segment business unit leaders, and all Intuit employees and expert workforce. The T4I engineering organization partners closely with product, design, and platform teams to deliver primarily internal services that improve productivity and employee experience across Intuit.
 As a Staff ( Software \| ML) Engineer, you will play a critical role in designing, building, and scaling AI\-powered agents and copilots that support Intuit’s workforce. This role is focused on applied AI systems, not research—delivering production\-ready agent architectures that integrate with enterprise systems and workflows.
 You will help define how and where AI agents add real value, making thoughtful tradeoffs between LLM\-based approaches, traditional ML techniques, and simpler heuristic or rules\-based solutions. You will work across backend services, AI platforms, and conversational interfaces to enable intelligent automation at scale.
 This role is well suited for senior backend engineers with strong AI systems experience or ML engineers with strong software engineering foundations who are excited about building end\-to\-end agentic systems.
 If you have a bias for action, enjoy operating in ambiguity, and are motivated by building practical AI solutions that drive measurable business impact, this role may be a great fit.
**Responsibilities**
 Responsibilities
 Design and Build AI Agents: Architect, develop, and deploy AI agents and copilots that augment Intuit employees’ workflows, integrating with internal systems and tools.
 Own End\-to\-End AI Systems: Take solutions from concept to production—including model selection, prompt and context design, retrieval strategies, backend services, and conversational interfaces.
 Apply the Right Tool for the Problem: Evaluate business problems and determine whether they are best solved with LLMs, classical ML, or simpler rule\-based approaches.
 Develop RAG and Context Pipelines: Build scalable, maintainable retrieval and context systems that provide high\-quality grounding for AI agents.
 Innovate Through Rapid Prototyping: Create proofs\-of\-concept to explore new agent capabilities, frameworks, and integrations, then harden successful ideas for production use.
 Ensure Production Readiness: Design for reliability, observability, security, and cost efficiency in AI\-powered systems operating at enterprise scale.
 Collaborate Cross\-Functionally: Partner closely with product managers, designers, platform teams, and business stakeholders to deliver meaningful outcomes.
 Mentor and Influence: Provide technical leadership, mentor other engineers, and help shape best practices for AI agent development across the organization.
**Qualifications**
 8\+ years of experience in software engineering, machine learning engineering, or related roles building large\-scale, production systems.
 Hands\-on experience designing and deploying AI systems using large language models (LLMs) in real\-world applications.
 Strong understanding of when to apply LLMs vs. traditional ML algorithms vs. deterministic or heuristic approaches, with the ability to justify tradeoffs.
**Experience Building And Maintaining**
* Retrieval\-Augmented Generation (RAG) pipelines
* Agent frameworks and orchestration patterns
* Model Context Protocol (MCP) servers or equivalent tool\-use / function\-calling architectures
* Conversational or chat\-based interfaces (internal tools, copilots, or assistants)
 Strong backend engineering skills (e.g., Python, Java), including API design, service ownership, and distributed systems fundamentals.
 Familiarity with deploying AI systems on cloud platforms (AWS), including observability, reliability, and cost considerations.
 Experience integrating AI systems with enterprise data sources, APIs, and internal platforms while maintaining security and privacy standards.
 Ability to work independently, manage ambiguity, and deliver incrementally under aggressive timelines.
 Passion for mentoring engineers and influencing technical direction beyond your immediate team.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$184500 to $266,500</t>
        </is>
      </c>
    </row>
    <row r="38">
      <c r="A38" t="inlineStr">
        <is>
          <t>li-4365671843</t>
        </is>
      </c>
      <c r="B38" t="inlineStr">
        <is>
          <t>Staff Agentic AI Engineer - People Places and Workforce Tech</t>
        </is>
      </c>
      <c r="C38" t="inlineStr">
        <is>
          <t>Intuit</t>
        </is>
      </c>
      <c r="D38" t="inlineStr">
        <is>
          <t>linkedin</t>
        </is>
      </c>
      <c r="E38" t="inlineStr"/>
      <c r="F38" t="inlineStr"/>
      <c r="G38" t="inlineStr">
        <is>
          <t>San Diego, CA</t>
        </is>
      </c>
      <c r="H38" t="inlineStr"/>
      <c r="I38" t="inlineStr">
        <is>
          <t>**Overview**
 The Intuit T4I (Tech for Intuit) team is responsible for building Intuit’s core capabilities supporting enterprise Workforce, People, and Places technologies. Our stakeholders include HR, Facilities, IT, segment business unit leaders, and all Intuit employees and expert workforce. The T4I engineering organization partners closely with product, design, and platform teams to deliver primarily internal services that improve productivity and employee experience across Intuit.
 As a Staff ( Software \| ML) Engineer, you will play a critical role in designing, building, and scaling AI\-powered agents and copilots that support Intuit’s workforce. This role is focused on applied AI systems, not research—delivering production\-ready agent architectures that integrate with enterprise systems and workflows.
 You will help define how and where AI agents add real value, making thoughtful tradeoffs between LLM\-based approaches, traditional ML techniques, and simpler heuristic or rules\-based solutions. You will work across backend services, AI platforms, and conversational interfaces to enable intelligent automation at scale.
 This role is well suited for senior backend engineers with strong AI systems experience or ML engineers with strong software engineering foundations who are excited about building end\-to\-end agentic systems.
 If you have a bias for action, enjoy operating in ambiguity, and are motivated by building practical AI solutions that drive measurable business impact, this role may be a great fit.
**Responsibilities**
 Responsibilities
 Design and Build AI Agents: Architect, develop, and deploy AI agents and copilots that augment Intuit employees’ workflows, integrating with internal systems and tools.
 Own End\-to\-End AI Systems: Take solutions from concept to production—including model selection, prompt and context design, retrieval strategies, backend services, and conversational interfaces.
 Apply the Right Tool for the Problem: Evaluate business problems and determine whether they are best solved with LLMs, classical ML, or simpler rule\-based approaches.
 Develop RAG and Context Pipelines: Build scalable, maintainable retrieval and context systems that provide high\-quality grounding for AI agents.
 Innovate Through Rapid Prototyping: Create proofs\-of\-concept to explore new agent capabilities, frameworks, and integrations, then harden successful ideas for production use.
 Ensure Production Readiness: Design for reliability, observability, security, and cost efficiency in AI\-powered systems operating at enterprise scale.
 Collaborate Cross\-Functionally: Partner closely with product managers, designers, platform teams, and business stakeholders to deliver meaningful outcomes.
 Mentor and Influence: Provide technical leadership, mentor other engineers, and help shape best practices for AI agent development across the organization.
**Qualifications**
 8\+ years of experience in software engineering, machine learning engineering, or related roles building large\-scale, production systems.
 Hands\-on experience designing and deploying AI systems using large language models (LLMs) in real\-world applications.
 Strong understanding of when to apply LLMs vs. traditional ML algorithms vs. deterministic or heuristic approaches, with the ability to justify tradeoffs.
**Experience Building And Maintaining**
* Retrieval\-Augmented Generation (RAG) pipelines
* Agent frameworks and orchestration patterns
* Model Context Protocol (MCP) servers or equivalent tool\-use / function\-calling architectures
* Conversational or chat\-based interfaces (internal tools, copilots, or assistants)
 Strong backend engineering skills (e.g., Python, Java), including API design, service ownership, and distributed systems fundamentals.
 Familiarity with deploying AI systems on cloud platforms (AWS), including observability, reliability, and cost considerations.
 Experience integrating AI systems with enterprise data sources, APIs, and internal platforms while maintaining security and privacy standards.
 Ability to work independently, manage ambiguity, and deliver incrementally under aggressive timelines.
 Passion for mentoring engineers and influencing technical direction beyond your immediate team.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$184500 to $266,500</t>
        </is>
      </c>
    </row>
    <row r="39">
      <c r="A39" t="inlineStr">
        <is>
          <t>li-4292575429</t>
        </is>
      </c>
      <c r="B39" t="inlineStr">
        <is>
          <t>Applied Scientist II, Prime Video Recommendation/Search Science</t>
        </is>
      </c>
      <c r="C39" t="inlineStr">
        <is>
          <t>Prime Video &amp; Amazon MGM Studios</t>
        </is>
      </c>
      <c r="D39" t="inlineStr">
        <is>
          <t>linkedin</t>
        </is>
      </c>
      <c r="E39" t="inlineStr"/>
      <c r="F39" t="inlineStr"/>
      <c r="G39" t="inlineStr">
        <is>
          <t>Sunnyvale, CA</t>
        </is>
      </c>
      <c r="H39" t="inlineStr"/>
      <c r="I39"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40">
      <c r="A40" t="inlineStr">
        <is>
          <t>li-4373280270</t>
        </is>
      </c>
      <c r="B40" t="inlineStr">
        <is>
          <t>Applied Scientist, Marketing Measurement</t>
        </is>
      </c>
      <c r="C40" t="inlineStr">
        <is>
          <t>Uber</t>
        </is>
      </c>
      <c r="D40" t="inlineStr">
        <is>
          <t>linkedin</t>
        </is>
      </c>
      <c r="E40" t="inlineStr"/>
      <c r="F40" t="inlineStr"/>
      <c r="G40" t="inlineStr">
        <is>
          <t>New York, NY</t>
        </is>
      </c>
      <c r="H40" t="inlineStr"/>
      <c r="I40" t="inlineStr">
        <is>
          <t>**About The Role**
 As an Applied Scientist on the incrementality foundations team within marketing measurement, you will contribute to Uber Marketing Org's commitment to science\-backed decision making. This team is responsible for building experiment forms, models, \&amp; processes for turning complex hypotheses into reliable, actionable incrementality signals that inform planning, forecasting, and investment decisions across the business. Your work will focus on building robust processes for interpreting measurement data, building foundational models for estimation \&amp; inference, and researching experimentation best practices for accurate and complete incrementality measurement. Your work will inform smarter investment and decision\-making systems across Uber's Brand and Performance Marketing. This team sits close to production systems, partnering with Product, Engineering, and cross\-functional Science teams to ensure incrementality measurement is rigorous, scalable, and decision\-ready
**What The Candidate Will Need / Bonus Points**
* Develop and apply statistical and causal inference models to estimate the incremental impact of marketing across channels, markets, and test designs.
* Design custom tests \&amp; analyze results from complex experiments, including multi\-cell, market\-level, and longitudinal tests.
* Contribute to foundational modeling efforts such as hierarchical smoothing, aggregation across tests, and handling of low\-signal or sparse data.
* Assist in research on advanced topics, including learning elasticity with experiments and analyzing event relationships to improve experiment accuracy and interpretation.
* Partner with Product and Engineering to integrate incrementality models into reporting and decision\-making workflows
* Research and help establish best practices for experiment design, post\-analysis interpretation, and measurement tradeoffs.
* Collaborate with other Applied Science and Data Science teams to align incrementality outputs with broader measurement and investment frameworks.
**Basic Qualifications**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incrementality, or quasi\-experimental methods.
* Hands\-on experience designing, analyzing, and interpreting experiments, including evaluation of uncertainty, limitations, and tradeoffs.
* Proficiency in Python or R and SQL for analyzing and modeling large, complex datasets.
* Experience working with marketing, growth, advertising, or similar business domains where measurement and investment decisions are central.
* Ability to clearly communicate analytical insights to technical and non\-technical stakeholders and collaborate effectively in cross\-functional teams.
* Demonstrated ability to collaborate effectively in cross\-functional, fast\-moving environments.
**Preferred Qualifications**
* Bachelor's, Master's or PhD in a quantitative discipline (e.g., Statistics, Economics, Mathematics, Computer Science),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 Experience contributing to shared codebases or production\-adjacent analytics systems, including collaboration with Product or Engineering partners.
* Ability to independently drive scoped projects end\-to\-end with guidance, and operate effectively in ambiguous or evolving problem spaces.
* Curiosity and learning mindset, with demonstrated ability to ramp quickly on new domains, tools, or methodologies.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1">
      <c r="A41" t="inlineStr">
        <is>
          <t>li-4312952079</t>
        </is>
      </c>
      <c r="B41" t="inlineStr">
        <is>
          <t>Principal Applied Scientist - AI &amp; Robotics</t>
        </is>
      </c>
      <c r="C41" t="inlineStr">
        <is>
          <t>General Motors</t>
        </is>
      </c>
      <c r="D41" t="inlineStr">
        <is>
          <t>linkedin</t>
        </is>
      </c>
      <c r="E41" t="inlineStr"/>
      <c r="F41" t="inlineStr"/>
      <c r="G41" t="inlineStr">
        <is>
          <t>Mountain View, CA</t>
        </is>
      </c>
      <c r="H41" t="inlineStr"/>
      <c r="I41" t="inlineStr">
        <is>
          <t>**Job Description**
 Our AI Research team is building end\-to\-end robot policies that enable dexterous manipulation in real\-world environments. We are advancing embodied AI by integrating multimodal perception, robot learning architectures, and physical execution systems to solve manipulation, autonomy, and simulation challenges at an industrial scale.
 As a Principal Applied Scientist, you will define technical direction, create breakthrough robot learning methodologies, and drive the execution of large\-scale initiatives that deliver end\-to\-end manipulation policies. You will architect new model families, lead cross\-functional research efforts, and guide teams in transitioning scientific advances into reliable robotic capabilities deployed in real systems.
**What You’ll Do**
* Define the research strategy and technical roadmap for embodied manipulation policies that span perception, training, control, and deployment.
* Invent or advance robot learning architectures (e.g., diffusion\-based policies, ACT\-style agents, multimodal embodied transformers) to enable robust dexterous manipulation.
* Architect end\-to\-end policy systems from multimodal sensing to hardware control, across simulation and real environments.
* Establish standards for data generation, demonstrations, simulation fidelity, evaluation, and sim\-to\-real adaptation for manipulation tasks.
* Guide cross\-functional efforts to scale robot learning from prototypes to production, including reliability constraints, observability, and performance guarantees.
* Mentor scientists and engineers, influence hiring, and shape research priorities within the organization.
* Represent GM in external communities (e.g., CoRL, RSS, ICRA, NeurIPS), pursue collaborations, and drive thought leadership in embodied AI.
**Required Qualifications**
* PhD in a relevant STEM field, with a recognized track record in robotics, robot learning, or embodied AI.
* Significant experience designing and deploying robot learning systems on physical hardware, including manipulation tasks and real\-time policy execution.
* Expertise in modern AI architectures (Transformers, diffusion models, VLM/VLA agents, imitation learning, offline RL) and ability to extend them to new embodied scenarios.
* Mastery of PyTorch, including model internals, performance optimization, distributed training, and debugging complex failures.
* Hands\-on experience with ROS/ROS2, motion planning stacks, and integration of ML components into robotic platforms.
* Evidence of high\-impact contributions: top\-tier publications, influential open\-source efforts, field deployments, or foundational algorithms.
* Proven ability to lead ambiguous multi\-disciplinary research programs and deliver tangible embodied AI outcomes.
**Preferred Qualifications**
* Experience establishing research agendas in robot learning or dexterous manipulation that resulted in widely adopted systems or protocols.
* Leadership of projects involving perception → policy → control integration, staged training, or multi\-robot deployment.
* Deep expertise in at least one advanced area:
* Dexterous manipulation / affordance\-driven action
* Multi\-step task sequencing / long horizon reasoning
* Offline RL or imitation learning at scale
* Physics\-informed or tactile\-informed policies
* Foundation models for embodied agents
* Strong industry or academic presence: invited talks, program committees, major open\-source contributions, or collaborations with robotics research institutions.
**Why Join Us**
 You will shape how robots behave in the physical world—designing the foundational learning systems that enable dexterous, autonomous manipulation across GM’s future robotics platforms.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259,000 to 320,000\.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**Relocation:** 
 This job may be eligible for relocation benefits.
 \#GMAI\-B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2">
      <c r="A42" t="inlineStr">
        <is>
          <t>li-4338550102</t>
        </is>
      </c>
      <c r="B42" t="inlineStr">
        <is>
          <t>Principal Applied Scientist, Sponsored Products and Brands</t>
        </is>
      </c>
      <c r="C42" t="inlineStr">
        <is>
          <t>Amazon</t>
        </is>
      </c>
      <c r="D42" t="inlineStr">
        <is>
          <t>linkedin</t>
        </is>
      </c>
      <c r="E42" t="inlineStr"/>
      <c r="F42" t="inlineStr"/>
      <c r="G42" t="inlineStr">
        <is>
          <t>New York, United States</t>
        </is>
      </c>
      <c r="H42" t="inlineStr"/>
      <c r="I42"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A3130855</t>
        </is>
      </c>
    </row>
    <row r="43">
      <c r="A43" t="inlineStr">
        <is>
          <t>li-4338560091</t>
        </is>
      </c>
      <c r="B43" t="inlineStr">
        <is>
          <t>Principal Applied Scientist, Sponsored Products and Brands</t>
        </is>
      </c>
      <c r="C43" t="inlineStr">
        <is>
          <t>Amazon</t>
        </is>
      </c>
      <c r="D43" t="inlineStr">
        <is>
          <t>linkedin</t>
        </is>
      </c>
      <c r="E43" t="inlineStr"/>
      <c r="F43" t="inlineStr"/>
      <c r="G43" t="inlineStr">
        <is>
          <t>Seattle, WA</t>
        </is>
      </c>
      <c r="H43" t="inlineStr"/>
      <c r="I43"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A3130855</t>
        </is>
      </c>
    </row>
    <row r="44">
      <c r="A44" t="inlineStr">
        <is>
          <t>li-4330044748</t>
        </is>
      </c>
      <c r="B44" t="inlineStr">
        <is>
          <t>Machine Learning Engineer (Model Dev)</t>
        </is>
      </c>
      <c r="C44" t="inlineStr">
        <is>
          <t>ArteraAI</t>
        </is>
      </c>
      <c r="D44" t="inlineStr">
        <is>
          <t>linkedin</t>
        </is>
      </c>
      <c r="E44" t="inlineStr"/>
      <c r="F44" t="inlineStr"/>
      <c r="G44" t="inlineStr"/>
      <c r="H44" t="inlineStr"/>
      <c r="I44" t="inlineStr">
        <is>
          <t>**About Us:** 
 Artera is an AI startup that develops medical artificial intelligence tests to personalize therapy for cancer patients. Artera is on a mission to personalize medical decisions for patients and physicians on a global scale.
 As a Machine Learning Engineer at Artera, you will help develop AI\-based biomarkers that support the personalization of cancer therapy. You will work on multimodal deep\-learning models that integrate large\-scale pathology whole\-slide images with diverse modalities to predict patient risk and response to therapy. Training models on pathology images poses unique computational and modeling challenges, and you will contribute to developing robust, scalable solutions in this space. You will collaborate closely with fellow ML engineers, biostatisticians, scientific directors, and product partners to build, validate, and deploy models that ultimately impact patient care.
**Essential Responsibilities**
* Develop and evaluate AI\-based biomarkers using multimodal data.
* Design, implement, and improve machine\-learning models to predict patient outcomes and treatment response.
* Contribute to the end\-to\-end model development lifecycle, including data preparation, training, evaluation, and validation.
* Support the productionalization, launch, and monitoring of machine\-learning models in collaboration with platform and product teams.
* Conduct research and experimentation to improve model performance, robustness, generalizability, and interpretability.
* Collaborate with biostatistics, clinical, and product partners to translate clinical questions into machine\-learning solutions.
* Contribute to scientific publications and conference submissions alongside the broader research team.
**Experience Requirements**
* 2\+ years of industry experience using PyTorch or TensorFlow.
* Experience contributing to machine\-learning systems deployed or maintained in production environments.
* Ability to clearly communicate complex technical concepts to cross\-functional, non\-ML collaborators.
**Desired**
* Experience working with large\-scale image data or computer vision models.
* Familiarity with self\-supervised representation learning (e.g., MoCo, DINOv2\) and / or vision–language models (VLMs) and multimodal representation learning.
* Interest in healthcare, medical imaging, or applied machine learning in regulated or high\-impact domains.
 $140,000 \- $180,000 a year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
**Equal Employee Opportunity:**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45">
      <c r="A45" t="inlineStr">
        <is>
          <t>li-4373502092</t>
        </is>
      </c>
      <c r="B45" t="inlineStr">
        <is>
          <t>Sr. Machine Learning Engineer | $125/hr</t>
        </is>
      </c>
      <c r="C45" t="inlineStr">
        <is>
          <t>Mercor</t>
        </is>
      </c>
      <c r="D45" t="inlineStr">
        <is>
          <t>linkedin</t>
        </is>
      </c>
      <c r="E45" t="inlineStr"/>
      <c r="F45" t="inlineStr"/>
      <c r="G45" t="inlineStr"/>
      <c r="H45" t="inlineStr"/>
      <c r="I45" t="inlineStr">
        <is>
          <t>**About The Job**
**Mercor** 
 connects elite creative and technical talent with leading AI research labs. Headquartered in San Francisco, our investors include
 **Benchmark** 
 ,
 **General Catalyst** 
 ,
 **Peter Thiel** 
 ,
 **Adam D'Angelo** 
 ,
 **Larry Summers** 
 , and
 **Jack Dorsey** 
 .
**Position:** 
 ML Engineer
**Type:** 
**Contract**
**Compensation:** 
**$100–$125/hour**
**Location:** 
**Remote**
**Role Responsibilities**
* Apply expertise in Machine Learning, AI, and statistics to leverage internal operations data for solving critical problems for legal teams.
* Design, deploy, and maintain ML pipelines and systems to enhance operational efficiency.
* Utilize data exploration and analysis to identify and address key issues within legal operations.
* Collaborate with legal teams to ensure AI model outputs meet domain\-specific requirements.
* Work independently and asynchronously to improve AI model performance and data pipeline efficiency.
**Qualifications**
**Must\-Have**
* Master's or Bachelor's in Computer Science, Math, Physics, Engineering, Statistics, or a related quantitative field.
* 5\+ years of experience in the design, deployment, and maintenance of Machine Learning pipelines and systems.
* Demonstrable experience in applying Machine Learning algorithms to solve real\-world problems.
* 5\+ years of experience in the design, deployment, and maintenance of large data pipelines.
**Compensation \&amp; Legal**
* Pursuant to the California Fair Chance Act and related ordinances, qualified applicants will be considered with arrest and conviction records. Criminal history may impact job duties related to policy adherence, judgment, stress management, and client interaction.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46">
      <c r="A46" t="inlineStr">
        <is>
          <t>li-4239645650</t>
        </is>
      </c>
      <c r="B46" t="inlineStr">
        <is>
          <t>Senior/Staff Machine Learning Engineer, Planning</t>
        </is>
      </c>
      <c r="C46" t="inlineStr">
        <is>
          <t>PlusAI</t>
        </is>
      </c>
      <c r="D46" t="inlineStr">
        <is>
          <t>linkedin</t>
        </is>
      </c>
      <c r="E46" t="inlineStr"/>
      <c r="F46" t="inlineStr"/>
      <c r="G46" t="inlineStr">
        <is>
          <t>Santa Clara, CA</t>
        </is>
      </c>
      <c r="H46" t="inlineStr"/>
      <c r="I46" t="inlineStr">
        <is>
          <t>PlusAI is a Physical AI company pioneering AI\-based virtual driver software for factory\-built autonomous trucks. Headquartered in Silicon Valley with operations in the United States and Europe, Plus was named by Fast Company as one of the World’s Most Innovative Companies. Partners including TRATON GROUP’s Scania, MAN, and International brands, Hyundai Motor Company, Iveco Group, Bosch, and DSV are working with Plus to accelerate the deployment of next\-generation autonomous trucks. If you’re ready to make a huge impact and drive the future of autonomy, Plus is looking for talented individuals to join its fast\-growing teams.
 We’re looking for a machine learning engineer to train and deploy the latest generation of ML\-based planning algorithms on the extensive data we collect every day across our autonomous trucking fleet.
**Responsibilities**
* Use complex map and perception sensor output to develop novel deep learning models for our planning stack.
* Design critical safety checks to ensure driving trajectories are feasible and follow rules of road.
* Ensure all model development keeps a real\-time focus and operates efficiently in compute\-constrained environments.
* Track and incorporate the latest multidisciplinary research advancements in a fast\-moving field.
* Ensure that your work is performed in accordance with the company’s Quality Management System (QMS) requirements and contribute to continuous improvement efforts.
* Ensure that technical work meets customer requirements, regulatory standards, and company quality policies.
**Required Skills**
* BS, MS, or PhD in Software, Robotics, or related field
* 4\+ years of machine learning engineering experience for robotics applications
* Experience developing high\-quality software from design and implementation to testing and deployment.
* Expertise with Python, willingness to do some C\+\+ development as needed.
* Experience training with modern frameworks (e.g. PyTorch)
* A rigorous approach to model development: running well\-designed experiments, defining suitable training and validation datasets, and evaluating on the right metrics.
* Hands\-on familiarity with cloud data ingestion pipelines
* Strong communication and collaborative skills
**Salary Range**
* $130,000 \- $220,000 a year
 Our compensations (cash and equity) are determined based on the position, your location, qualifications, and experience.
**Your opportunities joining PlusAI**
 Work, learn and grow in a highly future\-oriented, innovative and dynamic field.
 Wide range of opportunities for personal and professional development.
 Catered free lunch, unlimited snacks and beverages.
 Highly competitive salary and benefits package, including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li-4373287129</t>
        </is>
      </c>
      <c r="B47" t="inlineStr">
        <is>
          <t>AI Engineer</t>
        </is>
      </c>
      <c r="C47" t="inlineStr">
        <is>
          <t>Best Job Tool</t>
        </is>
      </c>
      <c r="D47" t="inlineStr">
        <is>
          <t>linkedin</t>
        </is>
      </c>
      <c r="E47" t="inlineStr"/>
      <c r="F47" t="inlineStr"/>
      <c r="G47" t="inlineStr"/>
      <c r="H47" t="inlineStr"/>
      <c r="I47" t="inlineStr">
        <is>
          <t>**About The Company**
 Ring Inc. is a leading provider of innovative home security and smart home solutions dedicated to making neighborhoods safer and more connected. With a commitment to cutting\-edge technology and customer\-centric design, Ring offers a comprehensive range of products including video doorbells, security cameras, alarm systems, and smart lighting. Established as a pioneer in the smart home industry, Ring has built a reputation for reliability, ease of use, and exceptional customer service. The company continuously invests in research and development to enhance its product offerings and expand its global footprint, aiming to empower homeowners and communities with the tools they need to monitor and protect their properties effectively.
**About The Role**
 Ring Inc. is seeking a highly motivated and detail\-oriented Product Manager to join our dynamic team. In this role, you will be responsible for guiding the development and lifecycle of key products within our portfolio, ensuring they meet customer needs and align with the company's strategic goals. The Product Manager will collaborate closely with cross\-functional teams including engineering, marketing, sales, and customer support to deliver innovative solutions that enhance user experience and drive business growth. This position requires a blend of technical understanding, market insight, and leadership skills to successfully manage product roadmaps, prioritize features, and oversee the execution from conception to launch.
**Qualifications**
 The ideal candidate will possess a bachelor’s degree in Business, Engineering, Computer Science, or a related field. A minimum of 5 years of experience in product management, preferably within the technology or smart home industry, is required. Strong analytical skills and familiarity with agile development methodologies are essential. Excellent communication and interpersonal skills are necessary to effectively coordinate with diverse teams and stakeholders. Experience with data\-driven decision making, user\-centered design, and market research will be highly valued. Knowledge of IoT (Internet of Things) products and cloud technology is a plus.
**Responsibilities**
 Define and execute the product strategy and roadmap in alignment with company objectives and market demands.
 Conduct market research and gather customer feedback to identify new product opportunities and enhancements.
 Collaborate with engineering teams to develop product specifications, prioritize features, and ensure timely delivery.
 Coordinate with marketing and sales teams to develop go\-to\-market strategies, product launches, and promotional activities.
 Monitor product performance metrics and analyze user data to inform ongoing improvements and updates.
 Manage cross\-functional teams and communicate product updates, milestones, and challenges effectively.
 Ensure compliance with industry standards and safety regulations throughout the product lifecycle.
 Stay informed about industry trends, emerging technologies, and competitive landscape to maintain product relevance and innovation.
**Benefits**
 Ring Inc. offers a competitive salary package complemented by comprehensive health insurance, including medical, dental, and vision coverage. Employees enjoy flexible work arrangements and opportunities for remote work to promote work\-life balance. The company provides ongoing professional development programs, including training workshops, certifications, and industry conferences. Additional benefits include paid time off, parental leave, retirement savings plans, and employee discounts on products. Ring Inc. fosters a collaborative and inclusive work environment where innovation and diversity are valued, encouraging employees to grow their careers within a supportive community.
 Equal Opportunity
 Ring Inc. is an equal opportunity employer committed to fostering a diverse and inclusive workplace. We do not discriminate based on race, color, religion, gender, sexual orientation, gender identity or expression, national origin, age, disability, or any other protected characteristic. We believe that a diverse workforce enhances our ability to innovate and serve our global customer base effectively. All qualified applicants will receive consideration for employment without regard to any protected status. We are dedicated to creating a welcoming environment where all employees can thrive and contribute to our mission of making neighborhoods safer and smarter.</t>
        </is>
      </c>
    </row>
    <row r="48">
      <c r="A48" t="inlineStr">
        <is>
          <t>li-4310281278</t>
        </is>
      </c>
      <c r="B48" t="inlineStr">
        <is>
          <t>Senior Machine Learning Engineer, End-to-end Autonomy</t>
        </is>
      </c>
      <c r="C48" t="inlineStr">
        <is>
          <t>Woven by Toyota</t>
        </is>
      </c>
      <c r="D48" t="inlineStr">
        <is>
          <t>linkedin</t>
        </is>
      </c>
      <c r="E48" t="inlineStr"/>
      <c r="F48" t="inlineStr"/>
      <c r="G48" t="inlineStr">
        <is>
          <t>Palo Alto, CA</t>
        </is>
      </c>
      <c r="H48" t="inlineStr"/>
      <c r="I48"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Own design and development of ML models or model components for end\-to\-end autonomous driving: ranging from initial data strategy, design, development, experimentation, evaluation and deployment.
* Resolve ambiguities and address uncertainties arising from complex projects involving multiple teams and legacy codebases.
* Enable and help other colleagues on the team to be more effective through leading by example when it comes to writing high\-quality code, being rigorous with Machine Learning experimentation and knowledge sharing.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Knowledge of debugging and profiling deep neural networks on NVIDIA CUDA stack
* Experience in state of the art architectures for object detection and 3D perception
* Experience in ML workflows: data sampling and curation, pre\-processing, model training, ablation studies, evaluation, deployment, inference optimization
* Python and C\+\+ experience
* Hands\-on experience with building a perception stack for autonomous systems
* Familiarity with recent breakthroughs in ML (e.g. foundation models, pre\-training and efficient fine\-tuning, multimodal Transformer architectures)
* Hands\-on experience with large scale distributed training
**Nice to Have**
* Hands\-on experience with building a perception stack for autonomous systems
* Experience with model deployment with NVIDIA stack (e.g. ONNX graphs, TensorRT, profiling)
* Experience with PyTorch and Computer Vision for sensor fusion (e.g. BEV representations)
* Experience with embedded ML platforms and real\-time OSes
 For positions based in Palo Alto, CA, the base pay ranges from $140,000\-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49">
      <c r="A49" t="inlineStr">
        <is>
          <t>li-4302011362</t>
        </is>
      </c>
      <c r="B49" t="inlineStr">
        <is>
          <t>Machine Learning Engineer Graduate (E-Commerce Supply Chain &amp; Logistics)- 2026 Start (BS/MS)</t>
        </is>
      </c>
      <c r="C49" t="inlineStr">
        <is>
          <t>ByteDance</t>
        </is>
      </c>
      <c r="D49" t="inlineStr">
        <is>
          <t>linkedin</t>
        </is>
      </c>
      <c r="E49" t="inlineStr"/>
      <c r="F49" t="inlineStr"/>
      <c r="G49" t="inlineStr">
        <is>
          <t>San Jose, CA</t>
        </is>
      </c>
      <c r="H49" t="inlineStr"/>
      <c r="I49" t="inlineStr">
        <is>
          <t>**Responsibilities**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Responsible for the development of deep learning and operations research models and related intelligent systems for the supply chain and logistics of the global E\-Commerce business.
*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future and history.
* Participate in the growth of e\-commerce merchants/creators, responsible for the growth algorithm of e\-commerce merchants/creators, including potential merchants/creators mining algorithm, tiering algorithm, out\-reach algorithm, growth algorithm, etc. Work closely with e\-commerce merchants/creators related operations and product teams to achieve the high\-quality growth goal of e\-commerce merchants/creators.
* Combined with massive e\-commerce information, through data mining and machine learning, predict the performance of products in traffic/conversion, improve the efficiency of product operation strategy and pricing/subsidy strategy, and assist in optimizing traffic distribution, to satisfy the requirements of product growth, cost optimization and some other scenarios.
**Qualifications**
 Minimum Qualifications:
* Bachelor's degree or above in fields such as artificial intelligence, computer science, operations research, automation, statistics, mathematics, or related disciplines, with experience in data mining and deep learning.
* Proficient in machine learning and statistics, familiar with the principles and model structures of common machine learning and deep learning algorithms for classification, regression, and clustering, with practical application experience.
* Proficient in programming languages such as Python/Java, possessing excellent coding abilities, and familiar with at least one common machine learning/deep learning framework (TensorFlow/PyTorch etc.).
 Demonstrates a spirit of exploration, outstanding data analysis capabilities, strong initiative, and excellent teamwork and communication skills.
**Preferred Qualifications:**
* Demonstrated software engineering experience from previous internship, work experience, coding competitions, or publications
* Internship experience or research experience, especially in e\-commerce, supply chain, logistics, and transportation.
* Published papers at conferences such as KDD, NeurIPS, WWW, SIGIR, WSDM, ICML, IJCAI, AAAI, RecSys, or having participated in data mining/machine learning competitions.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50">
      <c r="A50" t="inlineStr">
        <is>
          <t>li-4333232748</t>
        </is>
      </c>
      <c r="B50" t="inlineStr">
        <is>
          <t>Staff AI/ML Engineer - AV ML Infra</t>
        </is>
      </c>
      <c r="C50" t="inlineStr">
        <is>
          <t>General Motors</t>
        </is>
      </c>
      <c r="D50" t="inlineStr">
        <is>
          <t>linkedin</t>
        </is>
      </c>
      <c r="E50" t="inlineStr"/>
      <c r="F50" t="inlineStr"/>
      <c r="G50" t="inlineStr">
        <is>
          <t>Sunnyvale, CA</t>
        </is>
      </c>
      <c r="H50" t="inlineStr"/>
      <c r="I50" t="inlineStr">
        <is>
          <t>**Job Description**
**Staff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 As a Staff AI/ML Engineer, you will be a technical expert within the AV ML Infra team, driving the design and implementation of scalable ML infrastructure solutions. You will influence the direction of our technical projects, provide mentorship to peers, and help shape the adoption of best practices across GM’s ML infrastructure. This is an individual contributor/Tech Lead role focused on deep technical impact rather than team management.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8\+ years of experience, with a strong background in large\-scale distributed systems preferred.
* 3\+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$218,800 \- $335,300\.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1">
      <c r="A51" t="inlineStr">
        <is>
          <t>li-4310274457</t>
        </is>
      </c>
      <c r="B51" t="inlineStr">
        <is>
          <t>Senior Machine Learning Engineer, End-to-end Autonomy</t>
        </is>
      </c>
      <c r="C51" t="inlineStr">
        <is>
          <t>Woven by Toyota</t>
        </is>
      </c>
      <c r="D51" t="inlineStr">
        <is>
          <t>linkedin</t>
        </is>
      </c>
      <c r="E51" t="inlineStr"/>
      <c r="F51" t="inlineStr"/>
      <c r="G51" t="inlineStr">
        <is>
          <t>Ann Arbor, MI</t>
        </is>
      </c>
      <c r="H51" t="inlineStr"/>
      <c r="I51"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Own design and development of ML models or model components for end\-to\-end autonomous driving: ranging from initial data strategy, design, development, experimentation, evaluation and deployment.
* Resolve ambiguities and address uncertainties arising from complex projects involving multiple teams and legacy codebases.
* Enable and help other colleagues on the team to be more effective through leading by example when it comes to writing high\-quality code, being rigorous with Machine Learning experimentation and knowledge sharing.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Knowledge of debugging and profiling deep neural networks on NVIDIA CUDA stack
* Experience in state of the art architectures for object detection and 3D perception
* Experience in ML workflows: data sampling and curation, pre\-processing, model training, ablation studies, evaluation, deployment, inference optimization
* Python and C\+\+ experience
* Hands\-on experience with building a perception stack for autonomous systems
* Familiarity with recent breakthroughs in ML (e.g. foundation models, pre\-training and efficient fine\-tuning, multimodal Transformer architectures)
* Hands\-on experience with large scale distributed training
**Nice to Have**
* Hands\-on experience with building a perception stack for autonomous systems
* Experience with model deployment with NVIDIA stack (e.g. ONNX graphs, TensorRT, profiling)
* Experience with PyTorch and Computer Vision for sensor fusion (e.g. BEV representations)
* Experience with embedded ML platforms and real\-time OSes
 For positions based in Palo Alto, CA, the base pay ranges from $140,000\-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52">
      <c r="A52" t="inlineStr">
        <is>
          <t>li-4299905975</t>
        </is>
      </c>
      <c r="B52" t="inlineStr">
        <is>
          <t>Machine Learning Engineer Graduate - Global E-commerce Recommendation/Search - 2026 Start (PhD)</t>
        </is>
      </c>
      <c r="C52" t="inlineStr">
        <is>
          <t>TikTok</t>
        </is>
      </c>
      <c r="D52" t="inlineStr">
        <is>
          <t>linkedin</t>
        </is>
      </c>
      <c r="E52" t="inlineStr"/>
      <c r="F52" t="inlineStr"/>
      <c r="G52" t="inlineStr">
        <is>
          <t>Seattle, WA</t>
        </is>
      </c>
      <c r="H52" t="inlineStr"/>
      <c r="I52"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Data\-E\-commerce team oversees algorithmic and corresponding engineering work in the e\-commerce business. Our responsibilities encompass not only utilizing recommendation and search algorithms to help users discover appealing products but also implementing risk control and content safety algorithms to identify malicious sellers/influencers and violations in products/videos/live streams, ensuring a secure shopping experience. Furthermore, we are involved in constructing intelligent customer service technology and large\-scale product knowledge graphs, aiming to enhance efficiency across various transaction processes. Through operations optimization and intelligent supply chain algorithms, we work to improve logistics efficiency.
**Responsibilities:**
* Work in a team to conduct cutting\-edge research in machine learning algorithms, such as retrieval and recommendation algorithms.
* Participate in building large\-scale (10 million to 100 million) e\-commerce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Apply machine learning algorithms to improve the different business scenarios, such as search ranking, natural language and video understanding, and trust and safety.
**Qualifications**
 Minimum Qualifications
* Final year or recent graduate with a background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53">
      <c r="A53" t="inlineStr">
        <is>
          <t>li-4341922673</t>
        </is>
      </c>
      <c r="B53" t="inlineStr">
        <is>
          <t>AI &amp; Machine Learning Engineering Consultant - Manager - Consulting - Location OPEN</t>
        </is>
      </c>
      <c r="C53" t="inlineStr">
        <is>
          <t>EY</t>
        </is>
      </c>
      <c r="D53" t="inlineStr">
        <is>
          <t>linkedin</t>
        </is>
      </c>
      <c r="E53" t="inlineStr"/>
      <c r="F53" t="inlineStr"/>
      <c r="G53" t="inlineStr">
        <is>
          <t>San Diego, CA</t>
        </is>
      </c>
      <c r="H53" t="inlineStr"/>
      <c r="I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4">
      <c r="A54" t="inlineStr">
        <is>
          <t>li-4341852792</t>
        </is>
      </c>
      <c r="B54" t="inlineStr">
        <is>
          <t>AI &amp; Machine Learning Engineering Consultant - Manager - Consulting - Location OPEN</t>
        </is>
      </c>
      <c r="C54" t="inlineStr">
        <is>
          <t>EY</t>
        </is>
      </c>
      <c r="D54" t="inlineStr">
        <is>
          <t>linkedin</t>
        </is>
      </c>
      <c r="E54" t="inlineStr"/>
      <c r="F54" t="inlineStr"/>
      <c r="G54" t="inlineStr">
        <is>
          <t>Irvine, CA</t>
        </is>
      </c>
      <c r="H54" t="inlineStr"/>
      <c r="I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5">
      <c r="A55" t="inlineStr">
        <is>
          <t>li-4312757861</t>
        </is>
      </c>
      <c r="B55" t="inlineStr">
        <is>
          <t>PhD University Grad Machine Learning Engineer 2026 (USA)</t>
        </is>
      </c>
      <c r="C55" t="inlineStr">
        <is>
          <t>Pinterest</t>
        </is>
      </c>
      <c r="D55" t="inlineStr">
        <is>
          <t>linkedin</t>
        </is>
      </c>
      <c r="E55" t="inlineStr"/>
      <c r="F55" t="inlineStr"/>
      <c r="G55" t="inlineStr">
        <is>
          <t>San Francisco, CA</t>
        </is>
      </c>
      <c r="H55" t="inlineStr"/>
      <c r="I5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570 million users around the world and 300 billion ideas saved, Pinterest Machine Learning engineers help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**By applying to this role, you will be considered for multiple roles open across our various ML teams. Please only apply once within the USA or Canada as multiple applications may delay our recruitment process.**
**This is a general posting for multiple roles open across our various ML teams. You will have the opportunity to work on a very large scope of problems in recommender systems, search, ads, ranking, natural language processing, graph representation learning, personalization, etc.**
 As a Machine Learning Engineer at Pinterest, you’ll work on tackling new challenges in machine learning and artificial intelligence. As you kickstart your career at Pinterest, you’ll join our engineering teams as we maneuver through exponential growth and massive scale while building awesome products and features, creating visually rich experiences, spearheading the discovery problem, and pinpointing tomorrow’s engineering challenges.
**What You’ll Do**
* Contribute to cutting\-edge research in machine learning and artificial intelligence that can be applied to Pinterest problems
* Collect, analyze, and synthesize findings from data and build intelligent data\-driven model
* Write clean, efficient, and sustainable code
* Use machine learning, natural language processing, and graph analysis to solve modeling and ranking problems across discovery, ads and search
* Design, build, and test models to predict engagement for notifications (push, emails, in\-app notifications)
* Build content recommendation systems to power our push, email, and in\-app notifications
* Work on state\-of\-the\-art large\-scale applied machine learning projects
* Scope and independently solve moderately complex problems
**What We’re Looking For** 
* PhD in Computer Science, ML, NLP, Statistics, Information Sciences or related field required
* Machine Learning experience (ranking, computer vision, NLP, content recommendations, embedding, information retrieval etc)
* Proficiency in at least one systems language (Java, C\+\+, Python) or one ML framework (Tensorflow, Pytorch, MLFlow)
* Experience with big data technologies (e.g., Hadoop/Spark) and scalable realtime systems that process stream data
* Experience in research and in solving analytical problems
* Strong communicator and team player with the ability to find solutions for open\-ended problems.
* Preferred Qualifications:
+ Publications in machine learning, AI, data science, data analytics, statistics, or related technical fields
+ Interest in research and in applying ML to impactful real\-world problems on the Pinterest product
**In\-Office Requirement Statement**
* We let the type of work you do guide the collaboration style. That means we’re not always working in an office, but we continue to gather for key moments of collaboration and connection
* This role may require you to be located near an office for in\-person collaboration, and therefore may need to be located a commutable distance from one of our Pinterest offices.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$162,690—$214,060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6">
      <c r="A56" t="inlineStr">
        <is>
          <t>li-4341992473</t>
        </is>
      </c>
      <c r="B56" t="inlineStr">
        <is>
          <t>AI &amp; Machine Learning Engineering Consultant - Manager - Consulting - Location OPEN</t>
        </is>
      </c>
      <c r="C56" t="inlineStr">
        <is>
          <t>EY</t>
        </is>
      </c>
      <c r="D56" t="inlineStr">
        <is>
          <t>linkedin</t>
        </is>
      </c>
      <c r="E56" t="inlineStr"/>
      <c r="F56" t="inlineStr"/>
      <c r="G56" t="inlineStr">
        <is>
          <t>Austin, TX</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li-4341892710</t>
        </is>
      </c>
      <c r="B57" t="inlineStr">
        <is>
          <t>AI &amp; Machine Learning Engineering Consultant - Manager - Consulting - Location OPEN</t>
        </is>
      </c>
      <c r="C57" t="inlineStr">
        <is>
          <t>EY</t>
        </is>
      </c>
      <c r="D57" t="inlineStr">
        <is>
          <t>linkedin</t>
        </is>
      </c>
      <c r="E57" t="inlineStr"/>
      <c r="F57" t="inlineStr"/>
      <c r="G57" t="inlineStr">
        <is>
          <t>Dallas, TX</t>
        </is>
      </c>
      <c r="H57" t="inlineStr"/>
      <c r="I5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8">
      <c r="A58" t="inlineStr">
        <is>
          <t>li-4341962695</t>
        </is>
      </c>
      <c r="B58" t="inlineStr">
        <is>
          <t>AI &amp; Machine Learning Engineering Consultant - Manager - Consulting - Location OPEN</t>
        </is>
      </c>
      <c r="C58" t="inlineStr">
        <is>
          <t>EY</t>
        </is>
      </c>
      <c r="D58" t="inlineStr">
        <is>
          <t>linkedin</t>
        </is>
      </c>
      <c r="E58" t="inlineStr"/>
      <c r="F58" t="inlineStr"/>
      <c r="G58" t="inlineStr">
        <is>
          <t>Denver, CO</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li-4341972561</t>
        </is>
      </c>
      <c r="B59" t="inlineStr">
        <is>
          <t>AI &amp; Machine Learning Engineering Consultant - Manager - Consulting - Location OPEN</t>
        </is>
      </c>
      <c r="C59" t="inlineStr">
        <is>
          <t>EY</t>
        </is>
      </c>
      <c r="D59" t="inlineStr">
        <is>
          <t>linkedin</t>
        </is>
      </c>
      <c r="E59" t="inlineStr"/>
      <c r="F59" t="inlineStr"/>
      <c r="G59" t="inlineStr">
        <is>
          <t>Iselin, NJ</t>
        </is>
      </c>
      <c r="H59" t="inlineStr"/>
      <c r="I5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0">
      <c r="A60" t="inlineStr">
        <is>
          <t>li-4341942645</t>
        </is>
      </c>
      <c r="B60" t="inlineStr">
        <is>
          <t>AI &amp; Machine Learning Engineering Consultant - Manager - Consulting - Location OPEN</t>
        </is>
      </c>
      <c r="C60" t="inlineStr">
        <is>
          <t>EY</t>
        </is>
      </c>
      <c r="D60" t="inlineStr">
        <is>
          <t>linkedin</t>
        </is>
      </c>
      <c r="E60" t="inlineStr"/>
      <c r="F60" t="inlineStr"/>
      <c r="G60" t="inlineStr">
        <is>
          <t>Buffalo, NY</t>
        </is>
      </c>
      <c r="H60" t="inlineStr"/>
      <c r="I6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1">
      <c r="A61" t="inlineStr">
        <is>
          <t>li-4341892709</t>
        </is>
      </c>
      <c r="B61" t="inlineStr">
        <is>
          <t>AI &amp; Machine Learning Engineering Consultant - Manager - Consulting - Location OPEN</t>
        </is>
      </c>
      <c r="C61" t="inlineStr">
        <is>
          <t>EY</t>
        </is>
      </c>
      <c r="D61" t="inlineStr">
        <is>
          <t>linkedin</t>
        </is>
      </c>
      <c r="E61" t="inlineStr"/>
      <c r="F61" t="inlineStr"/>
      <c r="G61" t="inlineStr">
        <is>
          <t>Boston, MA</t>
        </is>
      </c>
      <c r="H61" t="inlineStr"/>
      <c r="I6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2">
      <c r="A62" t="inlineStr">
        <is>
          <t>li-4341902742</t>
        </is>
      </c>
      <c r="B62" t="inlineStr">
        <is>
          <t>AI &amp; Machine Learning Engineering Consultant - Manager - Consulting - Location OPEN</t>
        </is>
      </c>
      <c r="C62" t="inlineStr">
        <is>
          <t>EY</t>
        </is>
      </c>
      <c r="D62" t="inlineStr">
        <is>
          <t>linkedin</t>
        </is>
      </c>
      <c r="E62" t="inlineStr"/>
      <c r="F62" t="inlineStr"/>
      <c r="G62" t="inlineStr">
        <is>
          <t>Hoboken, NJ</t>
        </is>
      </c>
      <c r="H62" t="inlineStr"/>
      <c r="I6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3">
      <c r="A63" t="inlineStr">
        <is>
          <t>li-4347012606</t>
        </is>
      </c>
      <c r="B63" t="inlineStr">
        <is>
          <t>AI &amp; Machine Learning Engineering Consultant - Manager - Consulting - Location OPEN</t>
        </is>
      </c>
      <c r="C63" t="inlineStr">
        <is>
          <t>EY</t>
        </is>
      </c>
      <c r="D63" t="inlineStr">
        <is>
          <t>linkedin</t>
        </is>
      </c>
      <c r="E63" t="inlineStr"/>
      <c r="F63" t="inlineStr"/>
      <c r="G63" t="inlineStr">
        <is>
          <t>New Orleans, LA</t>
        </is>
      </c>
      <c r="H63" t="inlineStr"/>
      <c r="I6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li-4341922664</t>
        </is>
      </c>
      <c r="B64" t="inlineStr">
        <is>
          <t>AI &amp; Machine Learning Engineering Consultant - Manager - Consulting - Location OPEN</t>
        </is>
      </c>
      <c r="C64" t="inlineStr">
        <is>
          <t>EY</t>
        </is>
      </c>
      <c r="D64" t="inlineStr">
        <is>
          <t>linkedin</t>
        </is>
      </c>
      <c r="E64" t="inlineStr"/>
      <c r="F64" t="inlineStr"/>
      <c r="G64" t="inlineStr">
        <is>
          <t>Kansas City, MO</t>
        </is>
      </c>
      <c r="H64" t="inlineStr"/>
      <c r="I6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li-4341822933</t>
        </is>
      </c>
      <c r="B65" t="inlineStr">
        <is>
          <t>AI &amp; Machine Learning Engineering Consultant - Manager - Consulting - Location OPEN</t>
        </is>
      </c>
      <c r="C65" t="inlineStr">
        <is>
          <t>EY</t>
        </is>
      </c>
      <c r="D65" t="inlineStr">
        <is>
          <t>linkedin</t>
        </is>
      </c>
      <c r="E65" t="inlineStr"/>
      <c r="F65" t="inlineStr"/>
      <c r="G65" t="inlineStr">
        <is>
          <t>Providence, RI</t>
        </is>
      </c>
      <c r="H65" t="inlineStr"/>
      <c r="I6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li-4341872755</t>
        </is>
      </c>
      <c r="B66" t="inlineStr">
        <is>
          <t>AI &amp; Machine Learning Engineering Consultant - Manager - Consulting - Location OPEN</t>
        </is>
      </c>
      <c r="C66" t="inlineStr">
        <is>
          <t>EY</t>
        </is>
      </c>
      <c r="D66" t="inlineStr">
        <is>
          <t>linkedin</t>
        </is>
      </c>
      <c r="E66" t="inlineStr"/>
      <c r="F66" t="inlineStr"/>
      <c r="G66" t="inlineStr">
        <is>
          <t>Akron, OH</t>
        </is>
      </c>
      <c r="H66" t="inlineStr"/>
      <c r="I6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7">
      <c r="A67" t="inlineStr">
        <is>
          <t>li-4347022495</t>
        </is>
      </c>
      <c r="B67" t="inlineStr">
        <is>
          <t>AI &amp; Machine Learning Engineering Consultant - Manager - Consulting - Location OPEN</t>
        </is>
      </c>
      <c r="C67" t="inlineStr">
        <is>
          <t>EY</t>
        </is>
      </c>
      <c r="D67" t="inlineStr">
        <is>
          <t>linkedin</t>
        </is>
      </c>
      <c r="E67" t="inlineStr"/>
      <c r="F67" t="inlineStr"/>
      <c r="G67" t="inlineStr">
        <is>
          <t>Toledo, OH</t>
        </is>
      </c>
      <c r="H67" t="inlineStr"/>
      <c r="I6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8">
      <c r="A68" t="inlineStr">
        <is>
          <t>li-4341942636</t>
        </is>
      </c>
      <c r="B68" t="inlineStr">
        <is>
          <t>AI &amp; Machine Learning Engineering Consultant - Manager - Consulting - Location OPEN</t>
        </is>
      </c>
      <c r="C68" t="inlineStr">
        <is>
          <t>EY</t>
        </is>
      </c>
      <c r="D68" t="inlineStr">
        <is>
          <t>linkedin</t>
        </is>
      </c>
      <c r="E68" t="inlineStr"/>
      <c r="F68" t="inlineStr"/>
      <c r="G68" t="inlineStr">
        <is>
          <t>Huntsville, AL</t>
        </is>
      </c>
      <c r="H68" t="inlineStr"/>
      <c r="I6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9">
      <c r="A69" t="inlineStr">
        <is>
          <t>li-4343701280</t>
        </is>
      </c>
      <c r="B69" t="inlineStr">
        <is>
          <t>Principal Applied Scientist, Kiro Science</t>
        </is>
      </c>
      <c r="C69" t="inlineStr">
        <is>
          <t>Amazon Web Services (AWS)</t>
        </is>
      </c>
      <c r="D69" t="inlineStr">
        <is>
          <t>linkedin</t>
        </is>
      </c>
      <c r="E69" t="inlineStr"/>
      <c r="F69" t="inlineStr"/>
      <c r="G69" t="inlineStr">
        <is>
          <t>Santa Clara, CA</t>
        </is>
      </c>
      <c r="H69" t="inlineStr"/>
      <c r="I69" t="inlineStr">
        <is>
          <t>**Description**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A3142517</t>
        </is>
      </c>
    </row>
    <row r="70">
      <c r="A70" t="inlineStr">
        <is>
          <t>li-4372324558</t>
        </is>
      </c>
      <c r="B70" t="inlineStr">
        <is>
          <t>AI ML Engineer (7+ Years)</t>
        </is>
      </c>
      <c r="C70" t="inlineStr">
        <is>
          <t>InApp</t>
        </is>
      </c>
      <c r="D70" t="inlineStr">
        <is>
          <t>linkedin</t>
        </is>
      </c>
      <c r="E70" t="inlineStr"/>
      <c r="F70" t="inlineStr"/>
      <c r="G70" t="inlineStr"/>
      <c r="H70" t="inlineStr"/>
      <c r="I70" t="inlineStr">
        <is>
          <t>* Notice Period: Immediate joiners Number of Openings: 1 Working hours : 3 PM – 12 AM IST
**Job Summary**
 We are seeking a Senior Python Developer who excels at building scalable, AI\-integrated systems using modern tools and frameworks. The ideal candidate embraces AI\-assisted development (GitHub Copilot, ChatGPT, AutoGen, etc.) to boost productivity, improve code quality, and drive innovation across our application stack. This role combines backend expertise, cloud\-native architecture, and hands\-on AI integration to deliver intelligent, high\-performance solutions.
 Key Responsibilities
**AI Model Integration \&amp; Optimization**
* Integrate APIs from multiple AI platforms (OpenAI, Anthropic, Gemini, Llama, Mistral, etc.) into scalable backend systems.
* Build multi\-model orchestration layers balancing cost, latency, and accuracy.
* Fine\-tune prompts, manage context windows, and implement RAG (Retrieval\-Augmented Generation) solutions for domain\-specific use cases.
* Optimize token usage, caching, and filtering strategies to enhance system efficiency and user experience.
**Application \&amp; System Development**
* Design and implement AI\-enabled workflows seamlessly integrated with web, mobile, or enterprise ecosystems.
* Develop Python\-based backends and APIs using frameworks like FastAPI, Flask, or Django.
* Build and deploy microservices and cloud\-native services leveraging Docker, Kubernetes, and serverless architectures
* Collaborate with frontend, DevOps, and product teams to ensure smooth feature delivery and deployment.
* Monitor and evaluate AI responses through metrics, evaluation frameworks, or RLHF\-inspired feedback loops.
* Implement AI guardrails for responsible usage including bias detection, toxicity filtering, and compliance enforcement.
* Debug and resolve performance or reliability issues in AI\-powered production systems.
**Innovation \&amp; Collaboration**
* Stay up to date with the evolving AI model landscape, exploring new models, APIs, and orchestration frameworks.
* Experiment with multi\-modal AI (vision, text, speech) for applicability in client scenarios.
* Work closely with cross\-functional teams to translate business goals into intelligent, automated features.
**Primary Skills**
* Python backend expert: FastAPI, async I/O, API design, testing.
* Production LLM integration: OpenAI/Anthropic/Gemini/Mistral; prompt and context strategies; RAG with a vector DB.
* Cloud\-native delivery: Docker, AWS (preferred), CI/CD, IaC basics (Terraform or Pulumi).
* Data layer: SQL (PostgreSQL), caching/queues (Redis \+ Celery/RQ/SQS/Kafka).
* Daily AI\-assisted development (Copilot/Others) for coding and tests.
**Required Skills \&amp; Qualifications**
* Expert in Python backend development with hands\-on experience integrating AI models, building cloud\-native microservices, and using AI\-assisted coding tools for faster, smarter development.
* Proven hands\-on experience integrating LLM APIs (OpenAI, Claude, Gemini, Llama, etc.).
* Strong expertise in AI/ML frameworks (TensorFlow, PyTorch, scikit\-learn, Hugging Face, etc.)” as essential qualification
* Practical knowledge of LangChain, LlamaIndex, Codium or similar frameworks for AI workflow orchestration.
* Understanding of prompt engineering, embeddings, vector databases (Pinecone, Weaviate, FAISS, pgvector), and RAG pipelines.
* Strong background in cloud platforms (AWS, GCP, Azure), containerization, and orchestration.
* Deep understanding of REST/GraphQL APIs, async programming, task queues, and caching mechanisms.
* Familiarity with SQL/NoSQL databases (PostgreSQL, MongoDB, Redis).
* Experience using AI\-assisted tools such as GitHub Copilot, ChatGPT API, AutoGen, or OpenDevin for coding and testing automation.
* Exposure to CI/CD pipelines and Infrastructure as Code (Terraform, Pulumi).
* Knowledge of data preprocessing, NLP/NLU, and model evaluation techniques.
* Data Engineering \&amp; Processing, Data pipeline development , ETL/ELT processes, Batch processing and stream processing frameworks, Large\-scale data handling with pandas, NumPy, Dask
**Preferred Skills**
* Hands\-on with multi\-modal AI (vision, text\-to\-speech, speech\-to\-text).
* Experience with MLOps practices including CI/CD for AI pipelines, model monitoring, and drift detection.
* Background in fine\-tuning, reinforcement learning, or custom model training.
* Familiarity with enterprise security standards (GDPR, HIPAA, SOC2\).
* Contributions to open\-source or personal AI\-assisted coding initiatives.
 Soft Skills
* Excellent problem\-solving and analytical thinking ability.
* Strong cross\-functional collaboration and communication skills.
* Clear technical documentation habits.
* Curious, experimental mindset with a drive to explore the next frontier in AI\-driven development.</t>
        </is>
      </c>
    </row>
    <row r="71">
      <c r="A71" t="inlineStr">
        <is>
          <t>li-4373295977</t>
        </is>
      </c>
      <c r="B71" t="inlineStr">
        <is>
          <t>Senior Machine Learning Engineer - Trust &amp; Safety</t>
        </is>
      </c>
      <c r="C71" t="inlineStr">
        <is>
          <t>TekVizor</t>
        </is>
      </c>
      <c r="D71" t="inlineStr">
        <is>
          <t>linkedin</t>
        </is>
      </c>
      <c r="E71" t="inlineStr"/>
      <c r="F71" t="inlineStr"/>
      <c r="G71" t="inlineStr">
        <is>
          <t>California, United States</t>
        </is>
      </c>
      <c r="H71" t="inlineStr"/>
      <c r="I71" t="inlineStr">
        <is>
          <t>**Senior Machine Learning Engineer \- Trust and Safety** 
**Location:** 
 San Francisco, CA Bay Area
 Relocation available
 📢New opening for a Senior ML Engineer to join a world\-class team focused on building and deploying scalable ML models within online trust \&amp; safety.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anomaly detection, recommender systems.
* Build and scale our retrieval\-augmented generation (RAG) system that delivers analytic insights and automation to our product teams.
* Create and apply NLP, LLM AI models for customer safety in text, voice, audio and image classification.
* Develop sophisticated AI/ML paradigms model optimization, encoder based architecture, model improvement at scale.
* Train and optimize ML models,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Familiar working in trust and safety, fraud, user integrity.
* Expertise with Python, Scala, scikit\-learn, Jax, PyTorch and PySpark, Tensorflow.
* ML model training, MLOps, NLP, parameter tuning, transformer models, optimization, encoder models, RAG.
* Familiarity with multimodal AI models combining text, image, and video data.
**Education:**
 Master’s in Mathematics, Computer Science, Statistics, Engineering or similar degree (PhD preferred but not required)</t>
        </is>
      </c>
    </row>
    <row r="72">
      <c r="A72" t="inlineStr">
        <is>
          <t>li-4373504301</t>
        </is>
      </c>
      <c r="B72" t="inlineStr">
        <is>
          <t>Machine Learning Engineer</t>
        </is>
      </c>
      <c r="C72" t="inlineStr">
        <is>
          <t>Best Job Tool</t>
        </is>
      </c>
      <c r="D72" t="inlineStr">
        <is>
          <t>linkedin</t>
        </is>
      </c>
      <c r="E72" t="inlineStr"/>
      <c r="F72" t="inlineStr"/>
      <c r="G72" t="inlineStr"/>
      <c r="H72" t="inlineStr"/>
      <c r="I72" t="inlineStr">
        <is>
          <t>**About The Company**
 The Australian Competition and Consumer Commission (ACCC) is Australia's national independent competition and consumer regulator. Established to promote fair trading, competition, and consumer protection, the ACCC plays a vital role in ensuring the integrity of markets across Australia. The organization is committed to fostering an environment where businesses compete fairly and consumers are protected from unfair practices. With a focus on innovation, transparency, and accountability, the ACCC collaborates with various stakeholders, including government agencies, industry bodies, and the public, to uphold the principles of a competitive and fair marketplace.
**About The Role**
 The Australian Competition and Consumer Commission is seeking a dedicated and detail\-oriented professional to join our team in the role of Regulatory Compliance Officer. In this position, you will be responsible for monitoring, investigating, and enforcing compliance with competition and consumer laws. Your role will involve analyzing complex data, conducting investigations, and collaborating with internal teams and external stakeholders to ensure adherence to legal standards. This position offers an excellent opportunity to contribute to the integrity of Australia's market environment and to work within a dynamic, policy\-driven organization committed to public service excellence.
**Qualifications**
 The ideal candidate will possess a bachelor's degree in law, economics, business administration, or a related field. A strong understanding of Australian competition and consumer legislation is essential. Prior experience in regulatory compliance, investigations, or legal analysis is highly desirable. Excellent analytical skills, attention to detail, and the ability to interpret complex data and legal documents are crucial for success in this role. Candidates should demonstrate strong communication skills, both written and verbal, and be capable of working effectively in a team environment. A proactive approach to problem\-solving and a commitment to ethical standards are also important attributes.
**Responsibilities**
 As a Regulatory Compliance Officer, your primary responsibilities will include monitoring compliance with competition and consumer laws, conducting investigations into potential breaches, and preparing detailed reports on findings. You will collaborate with internal teams and external agencies to gather evidence, analyze market behaviors, and develop strategies to address non\-compliance issues. Additionally, you will assist in the development and review of policies and procedures to ensure ongoing compliance with legal standards. Providing guidance and advice to stakeholders regarding regulatory requirements will be an integral part of your role. You will also participate in training sessions and workshops to keep abreast of legislative updates and industry best practices.
**Benefits**
 The ACCC offers a competitive salary package commensurate with experience, along with a comprehensive benefits program. Employees enjoy flexible working arrangements, professional development opportunities, and access to a range of health and wellness initiatives. The organization fosters a supportive and inclusive workplace culture that values diversity and encourages innovation. Additional benefits include paid leave entitlements, employee assistance programs, and opportunities for career advancement within a national government agency. Working at the ACCC provides a meaningful career path dedicated to public service and making a positive impact on the Australian economy and society.
 Equal Opportunity
 The Australian Competition and Consumer Commission is an equal opportunity employer. We are committed to creating an inclusive environment where all employees are valued and respected, regardless of gender, age, ethnicity, disability, or background. We actively promote diversity and encourage applications from underrepresented groups. Our organization adheres to all applicable anti\-discrimination laws and strives to foster a workplace culture that embraces equality, fairness, and opportunity for all.</t>
        </is>
      </c>
    </row>
    <row r="73">
      <c r="A73" t="inlineStr">
        <is>
          <t>li-4373295549</t>
        </is>
      </c>
      <c r="B73" t="inlineStr">
        <is>
          <t>Machine Learning Engineer, Fraud</t>
        </is>
      </c>
      <c r="C73" t="inlineStr">
        <is>
          <t>Wiraa</t>
        </is>
      </c>
      <c r="D73" t="inlineStr">
        <is>
          <t>linkedin</t>
        </is>
      </c>
      <c r="E73" t="inlineStr"/>
      <c r="F73" t="inlineStr"/>
      <c r="G73" t="inlineStr"/>
      <c r="H73" t="inlineStr"/>
      <c r="I73" t="inlineStr">
        <is>
          <t>**About The Company**
 Whatnot is the leading live shopping platform in North America and Europe, revolutionizing the way people buy, sell, and discover their favorite items. As a dynamic and innovative company, Whatnot seamlessly blends community, entertainment, and commerce to create a unique online marketplace experience. With a presence in the US, UK, Germany, Ireland, and Poland, the company is committed to building the future of online marketplaces through cutting\-edge technology and a passionate team. From fashion, beauty, and electronics to collectibles like trading cards, comic books, and live plants, Whatnot offers a diverse range of products through engaging live auctions. The company's mission is to enable anyone to turn their passion into a business and foster connections among users worldwide.
**About The Role**
 We are seeking a talented and experienced Machine Learning Engineer to join our Trust \&amp; Safety team. In this role, you will be responsible for designing, training, and deploying both traditional machine learning models and large language models (LLMs) to detect and prevent fraudulent behaviors across our platform. You will lead the end\-to\-end architecture of fraud detection systems, ensuring a balance between platform security and a seamless user experience. Your work will involve building intelligent behavioral graphs, developing scalable data pipelines, and conducting deep behavioral analysis to identify emerging fraud tactics. Collaboration with cross\-functional teams such as Payments, Infrastructure, and Trust \&amp; Safety is essential to develop effective features, labels, and evaluation pipelines. You will also implement model monitoring systems, contribute to fraud risk orchestration, and define key metrics to measure the effectiveness of detection systems. This role offers an exciting opportunity to work on innovative solutions that safeguard our marketplace while supporting our rapid growth and technological evolution.
**Qualifications**
* Bachelor’s degree in Computer Science, Data Science, or a related field, or equivalent work experience
* 2–6 years of experience in machine learning or software engineering, preferably in risk, fraud, or trust \&amp; safety domains
* Proficiency in Python and machine learning libraries such as scikit\-learn, PyTorch, LightGBM
* Solid backend development skills and experience deploying ML models in production environments (batch or real\-time)
* Experience with data analysis and building data pipelines using SQL, Spark, or DBT
* Knowledge of fraud detection techniques, including chargeback prediction, anomaly detection, and graph\-based modeling
* Experience with data orchestration frameworks like Dagster or Kubeflow and feature store design
* Ability to translate business risks into measurable ML solutions and collaborate across diverse teams
**Responsibilities**
* Design, train, and deploy ML models and LLMs to identify fraudulent activities across user accounts, payments, and marketplace interactions
* Lead the architecture of fraud detection, prevention, and intervention systems, ensuring a smooth user experience
* Build and maintain behavioral graphs to model user patterns, collusion networks, and account connectivity
* Develop scalable data pipelines and real\-time inference systems to support high\-volume, low\-latency ML workloads
* Conduct behavioral and adversarial data analysis to identify fraud trends and improve detection accuracy
* Partner with cross\-functional teams to develop features, labels, and model evaluation pipelines
* Implement model monitoring, drift detection, and continuous improvement processes to maintain system reliability
* Contribute to fraud risk orchestration by combining rules, heuristics, and models for automated decision\-making
* Define, track, and report key metrics such as precision, recall, false\-positive rate, and latency to evaluate system performance
* Stay informed about emerging fraud tactics and incorporate insights into adaptive, production\-ready systems
**Benefits**
* Generous holiday and time\-off policies
* Health insurance options including medical, dental, and vision coverage
* Support for remote work with home office setup allowance
* Monthly allowances for cell phone, internet, and wellness initiatives
* Care benefits and annual childcare allowances
* Lifetime family planning benefits covering adoption and fertility expenses
* Retirement plans including 401(k) with employer matching and international pension options
* Monthly app usage allowances for dogfooding
* Paid parental leave of 16 weeks plus a gradual return to work
* Opportunities for professional development and work\-life balance in a flexible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a diverse and inclusive workforce enhances our innovation, culture, and overall success. All qualified applicants will receive consideration for employment without regard to any protected status.</t>
        </is>
      </c>
    </row>
    <row r="74">
      <c r="A74" t="inlineStr">
        <is>
          <t>li-4321347365</t>
        </is>
      </c>
      <c r="B74" t="inlineStr">
        <is>
          <t>Machine Learning Engineer (AI Platform Lead)</t>
        </is>
      </c>
      <c r="C74" t="inlineStr">
        <is>
          <t>ArteraAI</t>
        </is>
      </c>
      <c r="D74" t="inlineStr">
        <is>
          <t>linkedin</t>
        </is>
      </c>
      <c r="E74" t="inlineStr"/>
      <c r="F74" t="inlineStr"/>
      <c r="G74" t="inlineStr"/>
      <c r="H74" t="inlineStr"/>
      <c r="I74" t="inlineStr">
        <is>
          <t>**About Us:** 
 Artera is an AI startup that develops medical artificial intelligence tests to personalize therapy for cancer patients. Artera is on a mission to personalize medical decisions for patients and physicians on a global scale.
 As a Machine Learning Engineer at Artera, you’ll work on the AI Platform team with a focus on establishing scalable and efficient pipelines for data processing and model training. You’ll work closely with AI model developers, fellow machine learning engineers, and our platform engineering team. You’ll ensure that Artera’s model developers can rely on highly efficient, large\-scale training regimes and deploy optimized models to production environments.
**Essential Responsibilities**
* Develop the long term vision and roadmap for Artera’s AI platform that will allow the company to continue to scale in terms of both increased inference volume and development workloads.
* Accountable for Artera’s ML compute infrastructure including scaling up Artera’s Foundation Model development by developing distributed training infrastructure and developer libraries.
* Build and evolve the core libraries used by AI scientists to develop, launch, and monitor AI products.
* Work with model developers to optimize GPU and CPU efficiency and data throughput of large\-scale foundation models and downstream model training runs.
* Optimize Artera’s ability to store and serve terabytes of digital pathology data efficiently for the use in serving large\-scale training regimes.
* Ensure that Artera’s observability infrastructure provides a clear picture of how to continue to optimize performance across our model landscape.
**Experience Requirements**
* 8\+ years of industry software engineering experience
* 4\+ years of industry experience in using ML orchestration frameworks such as Flyte, Ray, Kubeflow, Metaflow, MLFlow, Dagster, Argo Workflow or Prefect
* 4\+ years of industry experience using one of PyTorch, TensorFlow, or JAX in Python
* 3\+ years of industry experience building with AWS, Docker, and Kubernetes
* 1\+ years of industry experience optimizing large\-scale, high data\-throughput, distributed machine learning training pipelines
**Desired**
* Experience using Terraform, SqlAlchemy
* Experience in multi\-node and multi\-gpu training.
* Experience deploying and maintaining infrastructure for machine learning training and production inference
* Familiarity with TorchScript, ONNXRuntime, DeepSpeed, AWS Neuron or similar approaches to inference optimization
**Work Authorization Requirement**
* This is a remote role open to candidates who are currently authorized to work either in the United States or in Canada without the need for current or future employment\-based visa sponsorship. Artera does not sponsor visas or support visa transfers for this position.
* Eligible candidates may include:
* Individuals authorized to work in the United States on a permanent basis (e.g., U.S. citizens, U.S. permanent residents), or
* Individuals authorized to work in Canada (e.g., Canadian citizens or Canadian permanent residents).
 $180,000 \- $220,000 a year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
**Equal Employee Opportunity** 
 :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75">
      <c r="A75" t="inlineStr">
        <is>
          <t>li-4373295548</t>
        </is>
      </c>
      <c r="B75" t="inlineStr">
        <is>
          <t>Machine Learning Engineer</t>
        </is>
      </c>
      <c r="C75" t="inlineStr">
        <is>
          <t>Wiraa</t>
        </is>
      </c>
      <c r="D75" t="inlineStr">
        <is>
          <t>linkedin</t>
        </is>
      </c>
      <c r="E75" t="inlineStr"/>
      <c r="F75" t="inlineStr"/>
      <c r="G75" t="inlineStr"/>
      <c r="H75" t="inlineStr"/>
      <c r="I75" t="inlineStr">
        <is>
          <t>**About The Company**
 Ford Motor Company is a globally recognized leader in the automotive industry, committed to shaping the future of mobility through innovative technology and sustainable solutions. With a rich history of engineering excellence and a forward\-thinking approach, Ford continuously strives to deliver high\-quality vehicles and digital experiences that enhance customer satisfaction. The company’s vision revolves around redefining transportation, integrating smart mobility solutions, and leveraging cutting\-edge software development to create intelligent, connected vehicles. Ford’s dedication to diversity, inclusion, and corporate responsibility underscores its mission to foster a dynamic and inclusive workplace where innovation thrives.
**About The Role**
 We are seeking a highly skilled Embedded Software Engineer to join Ford’s In\-Vehicle Infotainment team. In this pivotal role, you will be responsible for designing, developing, and maintaining high\-performance embedded software tailored for the QNX operating system. Your work will directly impact the digital experience of Ford’s vehicles, ensuring seamless navigation, entertainment, and connectivity features. This role offers an exciting opportunity to engage in the full software development lifecycle, from initial architecture and design to deployment and ongoing maintenance. The ideal candidate will possess a strong technical background, a passion for automotive technology, and a proactive approach to solving complex system\-level challenges. You will collaborate with cross\-functional teams and business partners to deliver innovative solutions that enhance the safety, security, and user experience of Ford vehicles worldwide.
**Qualifications**
* Bachelor’s degree in Computer Science, Electrical Engineering, or a related technical field
* 10\+ years of professional software development experience
* Expert\-level proficiency with C\+\+ programming language
* Proficiency with Git for revision control and collaborative development workflows
* Deep understanding of the complete software development lifecycle, from requirements gathering to production maintenance
* Strong analytical and problem\-solving skills with the ability to debug and resolve complex system issues
* Excellent communication skills for collaborating with cross\-functional teams and presenting technical solutions
**Responsibilities**
* Design, develop, and maintain high\-performance embedded software using C\+\+ for the QNX operating system
* Engage in the full software development lifecycle to deliver robust features for Ford’s in\-vehicle infotainment systems
* Analyze system components to optimize performance, security, and stability
* Implement new software features and functionalities to enhance the customer experience
* Identify, debug, and resolve complex system\-level issues to ensure high\-quality software releases
* Utilize Git for version control, managing code merges, and maintaining code integrity
* Collaborate with cross\-functional teams to present technical solutions and project updates clearly and effectively
* Participate in code reviews, testing, and documentation to ensure best practices and quality standards
**Preferred Qualifications**
* Experience developing software on embedded QNX or Android platforms
* Familiarity with Agile development methodologies such as Scrum or Kanban
* Knowledge of system\-level hardening and security practices for embedded environments
* Proven ability to optimize software for resource\-constrained hardware to improve boot times and UI responsiveness
* Experience with system\-level security and hardening techniques
**Benefits**
* Immediate medical, dental, and prescription drug coverage
* Flexible family care options, parental leave, and new parent ramp\-up programs
* Subsidized backup childcare and family support resources
* Vehicle discount programs for employees and family members, along with management leases
* Tuition assistance for continuing education and professional development
* Active employee resource groups promoting diversity and inclusion
* Paid time off for community service and volunteering activities
* Generous paid holiday schedule, including the week between Christmas and New Year’s Day
* Paid time off with options to purchase additional vacation days
 Equal Opportunity
 Ford Motor Company is an equal opportunity employer committed to fostering a diverse and inclusive workplace. All qualified applicants will receive consideration for employment without regard to race, religion, color, age, sex, national origin, sexual orientation, gender identity, disability status, or protected veteran status. We welcome applicants from all backgrounds and are dedicated to creating a culture of respect and opportunity for everyone.We encourage candidates who are passionate about innovation and technology to apply and join our team in shaping the future of mobility.</t>
        </is>
      </c>
    </row>
    <row r="76">
      <c r="A76" t="inlineStr">
        <is>
          <t>li-4373509026</t>
        </is>
      </c>
      <c r="B76" t="inlineStr">
        <is>
          <t>AI Engineer</t>
        </is>
      </c>
      <c r="C76" t="inlineStr">
        <is>
          <t>Hirenza</t>
        </is>
      </c>
      <c r="D76" t="inlineStr">
        <is>
          <t>linkedin</t>
        </is>
      </c>
      <c r="E76" t="inlineStr"/>
      <c r="F76" t="inlineStr"/>
      <c r="G76" t="inlineStr"/>
      <c r="H76" t="inlineStr"/>
      <c r="I76" t="inlineStr">
        <is>
          <t>**About The Company**
 WGA Consulting, LLC is a premier consulting firm dedicated to harnessing the transformative power of artificial intelligence and data\-driven solutions to achieve operational excellence across various industries. Our mission is to deliver innovative, ethical, and responsible technology solutions that optimize processes, improve efficiency, and generate measurable business value. We pride ourselves on fostering a collaborative environment where expertise, integrity, and a commitment to positive societal impact are at the core of everything we do. Our team of seasoned professionals works closely with clients to understand their unique challenges and develop tailored strategies that leverage the latest advancements in AI and data science.
**About The Role**
 WGA Consulting is actively seeking an experienced and accomplished Principal Operations AI Engineer to join our dynamic team. In this pivotal role, you will lead the design, development, and deployment of advanced AI solutions aimed at optimizing operational processes for our diverse client base. Your expertise will be instrumental in identifying operational pain points, developing predictive and prescriptive analytics models, and integrating AI\-driven solutions into existing systems to enhance efficiency, reduce costs, and improve decision\-making capabilities. As a senior leader in AI engineering, you will collaborate with cross\-functional teams, mentor junior engineers, and stay abreast of emerging AI technologies to drive continuous innovation. This role offers a unique opportunity to influence operational strategies and contribute to impactful projects that make a positive difference in society and the environment.
**Qualifications**
* A Master's degree in Computer Science, Engineering, Operations Research, or a related field.
* Minimum of 8 years of professional experience in AI engineering, with a focus on operations optimization and process improvement.
* Extensive expertise in machine learning, deep learning, and statistical modeling techniques, with proven experience in developing and deploying AI models.
* Proficiency in programming languages such as Python, Java, or C\+\+, along with hands\-on experience with AI frameworks and libraries.
* Strong understanding of operational processes, challenges, and the potential for AI to deliver meaningful improvements.
* Experience with data analysis, modeling, visualization tools, and interpreting complex datasets.
* Exceptional analytical and problem\-solving skills, with the ability to translate business needs into technical solutions.
* Excellent communication skills, capable of conveying complex technical concepts to diverse audiences.
* Ability to work independently and collaboratively within a fast\-paced, evolving environment.
* Legal authorization to work in the United States without sponsorship now or in the future.
**Responsibilities**
* Lead the design, development, and implementation of AI solutions to optimize operational processes across various industries.
* Collaborate with cross\-functional teams to identify operational pain points and leverage AI techniques to enhance efficiency, productivity, and cost\-effectiveness.
* Conduct comprehensive data analysis and modeling to uncover insights and patterns that inform strategic decisions and process improvements.
* Develop predictive and prescriptive analytics models for demand forecasting, resource allocation, and capacity planning using machine learning and statistical techniques.
* Oversee the deployment and integration of AI models into operational systems, ensuring scalability, reliability, and real\-time performance.
* Stay informed about the latest AI advancements and identify opportunities for innovation within operational domains.
* Engage with stakeholders to understand business requirements, translate them into technical solutions, and effectively communicate the value of AI initiatives.
* Mentor and guide junior AI engineers, fostering their professional growth and ensuring best practices in AI development.
* Evaluate and select appropriate tools, platforms, and frameworks to support AI development and deployment effectively.
**Benefits**
 WGA Consulting offers a competitive compensation package, including a base salary ranging from $249,200 to $290,480 annually, commensurate with experience and qualifications. In addition to base pay, employees are eligible for an annual performance bonus that may include cash, profit sharing, and equity or stock options, providing opportunities for additional earnings based on individual and company performance. Our comprehensive benefits package encompasses health insurance, retirement plans, professional development opportunities, and a supportive work environment designed to promote work\-life balance. We are committed to fostering a culture of innovation, inclusion, and continuous learning, ensuring our team members have the resources and support needed to excel in their roles.
 Equal Opportunity
 WGA Consulting, LLC is an equal opportunity employer committed to creating an inclusive environment for all employees. We do not discriminate based on race, color, religion, age, sex, sexual orientation, gender identity, national origin, disability, protected veteran status, or any other characteristic protected by applicable federal, state, or local laws. We believe that diverse perspectives and experiences drive innovation and excellence. All qualified applicants will receive consideration for employment without regard to any protected status. We encourage individuals from all backgrounds to apply and join our team dedicated to making a positive impact through responsible and ethical AI practices.</t>
        </is>
      </c>
    </row>
    <row r="77">
      <c r="A77" t="inlineStr">
        <is>
          <t>li-4373286922</t>
        </is>
      </c>
      <c r="B77" t="inlineStr">
        <is>
          <t>AI Engineer</t>
        </is>
      </c>
      <c r="C77" t="inlineStr">
        <is>
          <t>Best Job Tool</t>
        </is>
      </c>
      <c r="D77" t="inlineStr">
        <is>
          <t>linkedin</t>
        </is>
      </c>
      <c r="E77" t="inlineStr"/>
      <c r="F77" t="inlineStr"/>
      <c r="G77" t="inlineStr"/>
      <c r="H77" t="inlineStr"/>
      <c r="I77" t="inlineStr">
        <is>
          <t>**About The Company**
 Recruiting from Scratch is a dynamic and innovative talent acquisition firm dedicated to connecting top\-tier professionals with leading organizations across various industries. Our company prides itself on delivering customized recruitment solutions that align with our clients' strategic goals. With a focus on integrity, professionalism, and excellence, we have established a reputation for building lasting relationships and fostering growth for both our clients and candidates. Our team is composed of experienced recruiters who are passionate about understanding the unique needs of each organization and providing tailored services to meet those needs effectively.
**About The Role**
 We are seeking a highly motivated and detail\-oriented Recruitment Specialist to join our team. In this role, you will be responsible for managing the end\-to\-end recruitment process, from sourcing and screening candidates to coordinating interviews and extending offers. The ideal candidate will possess excellent communication skills, a strong understanding of various industry sectors, and the ability to build rapport quickly with candidates and clients alike. This position offers an exciting opportunity to contribute to the growth of our organization by identifying and attracting top talent that aligns with our clients' strategic objectives.
**Qualifications**
 The ideal candidate should possess a bachelor’s degree in Human Resources, Business Administration, or a related field. Prior experience in recruitment or talent acquisition is preferred, with a proven track record of successfully filling roles across different levels and functions. Strong interpersonal and communication skills are essential, along with proficiency in using applicant tracking systems (ATS) and other recruitment tools. The candidate should demonstrate excellent organizational skills, the ability to manage multiple priorities simultaneously, and a proactive approach to problem\-solving. Knowledge of current employment laws and best practices in recruitment is also highly desirable.
**Responsibilities**
* Develop and execute effective sourcing strategies to attract qualified candidates through various channels including job boards, social media, networking, and referrals.
* Screen resumes and applications to identify suitable candidates based on job requirements and organizational fit.
* Conduct interviews, assess candidate skills, and evaluate cultural fit to ensure alignment with client needs.
* Coordinate interview schedules between candidates and hiring managers, providing timely feedback and updates.
* Manage candidate communication throughout the recruitment process, ensuring a positive candidate experience.
* Maintain accurate and up\-to\-date records of all recruitment activities within the applicant tracking system.
* Collaborate with clients and hiring managers to understand their staffing needs and provide strategic recruitment advice.
* Negotiate salary offers and employment terms with selected candidates, ensuring compliance with company policies and legal standards.
* Stay informed about industry trends and best practices to continuously improve recruitment strategies and processes.
**Benefits**
 Recruiting from Scratch offers a competitive benefits package designed to support our employees' professional and personal growth. Our benefits include health insurance coverage, paid time off, and opportunities for continuous learning and development. We foster a collaborative and inclusive work environment that encourages innovation and recognizes achievement. Additionally, employees have access to flexible work arrangements and performance\-based incentives. We believe in investing in our team members to ensure they thrive both within our organization and in their careers.
 Equal Opportunity
 Recruiting from Scratch is an equal opportunity employer. We are committed to fostering an inclusive environment where all employees and applicants are treated with respect and dignity. We do not discriminate based on race, color, religion, gender, sexual orientation, gender identity or expression, age, disability, or any other protected characteristic. Our hiring practices are designed to promote diversity and inclusion, ensuring that everyone has an equal opportunity to succeed and contribute to our company's success.</t>
        </is>
      </c>
    </row>
    <row r="78">
      <c r="A78" t="inlineStr">
        <is>
          <t>li-4372330698</t>
        </is>
      </c>
      <c r="B78" t="inlineStr">
        <is>
          <t>Machine Learning Engineer</t>
        </is>
      </c>
      <c r="C78" t="inlineStr">
        <is>
          <t>Piper Companies</t>
        </is>
      </c>
      <c r="D78" t="inlineStr">
        <is>
          <t>linkedin</t>
        </is>
      </c>
      <c r="E78" t="inlineStr"/>
      <c r="F78" t="inlineStr"/>
      <c r="G78" t="inlineStr">
        <is>
          <t>Washington, DC</t>
        </is>
      </c>
      <c r="H78" t="inlineStr"/>
      <c r="I78" t="inlineStr">
        <is>
          <t>Piper Companies is currently looking for an
 **Machine Learning Engineer** 
 in
 **Washington DC** 
 to design, build, and operationalize scalable AI/ML solutions across a variety of mission\-critical applications. This is a hybrid role and candidates will undergo a federal background check to receive a security clearance. Candidates with a prior or active clearance are preferred.
**Responsibilities for the** 
**Machine Learning Engineer** 
**:**
* Collaborate with data scientists and subject matter experts to design, build, and train machine learning systems
* Implement and optimize Large Language Models (LLMs), Retrieval\-Augmented Generation (RAG) systems, and AI agent architectures for enterprise use cases
* Deploy ML solutions via MLflow, AWS SageMaker, or custom APIs
* Document ML artifacts, processes, and performance outcomes clearly and comprehensively
**Qualifications for the** 
**Machine Learning Engineer** 
**:**
* 5\+ years of experience in ML Engineering or Applied Machine Learning and Python programming
* Hands\-on experience with ML frameworks (e.g., scikit\-learn, XGBoost, PyTorch, TensorFlow)
* Hands\-on experience with training frameworks such as TensorFlow, PyTorch, or Hugging Face
* Proficiency with Databricks, MLflow, and PySpark
* Practical experience building and deploying LLMs, RAGs, and AI agent systems
* Experience with AWS services such as S3, EC2, Lambda, SageMaker, and Step Functions for scalable ML workloads
**Compensation for the** 
**Machine Learning Engineer** 
**:**
* Salary Range: $150,000\-170,000 (depending on experience)
* Comprehensive benefit package; Cigna Medical, Cigna Dental, Vision, 401k w/ ADP, PTO, paid holidays, sick Leave as required by law
 This job opens for applications on 2/13/26\. Applications for this job will be accepted for at least 30 days from the posting date
 transformers, attention mechanisms, self\-attention, multi\-head attention, positional encoding, tokenization, subword tokenization, Byte Pair Encoding (BPE), sentencepiece, embeddings, contextual embeddings, vector representations, model fine\-tuning, instruction tuning, supervised fine‑tuning (SFT), reinforcement learning from human feedback (RLHF), direct preference optimization (DPO), quantization, QLoRA, LoRA adapters, parameter\-efficient fine\-tuning (PEFT), model distillation, hallucination mitigation, prompt engineering, prompt templates, chain\-of\-thought prompting, zero\-shot inference, few\-shot learning, model latency optimization, inference serving, model sharding, distributed training, gradient checkpointing, mixed precision training, FP16, BF16, tensor parallelism, pipeline parallelism, model parallelism, GPU acceleration, CUDA kernels, vLLM, Hugging Face Transformers, tokenizer parallelization, vector databases, dense retrieval, semantic search, ANN search, FAISS, Milvus, Pinecone, Weaviate, ChromaDB, hybrid search, BM25 retrieval, chunking strategies, document splitting, embedding generation, retriever‑ranker architecture, context window management, retrieval latency, indexing pipelines, retrieval evaluators, grounding, context injection, query expansion, document reranking, relevance scoring, metadata filtering, context compression, synthetic data generation for retrieval, RAG evaluation metrics, retrieval latency optimization, MLflow Tracking, MLflow Models, MLflow Registry, MLflow Projects, experiment tracking, model lineage, model versioning, artifact storage, run metadata, autologging, reproducible ML pipelines, conda environments, model deployment, model packaging, MLflow scoring server, parameters \&amp; metrics tracking, model governance, reproducibility, A/B model comparison, deployment to REST endpoints, MLflow \+ Databricks integration, ageMaker Studio, SageMaker Notebook Instances, SageMaker Training Jobs, SageMaker Inference Endpoints, SageMaker Serverless Inference, SageMaker JumpStart, SageMaker Pipelines, SageMaker Feature Store, SageMaker Model Registry, SageMaker Experiments, SageMaker Autopilot, model monitoring, Data Wrangler, processing jobs, distributed training on SageMaker, multi\-model endpoints, batch transform, SageMaker SDK, ECR containers, IAM roles for ML, VPC‑configured training, spot training, Hugging Face DLCs, SageMaker Clarify, SageMaker Debugger, Databricks Runtime, Delta Lake, Delta Tables, Unity Catalog, Databricks Workflows, Databricks Jobs, Databricks Model Serving, Databricks Feature Store, MLflow on Databricks, Databricks Notebooks, DBFS, Photon engine, Databricks SQL, vector search in Databricks, Mosaic AI, MosaicML training, distributed compute clusters, autoscaling clusters, Lakehouse architecture, Databricks Marketplace, data ingestion pipelines, clustering policies, secret scopes, job clusters, ML runtime versions</t>
        </is>
      </c>
    </row>
    <row r="79">
      <c r="A79" t="inlineStr">
        <is>
          <t>li-4372336570</t>
        </is>
      </c>
      <c r="B79" t="inlineStr">
        <is>
          <t>AI Engineer</t>
        </is>
      </c>
      <c r="C79" t="inlineStr">
        <is>
          <t>RemoteHunter</t>
        </is>
      </c>
      <c r="D79" t="inlineStr">
        <is>
          <t>linkedin</t>
        </is>
      </c>
      <c r="E79" t="inlineStr"/>
      <c r="F79" t="inlineStr"/>
      <c r="G79" t="inlineStr"/>
      <c r="H79" t="inlineStr"/>
      <c r="I79" t="inlineStr">
        <is>
          <t>About the Opportunity:
 A leading nonprofit software provider seeks a foundational AI Engineer to build and scale an AI platform that supports thousands of nonprofits. This role involves working with diverse datasets and intelligent systems to enhance tools for the social good sector. The AI Engineer will collaborate with data scientists, data engineers, and developers to implement advanced AI solutions, particularly focusing on Agentic Workflows and Large Language Models (LLMs), bridging model development and product integration.
 Responsibilities:
 • Design and implement AI solutions using LLMs, including advanced Agentic Orchestration and Retrieval\-Augmented Generation (RAG) systems
 • Develop, refine, and optimize prompts to maximize AI model accuracy and quality
 • Integrate AI/ML models and services into core products ensuring scalability, reliability, and efficiency
 • Support internal teams in adopting AI tools, including building agents and integrating AI services
 • Collaborate with product and data teams to explore new AI technologies and apply them to business challenges
 • Utilize cloud platforms, especially AWS AI services, to build, deploy, and manage AI\-powered features
 Requirements:
 • 3\+ years of hands\-on experience in software engineering, machine learning, or related roles focused on building and deploying AI systems
 • Deep understanding of prompt engineering, LLM integration, and fine\-tuning techniques
 • Strong software development skills and experience delivering scalable, production\-ready software
 • Proficiency in at least one programming language (Node.js and/or Python preferred)
 • Experience with AI agents and common AI/ML frameworks and libraries
 • Experience handling large, complex datasets with solid knowledge of data structures and algorithms
 • Familiarity with cloud\-based AI services, particularly AWS Bedrock services and Agent Core preferred
 • Ability to communicate complex technical concepts effectively to both technical and non\-technical audiences
 • Bachelor’s degree in Computer Science, Engineering, or a related technical field
 Bonus Points for:
 • Experience with vector databases
 • Practical experience building, training, or fine\-tuning LLMs/ML models
 • Knowledge of MLOps principles and tools
 • Experience with data platforms like Snowflake
 • Working knowledge of Node.js
 • Experience or passion for the nonprofit sector
 Benefits \&amp; Perks:
 No direct benefits or perks were specified in the original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0">
      <c r="A80" t="inlineStr">
        <is>
          <t>li-4371902693</t>
        </is>
      </c>
      <c r="B80" t="inlineStr">
        <is>
          <t>Senior AI/ML Engineer</t>
        </is>
      </c>
      <c r="C80" t="inlineStr">
        <is>
          <t>Anblicks</t>
        </is>
      </c>
      <c r="D80" t="inlineStr">
        <is>
          <t>linkedin</t>
        </is>
      </c>
      <c r="E80" t="inlineStr"/>
      <c r="F80" t="inlineStr"/>
      <c r="G80" t="inlineStr">
        <is>
          <t>Dallas, TX</t>
        </is>
      </c>
      <c r="H80" t="inlineStr"/>
      <c r="I80" t="inlineStr">
        <is>
          <t>Role Summary
 We are looking for a Senior AI/ML Engineer with strong experience in
 **GenAI, ML systems, and agentic AI solutions** 
 to design, build, and operate scalable, production‑grade AI solutions for complex business problems.
 Key Responsibilities
* Design, develop, and deploy scalable, secure GenAI and ML solutions using structured and unstructured data.
* Analyze large datasets in Snowflake and build features for ML pipelines.
* Apply ML, deep learning, NLP, time‑series, and statistical techniques to real‑world use cases.
* Own end‑to‑end ML pipelines: data ingestion, preprocessing, training, tuning, deployment, and monitoring.
* Build and maintain agentic AI systems using LLMs to automate complex workflows.
* Implement MLOps, AI observability, and monitoring for model performance, drift, and reliability.
* Collaborate with data engineers, product teams, and business stakeholders to integrate AI into workflows.
* Provide technical leadership, guidance, and stakeholder support throughout project delivery.
**Required Qualifications**
* 10\+ years of experience in AI/ML engineering or applied machine learning.
* Strong expertise in Python, ML frameworks, and GenAI/LLMs.
* Hands‑on experience with production ML systems and MLOps.
* Experience working with Snowflake and cloud data platforms.
* Strong communication and stakeholder collaboration skills.</t>
        </is>
      </c>
    </row>
    <row r="81">
      <c r="A81" t="inlineStr">
        <is>
          <t>li-4303031735</t>
        </is>
      </c>
      <c r="B81" t="inlineStr">
        <is>
          <t>Staff Machine Learning Engineer - Search</t>
        </is>
      </c>
      <c r="C81" t="inlineStr">
        <is>
          <t>Warner Bros. Discovery</t>
        </is>
      </c>
      <c r="D81" t="inlineStr">
        <is>
          <t>linkedin</t>
        </is>
      </c>
      <c r="E81" t="inlineStr"/>
      <c r="F81" t="inlineStr"/>
      <c r="G81" t="inlineStr">
        <is>
          <t>New York, NY</t>
        </is>
      </c>
      <c r="H81" t="inlineStr"/>
      <c r="I8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**Staff MLE
 , Personalization, Content Discovery**
**Location:
 Seattle,
 San Francisco Bay Area, New York**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Motivate,
 inspire
 and create a culture of experimentation and data\-driven innovation while constantly striving to be an advocate for doing what is right for our customers
**Requirements:**
* 8
 \+ years of industry experience, with 4\+ years as tech lead experience (preferred)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5\+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82">
      <c r="A82" t="inlineStr">
        <is>
          <t>li-4371185590</t>
        </is>
      </c>
      <c r="B82" t="inlineStr">
        <is>
          <t>AI/ML Engineer</t>
        </is>
      </c>
      <c r="C82" t="inlineStr">
        <is>
          <t>Jobs via Dice</t>
        </is>
      </c>
      <c r="D82" t="inlineStr">
        <is>
          <t>linkedin</t>
        </is>
      </c>
      <c r="E82" t="inlineStr"/>
      <c r="F82" t="inlineStr"/>
      <c r="G82" t="inlineStr">
        <is>
          <t>Jersey City, NJ</t>
        </is>
      </c>
      <c r="H82" t="inlineStr"/>
      <c r="I82" t="inlineStr">
        <is>
          <t>**Job Description**
 We are seeking an experienced AI/ML Engineer to design, develop, and deploy intelligent solutions with a strong focus on Machine Learning, NLP, and Large Language Models (LLMs) in the banking domain. The role involves working closely with business users, clients, and cross\-functional technology teams to analyze complex problems and deliver scalable, high\-impact AI solutions.
 Roles \&amp; Responsibilities
* Analyze complex business and technical problems and translate them into AI/ML solutions.
* Design, develop, and optimize Machine Learning and NLP models for enterprise use cases.
* Work on understanding and implementing banking\-specific LLM use cases.
* Collaborate with stakeholders, product teams, and clients to gather requirements and deliver innovative solutions.
* Develop, test, and maintain scalable and reliable AI/ML applications.
* Provide technical guidance and recommendations on AI/ML best practices.
* Stay current with emerging trends, tools, and advancements in AI, ML, NLP, and LLM technologies.
 Must\-Have Technical \&amp; Functional Skills
* Experience in application development and AI/ML solutions
* Strong, hands\-on knowledge of Machine Learning concepts and algorithms
* Proficiency in Python for model development and data processing
* Solid experience or working knowledge of NLP (Natural Language Processing) techniques
* Exposure to or experience with Large Language Models (LLMs), preferably in the banking or financial services domain
* Ability to consult with users/clients and collaborate with technology teams to recommend advanced AI/ML solutions.</t>
        </is>
      </c>
    </row>
    <row r="83">
      <c r="A83" t="inlineStr">
        <is>
          <t>li-4364595261</t>
        </is>
      </c>
      <c r="B83" t="inlineStr">
        <is>
          <t>Senior Machine Learning Engineer, User Understanding</t>
        </is>
      </c>
      <c r="C83" t="inlineStr">
        <is>
          <t>Unity South APAC (SEA, ANZ, IND Subcont.)</t>
        </is>
      </c>
      <c r="D83" t="inlineStr">
        <is>
          <t>linkedin</t>
        </is>
      </c>
      <c r="E83" t="inlineStr"/>
      <c r="F83" t="inlineStr"/>
      <c r="G83" t="inlineStr">
        <is>
          <t>Mountain View, CA</t>
        </is>
      </c>
      <c r="H83" t="inlineStr"/>
      <c r="I83" t="inlineStr">
        <is>
          <t>The opportunity
 At Unity, we’re committed to building a culture that fosters collaboration and innovation. Within our fast\-paced environment, we’re tackling complex challenges that drive meaningful impact for creators and users across our ecosystem.
 Our Foundation Modeling team plays a central role in this effort by developing state\-of\-the\-art conversion rate (CVR) prediction and market price models that power our ad ranking and recommendation systems. These models help advertisers reach the right users at the right time by accurately estimating engagement and conversion likelihood. By leveraging large\-scale behavioral data, creative features, and contextual signals, we continuously improve the relevance and accuracy of our predictions. This drives key outcomes such as higher user engagement, stronger conversion performance, and better return on ad spend — enabling advertisers to achieve their goals while delivering a better experience for users.
 We are seeking a highly skilled Senior ML Engineer to drive state\-of\-the\-art bidding optimization systems that enable efficient budget pacing, goal\-aligned automated strategies, continual improvement through experimentation, and sustainable growth for Unity Ads.
 What you'll be doing
* Design, implement, and maintain high\-performance CTR and CVR prediction models that power ad ranking and recommendation systems.
* Build and refine systems for creative understanding and user behavior modeling, enabling more accurate and context\-aware engagement predictions.
* Ensure model quality and reliability by continuously monitoring performance, calibrating predictions, and addressing data drift or delayed feedback.
* Actively participate and work with other leads to set the long 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building CTR/CVR systems, content understanding, or behavior modeling systems.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salary$148,700—$223,100 USD</t>
        </is>
      </c>
    </row>
    <row r="84">
      <c r="A84" t="inlineStr">
        <is>
          <t>li-4365702918</t>
        </is>
      </c>
      <c r="B84" t="inlineStr">
        <is>
          <t>Senior AI Engineer, World Foundation Models</t>
        </is>
      </c>
      <c r="C84" t="inlineStr">
        <is>
          <t>NVIDIA</t>
        </is>
      </c>
      <c r="D84" t="inlineStr">
        <is>
          <t>linkedin</t>
        </is>
      </c>
      <c r="E84" t="inlineStr"/>
      <c r="F84" t="inlineStr"/>
      <c r="G84" t="inlineStr">
        <is>
          <t>Santa Clara, CA</t>
        </is>
      </c>
      <c r="H84" t="inlineStr"/>
      <c r="I84"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building the next generation of AI systems that can perceive, reason about, and generate dynamic worlds. Our team advances world foundation models to enable high\-fidelity, temporally stable video and world generation for Physical AI, simulation, and interactive experiences. This role operates at the applied\-research boundary: developing and validating model improvements, then hardening them into production\-grade checkpoints and recipes that teams can reliably build on. The technical focus is human appearance, motion, and interaction, where identity drift, temporal artifacts, and inconsistent contact dynamics often limit real\-world usability. Progress is measured through disciplined experimentation, robust diagnostics, and repeatable side\-by\-side evaluation. Work is delivered in close partnership with data, platform, and product engineering to ensure improvements translate into real\-time performance and user\-visible quality.
**What You'll Be Doing**
* Research, implement, and validate model architecture and algorithm changes that improve video generation fidelity, with emphasis on human\-centric quality (identity preservation, anatomy, motion coherence, and interaction realism).
* Explore and prototype improvements across spatial multimodal modeling, modality alignment, flow\-based or diffusion\-based video generation, and neural rendering\-inspired representations to improve controllability and long\-horizon consistency.
* Improve training and inference efficiency through architectural and post\-training techniques (compute/memory optimizations, distillation, pruning, and compression).
* Define model training objectives that improve sim\-to\-real and real\-to\-sim generalization, especially for human motion, contact, and interaction dynamics across real\-world and synthetic/simulation data.
* Develop detailed, domain\-specific benchmarks for evaluating world foundation models, especially generation and understanding world models that reason about video, simulation, and physical environments.
* Translate research results into robust implementations like training code, production\-grade checkpoints, model integrations, and demos that clearly showcase capability gains across teams.
**What We Need To See**
* PhD in Computer Science, Graphics, Computer Engineering, or a closely related field (or equivalent experience).
* 8\+ years of applied research and/or industry experience in vision, graphics, or adjacent ML domains (or equivalent experience).
* 4\+ years of direct experience designing, training, and evaluating generative models for image/video/audio, with strong fundamentals in modern deep learning.
* Hands\-on experience improving generative models with a focus on perceptual quality and temporal stability, especially for generating humans.
* Advanced proficiency in Python, PyTorch, C\+\+, and CUDA with strong research\-engineering practices (reproducibility, testing, profiling, experiment tracking).
* Experience training and debugging large models in multi\-GPU and/or multi\-node environments and distributed training workflows
* Practical knowledge of inference/runtime bottlenecks and optimization techniques (e.g., batching, parallelism strategies, low\-precision/quantization awareness, attention/KV\-cache efficiency)
* Strong “eye for quality” and interest in diagnosing visual artifacts (sharpness, texture detail, temporal stability, etc.) using perceptual metrics, human preference signals, or learned evaluators.
**Ways To Stand Out From The Crowd**
* Proven track record in related research, including publications in top conferences (e.g., NeurIPS, CVPR, ICLR), with clear evidence of impact on model quality or robustness.
* Exposure to closed\-loop training setups (e.g., reinforcement learning or preference\-based optimization) for improving controllability, stability, and interaction quality in generated sequences.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JR2011999</t>
        </is>
      </c>
    </row>
    <row r="85">
      <c r="A85" t="inlineStr">
        <is>
          <t>li-4372339290</t>
        </is>
      </c>
      <c r="B85" t="inlineStr">
        <is>
          <t>Senior AI/ML Engineer with Poly</t>
        </is>
      </c>
      <c r="C85" t="inlineStr">
        <is>
          <t>TalentAlly</t>
        </is>
      </c>
      <c r="D85" t="inlineStr">
        <is>
          <t>linkedin</t>
        </is>
      </c>
      <c r="E85" t="inlineStr"/>
      <c r="F85" t="inlineStr"/>
      <c r="G85" t="inlineStr">
        <is>
          <t>Annapolis Junction, MD</t>
        </is>
      </c>
      <c r="H85" t="inlineStr"/>
      <c r="I85" t="inlineStr">
        <is>
          <t>**Job ID:** 
 705786BR
**Date posted:** 
 Jan. 06, 2026
**Description:** 
**THE WORK**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**Who We Are**
 At Lockheed Martin, we're a pioneering aerospace and defense company that's been at the forefront of innovation for decades. With a long\-standing history of pushing boundaries, we're now shaping the future of cyber and intelligence. Our team is committed to innovating at the Edge, where we harness the latest advancements in Artificial Intelligence and Machine Learning, and cyber technologies to stay ahead of emerging threats and opportunities
**Who You Are**
 At Lockheed Martin, you will work with our team of skilled AI/ML Engineers design, create, test, and productize AI/ML algorithms that learn, predict, and make informed Expert knowledge of multiple programming languages (i.e. Python, Java, C\+\+ decisions, meeting the evolving needs of our customers. With strong familiarity with Hadoop, we develop and deploy scalable AI/ML models that integrate with data pipelines, infrastructure, and applications.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A Master's or Ph.D. degree in advanced math, artificial intelligence, data science, computer science or deep learning from an accredited college or university is required.
 Plus 5 years experience deploying machine learning algorithms is required.
 Or
 A Masters degree may be substituted with 5 additional years experience deploying machine learning algorithms, if a relevant Bachelor's Degree is present.
 Demonstrated abilities in software engineering and AI/ML model test and evaluation.
 TS/SCI w/poly
**Desired Skills**
 Expert knowledge of multiple programming languages (i.e. Python, Java, C\+\+) is a plus.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FirstPDN\-a115ac9c\-8cdf\-438c\-8e98\-29bf0d03aa57</t>
        </is>
      </c>
    </row>
    <row r="86">
      <c r="A86" t="inlineStr">
        <is>
          <t>li-4282108533</t>
        </is>
      </c>
      <c r="B86" t="inlineStr">
        <is>
          <t>Senior Staff Machine Learning Engineer - Guest &amp; Host</t>
        </is>
      </c>
      <c r="C86" t="inlineStr">
        <is>
          <t>Airbnb</t>
        </is>
      </c>
      <c r="D86" t="inlineStr">
        <is>
          <t>linkedin</t>
        </is>
      </c>
      <c r="E86" t="inlineStr"/>
      <c r="F86" t="inlineStr"/>
      <c r="G86" t="inlineStr"/>
      <c r="H86" t="inlineStr"/>
      <c r="I8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Users, Listings, and Marketplaces team supports features across the application related to Guests, Hosts and Listings. These products include but are not limited to management tools for listings, enforcement/quality systems, and merchandising systems. The team works closely with product and design to ship highly visible product functionality and drive innovation within the product.
**The Difference You Will Make**
 There is huge potential for AI to how guests book and how Hosts manage listings at Airbnb. You will improve the Guest and Host experience by improving the intelligence of our product through state of the art machine learning models. This will involve close partnerships and influencing stakeholders across tech, product, and design organizations to identify, scope, and deliver AI features. While you will be leading efforts with XFN stakeholders supported by a team of engineers, you’ll also be working hand in hand with the team to prototype, evaluate, and implement models.
**A Typical Day**
 Your contributions take a variety of shapes:
* Leverage structured and unstructured data to build and continuously improve state of the art Machine Learning models for Airbnb product, business and operational use cases.
* Work collaboratively with engineers, product managers, data scientists, and operations to identify problems and deploy ML capabilities.
* Stay up to date with SoT models and prototype machine learning product features and iterate with product and design.
* Drive best practices, develop playbooks, and create a repeatable process for shipping quality machine learning features.
* Hands\-on development, productionization, and maintenance of machine learning models and pipelines at scale.
**Your Expertise**
* Industry experience building and shipping end to end machine learning features
* 12\+ years of industry experience in applied Machine Learning, with experience in both Natural Language Processing and Computer Vision
* A Bachelor’s, Master’s or PhD in CS/ML or related field
* Strong programming (Python / Java/ C\+\+ or equivalent) skills with data and backend engineering expertise
* Deep understanding of Machine Learning best practices (eg. training/serving skew minimization, A/B test, feature engineering, feature/model selection) and algorithms (eg. gradient boosted trees, neural networks/deep learning, optimization)
* Experience with technologies such as: Tensorflow, PyTorch, Kubernetes, Airflow (or equivalent), Kafka (or equivalent)
* Expertise with architectural patterns of a large, high\-scale software applications (e.g., well\-designed APIs, high volume data pipelines, efficient algorithms, models)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$244,000—$305,000 USD</t>
        </is>
      </c>
    </row>
    <row r="87">
      <c r="A87" t="inlineStr">
        <is>
          <t>li-4371181722</t>
        </is>
      </c>
      <c r="B87" t="inlineStr">
        <is>
          <t>AI/ML Engineer - Salesforce Platform</t>
        </is>
      </c>
      <c r="C87" t="inlineStr">
        <is>
          <t>Jobs via Dice</t>
        </is>
      </c>
      <c r="D87" t="inlineStr">
        <is>
          <t>linkedin</t>
        </is>
      </c>
      <c r="E87" t="inlineStr"/>
      <c r="F87" t="inlineStr"/>
      <c r="G87" t="inlineStr">
        <is>
          <t>Juno Beach, FL</t>
        </is>
      </c>
      <c r="H87" t="inlineStr"/>
      <c r="I87" t="inlineStr">
        <is>
          <t>RESPONSIBILITIES:
 Kforce has a client in Juno Beach, FL that is seeking an AI/ML Engineer with Salesforce experience to drive the integration of artificial intelligence and machine learning capabilities within our Salesforce ecosystem. This role will focus on developing, deploying, and optimizing AI\-powered solutions that enhance platform capabilities and deliver measurable business value.
 Key Responsibilities:
* Design and develop AI/ML models and solutions within the Salesforce platform
* Implement predictive analytics, automation, and intelligent features using Salesforce Einstein and external AI frameworks
* Build and optimize machine learning pipelines for Salesforce data processing and insights generation
* Integrate third\-party AI services and APIs with Salesforce applications
* Develop custom AI\-enabled components using Apex, Lightning Web Components, and Salesforce APIs
* Configure and customize Salesforce Einstein features including prediction builder, recommendations, and discovery
* Design scalable data models to support AI/ML workloads within Salesforce architecture
* Implement automated testing frameworks for AI\-enhanced Salesforce solutions
* Partner with business stakeholders, architects, and developers to identify AI opportunities
* Collaborate with cross\-functional teams to translate business requirements into AI\-driven solutions
* Participate in code reviews, technical discussions, and knowledge\-sharing sessions
* Stay current with emerging AI/ML technologies and Salesforce platform capabilities
* Monitor and optimize AI model performance, accuracy, and efficiency
* Ensure solutions meet security, compliance, and data governance standards
* Document technical designs, model architectures, and implementation approaches
* Troubleshoot and resolve AI/ML\-related issues in production environments
 REQUIREMENTS:
* Bachelor's degree in Computer Science, Data Science, Engineering, or related field
* 3\+ years of professional experience in software development, AI/ML, or related roles
* Hands\-on experience with Salesforce platform (development, configuration, or administration)
* Proficiency in Python, R, or similar languages for AI/ML development
* Understanding of machine learning algorithms, neural networks, and statistical modeling
* Experience with AI/ML frameworks (TensorFlow, PyTorch, scikit\-learn)
* Familiarity with Salesforce development tools (Apex, LWC, SOQL, REST/SOAP APIs)
 Preferred Qualifications:
* Salesforce certifications (Platform Developer I/II, AI Specialist)
* Experience with Salesforce Einstein Analytics, Einstein Prediction Builder, or Einstein Bots
* Knowledge of cloud platforms (AWS, Azure, Google Cloud Platform) and AI services
* Experience with CI/CD pipelines and DevOps practices for AI/ML deployments
* Understanding of NLP, computer vision, or other specialized AI domains
* Agile/Scrum methodology experience
 Core Competencies:
* Strong analytical and problem\-solving skills
* Excellent communication and collaboration abilities
* Self\-motivated with continuous learning mindset
* Adaptable to evolving technologies and business needs
* Detail\-oriented with commitment to quality and innovation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8">
      <c r="A88" t="inlineStr">
        <is>
          <t>li-4341822931</t>
        </is>
      </c>
      <c r="B88" t="inlineStr">
        <is>
          <t>AI &amp; Machine Learning Engineering Consultant - Manager - Consulting - Location OPEN</t>
        </is>
      </c>
      <c r="C88" t="inlineStr">
        <is>
          <t>EY</t>
        </is>
      </c>
      <c r="D88" t="inlineStr">
        <is>
          <t>linkedin</t>
        </is>
      </c>
      <c r="E88" t="inlineStr"/>
      <c r="F88" t="inlineStr"/>
      <c r="G88" t="inlineStr">
        <is>
          <t>Atlanta, GA</t>
        </is>
      </c>
      <c r="H88" t="inlineStr"/>
      <c r="I8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9">
      <c r="A89" t="inlineStr">
        <is>
          <t>li-4341932693</t>
        </is>
      </c>
      <c r="B89" t="inlineStr">
        <is>
          <t>AI &amp; Machine Learning Engineering Consultant - Manager - Consulting - Location OPEN</t>
        </is>
      </c>
      <c r="C89" t="inlineStr">
        <is>
          <t>EY</t>
        </is>
      </c>
      <c r="D89" t="inlineStr">
        <is>
          <t>linkedin</t>
        </is>
      </c>
      <c r="E89" t="inlineStr"/>
      <c r="F89" t="inlineStr"/>
      <c r="G89" t="inlineStr">
        <is>
          <t>Fort Worth, TX</t>
        </is>
      </c>
      <c r="H89" t="inlineStr"/>
      <c r="I8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0">
      <c r="A90" t="inlineStr">
        <is>
          <t>li-4341912723</t>
        </is>
      </c>
      <c r="B90" t="inlineStr">
        <is>
          <t>AI &amp; Machine Learning Engineering Consultant - Manager - Consulting - Location OPEN</t>
        </is>
      </c>
      <c r="C90" t="inlineStr">
        <is>
          <t>EY</t>
        </is>
      </c>
      <c r="D90" t="inlineStr">
        <is>
          <t>linkedin</t>
        </is>
      </c>
      <c r="E90" t="inlineStr"/>
      <c r="F90" t="inlineStr"/>
      <c r="G90" t="inlineStr">
        <is>
          <t>Arlington, VA</t>
        </is>
      </c>
      <c r="H90" t="inlineStr"/>
      <c r="I9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1">
      <c r="A91" t="inlineStr">
        <is>
          <t>li-4341872757</t>
        </is>
      </c>
      <c r="B91" t="inlineStr">
        <is>
          <t>AI &amp; Machine Learning Engineering Consultant - Manager - Consulting - Location OPEN</t>
        </is>
      </c>
      <c r="C91" t="inlineStr">
        <is>
          <t>EY</t>
        </is>
      </c>
      <c r="D91" t="inlineStr">
        <is>
          <t>linkedin</t>
        </is>
      </c>
      <c r="E91" t="inlineStr"/>
      <c r="F91" t="inlineStr"/>
      <c r="G91" t="inlineStr">
        <is>
          <t>Tallahassee, FL</t>
        </is>
      </c>
      <c r="H91" t="inlineStr"/>
      <c r="I9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2">
      <c r="A92" t="inlineStr">
        <is>
          <t>li-4347002535</t>
        </is>
      </c>
      <c r="B92" t="inlineStr">
        <is>
          <t>AI &amp; Machine Learning Engineering Consultant - Manager - Consulting - Location OPEN</t>
        </is>
      </c>
      <c r="C92" t="inlineStr">
        <is>
          <t>EY</t>
        </is>
      </c>
      <c r="D92" t="inlineStr">
        <is>
          <t>linkedin</t>
        </is>
      </c>
      <c r="E92" t="inlineStr"/>
      <c r="F92" t="inlineStr"/>
      <c r="G92" t="inlineStr">
        <is>
          <t>Hartford, CT</t>
        </is>
      </c>
      <c r="H92" t="inlineStr"/>
      <c r="I9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3">
      <c r="A93" t="inlineStr">
        <is>
          <t>li-4341972552</t>
        </is>
      </c>
      <c r="B93" t="inlineStr">
        <is>
          <t>AI &amp; Machine Learning Engineering Consultant - Manager - Consulting - Location OPEN</t>
        </is>
      </c>
      <c r="C93" t="inlineStr">
        <is>
          <t>EY</t>
        </is>
      </c>
      <c r="D93" t="inlineStr">
        <is>
          <t>linkedin</t>
        </is>
      </c>
      <c r="E93" t="inlineStr"/>
      <c r="F93" t="inlineStr"/>
      <c r="G93" t="inlineStr">
        <is>
          <t>Indianapolis, IN</t>
        </is>
      </c>
      <c r="H93" t="inlineStr"/>
      <c r="I9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4">
      <c r="A94" t="inlineStr">
        <is>
          <t>li-4341902743</t>
        </is>
      </c>
      <c r="B94" t="inlineStr">
        <is>
          <t>AI &amp; Machine Learning Engineering Consultant - Manager - Consulting - Location OPEN</t>
        </is>
      </c>
      <c r="C94" t="inlineStr">
        <is>
          <t>EY</t>
        </is>
      </c>
      <c r="D94" t="inlineStr">
        <is>
          <t>linkedin</t>
        </is>
      </c>
      <c r="E94" t="inlineStr"/>
      <c r="F94" t="inlineStr"/>
      <c r="G94" t="inlineStr">
        <is>
          <t>Columbus, OH</t>
        </is>
      </c>
      <c r="H94" t="inlineStr"/>
      <c r="I9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5">
      <c r="A95" t="inlineStr">
        <is>
          <t>li-4341972562</t>
        </is>
      </c>
      <c r="B95" t="inlineStr">
        <is>
          <t>AI &amp; Machine Learning Engineering Consultant - Manager - Consulting - Location OPEN</t>
        </is>
      </c>
      <c r="C95" t="inlineStr">
        <is>
          <t>EY</t>
        </is>
      </c>
      <c r="D95" t="inlineStr">
        <is>
          <t>linkedin</t>
        </is>
      </c>
      <c r="E95" t="inlineStr"/>
      <c r="F95" t="inlineStr"/>
      <c r="G95" t="inlineStr">
        <is>
          <t>Cleveland, OH</t>
        </is>
      </c>
      <c r="H95" t="inlineStr"/>
      <c r="I9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6">
      <c r="A96" t="inlineStr">
        <is>
          <t>li-4341872753</t>
        </is>
      </c>
      <c r="B96" t="inlineStr">
        <is>
          <t>AI &amp; Machine Learning Engineering Consultant - Manager - Consulting - Location OPEN</t>
        </is>
      </c>
      <c r="C96" t="inlineStr">
        <is>
          <t>EY</t>
        </is>
      </c>
      <c r="D96" t="inlineStr">
        <is>
          <t>linkedin</t>
        </is>
      </c>
      <c r="E96" t="inlineStr"/>
      <c r="F96" t="inlineStr"/>
      <c r="G96" t="inlineStr">
        <is>
          <t>Milwaukee, WI</t>
        </is>
      </c>
      <c r="H96" t="inlineStr"/>
      <c r="I9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7">
      <c r="A97" t="inlineStr">
        <is>
          <t>li-4371185591</t>
        </is>
      </c>
      <c r="B97" t="inlineStr">
        <is>
          <t>URGENT Backend AI Engineer-Legal Tech!</t>
        </is>
      </c>
      <c r="C97" t="inlineStr">
        <is>
          <t>Jobs via Dice</t>
        </is>
      </c>
      <c r="D97" t="inlineStr">
        <is>
          <t>linkedin</t>
        </is>
      </c>
      <c r="E97" t="inlineStr"/>
      <c r="F97" t="inlineStr"/>
      <c r="G97" t="inlineStr">
        <is>
          <t>Manhattan Beach, CA</t>
        </is>
      </c>
      <c r="H97" t="inlineStr"/>
      <c r="I97" t="inlineStr">
        <is>
          <t>**URGENT Backend AI Engineer Opportunity\-Tech Startup!**
 This Jobot Job is hosted by: Audrey Block
 Are you a fit? Easy Apply now by clicking the "Apply Now" button and sending us your resume.
 Salary: $120,000 \- $160,000 per year
**A bit about us:**
 We are hiring a backend engineer due to growth ASAP! We are a tech startup based in Los Angeles that is growing at a rapid rate. Please apply if you fit the criteria and let's chat!
**Why join us?**
 Strong funding
 HUGE Opportunity for growth
 Base salary \+ Potential Equity
 Team events
 Lunch, gym membership, Fun Fridays
 Flexible schedule
**Job Details**
 Job Details:
 We are seeking an energetic and passionate Backend AI Engineer to join our team. This is a permanent, urgent position for a mid level engineer who thrives in a fast\-paced, innovative environment. This role is integral to our team, and we need someone who can hit the ground running!
 Responsibilities:
* Collaborate with our team to define, design, and ship new features.
* Apply your deep understanding of algorithms and data structures to solve complex problems.
* Use your knowledge of software architecture to develop scalable backend systems.
* Participate in code reviews to maintain high\-quality code.
* Stay informed about AI trends and advancements and apply them into operations and activities.
* Debug and resolve technical issues.
* Contribute to the entire app lifecycle, focusing on coding and debugging.
* Prioritize and manage multiple tasks across different projects.
 Qualifications:
* A minimum of 6 months of experience as a Backend AI Engineer or similar role.
* Experience in a startup environment is a must, and/or strong experience building.
* Strong experience with AI, machine learning, deep learning, data mining, and/or statistical analysis tools.
* Proficient understanding of backend programming languages and frameworks such as Rust and Python
* Knowledge of coding best practices and system design.
* Hands\-on experience with databases, system design, and creating serverless applications.
* Outstanding analytical, problem\-solving, and organizational abilities.
* Attention to detail and ability to multitask.
* Excellent communication and teamwork skills.
* A degree in Computer Science, Engineering, or a related field is preferred.
 This is an exciting opportunity to join a strong team and make a significant impact on our product. If you are a self\-starter who is passionate about AI and technology,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8">
      <c r="A98" t="inlineStr">
        <is>
          <t>li-4373510504</t>
        </is>
      </c>
      <c r="B98" t="inlineStr">
        <is>
          <t>Senior Machine Learning Engineer</t>
        </is>
      </c>
      <c r="C98" t="inlineStr">
        <is>
          <t>ElectroKare</t>
        </is>
      </c>
      <c r="D98" t="inlineStr">
        <is>
          <t>linkedin</t>
        </is>
      </c>
      <c r="E98">
        <f>HYPERLINK("https://www.linkedin.com/jobs/view/4373510504", "https://www.linkedin.com/jobs/view/4373510504")</f>
        <v/>
      </c>
      <c r="F98" t="inlineStr"/>
      <c r="G98" t="inlineStr">
        <is>
          <t>New York, NY</t>
        </is>
      </c>
      <c r="H98" t="inlineStr"/>
      <c r="I98" t="inlineStr">
        <is>
          <t>**About Electrokare** 
 Electrokare builds software that turns ECG signals into continuous, non\-invasive physiological insight.
 We develop machine\-learning models that estimate blood\-level physiology from cardiovascular signals, enabling real\-time insight without lab tests or invasive sensors. Our systems are already in production, backed by proprietary datasets, and used across high\-performance and medical\-adjacent settings.
 This is not a toy ML problem. The signals are noisy, the biology is complex, and correctness matters.
**The Role** 
 This is a core applied ML role focused on building and improving models that map ECG signals to blood\-level physiological values.
 You will sit at the intersection of signal processing, data science, and deep learning, working directly with the CTO to develop models that are already live and evolving toward even better performance.
 The role is roughly 50% applied research and 50% production ML. You’ll read and dissect papers, design experiments, train and evaluate models, and then deploy them into real systems.
**What You'll Do** 
* Design, train, and improve ML and deep\-learning models for ECG\-to\-blood inference
* Work with large proprietary physiological datasets and real\-world signal noise
* Apply signal processing techniques alongside modern deep\-learning approaches
* Read, evaluate, and implement ideas from current scientific literature
* Move models from research to production (training → validation → deployment)
* Collaborate closely with the CTO on model architecture, evaluation, and roadmap
* Build tooling for experimentation, validation, and performance tracking
* Communicate results clearly through metrics, visualizations, and reports
**Technical Requirements:** 
 Machine Learning \&amp; Data
* Deep learning with TensorFlow/Keras and/or PyTorch
* Strong foundation in signal processing and time\-series analysis
* Solid data science fundamentals and statistical reasoning
 Programming
* Proficiency in Python
* Experience with one or more of: C\+\+, Rust, R, C
* Ability to read and work across multiple languages as needed
 Infrastructure \&amp; Deployment
* Model deployment using Docker and Kubernetes
* Cloud experience (GCP and/or Azure)
* Working knowledge of databases (SQL, MongoDB, Bigtable, etc.)
 Communication
* Clear data visualization and reporting
* Ability to explain complex models and results to technical and non\-technical teammates
 AI Tools
* Comfortable using modern AI\-assisted development tools (e.g., Claude Code, CodeX, similar)
* Uses tools to move faster, not to replace judgment
**Research** 
* Strong ability to read, understand, and critically evaluate scientific papers
* Experience implementing methods from literature, not just using libraries
* Background in applied research, with publications strongly preferred
**Ideal Background** 
* MS or PhD in machine learning, computer science, electrical engineering, applied math, biomedical engineering, or related field
* 3\-7 years of experience
* Prior work on physiological signals, biosignals, medical ML, or similar domains is a strong plus
* Experience working in environments where models are deployed and used, not just published
**Culture Fit** 
* Low ego, high ownership
* You like being useful
* You care about doing things well, even when no one’s watching
* You’re comfortable jumping in wherever needed
* You care about correctness, not just accuracy metrics
* You’re comfortable working with messy real\-world data
* You’re curious and skeptical in the right ways
* You want your models to matter in practice
* You work VERY hard</t>
        </is>
      </c>
    </row>
    <row r="99">
      <c r="A99" t="inlineStr">
        <is>
          <t>li-4373295549</t>
        </is>
      </c>
      <c r="B99" t="inlineStr">
        <is>
          <t>Machine Learning Engineer, Fraud</t>
        </is>
      </c>
      <c r="C99" t="inlineStr">
        <is>
          <t>Wiraa</t>
        </is>
      </c>
      <c r="D99" t="inlineStr">
        <is>
          <t>linkedin</t>
        </is>
      </c>
      <c r="E99">
        <f>HYPERLINK("https://www.linkedin.com/jobs/view/4373295549", "https://www.linkedin.com/jobs/view/4373295549")</f>
        <v/>
      </c>
      <c r="F99" t="inlineStr"/>
      <c r="G99" t="inlineStr"/>
      <c r="H99" t="inlineStr"/>
      <c r="I99" t="inlineStr">
        <is>
          <t>**About The Company**
 Whatnot is the leading live shopping platform in North America and Europe, revolutionizing the way people buy, sell, and discover their favorite items. As a dynamic and innovative company, Whatnot seamlessly blends community, entertainment, and commerce to create a unique online marketplace experience. With a presence in the US, UK, Germany, Ireland, and Poland, the company is committed to building the future of online marketplaces through cutting\-edge technology and a passionate team. From fashion, beauty, and electronics to collectibles like trading cards, comic books, and live plants, Whatnot offers a diverse range of products through engaging live auctions. The company's mission is to enable anyone to turn their passion into a business and foster connections among users worldwide.
**About The Role**
 We are seeking a talented and experienced Machine Learning Engineer to join our Trust \&amp; Safety team. In this role, you will be responsible for designing, training, and deploying both traditional machine learning models and large language models (LLMs) to detect and prevent fraudulent behaviors across our platform. You will lead the end\-to\-end architecture of fraud detection systems, ensuring a balance between platform security and a seamless user experience. Your work will involve building intelligent behavioral graphs, developing scalable data pipelines, and conducting deep behavioral analysis to identify emerging fraud tactics. Collaboration with cross\-functional teams such as Payments, Infrastructure, and Trust \&amp; Safety is essential to develop effective features, labels, and evaluation pipelines. You will also implement model monitoring systems, contribute to fraud risk orchestration, and define key metrics to measure the effectiveness of detection systems. This role offers an exciting opportunity to work on innovative solutions that safeguard our marketplace while supporting our rapid growth and technological evolution.
**Qualifications**
* Bachelor’s degree in Computer Science, Data Science, or a related field, or equivalent work experience
* 2–6 years of experience in machine learning or software engineering, preferably in risk, fraud, or trust \&amp; safety domains
* Proficiency in Python and machine learning libraries such as scikit\-learn, PyTorch, LightGBM
* Solid backend development skills and experience deploying ML models in production environments (batch or real\-time)
* Experience with data analysis and building data pipelines using SQL, Spark, or DBT
* Knowledge of fraud detection techniques, including chargeback prediction, anomaly detection, and graph\-based modeling
* Experience with data orchestration frameworks like Dagster or Kubeflow and feature store design
* Ability to translate business risks into measurable ML solutions and collaborate across diverse teams
**Responsibilities**
* Design, train, and deploy ML models and LLMs to identify fraudulent activities across user accounts, payments, and marketplace interactions
* Lead the architecture of fraud detection, prevention, and intervention systems, ensuring a smooth user experience
* Build and maintain behavioral graphs to model user patterns, collusion networks, and account connectivity
* Develop scalable data pipelines and real\-time inference systems to support high\-volume, low\-latency ML workloads
* Conduct behavioral and adversarial data analysis to identify fraud trends and improve detection accuracy
* Partner with cross\-functional teams to develop features, labels, and model evaluation pipelines
* Implement model monitoring, drift detection, and continuous improvement processes to maintain system reliability
* Contribute to fraud risk orchestration by combining rules, heuristics, and models for automated decision\-making
* Define, track, and report key metrics such as precision, recall, false\-positive rate, and latency to evaluate system performance
* Stay informed about emerging fraud tactics and incorporate insights into adaptive, production\-ready systems
**Benefits**
* Generous holiday and time\-off policies
* Health insurance options including medical, dental, and vision coverage
* Support for remote work with home office setup allowance
* Monthly allowances for cell phone, internet, and wellness initiatives
* Care benefits and annual childcare allowances
* Lifetime family planning benefits covering adoption and fertility expenses
* Retirement plans including 401(k) with employer matching and international pension options
* Monthly app usage allowances for dogfooding
* Paid parental leave of 16 weeks plus a gradual return to work
* Opportunities for professional development and work\-life balance in a flexible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a diverse and inclusive workforce enhances our innovation, culture, and overall success. All qualified applicants will receive consideration for employment without regard to any protected status.</t>
        </is>
      </c>
    </row>
    <row r="100">
      <c r="A100" t="inlineStr">
        <is>
          <t>li-4358410293</t>
        </is>
      </c>
      <c r="B100" t="inlineStr">
        <is>
          <t>Sr. Machine Learning Engineer, GAI Search Platform</t>
        </is>
      </c>
      <c r="C100" t="inlineStr">
        <is>
          <t>Moveworks</t>
        </is>
      </c>
      <c r="D100" t="inlineStr">
        <is>
          <t>linkedin</t>
        </is>
      </c>
      <c r="E100">
        <f>HYPERLINK("https://www.linkedin.com/jobs/view/4358410293", "https://www.linkedin.com/jobs/view/4358410293")</f>
        <v/>
      </c>
      <c r="F100">
        <f>HYPERLINK("https://www.moveworks.com/us/en/company/careers/position?gh_jid=8242223002&amp;gh_src=690c36f92us&amp;urlHash=VlMH", "https://www.moveworks.com/us/en/company/careers/position?gh_jid=8242223002&amp;gh_src=690c36f92us&amp;urlHash=VlMH")</f>
        <v/>
      </c>
      <c r="G100" t="inlineStr">
        <is>
          <t>Mountain View, CA</t>
        </is>
      </c>
      <c r="H100" t="inlineStr"/>
      <c r="I100"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01">
      <c r="A101" t="inlineStr">
        <is>
          <t>li-4373295548</t>
        </is>
      </c>
      <c r="B101" t="inlineStr">
        <is>
          <t>Machine Learning Engineer</t>
        </is>
      </c>
      <c r="C101" t="inlineStr">
        <is>
          <t>Wiraa</t>
        </is>
      </c>
      <c r="D101" t="inlineStr">
        <is>
          <t>linkedin</t>
        </is>
      </c>
      <c r="E101">
        <f>HYPERLINK("https://www.linkedin.com/jobs/view/4373295548", "https://www.linkedin.com/jobs/view/4373295548")</f>
        <v/>
      </c>
      <c r="F101" t="inlineStr"/>
      <c r="G101" t="inlineStr"/>
      <c r="H101" t="inlineStr"/>
      <c r="I101" t="inlineStr">
        <is>
          <t>**About The Company**
 Ford Motor Company is a globally recognized leader in the automotive industry, committed to shaping the future of mobility through innovative technology and sustainable solutions. With a rich history of engineering excellence and a forward\-thinking approach, Ford continuously strives to deliver high\-quality vehicles and digital experiences that enhance customer satisfaction. The company’s vision revolves around redefining transportation, integrating smart mobility solutions, and leveraging cutting\-edge software development to create intelligent, connected vehicles. Ford’s dedication to diversity, inclusion, and corporate responsibility underscores its mission to foster a dynamic and inclusive workplace where innovation thrives.
**About The Role**
 We are seeking a highly skilled Embedded Software Engineer to join Ford’s In\-Vehicle Infotainment team. In this pivotal role, you will be responsible for designing, developing, and maintaining high\-performance embedded software tailored for the QNX operating system. Your work will directly impact the digital experience of Ford’s vehicles, ensuring seamless navigation, entertainment, and connectivity features. This role offers an exciting opportunity to engage in the full software development lifecycle, from initial architecture and design to deployment and ongoing maintenance. The ideal candidate will possess a strong technical background, a passion for automotive technology, and a proactive approach to solving complex system\-level challenges. You will collaborate with cross\-functional teams and business partners to deliver innovative solutions that enhance the safety, security, and user experience of Ford vehicles worldwide.
**Qualifications**
* Bachelor’s degree in Computer Science, Electrical Engineering, or a related technical field
* 10\+ years of professional software development experience
* Expert\-level proficiency with C\+\+ programming language
* Proficiency with Git for revision control and collaborative development workflows
* Deep understanding of the complete software development lifecycle, from requirements gathering to production maintenance
* Strong analytical and problem\-solving skills with the ability to debug and resolve complex system issues
* Excellent communication skills for collaborating with cross\-functional teams and presenting technical solutions
**Responsibilities**
* Design, develop, and maintain high\-performance embedded software using C\+\+ for the QNX operating system
* Engage in the full software development lifecycle to deliver robust features for Ford’s in\-vehicle infotainment systems
* Analyze system components to optimize performance, security, and stability
* Implement new software features and functionalities to enhance the customer experience
* Identify, debug, and resolve complex system\-level issues to ensure high\-quality software releases
* Utilize Git for version control, managing code merges, and maintaining code integrity
* Collaborate with cross\-functional teams to present technical solutions and project updates clearly and effectively
* Participate in code reviews, testing, and documentation to ensure best practices and quality standards
**Preferred Qualifications**
* Experience developing software on embedded QNX or Android platforms
* Familiarity with Agile development methodologies such as Scrum or Kanban
* Knowledge of system\-level hardening and security practices for embedded environments
* Proven ability to optimize software for resource\-constrained hardware to improve boot times and UI responsiveness
* Experience with system\-level security and hardening techniques
**Benefits**
* Immediate medical, dental, and prescription drug coverage
* Flexible family care options, parental leave, and new parent ramp\-up programs
* Subsidized backup childcare and family support resources
* Vehicle discount programs for employees and family members, along with management leases
* Tuition assistance for continuing education and professional development
* Active employee resource groups promoting diversity and inclusion
* Paid time off for community service and volunteering activities
* Generous paid holiday schedule, including the week between Christmas and New Year’s Day
* Paid time off with options to purchase additional vacation days
 Equal Opportunity
 Ford Motor Company is an equal opportunity employer committed to fostering a diverse and inclusive workplace. All qualified applicants will receive consideration for employment without regard to race, religion, color, age, sex, national origin, sexual orientation, gender identity, disability status, or protected veteran status. We welcome applicants from all backgrounds and are dedicated to creating a culture of respect and opportunity for everyone.We encourage candidates who are passionate about innovation and technology to apply and join our team in shaping the future of mobility.</t>
        </is>
      </c>
    </row>
    <row r="102">
      <c r="A102" t="inlineStr">
        <is>
          <t>li-4373510534</t>
        </is>
      </c>
      <c r="B102" t="inlineStr">
        <is>
          <t>Sr. Machine Learning Engineer | $125/hr</t>
        </is>
      </c>
      <c r="C102" t="inlineStr">
        <is>
          <t>Mercor</t>
        </is>
      </c>
      <c r="D102" t="inlineStr">
        <is>
          <t>linkedin</t>
        </is>
      </c>
      <c r="E102">
        <f>HYPERLINK("https://www.linkedin.com/jobs/view/4373510534", "https://www.linkedin.com/jobs/view/4373510534")</f>
        <v/>
      </c>
      <c r="F102" t="inlineStr"/>
      <c r="G102" t="inlineStr"/>
      <c r="H102" t="inlineStr"/>
      <c r="I102" t="inlineStr">
        <is>
          <t>**About The Job**
**Mercor** 
 connects elite creative and technical talent with leading AI research labs. Headquartered in San Francisco, our investors include
 **Benchmark** 
 ,
 **General Catalyst** 
 ,
 **Peter Thiel** 
 ,
 **Adam D'Angelo** 
 ,
 **Larry Summers** 
 , and
 **Jack Dorsey** 
 .
**Position:** 
 ML Engineer
**Type:** 
**Contract**
**Compensation:** 
**$100–$125/hour**
**Location:** 
**Remote**
**Role Responsibilities**
* Apply expertise in Machine Learning, AI, and statistics to leverage internal operations data for solving critical problems for legal teams.
* Design, deploy, and maintain ML pipelines and systems to enhance operational efficiency.
* Utilize data exploration and analysis to identify and address key issues within legal operations.
* Collaborate with legal teams to ensure AI model outputs meet domain\-specific requirements.
* Work independently and asynchronously to improve AI model performance and data pipeline efficiency.
**Qualifications**
**Must\-Have**
* Master's or Bachelor's in Computer Science, Math, Physics, Engineering, Statistics, or a related quantitative field.
* 5\+ years of experience in the design, deployment, and maintenance of Machine Learning pipelines and systems.
* Demonstrable experience in applying Machine Learning algorithms to solve real\-world problems.
* 5\+ years of experience in the design, deployment, and maintenance of large data pipelines.
**Compensation \&amp; Legal**
* Pursuant to the California Fair Chance Act and related ordinances, qualified applicants will be considered with arrest and conviction records. Criminal history may impact job duties related to policy adherence, judgment, stress management, and client interaction.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03">
      <c r="A103" t="inlineStr">
        <is>
          <t>li-4372361357</t>
        </is>
      </c>
      <c r="B103" t="inlineStr">
        <is>
          <t>AI Engineer-Machine Learning Platform</t>
        </is>
      </c>
      <c r="C103" t="inlineStr">
        <is>
          <t>hackajob</t>
        </is>
      </c>
      <c r="D103" t="inlineStr">
        <is>
          <t>linkedin</t>
        </is>
      </c>
      <c r="E103">
        <f>HYPERLINK("https://www.linkedin.com/jobs/view/4372361357", "https://www.linkedin.com/jobs/view/4372361357")</f>
        <v/>
      </c>
      <c r="F103" t="inlineStr"/>
      <c r="G103" t="inlineStr">
        <is>
          <t>Phoenix, AZ</t>
        </is>
      </c>
      <c r="H103" t="inlineStr"/>
      <c r="I103"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The Enterprise Data and AI organization unites the data governance, strategy, engineering, and product teams with those responsible for AI engineering, generative AI enablement, and automation product and engineering. This group plays a pivotal role in leveraging data as a core driver of innovation and integrating AI capabilities to transform products, operations, and customer experiences. The EDAI organization also incorporates technology Research \&amp; Development and experimentation with emerging capabilities, along with engineering support for Amex Digital Labs. This integration ensures that research breakthroughs seamlessly translate into business impact.
**Responsibilities**
* Lead the Discovery, Development and Maintenance of scalable AI driven capabilities in the area of Document AI, Computer Vision, NLP, Chatbots (Conversational AI)
* Research and Deploy AI and Gen AI solutions to power enterprise business needs
* Partner with Research teams to take AI enabled initiatives from conceptualization to production
* Create data pipelines that feed machine learning models through out the model lifecycle including training, inference ,HITL and re\-training .
* Closely follow research and open\-source developments/publications and apply them.
* Drive high\-level and detailed technical design conversations and reviews
* Function as an active member of an agile team
**Qualifications**
* BS or MS degree in computer science, computer engineering, or other technical discipline.
* Strong proficiency in Python language, machine learning libraries and SQL
* Core competencies in distributed technologies including Python frameworks, API Design, Linux, JSON, Postgres, NoSQL databases etc.
* Demonstrated experience in building and deploying a diverse set of ML models including vision and NLP based models at scale
* Experience in designing and implementing highly scalable, low latency Python applications.
* Familiarity with CI/CD pipelines and DevOps tools (Jenkins, GitLab).
* Proficiency with Containers (Docker) and orchestration (Airflow, Kubernetes)
* Practical knowledge of caching and distributed systems.
* Team player and a hands\-on engineer.
* Ability to think abstractly and deal with ambiguous/under\-defined problems.
* Have excellent written and verbal communications skills.
**Preferred Qualifications**
* 2\-3 years of software development experience
* Hands\-on experience in GCP/AWS/Azure cloud is a preferred
* Experience in deploying Gen AI use cases using Foundational LLMs and RAG pipelines
* Experience in Financial Services industry is a plus
 Salary Range: $89,250\.00 to $150,250\.00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104">
      <c r="A104" t="inlineStr">
        <is>
          <t>li-4364772768</t>
        </is>
      </c>
      <c r="B104" t="inlineStr">
        <is>
          <t>Senior AI Engineer</t>
        </is>
      </c>
      <c r="C104" t="inlineStr">
        <is>
          <t>ChatGPT Jobs</t>
        </is>
      </c>
      <c r="D104" t="inlineStr">
        <is>
          <t>linkedin</t>
        </is>
      </c>
      <c r="E104">
        <f>HYPERLINK("https://www.linkedin.com/jobs/view/4364772768", "https://www.linkedin.com/jobs/view/4364772768")</f>
        <v/>
      </c>
      <c r="F104">
        <f>HYPERLINK("https://chatgpt-jobs.com/job/senior-ai-engineer-doctor-evidence-2445&amp;urlHash=Q8XU", "https://chatgpt-jobs.com/job/senior-ai-engineer-doctor-evidence-2445&amp;urlHash=Q8XU")</f>
        <v/>
      </c>
      <c r="G104" t="inlineStr"/>
      <c r="H104" t="inlineStr"/>
      <c r="I104"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105">
      <c r="A105" t="inlineStr">
        <is>
          <t>li-4373537052</t>
        </is>
      </c>
      <c r="B105" t="inlineStr">
        <is>
          <t>Staff AI ML Engineer</t>
        </is>
      </c>
      <c r="C105" t="inlineStr">
        <is>
          <t>General Motors</t>
        </is>
      </c>
      <c r="D105" t="inlineStr">
        <is>
          <t>linkedin</t>
        </is>
      </c>
      <c r="E105">
        <f>HYPERLINK("https://www.linkedin.com/jobs/view/4373537052", "https://www.linkedin.com/jobs/view/4373537052")</f>
        <v/>
      </c>
      <c r="F105" t="inlineStr"/>
      <c r="G105" t="inlineStr"/>
      <c r="H105" t="inlineStr"/>
      <c r="I105" t="inlineStr">
        <is>
          <t>**Job Description**
**About the Role**
 We are seeking an experienced Staff full stack engineer with a strong ability to execute hands\-on technical work. The AI Lifecycle Team provides the UX backbone and visualization products that Machine Learning Engineers use to shepherd their ideas from data collection to model deployment in the AV. We enable MLEs at Cruise to Run and debug ML pipelines, Initiate data collection, Manage model training, Evaluate model performance, Deploy models to the AV. As a Staff Full Stack Engineer, you will collaborate closely with machine learning engineers, research scientists, and other partners to develop state\-of\-the\-art AI solutions that enable the future of intelligent driving technologies across General Motors vehicles.
 What You’ll Do:
* Build UX experiences and agentic workflows to improve MLE workflows and productivity
* Build backend integrations to provide unified experience across ML lifecycle
* Raise the bar on system observability, debuggability, and operational excellence, and user experience.
* Own and drive the design and architecture across the ecosystem that meets security and compliance standards
* Establish consistent metrics to measure platform performance \&amp; health and create the roadmap for scale, reliability, low latency and speed of development and deployment
* Partner with cross functional teams to understand requirements to design, architect and build framework of UX and backend integrations. Partner with engineering teams to ensure seamless end\-to\-end flow and data quality
* Work across the project lifecycle: requirements, design, prototype, implementation, review, release, monitoring
* Review and approve technical design documents and pull requests. Improve and enhance engineering systems documentation and development processes
* Identify and pursue new paths of inquiry, innovation and challenge status quo
* Develop and nurture technical talent within the team and recruiting
**Your Skills \&amp; Abilities (Required Qualifications)**
* Experience building, deploying, and operating high\-availability services
* Led large technical initiatives from idea to operationalization and continuous evolution of technical solution to enable new business capabilities and improve efficiencies
* Ability to identify broad challenges (technical, functional, business challenges) worth tackling, and parse them into initiatives within and across engineering teams
* Experience creating ground up enterprise architecture, systems architecture, integration architecture standards, frameworks, and practices
* Programming experience in Python, Java, Go
* Experience working with cloud infrastructure, automations, configuration management, artifact management and building advanced CI/CD solutions
* Experience building production\-level frontend applications using React, Angular or similar frameworks
* Strong understanding of JavaScript/TypeScript and dynamic frontend fundamentals
* A passion for all things tech and has a drive to experiment with new technologies to see where they can benefit the business
* BS, MS, or PhD in Computer Science, Math, Physics, or equivalent experience
* Willingness to travel to Sunnyvale, CA as needed
 What Will Give You a Competitive Edge (preferred qualifications):
* Experience working with technologies including Web services, JSON, GraphQL, agentic workflows
* Experience building interactive tools that are core to people's daily work
* Experience with data science/visualization
* ML or experimental design knowledge
* Self\-motivated, strong execution, impact\-delivery oriented
* Excellent communication skills to resolve conflicts, build consensus, communicate risks and provide constructive feedback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$218,800\-$335,300\.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role is based remotely, but if the selected candidate lives within a specific mile radius of a GM hub, they will be expected to report to the location three times a week {or other frequency dictated by your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06">
      <c r="A106" t="inlineStr">
        <is>
          <t>li-4373518440</t>
        </is>
      </c>
      <c r="B106" t="inlineStr">
        <is>
          <t>Founding AI Engineer</t>
        </is>
      </c>
      <c r="C106" t="inlineStr">
        <is>
          <t>Jack &amp; Jill</t>
        </is>
      </c>
      <c r="D106" t="inlineStr">
        <is>
          <t>linkedin</t>
        </is>
      </c>
      <c r="E106">
        <f>HYPERLINK("https://www.linkedin.com/jobs/view/4373518440", "https://www.linkedin.com/jobs/view/4373518440")</f>
        <v/>
      </c>
      <c r="F106">
        <f>HYPERLINK("https://jackandjill.ai/jack/job-listing?utm_source=job_listing&amp;utm_medium=job_board&amp;utm_campaign=0739d99a-c97e-45ca-ac9a-d6531ba5e7c1&amp;urlHash=2kgx", "https://jackandjill.ai/jack/job-listing?utm_source=job_listing&amp;utm_medium=job_board&amp;utm_campaign=0739d99a-c97e-45ca-ac9a-d6531ba5e7c1&amp;urlHash=2kgx")</f>
        <v/>
      </c>
      <c r="G106" t="inlineStr">
        <is>
          <t>San Francisco, CA</t>
        </is>
      </c>
      <c r="H106" t="inlineStr"/>
      <c r="I106" t="inlineStr">
        <is>
          <t>This is a job that Jill, our AI Recruiter, is recruiting for on behalf of one of our customers.
 She will pick the best candidates from Jack's network.
 The next step is to speak to Jack.
 Founding AI Engineer
**Salary:** 
 $170,000 \- $219,998 \+ Equity
**Company Description:** 
 Fast\-growing proptech AI startup
**Job Description:** 
 As a Founding AI Engineer, you will build production\-grade agentic systems that automate complex workflows in the massive physical development industry. Working alongside a founding team from Meta and exit\-proven founders, you will lead the development of end\-to\-end AI agents, document processing pipelines, and scalable enterprise infrastructure to modernize real estate development.
**Location:** 
 Remote, USA
**Why this role is remarkable:** 
* Join a pre\-seed team with a high\-caliber founding group including a repeat founder and former Meta AI leadership.
* Backed by top\-tier VCs and major industry players to tackle a trillion\-dollar market with virtually no modern software.
* High\-impact path to Head of Engineering as you build the core technical foundation for autonomous physical project development.
**What you will do:** 
* Design and deploy production AI agents using frameworks like LangGraph to own long\-lived, stateful developer workflows.
* Build robust RAG pipelines and reasoning layers for processing complex documents, drawings, and multi\-tenant enterprise data.
* Develop customer\-facing product surfaces and internal tools using a modern stack of Next.js, TypeScript, and Python.
**The ideal candidate:** 
* Proven experience shipping production\-grade AI agents and agentic systems using tool\-calling loops and reasoning architectures.
* Strong software engineering fundamentals with the ability to own infrastructure, deployment, and security end\-to\-end.
* High\-agency mindset with a passion for building customer\-obsessed outcomes in document\-heavy, complex industry environments.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07">
      <c r="A107" t="inlineStr">
        <is>
          <t>li-4373517337</t>
        </is>
      </c>
      <c r="B107" t="inlineStr">
        <is>
          <t>Senior AI/ML Engineer with Poly</t>
        </is>
      </c>
      <c r="C107" t="inlineStr">
        <is>
          <t>TalentAlly</t>
        </is>
      </c>
      <c r="D107" t="inlineStr">
        <is>
          <t>linkedin</t>
        </is>
      </c>
      <c r="E107">
        <f>HYPERLINK("https://www.linkedin.com/jobs/view/4373517337", "https://www.linkedin.com/jobs/view/4373517337")</f>
        <v/>
      </c>
      <c r="F107" t="inlineStr"/>
      <c r="G107" t="inlineStr">
        <is>
          <t>Annapolis Junction, MD</t>
        </is>
      </c>
      <c r="H107" t="inlineStr"/>
      <c r="I107" t="inlineStr">
        <is>
          <t>**Job ID:** 
 705786BR
**Date posted:** 
 Jan. 06, 2026
**Description:THE WORK**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**WHO WE ARE** 
 At Lockheed Martin, we're a pioneering aerospace and defense company that's been at the forefront of innovation for decades. With a long\-standing history of pushing boundaries, we're now shaping the future of cyber and intelligence. Our team is committed to innovating at the Edge, where we harness the latest advancements in Artificial Intelligence and Machine Learning, and cyber technologies to stay ahead of emerging threats and opportunities
**WHO YOU ARE** 
 At Lockheed Martin, you will work with our team of skilled AI/ML Engineers design, create, test, and productize AI/ML algorithms that learn, predict, and make informed Expert knowledge of multiple programming languages (i.e. Python, Java, C\+\+ decisions, meeting the evolving needs of our customers. With strong familiarity with Hadoop, we develop and deploy scalable AI/ML models that integrate with data pipelines, infrastructure, and applications.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A Master's or Ph.D. degree in advanced math, artificial intelligence, data science, computer science or deep learning from an accredited college or university is required.
 Plus 5 years experience deploying machine learning algorithms is required.
 Or
 A Masters degree may be substituted with 5 additional years experience deploying machine learning algorithms, if a relevant Bachelor's Degree is present.
 Demonstrated abilities in software engineering and AI/ML model test and evaluation.
 TS/SCI w/poly
**Desired Skills:** 
 Expert knowledge of multiple programming languages (i.e. Python, Java, C\+\+) is a plus.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FirstPDN\-a115ac9c\-8cdf\-438c\-8e98\-29bf0d03aa57</t>
        </is>
      </c>
    </row>
    <row r="108">
      <c r="A108" t="inlineStr">
        <is>
          <t>li-4367373684</t>
        </is>
      </c>
      <c r="B108" t="inlineStr">
        <is>
          <t>Lead AI Engineer</t>
        </is>
      </c>
      <c r="C108" t="inlineStr">
        <is>
          <t>Elevance Health</t>
        </is>
      </c>
      <c r="D108" t="inlineStr">
        <is>
          <t>linkedin</t>
        </is>
      </c>
      <c r="E108">
        <f>HYPERLINK("https://www.linkedin.com/jobs/view/4367373684", "https://www.linkedin.com/jobs/view/4367373684")</f>
        <v/>
      </c>
      <c r="F108" t="inlineStr"/>
      <c r="G108" t="inlineStr">
        <is>
          <t>Mason, OH</t>
        </is>
      </c>
      <c r="H108" t="inlineStr"/>
      <c r="I108" t="inlineStr">
        <is>
          <t>Location: This role requires associates to be
 **in\-office 3 days per week** 
 ,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commuting distance from an office
 Please note that per our policy on hybrid/virtual work, candidates not within a reasonable commuting distance from the posting location(s) will not be considered for employment, unless an accommodation is granted as required by law.
*PLEASE NOTE: This position is not eligible for current or future visa sponsorship*
 The
 **Lead AI Engineer** 
 will drive the design, development, and deployment of AI solutions in healthcare. This role focuses on building production\-grade, compliant, and trustworthy AI systems that improve healthcare outcomes, operational efficiency, and decision\-making. You will lead AI initiatives end\-to\-end while working closely with clinical, product, data, and engineering teams in a highly regulated environment.
**How You Will Make An Impact**
* Lead the architecture and implementation of AI and Agentic AI solutions for healthcare use cases.
* Design scalable, secure, and compliant AI systems aligned with healthcare regulations.
* Establish standards for model governance, validation, monitoring, and explainability.
* May implement improvements in stability, performance, and scalability across major business\-critical systems.
* May implement processes to reduce barriers and roadblocks in projects, services, and processes in order to operate more efficiently.
* Build, train, and deploy ML and deep learning models using healthcare data (claims, EHR, clinical notes, imaging, etc.).
* Develop data pipelines for structured and unstructured healthcare data.
* Implement APIs and services to serve AI models in production environments.
* Apply and evaluate Generative AI and LLMs for healthcare use cases (clinical summarization, coding support, member engagement, operational automation).
* Develops and defines application scope and objectives and supervises the preparation of technical and/or functional specifications from with programs will be written.
* Performs technical design reviews and code reviews.
* Ensure AI solutions meet HIPAA, PHI, and data privacy requirements.
* Implement responsible AI practices including bias detection, fairness evaluation, and explainability.
* Collaborate with legal, compliance, and security teams on model governance.
* Partner with product managers, clinicians, data scientists, and business stakeholders to translate healthcare needs into AI solutions.
* Identify high\-impact healthcare AI use cases and guide prioritization.
* Communicate complex AI concepts clearly to clinical and non\-technical audiences.
* Owns the technical development environment and works on the Enterprise team.
* Leads multiple or large projects and facilitates large group JAD sessions for requirements, modeling in several disciplines.
* Mentor and guide AI engineers in best practices and healthcare\-specific considerations.
* Review code, models, and architectures.
* Contribute to hiring, onboarding, and building a high\-performing AI team.
**Minimum Requirements**
* Requires an BA/BS degree in Information Technology, Computer Science or related field of study and a minimum of 7 years related experience; multi\-platform, multi\-dimensional experience, and expert level experience with business and technical applications; or any combination of education and experience, which would provide an equivalent background.
**Preferred Skills, Capabilities And Experiences**
* 7\+ years of software engineering experience, with 4\+ years in AI/ML roles.
* Strong expertise in Python and ML frameworks (PyTorch, TensorFlow, scikit\-learn).
* Proven experience deploying AI/ML models into production healthcare environments.
* Solid understanding of:
* Machine learning and deep learning techniques.
* Model evaluation, validation, and monitoring.
* Data pipelines and feature engineering.
* Experience with cloud platforms (AWS, Azure), including secure data handling.
* Familiarity with MLOps practices (CI/CD, model versioning, drift detection).
* Strong understanding of data privacy and security principles.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09">
      <c r="A109" t="inlineStr">
        <is>
          <t>li-4368163133</t>
        </is>
      </c>
      <c r="B109" t="inlineStr">
        <is>
          <t>Gen AI Engineer - Sugarland TX OR Atlanta GA (Onsite) - W2 Full time</t>
        </is>
      </c>
      <c r="C109" t="inlineStr">
        <is>
          <t>TEK Hire Solutions</t>
        </is>
      </c>
      <c r="D109" t="inlineStr">
        <is>
          <t>linkedin</t>
        </is>
      </c>
      <c r="E109">
        <f>HYPERLINK("https://www.linkedin.com/jobs/view/4368163133", "https://www.linkedin.com/jobs/view/4368163133")</f>
        <v/>
      </c>
      <c r="F109" t="inlineStr"/>
      <c r="G109" t="inlineStr">
        <is>
          <t>Atlanta, GA</t>
        </is>
      </c>
      <c r="H109" t="inlineStr"/>
      <c r="I109" t="inlineStr">
        <is>
          <t>**Job Title:** 
 GenAI Engineer – Agent Development
**Location:** 
 Sugarland TX OR Atlanta GA (Onsite)
**Experience:** 
 Over 9\+ years (with strong AI/ML background)
**Key Responsibilities**
* Design, build, and deploy Agentic AI systems using LLMs
* Create autonomous and semi\-autonomous AI agents for task planning, decision\-making, and execution
* Implement multi\-agent workflows, tool\-using agents, and orchestration frameworks
* Integrate GenAI solutions with enterprise systems, APIs, and data sources
* Optimize prompt engineering, memory, reasoning, and feedback loops for agents
* Ensure scalability, reliability, and security of AI\-driven solutions
**Technical Skills Required**
* Strong hands\-on experience with Generative AI \&amp; LLMs (OpenAI, Azure OpenAI, Anthropic, etc.)
* Experience in Agentic AI frameworks such as LangChain, LangGraph, AutoGen, CrewAI, or similar
* Proficiency in Python (mandatory); knowledge of FastAPI/Flask is a plus
* Experience with vector databases (Pinecone, FAISS, Weaviate, Chroma, etc.)
* Understanding of RAG (Retrieval\-Augmented Generation) architectures
* Exposure to cloud platforms (AWS / Azure / GCP)
**Good To Have**
* Experience in building AI copilots, chatbots, or workflow automation agents
* Knowledge of MLOps / LLMOps pipelines
* Prior enterprise or production\-scale AI deployments
**Soft Skills**
* Strong problem\-solving and design thinking
* Ability to work independently and communicate with stakeholders
* Client\-facing experience is a plus
 Tekhire Solutions is a world\-class technology focused on customer\-driven solutions and has a deep dive knowledge of client requirements. Tekhire is best in connecting a bridge between highly skilled workers and the Fortune 500\. Always thrives to be up with the technology trends, Innovation and transforms our trusted clients with certified and enterprise solutions that makes difference in the business.</t>
        </is>
      </c>
    </row>
    <row r="110">
      <c r="A110" t="inlineStr">
        <is>
          <t>li-4373510575</t>
        </is>
      </c>
      <c r="B110" t="inlineStr">
        <is>
          <t>Senior Wireless Machine Learning Engineer, AI-RAN</t>
        </is>
      </c>
      <c r="C110" t="inlineStr">
        <is>
          <t>DeepSig, Inc.</t>
        </is>
      </c>
      <c r="D110" t="inlineStr">
        <is>
          <t>linkedin</t>
        </is>
      </c>
      <c r="E110">
        <f>HYPERLINK("https://www.linkedin.com/jobs/view/4373510575", "https://www.linkedin.com/jobs/view/4373510575")</f>
        <v/>
      </c>
      <c r="F110" t="inlineStr"/>
      <c r="G110" t="inlineStr">
        <is>
          <t>Arlington, VA</t>
        </is>
      </c>
      <c r="H110" t="inlineStr"/>
      <c r="I110" t="inlineStr">
        <is>
          <t>Job Type
 Full\-time
**Description**
**Type:** 
 Full\-Time(W2\) On\-site/Hybrid, Arlington, VA (Remote option available for the right candidate)
 DeepSig is defining the future of wireless communications by merging deep learning with the Radio Access Network (RAN). We are seeking an experienced Technical Lead to architect and drive the development of our next\-generation AI\-native RAN.
 In this role, you will design, prototype, and validate novel AI/ML components—such as neural receivers, neural beamforming, neural scheduling, digital twin, and ISAC (Integrated Sensing and Communications)—that outperform traditional signal processing methods. You will work at the cutting edge of 6G innovation, taking concepts from mathematical intuition to simulation (e.g. NVIDIA Sionna) and real\-time implementation.
**What You’ll Be Doing**
* Applied AI Research: Design and train modern deep learning models (Transformers, Vision architectures, etc.) to solve complex physical layer problems, including channel estimation, MIMO detection, and beam management
* Simulation \&amp; Validation: Build high\-fidelity link\-level simulations using NVIDIA Sionna and ray\-tracing to train, test, and benchmark AI models against legacy 5G baselines
* Prototyping \&amp; Deployment: Transition research models into deployable "dApps" for the Distributed Unit (DU), optimizing inference for latency and compute efficiency on NVIDIA GPUs
* New Capabilities: Explore emerging AI\-RAN frontiers such as Integrated Sensing and Communications (ISAC), neural scheduling, and channel digital twins
* Innovation \&amp; IPR: Drive technical innovation by authoring invention disclosures, filing patents, and generating technical reports to support our standardization team in 3GPP and O\-RAN Alliance contributions
* Data Engineering: Architect data pipelines for generating synthetic training datasets and developing "Sim\-to\-Real" transfer techniques to ensure robust performance in real\-world networks
**Required Qualifications**
* Education: Ph.D. or Master’s in Computer Science, Electrical Engineering, or Applied Mathematics with a focus on Deep Learning and/or Communications Systems
* AI/ML Expertise: 3\+ years of experience designing and training deep neural networks from scratch. Strong grasp of modern architectures and optimization techniques
* Applied Signal Processing: Experience applying machine learning to real\-time time\-series data, signal processing, or physics\-based problems (Audio, RF, or similar domains)
* Research to Code: Proven ability to read academic papers and implement their methods in robust Python code
* Simulation Skills: Experience with differentiable simulation or digital twins (e.g., Sionna, JAX\-based physics sims)
**Preferred Qualifications**
* Wireless Knowledge: Understanding of wireless fundamentals (OFDM, MIMO, IQ data) is highly helpful, though we prioritize strong ML intuition over pure communication theory
* Performance Optimization: Experience with model quantization (FP16/INT8\), pruning, or using TensorRT for real\-time inference
* Standardization Support: Experience writing technical whitepapers or supporting patent filings in a research environment
* C\+\+ Integration: Ability to write C\+\+ bindings or integrate Python models into C\+\+, SIMD, and Cuda production pipelines
**Working at DeepSig**
 DeepSig is growing its technical team while cultivating a collaborative, agile, and fun small\-team culture. We value creativity, knowledge sharing, and employee growth, and we encourage participation in scientific publications, conferences, and open\-source software. We offer competitive salaries and benefits, an employee stock option grant program, an environment where we are excited to be transforming and disrupting how signal processing is done with AI/ML, a welcoming and inclusive environment, a flexible schedule, and a great work / life balance.
 DeepSig is an equal\-opportunity employer and does not discriminate based on race, ethnicity, religion, color, national origin, gender, sexual orientation, age, marital status, veteran status, or disability. We are dedicated to cultivating an inclusive, diverse, and engaging workplace where individuals feel fulfilled, inspired, and motivated. We value the unique perspectives that our team brings.</t>
        </is>
      </c>
    </row>
    <row r="111">
      <c r="A111" t="inlineStr">
        <is>
          <t>li-4372354170</t>
        </is>
      </c>
      <c r="B111" t="inlineStr">
        <is>
          <t>Sr. AI Engineer</t>
        </is>
      </c>
      <c r="C111" t="inlineStr">
        <is>
          <t>Jobs via Dice</t>
        </is>
      </c>
      <c r="D111" t="inlineStr">
        <is>
          <t>linkedin</t>
        </is>
      </c>
      <c r="E111">
        <f>HYPERLINK("https://www.linkedin.com/jobs/view/4372354170", "https://www.linkedin.com/jobs/view/4372354170")</f>
        <v/>
      </c>
      <c r="F111">
        <f>HYPERLINK("https://click.appcast.io/t/xxjRPfRME9VjdFg3OrawrISqorzBVXi6lZA0HhKC_JU=&amp;urlHash=uu_e", "https://click.appcast.io/t/xxjRPfRME9VjdFg3OrawrISqorzBVXi6lZA0HhKC_JU=&amp;urlHash=uu_e")</f>
        <v/>
      </c>
      <c r="G111" t="inlineStr">
        <is>
          <t>Irvine, CA</t>
        </is>
      </c>
      <c r="H111" t="inlineStr"/>
      <c r="I111" t="inlineStr">
        <is>
          <t>Dice is the leading career destination for tech experts at every stage of their careers. Our client, The Intersect Group, is seeking the following. Apply via Dice today!
**Position Summary:**
 Responsible for serving as a senior technical leader driving the design, development, and deployment of advanced AI solutions that address complex business challenges. Provides deep expertise across domains such as computer vision, natural language processing, recommendation systems, and predictive analytics, while setting strategic direction, establishing best practices, and influencing cross\-functional teams to maximize the impact of AI initiatives.
 **The role is on a hybrid\-basis, candidates must be within a commutable distance to the Irvine, CA.** 
**Responsibilities:**
* Designs, develops, and delivers solutions that meet business line and enterprise requirements.
* Serves as a recognized authority and internal expert in applied AI, shaping the organization s technical direction and strategy.
* Oversees large, complex and transformative initiatives directly influencing functional and/or enterprise initiatives. Works under consultative direction to achieve objectives.
* Partners with cross\-functional leaders to identify high\-impact opportunities for AI integration and defines solution approaches to achieve measurable results.
* Guides the development and deployment of machine learning models into production, ensuring alignment with business and product requirements.
* Optimizes model performance, scalability, and reliability to meet enterprise\-grade standards.
* Translates cutting\-edge AI research and experimental methods into deployable, value\-driven solutions.
* Establishes robust pipelines for data preparation, training, evaluation, deployment, and ongoing monitoring.
* Champions responsible AI practices by embedding fairness, transparency, and security into all solutions.
* Monitors emerging AI trends, frameworks, and tools to inform strategy and maintain a competitive edge.
* Performs other duties and projects assigned.
**Requirements:**
* Minimum five (5\) \+ years technical engineering experience with coding in languages including, but not limited to, C, C\+\+, C\#, Java, JavaScript, or Python; C\# experience preferred.
* Two (2\) \+ years experience in Python, PyTorch, TensorFlow, or other machine learning frameworks.
* Proven experience applying large language models (LLMs), generative AI, or OSS agent\-based frameworks to business solutions.
* Demonstrated success delivering at least one large\-scale ML/AI application or service on a cloud platform (Azure, AWS, or Google Cloud Platform).
* Strong understanding of ML algorithms, deep learning architectures, data structures, and applied optimization techniques.
* Familiarity with MLOps practices and tools (Docker, Kubernetes, MLflow, etc.) for scalable AI/ML deployments.
* Ability to translate research and experimental AI approaches into practical, enterprise\-grade solutions.
* Excellent analytical, problem\-solving, and communication skills, with the ability to influence stakeholders and drive alignment.
* Advanced degree (M.S. or Ph.D.) in AI, ML, Data Science, or a related field.
* Experience with transformers, edge AI, federated learning, or real\-time inference systems.
* Track record of contributions to open\-source AI projects, patents, or published research.</t>
        </is>
      </c>
    </row>
    <row r="112">
      <c r="A112" t="inlineStr">
        <is>
          <t>li-4372352192</t>
        </is>
      </c>
      <c r="B112" t="inlineStr">
        <is>
          <t>AI Engineer (Chinese Speaking) Onsite</t>
        </is>
      </c>
      <c r="C112" t="inlineStr">
        <is>
          <t>Jobs via Dice</t>
        </is>
      </c>
      <c r="D112" t="inlineStr">
        <is>
          <t>linkedin</t>
        </is>
      </c>
      <c r="E112">
        <f>HYPERLINK("https://www.linkedin.com/jobs/view/4372352192", "https://www.linkedin.com/jobs/view/4372352192")</f>
        <v/>
      </c>
      <c r="F112" t="inlineStr"/>
      <c r="G112" t="inlineStr">
        <is>
          <t>San Jose, CA</t>
        </is>
      </c>
      <c r="H112" t="inlineStr"/>
      <c r="I112" t="inlineStr">
        <is>
          <t>Dice is the leading career destination for tech experts at every stage of their careers. Our client, TeamSuccess LLC DBA HiEd Success, is seeking the following. Apply via Dice today!
 Key Responsibilities:
* Design, develop, and deploy AI/ML models for business applications.
* Work on NLP, Computer Vision, or Predictive Analytics use cases.
* Collaborate with Chinese clients, vendors, or internal teams (Mandarin communication required).
* Translate business requirements into AI\-based technical solutions.
* Perform data preprocessing, feature engineering, and model optimization.
* Integrate AI solutions with existing enterprise systems.
* Ensure scalability, performance, and accuracy of AI models.
* Stay updated with emerging AI technologies and tools.
 Required Qualifications:
* Bachelor’s or Master’s degree in Computer Science, AI, Data Science, or related field.
* 5\+ years of experience in AI/ML development.
* Strong programming skills in Python (TensorFlow, PyTorch, Scikit\-learn).
* Experience with NLP, Deep Learning, or Generative AI.
* Knowledge of cloud platforms (AWS, Azure, or Google Cloud Platform).
* Experience with APIs and system integration.
* Fluency in Mandarin (spoken and written) and English.
* Strong analytical and problem\-solving skills.
 Preferred Qualifications:
* Experience working with Chinese technology platforms.
* Exposure to LLMs, prompt engineering, or AI automation tools.
* Experience in Agile/Scrum environments.
* Familiarity with data security and AI compliance standards.</t>
        </is>
      </c>
    </row>
    <row r="113">
      <c r="A113" t="inlineStr">
        <is>
          <t>li-4372348243</t>
        </is>
      </c>
      <c r="B113" t="inlineStr">
        <is>
          <t>Senior Staff AI Engineer - Enterprise AI</t>
        </is>
      </c>
      <c r="C113" t="inlineStr">
        <is>
          <t>Jobs via Dice</t>
        </is>
      </c>
      <c r="D113" t="inlineStr">
        <is>
          <t>linkedin</t>
        </is>
      </c>
      <c r="E113">
        <f>HYPERLINK("https://www.linkedin.com/jobs/view/4372348243", "https://www.linkedin.com/jobs/view/4372348243")</f>
        <v/>
      </c>
      <c r="F113" t="inlineStr"/>
      <c r="G113" t="inlineStr">
        <is>
          <t>California, United States</t>
        </is>
      </c>
      <c r="H113" t="inlineStr"/>
      <c r="I113"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Senior Staff AI Engineer for Enterprise AI Solutions, you will be a critical technical leader responsible for the hands\-on design, development, and implementation of AI\-powered solutions that solve challenging business problems across IT and various enterprise functions (Sales, Marketing, Finance, HR, Legal, etc.). You will work closely with Principal and Distinguished Architects to translate high\-level strategies into concrete AI solution designs and robust, scalable, and ethical implementations. This role demands deep technical expertise, a strong ability to solve complex problems, and a commitment to mentoring other engineers, leveraging our Enterprise AI Platform to deliver measurable business impact
 Your Impact
 AI Solution Implementation: Lead the design and implementation of AI solutions, translating business problems into AI designs, and managing model selection, data requirements, and integration for AI applications
 Platform Development: Develop and implement core components of the enterprise AI/ML platform, ensuring scalability and security. Contribute to the lifecycle of traditional and Generative AI model deployment and real\-time inference systems
 System Optimization: Design and optimize large\-scale AI/ML systems for performance, reliability, and developer\-friendliness, focusing on low latency and high throughput in real\-time AI applications
 Technology Adoption: Evaluate and integrate new AI tools, frameworks, and cloud solutions, aligning with architectural guidelines. Lead POCs for emerging AI innovations
 Architectural Best Practices: Champion design standards and best practices for AI systems, guiding junior engineers
 Technical Leadership: Mentor AI/ML engineers, lead design discussions, and perform code reviews, fostering engineering excellence
 Cross\-Functional Collaboration: Partner with Data Scientists, ML Engineers, Product Managers, and IT stakeholders to develop production\-grade AI solutions
 Responsible AI \&amp; Quality: Ensure AI systems comply with responsible AI principles and security policies. Implement automated testing and monitoring
 Innovation \&amp; Research: Apply cutting\-edge AI/ML techniques to solve problems and improve solutions, staying updated on advancements in Generative AI and LLMs
**Qualifications**
 Your Experience
 8\+ years in software engineering, with 4\+ years in AI/ML solutions or platform development
 Hands\-on expertise in building and deploying enterprise\-grade AI/ML systems
 Understanding of the AI lifecycle: data, training, evaluation, deployment, and monitoring
 Experience with distributed systems, streaming data, data lakes, and real\-time decision engines
 Generative AI \&amp; LLMs: Experience with LLMs, multi\-modal models, RAGs, and agentic AI systems
 Proficiency in AI/ML frameworks (TensorFlow, PyTorch) and cloud platforms (AWS SageMaker, Google Cloud AI, Azure ML)
 Strong programming skills (Python, Java, Go)
 Excellent communication skills
 Bachelor's or Master's degree in Computer Science or related field
 System\-level thinking: Understanding and optimizing distributed AI architectures
 System\-Level Thinking: Demonstrated ability to think at a system level, understanding complex interdependencies within distributed AI architectures and optimizing end\-to\-end performance
**Preferred Qualifications**
 Master's degree in Computer Science, Machine Learning, or a related technical field or equivalent military experience required
 Experience contributing to open\-source AI projects
 Prior experience in a technical lead role for AI/ML projects
 Familiarity with cybersecurity principles as they apply to AI systems
 The Ideal Candidate: You are a highly skilled and passionate AI engineer who thrives on solving challenging problems and building robust, impactful solutions. You are a natural technical leader and mentor, capable of driving significant technical initiatives from design to deployment and contributing to the overall excellence of the AI platform. You are eager to translate business needs into innovative AI solutions and contribute to the company's digital transformation.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$145,000\.00 \- $235,500\.00/yr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2026-02-16T03:04:07Z</dcterms:created>
  <dcterms:modified xsi:type="dcterms:W3CDTF">2026-02-16T03:04:07Z</dcterms:modified>
</cp:coreProperties>
</file>