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in-194a93e28f85afad</t>
        </is>
      </c>
      <c r="B2" t="inlineStr">
        <is>
          <t>Director of Application Software Engineering</t>
        </is>
      </c>
      <c r="C2" t="inlineStr">
        <is>
          <t>HP</t>
        </is>
      </c>
      <c r="D2" t="inlineStr">
        <is>
          <t>indeed</t>
        </is>
      </c>
      <c r="E2" t="inlineStr"/>
      <c r="F2" t="inlineStr"/>
      <c r="G2" t="inlineStr">
        <is>
          <t>Spring, TX, US</t>
        </is>
      </c>
      <c r="H2" s="2" t="n">
        <v>46066</v>
      </c>
      <c r="I2" t="inlineStr">
        <is>
          <t>**Job Summary**  
This role is responsible for managing software development projects associated with developing, debugging or designing software and hardware. The role embraces leadership, inspires teams, and fosters strong collaboration with product and design teams. The role envisions and executes the technical needs of the department and manages multiple teams on numerous projects based on value proposition and feasibility. The role leads the development of quality\-focused, world\-class software.  
**Responsibilities**  
* Leads, coaches, cares for, and grows teams of customer\-focused software and data engineers.
* Thoughtfully organizes and unblocks collaboration and partnership at multiple levels, across business groups and functions to achieve the organizational mission.
* Partners closely with Product Management, Technical Program Managers, Architects, HP product groups, and experts to envision, drive, and deliver innovative, compelling, and quality solutions at speed and scale.
* Engages with Architects and broader HP technology excellence communities to provide technical vision and strategy for the teams; designs and leads a multi\-year technical roadmap, balancing short\- and long\-term technology investments.
* Provides overall financial direction in order to manage the development of business solutions budgets, controls and measurements to monitor progress.
* Leads analysis of the competitive environment, customers, and product metrics to determine the right set of community features to drive engagement and business goals.
* Translates functional plans into operational processes and strategically guides execution.
* Works across internal and external stakeholders to seamlessly integrate solutions that meet and enable business priorities.
* Builds culture of continuous improvement and model lean leadership principles.
* Participates in performance management to enhance associate development; sets expectations for high performing work teams; manages pay recommendations and encourages personal and professional career development.
**Education \&amp; Experience** **Recommended**  
* Four\-year or Graduate Degree in Computer Science, Information Technology, Software Engineering, or any other related discipline or commensurate work experience or demonstrated competence.
* Typically has 12\+ years of job\-related and/or management experience, preferably in software designing \&amp; development, software architecture, programming languages, or a related field.
**Preferred Certifications**  
* Programming Language/s Certification (Java, C\+\+, Python, JavaScript, or similar)
**Knowledge \&amp; Skills**  
* Agile Methodology
* Amazon Web Services
* Application Programming Interface (API)
* Automation
* C\+\+ (Programming Language)
* Computer Science
* DevOps
* Docker (Software)
* Full Stack Development
* Java (Programming Language)
* JavaScript (Programming Language)
* Kubernetes
* Microservices
* Microsoft Azure
* Python (Programming Language)
* React.js
* Scalability
* Software Development
* Software Engineering
* SQL (Programming Language)
**Cross\-Org Skills**  
* Customer Centricity
* Prioritization
* Resilience
* Team Management
* Strategic Thinking
**Impact \&amp; Scope**  
* Impacts multiple functions and may act as a lead to peers on cross\-functional project teams working to establish and execute business goals.
**Complexity**  
* Contributes to the development of company objectives and achieves goals through subordinate high\-level individual contributors and managers.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**$174,050** to **$278,450**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3">
      <c r="A3" t="inlineStr">
        <is>
          <t>in-a016e52306daeda1</t>
        </is>
      </c>
      <c r="B3" t="inlineStr">
        <is>
          <t>Software Engineer (C# .NET Framework/SQL Server) - Digitech - Remote</t>
        </is>
      </c>
      <c r="C3" t="inlineStr">
        <is>
          <t>Sarnova HC, LLC</t>
        </is>
      </c>
      <c r="D3" t="inlineStr">
        <is>
          <t>indeed</t>
        </is>
      </c>
      <c r="E3" t="inlineStr"/>
      <c r="F3" t="inlineStr"/>
      <c r="G3" t="inlineStr">
        <is>
          <t>Remote, US</t>
        </is>
      </c>
      <c r="H3" s="2" t="n">
        <v>46066</v>
      </c>
      <c r="I3" t="inlineStr">
        <is>
          <t>Company Overview:
The Sarnova Family of companies includes Digitech Computer, Bound Tree Medical, Tri\-anim Health Services and Cardio Partners.
Digitech is a leading provider of advanced billing and technology services to the EMS transport industry. Digitech leverages its proprietary technology to offer fully outsourced services that maximize collections, protect compliance, and deliver results for clients.
Responsibilities and Qualifications:
**Job Summary:**  
This role focuses on supporting, enhancing, and progressively modernizing enterprise and legacy applications using C\#, .NET Framework, and SQL Server. It plays a key part in maintaining system stability while identifying opportunities for improvement and long‑term modernization. The position is well‑suited for an engineer who enjoys working with complex systems, troubleshooting production issues, and contributing to the continued evolution and sustainability of the platform. **Organizational Impact:**
This role plays a critical part in maintaining the stability and reliability of enterprise systems that support core business operations. By proactively addressing defects, performance issues, and technical debt, the position helps reduce operational risk and ensure business continuity. The engineer also contributes to incremental modernization efforts, bridging legacy platforms with future‑state solutions. **Key Responsibilities:*** Maintain, enhance, and support applications built on C\# and .NET Framework
* Design, develop, and optimize SQL Server databases, queries, views, and stored procedures
* Analyze business and technical requirements to implement effective software solutions
* Troubleshoot and resolve application defects, performance bottlenecks, and production issues
* Perform code reviews and ensure adherence to development standards and best practices
* Collaborate with product owners, QA, infrastructure, and other engineering teams
* Assist in application refactoring, upgrades, and incremental modernization efforts
* Document system functionality, processes, and technical changes
* Support application deployments and ongoing operational needs
* Additional job duties as assigned
**Minimum Qualifications:*** Education: Bachelor’s degree in Computer Science or a closely related field
* 3–5 years of professional software engineer experience
* Strong ands‑on experience with C\#, .NET Framework, and SQL Server
* Strong understanding of object‑oriented programming and enterprise application design
* Experience supporting and maintaining production applications
* Strong communication skills and a collaborative mindse
* Strong analytical, debugging, and problem‑solving skills
* Ability to work independently while collaborating effectively within a team
* Ability to independently manage all aspects of the job role including required goals and business practices in a remote environment
**Travel Required:*** Up to 10%
**Physical Requirements:*** Ability to communicate effectively, including speaking and hearing.
* Ability to see and read, write, and interpret written information.
* Occasionally lift, move, and connect computer hardware and related equipment.
* Ability to travel as required for business purposes.
* Ability to handle and safeguard confidential information.
* Ability to perform job duties in a professional environment suitable for virtual video meetings.
Work environment characteristics described here are representative of those that must be met by an employee to successfully perform the essential function of this job. Reasonable accommodations may be made to enable individuals with disabilities to perform the essential functions. Continuous is defined as 6\-8 hours, frequently is defined as 3\-6 hours, and occasionally is defined as up to 3 hours.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  
\#digitech</t>
        </is>
      </c>
    </row>
    <row r="4">
      <c r="A4" t="inlineStr">
        <is>
          <t>in-d71927c676350972</t>
        </is>
      </c>
      <c r="B4" t="inlineStr">
        <is>
          <t>Software Engineer</t>
        </is>
      </c>
      <c r="C4" t="inlineStr">
        <is>
          <t>Amazon.com</t>
        </is>
      </c>
      <c r="D4" t="inlineStr">
        <is>
          <t>indeed</t>
        </is>
      </c>
      <c r="E4" t="inlineStr"/>
      <c r="F4" t="inlineStr"/>
      <c r="G4" t="inlineStr">
        <is>
          <t>San Francisco, CA, US</t>
        </is>
      </c>
      <c r="H4" s="2" t="n">
        <v>46008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in-4ec864447b6783b1</t>
        </is>
      </c>
      <c r="B5" t="inlineStr">
        <is>
          <t>Software Engineer</t>
        </is>
      </c>
      <c r="C5" t="inlineStr">
        <is>
          <t>Amazon.com</t>
        </is>
      </c>
      <c r="D5" t="inlineStr">
        <is>
          <t>indeed</t>
        </is>
      </c>
      <c r="E5" t="inlineStr"/>
      <c r="F5" t="inlineStr"/>
      <c r="G5" t="inlineStr">
        <is>
          <t>Seattle, WA, US</t>
        </is>
      </c>
      <c r="H5" s="2" t="n">
        <v>46008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in-fa0b10b8eaae1420</t>
        </is>
      </c>
      <c r="B6" t="inlineStr">
        <is>
          <t>Software Engineer I</t>
        </is>
      </c>
      <c r="C6" t="inlineStr">
        <is>
          <t>Amazon.com</t>
        </is>
      </c>
      <c r="D6" t="inlineStr">
        <is>
          <t>indeed</t>
        </is>
      </c>
      <c r="E6" t="inlineStr"/>
      <c r="F6" t="inlineStr"/>
      <c r="G6" t="inlineStr">
        <is>
          <t>San Francisco, CA, US</t>
        </is>
      </c>
      <c r="H6" s="2" t="n">
        <v>46006</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in-7a18f33b83858c1d</t>
        </is>
      </c>
      <c r="B7" t="inlineStr">
        <is>
          <t>Software Engineer I</t>
        </is>
      </c>
      <c r="C7" t="inlineStr">
        <is>
          <t>Amazon.com</t>
        </is>
      </c>
      <c r="D7" t="inlineStr">
        <is>
          <t>indeed</t>
        </is>
      </c>
      <c r="E7" t="inlineStr"/>
      <c r="F7" t="inlineStr"/>
      <c r="G7" t="inlineStr">
        <is>
          <t>Seattle, WA, US</t>
        </is>
      </c>
      <c r="H7" s="2" t="n">
        <v>46006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in-a12a8c51655a4db1</t>
        </is>
      </c>
      <c r="B8" t="inlineStr">
        <is>
          <t>Software Engineer I</t>
        </is>
      </c>
      <c r="C8" t="inlineStr">
        <is>
          <t>Amazon.com</t>
        </is>
      </c>
      <c r="D8" t="inlineStr">
        <is>
          <t>indeed</t>
        </is>
      </c>
      <c r="E8" t="inlineStr"/>
      <c r="F8" t="inlineStr"/>
      <c r="G8" t="inlineStr">
        <is>
          <t>Irvine, CA, US</t>
        </is>
      </c>
      <c r="H8" s="2" t="n">
        <v>46006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in-5ab8440d10c4f175</t>
        </is>
      </c>
      <c r="B9" t="inlineStr">
        <is>
          <t>Software Engineer I</t>
        </is>
      </c>
      <c r="C9" t="inlineStr">
        <is>
          <t>Amazon.com</t>
        </is>
      </c>
      <c r="D9" t="inlineStr">
        <is>
          <t>indeed</t>
        </is>
      </c>
      <c r="E9" t="inlineStr"/>
      <c r="F9" t="inlineStr"/>
      <c r="G9" t="inlineStr">
        <is>
          <t>San Francisco, CA, US</t>
        </is>
      </c>
      <c r="H9" s="2" t="n">
        <v>45946</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in-424c5695a816ca7b</t>
        </is>
      </c>
      <c r="B10" t="inlineStr">
        <is>
          <t>Software Engineer I</t>
        </is>
      </c>
      <c r="C10" t="inlineStr">
        <is>
          <t>Amazon.com</t>
        </is>
      </c>
      <c r="D10" t="inlineStr">
        <is>
          <t>indeed</t>
        </is>
      </c>
      <c r="E10" t="inlineStr"/>
      <c r="F10" t="inlineStr"/>
      <c r="G10" t="inlineStr">
        <is>
          <t>Irvine, CA, US</t>
        </is>
      </c>
      <c r="H10" s="2" t="n">
        <v>45946</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in-75e9bedb452f436c</t>
        </is>
      </c>
      <c r="B11" t="inlineStr">
        <is>
          <t>Software Engineer II</t>
        </is>
      </c>
      <c r="C11" t="inlineStr">
        <is>
          <t>Amazon.com</t>
        </is>
      </c>
      <c r="D11" t="inlineStr">
        <is>
          <t>indeed</t>
        </is>
      </c>
      <c r="E11" t="inlineStr"/>
      <c r="F11" t="inlineStr"/>
      <c r="G11" t="inlineStr">
        <is>
          <t>San Francisco, CA, US</t>
        </is>
      </c>
      <c r="H11" s="2"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in-61298961d7a77834</t>
        </is>
      </c>
      <c r="B12" t="inlineStr">
        <is>
          <t>Software Engineer II</t>
        </is>
      </c>
      <c r="C12" t="inlineStr">
        <is>
          <t>Amazon.com</t>
        </is>
      </c>
      <c r="D12" t="inlineStr">
        <is>
          <t>indeed</t>
        </is>
      </c>
      <c r="E12" t="inlineStr"/>
      <c r="F12" t="inlineStr"/>
      <c r="G12" t="inlineStr">
        <is>
          <t>Irvine, CA, US</t>
        </is>
      </c>
      <c r="H12" s="2"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in-ebc6b764d0844e6b</t>
        </is>
      </c>
      <c r="B13" t="inlineStr">
        <is>
          <t>Software Engineer II</t>
        </is>
      </c>
      <c r="C13" t="inlineStr">
        <is>
          <t>Amazon.com</t>
        </is>
      </c>
      <c r="D13" t="inlineStr">
        <is>
          <t>indeed</t>
        </is>
      </c>
      <c r="E13" t="inlineStr"/>
      <c r="F13" t="inlineStr"/>
      <c r="G13" t="inlineStr">
        <is>
          <t>San Francisco, CA, US</t>
        </is>
      </c>
      <c r="H13" s="2"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in-fc3559a40357b0dc</t>
        </is>
      </c>
      <c r="B14" t="inlineStr">
        <is>
          <t>Software Engineer II</t>
        </is>
      </c>
      <c r="C14" t="inlineStr">
        <is>
          <t>Amazon.com</t>
        </is>
      </c>
      <c r="D14" t="inlineStr">
        <is>
          <t>indeed</t>
        </is>
      </c>
      <c r="E14" t="inlineStr"/>
      <c r="F14" t="inlineStr"/>
      <c r="G14" t="inlineStr">
        <is>
          <t>Culver City, CA, US</t>
        </is>
      </c>
      <c r="H14" s="2" t="n">
        <v>45938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in-a5d251c5017c5516</t>
        </is>
      </c>
      <c r="B15" t="inlineStr">
        <is>
          <t>Software Engineer II</t>
        </is>
      </c>
      <c r="C15" t="inlineStr">
        <is>
          <t>Amazon.com</t>
        </is>
      </c>
      <c r="D15" t="inlineStr">
        <is>
          <t>indeed</t>
        </is>
      </c>
      <c r="E15" t="inlineStr"/>
      <c r="F15" t="inlineStr"/>
      <c r="G15" t="inlineStr">
        <is>
          <t>Irvine, CA, US</t>
        </is>
      </c>
      <c r="H15" s="2" t="n">
        <v>45938</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in-56f026164e145788</t>
        </is>
      </c>
      <c r="B16" t="inlineStr">
        <is>
          <t>Software Engineer II</t>
        </is>
      </c>
      <c r="C16" t="inlineStr">
        <is>
          <t>Amazon.com</t>
        </is>
      </c>
      <c r="D16" t="inlineStr">
        <is>
          <t>indeed</t>
        </is>
      </c>
      <c r="E16" t="inlineStr"/>
      <c r="F16" t="inlineStr"/>
      <c r="G16" t="inlineStr">
        <is>
          <t>San Francisco, CA, US</t>
        </is>
      </c>
      <c r="H16" s="2" t="n">
        <v>45921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in-df9c10725cb30122</t>
        </is>
      </c>
      <c r="B17" t="inlineStr">
        <is>
          <t>Software Engineer II</t>
        </is>
      </c>
      <c r="C17" t="inlineStr">
        <is>
          <t>Amazon.com</t>
        </is>
      </c>
      <c r="D17" t="inlineStr">
        <is>
          <t>indeed</t>
        </is>
      </c>
      <c r="E17" t="inlineStr"/>
      <c r="F17" t="inlineStr"/>
      <c r="G17" t="inlineStr">
        <is>
          <t>Irvine, CA, US</t>
        </is>
      </c>
      <c r="H17" s="2" t="n">
        <v>45921</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in-7f968c60605e9373</t>
        </is>
      </c>
      <c r="B18" t="inlineStr">
        <is>
          <t>Software Engineer I- Ad Demand</t>
        </is>
      </c>
      <c r="C18" t="inlineStr">
        <is>
          <t>Amazon.com</t>
        </is>
      </c>
      <c r="D18" t="inlineStr">
        <is>
          <t>indeed</t>
        </is>
      </c>
      <c r="E18" t="inlineStr"/>
      <c r="F18" t="inlineStr"/>
      <c r="G18" t="inlineStr">
        <is>
          <t>San Francisco, CA, US</t>
        </is>
      </c>
      <c r="H18" s="2" t="n">
        <v>45908</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in-db9bec862530f981</t>
        </is>
      </c>
      <c r="B19" t="inlineStr">
        <is>
          <t>Software Engineer I- Ad Demand</t>
        </is>
      </c>
      <c r="C19" t="inlineStr">
        <is>
          <t>Amazon.com</t>
        </is>
      </c>
      <c r="D19" t="inlineStr">
        <is>
          <t>indeed</t>
        </is>
      </c>
      <c r="E19" t="inlineStr"/>
      <c r="F19" t="inlineStr"/>
      <c r="G19" t="inlineStr">
        <is>
          <t>New York, NY, US</t>
        </is>
      </c>
      <c r="H19" s="2" t="n">
        <v>45908</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in-73d96931a5621396</t>
        </is>
      </c>
      <c r="B20" t="inlineStr">
        <is>
          <t>SOFTWARE ENGINEERS</t>
        </is>
      </c>
      <c r="C20" t="inlineStr">
        <is>
          <t>Stacklogy</t>
        </is>
      </c>
      <c r="D20" t="inlineStr">
        <is>
          <t>indeed</t>
        </is>
      </c>
      <c r="E20" t="inlineStr"/>
      <c r="F20" t="inlineStr"/>
      <c r="G20" t="inlineStr">
        <is>
          <t>Temple, TX, US</t>
        </is>
      </c>
      <c r="H20" s="2" t="n">
        <v>46067</v>
      </c>
      <c r="I20"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21">
      <c r="A21" t="inlineStr">
        <is>
          <t>in-7bcdaf9160709b18</t>
        </is>
      </c>
      <c r="B21" t="inlineStr">
        <is>
          <t>SOFTWARE DEVELOPERS</t>
        </is>
      </c>
      <c r="C21" t="inlineStr">
        <is>
          <t>Stacklogy</t>
        </is>
      </c>
      <c r="D21" t="inlineStr">
        <is>
          <t>indeed</t>
        </is>
      </c>
      <c r="E21" t="inlineStr"/>
      <c r="F21" t="inlineStr"/>
      <c r="G21" t="inlineStr">
        <is>
          <t>Temple, TX, US</t>
        </is>
      </c>
      <c r="H21" s="2" t="n">
        <v>46067</v>
      </c>
      <c r="I21"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22">
      <c r="A22" t="inlineStr">
        <is>
          <t>in-435dac97fe380cbb</t>
        </is>
      </c>
      <c r="B22" t="inlineStr">
        <is>
          <t>Software Engineer</t>
        </is>
      </c>
      <c r="C22" t="inlineStr">
        <is>
          <t>Calvary Chapel Fort Lauderdale</t>
        </is>
      </c>
      <c r="D22" t="inlineStr">
        <is>
          <t>indeed</t>
        </is>
      </c>
      <c r="E22" t="inlineStr"/>
      <c r="F22" t="inlineStr"/>
      <c r="G22" t="inlineStr">
        <is>
          <t>Fort Lauderdale, FL, US</t>
        </is>
      </c>
      <c r="H22" s="2" t="n">
        <v>46067</v>
      </c>
      <c r="I22" t="inlineStr">
        <is>
          <t>**Position Description**
**JOB TITLE:** Software Engineer
**DEPARTMENT:** IT
**REPORTS TO:** Director of IT / Manager of Church Management Solutions
**STATUS:** Salary Exempt
**HOURS:** Full Time (45\+)
**LOCATION:** Fort Lauderdale
\_\_\_\_\_\_\_\_\_\_\_\_\_\_\_\_\_\_\_\_\_\_\_\_\_\_\_\_\_\_\_\_\_\_\_\_\_\_\_\_\_\_\_\_\_\_\_\_\_\_\_\_\_\_\_\_\_\_\_\_\_\_\_\_\_\_\_\_\_\_\_\_
At Calvary Chapel, we are called to make disciples of Jesus Christ by connecting people to God, people to people, and people to outreach. Our vision is to reach our community and change our world. As a staff member, it’s not what we do, it's who we are.
**Your passion:**
You enjoy architecting, designing, developing, testing, training, and deploying software systems that are leveraged for extending the ministries of the church.
You are passionate about great technologies and staying on the leading edge of development practices.
You love to create tools that address the needs of support and ministry teams.
**You are:**
* Convinced a relationship with Jesus changes everything in a person’s life.
* Committed to keeping your family as your first ministry.
* Dedicated in your personal study of God’s Word.
* Consistently placing a high priority on worship and your personal prayer life.
* An excellent and generous steward of your personal finances.
* Obedient to God to take a Sabbath and make space for soul\-keeping.
* Deeply compassionate towards people who are in need or hurting.
* Excited about global missions and local outreach \- you want to change the world.
* A part of a healthy friendship community and accountability circle.
* Willing to give up personal pleasures and freedoms in order to live a life above reproach and that is aligned with our Leadership Covenant.
* An expert in the use of Microsoft Visual Studio and support development languages for the development of enterprise level software.
* Fluent in functional and object\-oriented programming languages.
* A persistent, creative problem solver.
**You will:**
* Develop software solutions by studying information needs, conferring with end\-users, studying systems flow, data usage and work processes, investigating problem areas, and following the software development lifecycle.
* Improve operations by conducting systems analysis, recommending changes in policies and procedures.
* Work in close partnership with the Data Team and support/ministry teams in determining process improvements, best practices, and developing new ones as necessary.
* Participate in the core project team tasked with maintaining and enhancing the functionality and integration of the church’s ChMS. You will be responsible for project management, deployment, software development and internal training tasks related to the ChMS.
* Help ensure the quality and integrity of the data in Calvary Chapel’s varied databases, and help with the design, development, and maintenance of ongoing metrics, reports, analysis, dashboards, software and tools, etc. to assist with key leadership decisions.
* Assist with software integration efforts to address other ministry requirements. This includes integration of ChMS with Accounting software, Human Resources Management Systems, Point\-of\-sale solutions, etc.
**You have:**
* Excellent organizational, technical, and interpersonal skills.
* Spiritual gifts of: administration, discernment and service.
* Excellent interpersonal skills for relating effectively with staff members, leadership, church attendees, volunteers, and vendors.
* Knowledge and experience developing software using enterprise database systems such as Microsoft or Oracle SQL Server. Significant experience writing SQL Stored Procedures, Functions, Queries and reports.
* Experience in communicating with users, other technical teams and management to collect requirements, identify tasks, provide estimates and meet production deadlines
* Experience with professional software engineering best practices for the full software development life cycle, including coding standards, code reviews, source control management, build processes, testing and operations
* Knowledge of applicable software, computer languages, and code to perform the responsibilities of the role and the aptitude and willingness to learn new technologies and programming languages.
* The ability to provide in\-depth evaluation and analysis of unique complex technological issues.
* Experience developing mobile applications for IOS and Android devices.
* Minimum of five (5\) years Software development experience with an emphasis on Web systems development. Visual Basic.net, C\#, ASP.net, Java, PHP and HTML4/5 experience required.
* A Bachelor’s degree in Computer Science or in a related field or equivalent experience
**What you are required to know:**
* We are an EEO employer.
* YOu may have to bend, sit or stand for prolonged periods of time, lift, pull, push and/or move up to 35 lbs.
* This is a full time (45\+ hours/week) salary exempt position.
* You may have to work evenings and/or weekends to assist with special events or emergencies.
* This role meets the material duties and responsibilities requirements set forth in IRS guidance to receive tax free tuition discount at Calvary Christian Academy (as applies).
**It would be incredible if:**
* You had expertise in ThinkMinistry’s Ministry Platform or any Church Management Systems for that matter.
**Work Schedule:**
Staff culture is important to what we do. To love like family, we require all staff to attend all staff meetings, department meetings and serve with a willing heart especially at all major campus events.
Full time (45\+ hours/week)</t>
        </is>
      </c>
    </row>
    <row r="23">
      <c r="A23" t="inlineStr">
        <is>
          <t>in-71576cb35c129264</t>
        </is>
      </c>
      <c r="B23" t="inlineStr">
        <is>
          <t>Software Engineer III - Perforce</t>
        </is>
      </c>
      <c r="C23" t="inlineStr">
        <is>
          <t>Electronic Arts</t>
        </is>
      </c>
      <c r="D23" t="inlineStr">
        <is>
          <t>indeed</t>
        </is>
      </c>
      <c r="E23" t="inlineStr"/>
      <c r="F23" t="inlineStr"/>
      <c r="G23" t="inlineStr">
        <is>
          <t>Redwood City, CA, US</t>
        </is>
      </c>
      <c r="H23" s="2" t="n">
        <v>46067</v>
      </c>
      <c r="I23" t="inlineStr">
        <is>
          <t>### **General Information**
**Locations**: Redwood City, California, United States of America
* Location: Redwood City
* State: California
* Country: United States of America
* Location: Vancouver
* State: British Columbia
* Country: Canada
* Location: Los Angeles \- Chatsworth
* State: California
* Country: United States of America
* Location: Kirkland
* State: Washington
* Country: United States of America
Role ID
211159
Worker Type
Regular Employee
Studio/Department
CT \- IT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 DevOps \&amp; Perforce (Game Creation)
======================================================
Join one of EA’s most critical teams supporting development for AAA games like Battlefield, FC, and Madden. Reporting to an engineering manager, you’ll help manage hundreds of Linux\-based servers across 20\+ environments and support a custom\-built .NET application that powers Perforce infrastructure at scale.
You’ll contribute across source control architecture, automation, CI/CD, hybrid infrastructure, user support, and log analysis. This role supports game teams directly, providing responsive service to developers, artists, and tools teams working on EA’s biggest franchises.
**What You’ll Do**
* Administer and scale Perforce Helix Core (commit/edge servers, replication, streams)
* Troubleshoot syncs, changelists, stream access, queues, and replication delays
* Support users of all technical levels with source control issues (p4 sync, p4 unlock, etc.)
* Analyze Perforce logs and infrastructure telemetry to resolve system issues
* Tune and maintain Linux servers across VM, bare metal, and cloud environments
* Automate systems using Ansible or similar tools (Terraform optional)
* Contribute to CI/CD pipelines for both internal tooling and game teams
* Build dashboards and alerts with KQL, Grafana, or similar observability tools
* Extend and maintain the .NET\-based Perforce management application
**Requirements**
* 5\+ years of Linux (tuning, mounting, troubleshooting, scripting)
* 3\+ years of DevOps automation with tools like Ansible, Terraform, or similar
* 3\+ years with client\-server source control systems (e.g., Perforce, ClearCase); Perforce preferred
* Strong understanding of source control commands and workflows(p4 sync, changelists, streams, queues)
* Experience analyzing logs and resolving infrastructure\-level issues
* Familiarity with VM, bare metal, and cloud infrastructure in scaled environments
* 2\+ years of .NET full stack (C\#, ASP.NET, HTML/JavaScript)
* Experience with CI/CD pipeline systems
* Proficiency with monitoring tools such as KQL, Grafana, or equivalent
* Must work PST hours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\*$119,600 \- $167,300 CAD
\* California (depending on location e.g. Los Angeles vs. San Francisco) \*$138,400 \- $211,700 USD
\* Washington (depending on location e.g. Seattle vs. Spokane) \*$129,500 \- $171,800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4">
      <c r="A24" t="inlineStr">
        <is>
          <t>in-eda2023bf1f05c64</t>
        </is>
      </c>
      <c r="B24" t="inlineStr">
        <is>
          <t>Senior Software Engineer, Platform</t>
        </is>
      </c>
      <c r="C24" t="inlineStr">
        <is>
          <t>Saildrone</t>
        </is>
      </c>
      <c r="D24" t="inlineStr">
        <is>
          <t>indeed</t>
        </is>
      </c>
      <c r="E24" t="inlineStr"/>
      <c r="F24" t="inlineStr"/>
      <c r="G24" t="inlineStr">
        <is>
          <t>Alameda, CA, US</t>
        </is>
      </c>
      <c r="H24" s="2" t="n">
        <v>46067</v>
      </c>
      <c r="I24" t="inlineStr">
        <is>
          <t>**About Us**
With more than 2 million nautical miles sailed and 50,000 days at sea, Saildrone has earned the trust of governments worldwide. Our unmanned surface vehicles (USVs) deliver continuous, real\-time intelligence in the toughest oceans on Earth—giving our partners faster awareness, stronger security, and a decisive edge at sea.
Our USVs are long\-range, extreme\-endurance platforms powered by advanced sensors and proprietary AI \- they have been designed to operate where no crewed vessel can. They collect critical insights above and below the surface to support border security, law enforcement, naval operations, and undersea infrastructure protection.
Headquartered in Alameda, CA, with offices in Washington, DC, and global deployment hubs, Saildrone operates missions worldwide. Join a fast\-moving, mission\-driven team at the intersection of AI, autonomy, and defense technology—where data turns into intelligence, and intelligence drives action.
 **The Role**
The Platform team manages the foundational systems that keep our fleet running and enable our customer deliverables. The team is responsible for customer\-facing APIs, authentication and authorization systems, automated drone configuration, fleet monitoring systems and much more! With our wide swath of ownership, this team is critical to the growth of our company, meaning your impact will be immediately felt.
As part of this role, you’ll take ownership of key systems, drive improvements to performance and reliability, and contribute to critical architectural discussions. We’re looking for an engineer who’s hands\-on, eager to build, and ready to collaborate across teams to deliver high\-impact features faster.
 **Required skills and experience**
* 5 years of professional software development experience
* BA/BS in related field or equivalent experience
* Proven ability to lead complex projects
* Strong expertise in Python and/or TypeScript.
* Fluency in code design patterns and their appropriate use cases.
* Experience with Event Driven and Microservice architectures
* Extensive experience with REST APIs, microservices, and cloud infrastructure (AWS, SNS/SQS, Lambda).
* Mastery of relational databases, ideally PostgreSQL.
 **Desired skills and experience**
* Proficiency with Linux/Unix environments
* Experience with infrastructure automation tools (ideally Ansible).
* Knowledge of Kubernetes and container orchestration
* Experience with authentication and authorization mechanisms (e.g. OAuth, OIDC, API Gateways)
* Experience with gRPC and Protobuf
* Familiarity with frameworks like Hapi (JavaScript), Django REST (Python), and FastAPI (Python).
 **Location**: This position is in Alameda, CA. Our waterfront office offers beautiful views of San Francisco Bay in always\-sunny Alameda.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**Benefits**:
* Paid time off, including vacation, bereavement, jury duty, sick time and parental leave
* Comprehensive and competitive medical, dental and vision plans, and HSA with employer matching.
* Company sponsored life insurance
* Stock Options
* Annual stipend for continued learning and development
* Quarterly company BBQs at our Alameda HQ (bring your friends and family!)
* Free Bay Area Public Transportation via AlamedaTMA with the BayPass Clipper Card
The salary range for this role is $176,400\-$214,200 annually.  
Individual compensation packages are based on geographic location, scope of the role, and relevant experience, among other factors.
Saildrone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\#LI\-Hybrid
Flexible work from home options available.</t>
        </is>
      </c>
    </row>
    <row r="25">
      <c r="A25" t="inlineStr">
        <is>
          <t>in-41f920f42d19758a</t>
        </is>
      </c>
      <c r="B25" t="inlineStr">
        <is>
          <t>Software Engineer I - Active TS/SCI w/poly clearance</t>
        </is>
      </c>
      <c r="C25" t="inlineStr">
        <is>
          <t>CyberTrend Engineering LLC</t>
        </is>
      </c>
      <c r="D25" t="inlineStr">
        <is>
          <t>indeed</t>
        </is>
      </c>
      <c r="E25" t="inlineStr"/>
      <c r="F25" t="inlineStr"/>
      <c r="G25" t="inlineStr">
        <is>
          <t>Annapolis Junction, MD, US</t>
        </is>
      </c>
      <c r="H25" s="2" t="n">
        <v>46066</v>
      </c>
      <c r="I25"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Seven (7\) years experience as a SE in programs and contracts of similar scope, type and complexity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Skills**
* Seven (7\) years of experience as a SE in programs and contracts of similar scope, type, and complexity is required.
* Strong interpersonal, communications and basic writing.
* Basic Linux skills required.
* This position is a hands\-on System Engineering/Signals Analysis position supporting a mission critical system. The candidate will be involved in all aspects of the system support, including requirements management, data management and analysis, system testing, and support to users.
* This position requires experience with modern communication networks and/or telephone engineering in addition to strong hands\-on engineering skills.
**Skills:**
* AI/ML development/integration experience
* Terraform experience with AWS
* C\+\+, Python, and/or Golang
* Experience with writing high\-performance / GPU enabled applications
* Experience with large\-scale streaming data analytics systems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6">
      <c r="A26" t="inlineStr">
        <is>
          <t>in-935fbe9f01c861eb</t>
        </is>
      </c>
      <c r="B26" t="inlineStr">
        <is>
          <t>Software Engineer 1 (Cloud/Analytics) - Active TS/SCI w/poly clearance</t>
        </is>
      </c>
      <c r="C26" t="inlineStr">
        <is>
          <t>CyberTrend Engineering LLC</t>
        </is>
      </c>
      <c r="D26" t="inlineStr">
        <is>
          <t>indeed</t>
        </is>
      </c>
      <c r="E26" t="inlineStr"/>
      <c r="F26" t="inlineStr"/>
      <c r="G26" t="inlineStr">
        <is>
          <t>Annapolis Junction, MD, US</t>
        </is>
      </c>
      <c r="H26" s="2" t="n">
        <v>46066</v>
      </c>
      <c r="I26"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**Discretionary Requirements**
* Cloud Experience: Shall have three (3\) years demonstrated work experience with distributed scalable Big Data Store (NoSQL) such as Hbase, CloudBase/Acumulo, Big Table, etc.;
* Shall have demonstrated work experience with the Map Reduce programming model and technologies such as Hadoop, Hive, Pig, etc.
* Shall have demonstrated work experience with the Hadoop Distributed File System (HDFS);
* Shall have demonstrated work experience with Serialization such as JSON and/or BSON
**Requirements:**
* Experience with Java, MapReduce, Cloud and Analytics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7">
      <c r="A27" t="inlineStr">
        <is>
          <t>in-4e39023ed4a995bd</t>
        </is>
      </c>
      <c r="B27" t="inlineStr">
        <is>
          <t>Software Engineer II (Cloud/Analytics) - Active TS/SCI w/poly clearance</t>
        </is>
      </c>
      <c r="C27" t="inlineStr">
        <is>
          <t>CyberTrend Engineering LLC</t>
        </is>
      </c>
      <c r="D27" t="inlineStr">
        <is>
          <t>indeed</t>
        </is>
      </c>
      <c r="E27" t="inlineStr"/>
      <c r="F27" t="inlineStr"/>
      <c r="G27" t="inlineStr">
        <is>
          <t>Annapolis Junction, MD, US</t>
        </is>
      </c>
      <c r="H27" s="2" t="n">
        <v>46066</v>
      </c>
      <c r="I27"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**Qualifications**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 Oversee one or more software development teams and ensure the work is completed in accordance with the constraints of the software development process being used on any particular project
* Design or implement complex algorithms requiring adherence to strict timing, system resource, or interface constraints; Perform quality control on team products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Implement recommendations for improving documentation and software development process standards
**Required Skills:**  
Experience w/ Go, Python, Terraform, and AWS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8">
      <c r="A28" t="inlineStr">
        <is>
          <t>in-27e8eac7747e6de9</t>
        </is>
      </c>
      <c r="B28" t="inlineStr">
        <is>
          <t>Software Engineer II - Active TS/SCI w/poly clearance</t>
        </is>
      </c>
      <c r="C28" t="inlineStr">
        <is>
          <t>CyberTrend Engineering LLC</t>
        </is>
      </c>
      <c r="D28" t="inlineStr">
        <is>
          <t>indeed</t>
        </is>
      </c>
      <c r="E28" t="inlineStr"/>
      <c r="F28" t="inlineStr"/>
      <c r="G28" t="inlineStr">
        <is>
          <t>Annapolis Junction, MD, US</t>
        </is>
      </c>
      <c r="H28" s="2" t="n">
        <v>46066</v>
      </c>
      <c r="I28"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**Discretionary Requirements**  
Cloud Experience: Shall have three (3\) years demonstrated work experience with distributed scalable Big Data Store (NoSQL) such as Hbase, CloudBase/Acumulo, Big Table, etc.; Shall have demonstrated work experience with the Map Reduce programming model and technologies such as Hadoop, Hive, Pig, etc.; Shall have demonstrated work experience with the Hadoop Distributed File System (HDFS); Shall have demonstrated work experience with Serialization such as JSON and/or BSON  
**Required Skills:**
* Cloud Analytics experience
* Map Reduce
* Java
* Spring Framework (Spring Boot)
* NiFi
* Atlassian Tools
* GitLab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9">
      <c r="A29" t="inlineStr">
        <is>
          <t>in-002f73914330b54c</t>
        </is>
      </c>
      <c r="B29" t="inlineStr">
        <is>
          <t>Software Engineer III - TS/SCI w/poly clearance</t>
        </is>
      </c>
      <c r="C29" t="inlineStr">
        <is>
          <t>CyberTrend Engineering LLC</t>
        </is>
      </c>
      <c r="D29" t="inlineStr">
        <is>
          <t>indeed</t>
        </is>
      </c>
      <c r="E29" t="inlineStr"/>
      <c r="F29" t="inlineStr"/>
      <c r="G29" t="inlineStr">
        <is>
          <t>Annapolis Junction, MD, US</t>
        </is>
      </c>
      <c r="H29" s="2" t="n">
        <v>46066</v>
      </c>
      <c r="I29"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**Requirements**:
* Linux Command Line Interface
* Microservices with Java and Spring
* Containerization technologies including Docker and containerd
* Container Orchestration with Kubernetes
* System monitoring tools with Grafana and Prometheus
* Git for version control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0">
      <c r="A30" t="inlineStr">
        <is>
          <t>in-f7493371576d8354</t>
        </is>
      </c>
      <c r="B30" t="inlineStr">
        <is>
          <t>Software Engineer II - Active TS/SCI w/poly clearance</t>
        </is>
      </c>
      <c r="C30" t="inlineStr">
        <is>
          <t>CyberTrend Engineering LLC</t>
        </is>
      </c>
      <c r="D30" t="inlineStr">
        <is>
          <t>indeed</t>
        </is>
      </c>
      <c r="E30" t="inlineStr"/>
      <c r="F30" t="inlineStr"/>
      <c r="G30" t="inlineStr">
        <is>
          <t>Annapolis Junction, MD, US</t>
        </is>
      </c>
      <c r="H30" s="2" t="n">
        <v>46066</v>
      </c>
      <c r="I30"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**Required Skills:**
* AI/ML development/integration experience
* Terraform experience with AWS
* C\+\+, Python, and/or Golang
* Experience with writing high\-performance / GPU enabled applications
* Experience with large\-scale streaming data analytics systems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1">
      <c r="A31" t="inlineStr">
        <is>
          <t>in-773433022552f4a8</t>
        </is>
      </c>
      <c r="B31" t="inlineStr">
        <is>
          <t>Software Engineer (C# .NET Core/SQL Server) - Digitech - Remote</t>
        </is>
      </c>
      <c r="C31" t="inlineStr">
        <is>
          <t>Sarnova HC, LLC</t>
        </is>
      </c>
      <c r="D31" t="inlineStr">
        <is>
          <t>indeed</t>
        </is>
      </c>
      <c r="E31" t="inlineStr"/>
      <c r="F31" t="inlineStr"/>
      <c r="G31" t="inlineStr">
        <is>
          <t>Remote, US</t>
        </is>
      </c>
      <c r="H31" s="2" t="n">
        <v>46066</v>
      </c>
      <c r="I31" t="inlineStr">
        <is>
          <t>Company Overview:
The Sarnova Family of companies includes Digitech Computer, Bound Tree Medical, Tri\-anim Health Services and Cardio Partners.
Digitech is a leading provider of advanced billing and technology services to the EMS transport industry. Digitech leverages its proprietary technology to offer fully outsourced services that maximize collections, protect compliance, and deliver results for clients.
Responsibilities and Qualifications:
**Job Summary:**  
This role focuses on designing, building, and supporting modern, scalable software solutions using C\#, .NET Core, and SQL Server. It includes contributing to new development efforts as well as enhancing and evolving existing systems, with an emphasis on performance, maintainability, and overall quality. The position is well‑suited for an engineer who thrives in a collaborative Agile environment, is interested in modern architectural approaches, and enjoys developing solutions that have a direct impact on the business. **Organizational Impact:**
This role contributes to the development of modern, scalable solutions that advance Digitech’s technology roadmap and support evolving business needs. By improving application performance, reliability, and maintainability, this position directly enhances operational efficiency and user experience. The engineer also supports ongoing modernization efforts and helps strengthen engineering best practices across the organization. **Key Responsibilities:*** Design, develop, and maintain backend services and applications using C\# and .NET Core
* Build and optimize SQL Server database objects, including tables, views, stored procedures, and indexes
* Develop and integrate APIs and backend services that support internal and external applications
* Participate in Agile/Scrum ceremonies, including sprint planning, daily standups, reviews, and retrospectives
* Perform code reviews to ensure adherence to coding standards, security best practices, and performance expectations
* Troubleshoot and resolve application defects, performance issues, and production incidents
* Collaborate with cross‑functional teams including Product, QA, DevOps, and Architecture
* Contribute to documentation, technical design discussions, and continuous improvement initiatives
* Support CI/CD pipelines and modern development practices using version control and automated testing
* Additional job duties as assigned
**Minimum Qualifications:*** Education: Bachelor’s degree in Computer Science or a closely related field
* 3–5 years of professional software engineer experience
* Strong hands‑on experience with C\#, .NET Core, and SQL Server
* Solid knowledge of object‑oriented programming, data structures, and design patterns
* Experience building or consuming APIs
* Familiarity with Agile development methodologies
* Strong analytical, debugging, and problem‑solving skills
* Ability to work independently while collaborating effectively within a team
* Ability to independently manage all aspects of the job role including required goals and business practices in a remote environment
**Travel Required:*** Up to 10%
**Physical Requirements:*** Ability to communicate effectively, including speaking and hearing.
* Ability to see and read, write, and interpret written information.
* Occasionally lift, move, and connect computer hardware and related equipment.
* Ability to travel as required for business purposes.
* Ability to handle and safeguard confidential information.
* Ability to perform job duties in a professional environment suitable for virtual video meetings.
Work environment characteristics described here are representative of those that must be met by an employee to successfully perform the essential function of this job. Reasonable accommodations may be made to enable individuals with disabilities to perform the essential functions. Continuous is defined as 6\-8 hours, frequently is defined as 3\-6 hours, and occasionally is defined as up to 3 hours.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  
\#digitech</t>
        </is>
      </c>
    </row>
    <row r="32">
      <c r="A32" t="inlineStr">
        <is>
          <t>in-14584de46c507f13</t>
        </is>
      </c>
      <c r="B32" t="inlineStr">
        <is>
          <t>Principal Software Engineer (CoreAI)</t>
        </is>
      </c>
      <c r="C32" t="inlineStr">
        <is>
          <t>Microsoft</t>
        </is>
      </c>
      <c r="D32" t="inlineStr">
        <is>
          <t>indeed</t>
        </is>
      </c>
      <c r="E32" t="inlineStr"/>
      <c r="F32" t="inlineStr"/>
      <c r="G32" t="inlineStr">
        <is>
          <t>Redmond, WA, US</t>
        </is>
      </c>
      <c r="H32" s="2" t="n">
        <v>46058</v>
      </c>
      <c r="I32"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Enterprise experience team owns an Azure Resource Provider which is responsible for building the foundation of Microsoft Foundry Platform, enabling businesses and developers to create their own AI Agent solutions. We deliver a high\-performance, reliable platform that meets strict enterprise requirements, including security, governance, and data isolation, while driving customer engagement through agent tools and capabilities.
In this role, you will design and develop platform services that power Microsoft Foundry's enterprise capabilities, including agent tooling frameworks, authentication flows, and control plane APIs. You will deliver advanced security features such as private networking, agent identity framework, customer\-managed keys for data encryption, and contribute to infrastructure reliability and live site operations.
At Microsoft, our mission is to empower every person and every organization on the planet to achieve more. We live this mission every day through a culture that embraces a growth mindset, values diverse perspectives, and encourages continuous learning. We believe in creating an environment where individuals bring their best selves to work, collaborate openly, and build technology that makes a meaningful impact. Join us and help shape the future of the world.
 **Responsibilities*** Define technical vision and drive strategic direction for Microsoft Foundry's enterprise platform
* Design and develop platform services including agent tooling frameworks, authentication flows, and control plane APIs
* Deliver unified APIs and advanced security features (private networking, data encryption, cache resiliency)
* Lead cross\-org collaboration with partner teams across Azure, M365, and Security to deliver end\-to\-end solutions
* Champion AI\-first development practices and serve as a role model for leveraging AI to accelerate innovation and productivity
* Drive livesite excellence through infrastructure reliability and operational excellence
 **Qualifications** **Required Qualifications:**
* Bachelor's Degree in Computer Science or related technical field AND 6\+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Strong advocate for AI\-first development with hands\-on experience leveraging AI tools to accelerate engineering productivity
* 6\+ years technical engineering experience designing and delivering highly available, large\-scale cloud services and distributed systems.
* 1\+ years of technical engineering experience with machine learning or Artificial Intelligence (AI) 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3">
      <c r="A33" t="inlineStr">
        <is>
          <t>in-41505281da4d1087</t>
        </is>
      </c>
      <c r="B33" t="inlineStr">
        <is>
          <t>Cyber Software Engineer (Embedded)</t>
        </is>
      </c>
      <c r="C33" t="inlineStr">
        <is>
          <t>Lockheed Martin</t>
        </is>
      </c>
      <c r="D33" t="inlineStr">
        <is>
          <t>indeed</t>
        </is>
      </c>
      <c r="E33" t="inlineStr"/>
      <c r="F33" t="inlineStr"/>
      <c r="G33" t="inlineStr">
        <is>
          <t>Orlando, FL, US</t>
        </is>
      </c>
      <c r="H33" s="2" t="n">
        <v>45998</v>
      </c>
      <c r="I33" t="inlineStr">
        <is>
          <t>**Job ID:** 692463BR
**Date posted:** Dec. 08, 2025
**Description:**  
You will be a Cyber Software Engineer in the Program Protection Organization. Our organization oversees all aspects of Anti\-Tamper and embedded Cybersecurity across Missiles and Fire Control. We are chartered with providing the skills and innovative technologies to develop, design, produce and sustain secure products across our Lines of Business.
**What You Will Be Doing**  
As the Cyber Software Engineer you will be responsible for supporting a broad range of challenges in a dynamic team environment and the ability to work with Cyber Exploitation Engineers, Cyber System Security Engineers and system engineers across Lockheed Martin MFC to develop new exploitation software tools, and maintain current capabilities. Your responsibilities will include:  
* Leverage your technical, and interpersonal skills in a structured team framework and work in a cross\-functional
engineering Team environment.  
* Employ a high level of productivity and responsiveness, especially for time\-critical requirements, with a team\-oriented approach to interface with team members.
* Support exploitation testing to improve integrity and security of weapon system environments.
* Support testing and related activities across a wide variety of platforms and technologies using advanced techniques and methodologies, such as embedded hardware, electronic warfare, radio frequency, etc.
**Why Join Us**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We offer flexible work schedules to comprehensive benefits investing in your future and security, Learn more about Lockheed Martin's comprehensive benefits package here.  
**Further Information About This Opportunity:**  
Location: Orlando, FL Discover Orlando.
Location: Dallas, TX Discover Dallas.
MUST BE A U.S. CITIZEN \- The selected candidate must be able to obtain a secret clearance. A company\-sponsored interim secret is required to start.  
\#mfccyberhotjobs  
\#mfcnews  
\#OneLMjob  
**Basic Qualifications:**  
\*Must be able to obtain and maintain a DoD Secret Security Clearance to be considered for this position\*  
Must have experience with:  
* High availability development, fault tolerance software and RMF compliance with Fortify
* Full lifecycle application development
* Designing, coding, and debugging applications in various software languages (C/C\+\+, Python, Shell Scripting)
* Supporting a broad range of challenges in a dynamic team environment and the ability to work with Cyber Exploitation Engineers, Cyber System Security Engineers and system engineers across Lockheed Martin Missiles and Fire Control to develop new exploitation software tools and maintain current capabilities
* Git
* Software analysis, code analysis, requirements analysis, software review, interface design
Additionally, must have:  
* Strong understanding of software development lifecycle
* Knowledge of development of Cybersecurity requirements
\*Must possess (or be able to obtain within six months of employment start date) a DoD 8570\.01\-M certification (Security\+, CISSP)\*  
**Desired Skills:**  
* Designing, development, documents, testing, and maintaining full spectrum cyber solutions
* Developing and automating secure systems to support cyber offensive, defense and full spectrum cyber operations
* Conducting vulnerability research, reverse engineering, penetration testing (red/blue teams)
* Developing and integrating low\-level firmware, and/or develops specialized cyber software solutions and tools based on mission requirements
* Embedded Systems knowledge to conduct research to evaluate potential vulnerabilities and develop new capabilities to exploit and/or mitigate vulnerabilities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Cyber Security Engineering  
**Type:** Full\-Time  
**Shift:** First</t>
        </is>
      </c>
    </row>
    <row r="34">
      <c r="A34" t="inlineStr">
        <is>
          <t>in-c5a7cfef1e147e22</t>
        </is>
      </c>
      <c r="B34" t="inlineStr">
        <is>
          <t>Cyber Software Engineer Sr (Embedded)</t>
        </is>
      </c>
      <c r="C34" t="inlineStr">
        <is>
          <t>Lockheed Martin</t>
        </is>
      </c>
      <c r="D34" t="inlineStr">
        <is>
          <t>indeed</t>
        </is>
      </c>
      <c r="E34" t="inlineStr"/>
      <c r="F34" t="inlineStr"/>
      <c r="G34" t="inlineStr">
        <is>
          <t>Grand Prairie, TX, US</t>
        </is>
      </c>
      <c r="H34" s="2" t="n">
        <v>45998</v>
      </c>
      <c r="I34" t="inlineStr">
        <is>
          <t>**Job ID:** 692462BR
**Date posted:** Dec. 08, 2025
**Description:**  
You will be a Cyber Software Engineer in the Program Protection Organization. Our organization oversees all aspects of Anti\-Tamper and embedded Cybersecurity across Missiles and Fire Control. We are chartered with providing the skills and innovative technologies to develop, design, produce and sustain secure products across our Lines of Business.
**What You Will Be Doing**  
As the Cyber Software Engineer you will be responsible for supporting a broad range of challenges in a dynamic team environment and the ability to work with Cyber Exploitation Engineers, Cyber System Security Engineers and system engineers across Lockheed Martin MFC to develop new exploitation software tools, and maintain current capabilities. Your responsibilities will include:  
* Leverage your technical, and interpersonal skills in a structured team framework and work in a cross\-functional
engineering Team environment.  
* Employ a high level of productivity and responsiveness, especially for time\-critical requirements, with a team\-oriented approach to interface with team members.
* Support exploitation testing to improve integrity and security of weapon system environments.
* Support testing and related activities across a wide variety of platforms and technologies using advanced techniques and methodologies, such as embedded hardware, electronic warfare, radio frequency, etc.
**Why Join Us**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We offer flexible work schedules to comprehensive benefits investing in your future and security, Learn more about Lockheed Martin's comprehensive benefits package here.  
**Further Information About This Opportunity:**  
Location: Orlando, FL Discover Orlando.
Location: Dallas, TX Discover Dallas.
MUST BE A U.S. CITIZEN \- The selected candidate must be able to obtain a secret clearance. A company\-sponsored interim secret is required to start.  
\#mfccyberhotjobs  
\#mfcnews  
\#OneLMjob  
**Basic Qualifications:**  
\*Must be able to obtain and maintain a DoD Secret Security Clearance to be considered for this position\*  
Must have experience with:  
* High availability development, fault tolerance software and RMF compliance with Fortify
* Full lifecycle application development
* Designing, coding, and debugging applications in various software languages (C/C\+\+, Python, Shell Scripting)
* Supporting a broad range of challenges in a dynamic team environment and the ability to work with Cyber Exploitation Engineers, Cyber System Security Engineers and system engineers across Lockheed Martin Missiles and Fire Control to develop new exploitation software tools and maintain current capabilities
* Git
* Software analysis, code analysis, requirements analysis, software review, interface design
Additionally, must have:  
* Strong understanding of software development lifecycle
* Knowledge of development of Cybersecurity requirements
\*Must possess (or be able to obtain within six months of employment start date) a DoD 8570\.01\-M certification (Security\+, CISSP)\*  
**Desired Skills:**  
* Designing, development, documents, testing, and maintaining full spectrum cyber solutions
* Developing and automating secure systems to support cyber offensive, defense and full spectrum cyber operations
* Conducting vulnerability research, reverse engineering, penetration testing (red/blue teams)
* Developing and integrating low\-level firmware, and/or develops specialized cyber software solutions and tools based on mission requirements
* Embedded Systems knowledge to conduct research to evaluate potential vulnerabilities and develop new capabilities to exploit and/or mitigate vulnerabilities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Cyber Security Engineering  
**Type:** Full\-Time  
**Shift:** First</t>
        </is>
      </c>
    </row>
    <row r="35">
      <c r="A35" t="inlineStr">
        <is>
          <t>in-4a07bdb6b15904db</t>
        </is>
      </c>
      <c r="B35" t="inlineStr">
        <is>
          <t>Software Engineer, Engine Team</t>
        </is>
      </c>
      <c r="C35" t="inlineStr">
        <is>
          <t>ObservePoint</t>
        </is>
      </c>
      <c r="D35" t="inlineStr">
        <is>
          <t>indeed</t>
        </is>
      </c>
      <c r="E35" t="inlineStr"/>
      <c r="F35" t="inlineStr"/>
      <c r="G35" t="inlineStr">
        <is>
          <t>Pleasant Grove, UT, US</t>
        </is>
      </c>
      <c r="H35" s="2" t="n">
        <v>45384</v>
      </c>
      <c r="I35" t="inlineStr">
        <is>
          <t>Software Engineer, Engine Team
Engineering – Pleasant Grove, Utah
**Position Title**: Software Engineer, Engine Team
**Status**: Full Time (partial remote)
**Location**: ObservePoint Office – Pleasant Grove, UT
**Department**: Engineering
**About ObservePoint**  
At ObservePoint we have core values that guide us:
**INNOVATIVE** We continually explore \&amp; exploit new ideas
**HUMBLE** We acknowledge our need to grow individually and collectively
 **SCRAPPY** We deliver great solutions with less
 **FRIENDS** We value our relationships and the time we spend together
As a company we have identified six cultural beliefs each of us need to believe in order to reach our key results. These beliefs are:
**CUSTOMER OBSESSED** I strive to understand and solve our customer’s problems.
**DELIVER PRODUCT** I ensure we deliver world\-class product.
**TAKE ACCOUNTABILITY** I continually ask “what else can I do to achieve results?” and I refuse to blame others.
**CREATE ALIGNMENT** I align my daily work with company priorities in order to move fast.
**CHOOSE OPTIMISM** I choose optimism and celebrate meaningful achievement wherever I see it.
**WIN TOGETHER** I deliver results with agility and grit, so WE WIN TOGETHER!
 **What we do**
Our mission is to help users govern their websites. We provide an automated platform that scans millions of web pages every day to perform deep analysis and validation of the world’s highest traffic websites.
Have you ever browsed a website only to find broken links, unexpected trackers, questionable privacy behavior, or slow pages? At ObservePoint, we make it our business to find these problems and report them to our customers, so they can deliver an excellent web experience for their users.
Who are our customers? Hundreds of the biggest brands in the world: Adobe, Asics, HP Enterprise, Pepsico, Texas Instruments, and US Bank (just to name a few).
 **ObservePoint Engineering**
We are a small team of engineers who love the web. We are fans of continuous deployment, serverless architecture, automation, and modern technologies.
Our product is powered by a distributed system that collects and stores terabytes of data. Our code runs on Docker, powered by AWS ECS and Lambda. Our data is stored in Snowflake and MySQL. We use Redis for caching and SQS for queueing. We have other technologies too, but we are actively moving to the aforementioned technologies.
We believe in resolving technical debt while also building new features. We have a supportive and skilled product team who has deep technical expertise.
At ObservePoint, we invest in our people. Engineers can attend conferences, participate in hackathons, and receive subscriptions to developer tools like GitHub Copilot and ChatGPT.
**Hybrid Remote**
We work in a hybrid remote and in\-person environment. On Wednesdays, we ask engineering team members to work in person and enjoy the provided lunch at our Pleasant Grove office. This arrangement gives us a good blend of in\-person collaboration time and deep, uninterrupted work time. We believe both are important for engineering teams to do their best work.
**Engine Team**
The engine team is responsible for the core technology that crawls websites and does deep web page inspection to collect information from millions of pages every day. This technology consists of services written in TypeScript, Java, and Kotlin which work together to coordinate web scanning. This team also owns the services that scale our engine code up to hundreds of concurrent containers on demand. We ship new code to production most days of the week and believe in automated monitoring. You may have heard about DevOps culture, but at ObservePoint, you’ll live it.
We stay up to date with the latest web technologies so we can implement new features in our engines as the web evolves.
**Qualifications**
* Computer science degree or equivalent experience. Much of our work requires experience reasoning about scaling, algorithms, distributed systems, and data structures. Given our high volume, the wrong decision can result in very high costs.
* Web platform knowledge. You should be familiar with HTTP, the browser DOM, cookies, and the Chrome network inspector. This is a back\-end role, but our engine code scans websites, so the ideal candidate will have some browser\-based front\-end development experience as well.
* The ability to collaborate with product management and other engineers. Often, this team educates the rest of the company on important web concepts. So we want people who are excited about working with people from a variety of roles, not only fellow engineers.
* Willingness to make commitments and deliver them. We believe in giving engineers the freedom to determine their own schedules, and then holding ourselves accountable to deliver on those commitments.
* Strong written and verbal communication skills. Half of our team members are located in Europe. Effective written communication is key to spanning time zones. We believe that the best engineering work comes from clear writing.
**Preferred Experience**
* Experience with TypeScript (on NodeJS) and Java. We prefer to hire people who love learning new languages and technologies. If you have experience with multiple languages, and you want to learn something new, this is a good place to do that.
* 2\+ years of experience building distributed systems. AWS experience is a plus, but we care more about your ability to learn new technologies than a list of specific technologies.
* A love of process improvement. If you enjoy helping your teammates be more efficient through automation and building tools, you’ll fit in great here.
* Desire to work in scrum, and open to process changes as we learn and grow together.
* Experience with continuous deployment. We trust our developers to ship code to production every day. You ship it, you own it. We don’t believe in tossing code “over the fence” for someone else to operate.
* Experience with Infrastructure as Code. We use Terraform and Cloud Formation, but we love learning from people with other experiences.
* Experience developing code that runs in Docker. Docker is great, but it’s a different paradigm when your code needs to be interruptible and auto\-scalable.
* Experience with distributed queueing systems. Distributed queues are the backbone of our architecture. We move millions of messages every day between our many services.
* Experience developing Chrome extensions.</t>
        </is>
      </c>
    </row>
    <row r="36">
      <c r="A36" t="inlineStr">
        <is>
          <t>in-d12ad6b05a9e2a11</t>
        </is>
      </c>
      <c r="B36" t="inlineStr">
        <is>
          <t>iOS Software Engineer - Generative AI Health</t>
        </is>
      </c>
      <c r="C36" t="inlineStr">
        <is>
          <t>Apple</t>
        </is>
      </c>
      <c r="D36" t="inlineStr">
        <is>
          <t>indeed</t>
        </is>
      </c>
      <c r="E36" t="inlineStr"/>
      <c r="F36" t="inlineStr"/>
      <c r="G36" t="inlineStr">
        <is>
          <t>Cupertino, CA, US</t>
        </is>
      </c>
      <c r="H36" s="2" t="n">
        <v>46067</v>
      </c>
      <c r="I36" t="inlineStr">
        <is>
          <t>The Health Personalization team builds outstanding technologies to support AI\-driven health experiences that provide our users with understandable, actionable information about their health and wellbeing, and support them to achieve their health and wellness goals. As part of the larger Sensor Software \&amp; Prototyping team, we take a multimodal approach using a variety of sensors and user data signals across hardware platforms, such as camera, wearables, and natural language user input. We are committed to building deeply personal features that understand, anticipate, and adapt to users’ behaviors and uphold Apple’s deep commitment to privacy as a fundamental human right. Our team values expertise, innovation, and inclusivity. Come join us!  
**Description**  
We are looking to hire an iOS Software Engineer in Generative AI for Health with deep software engineering expertise and a proven record shipping machine learning features. You’ll have the opportunity to work in a fast\-growing team of highly skilled scientists and engineers to develop generative systems that achieve the highest levels of quality, reliability and alignment with human intent. This position requires a self\-motivated engineer with strong technical and interpersonal skills. You should have a strong interest in health and wellness products, if not experience contributing to them directly.  
**Preferred Qualifications**  
Curiosity about new technologies, a flexible mindset, and interest in contributing to product definition  
Experience or strong interest in building consumer digital health and wellness products  
Strong communication and interpersonal skills, and experience collaborating with AI / ML Scientists and Engineers  
Experience with privacy\-preserving technologies is a plus  
Knowledge of AI / ML fundamentals, large language models, or hands\-on experience with training and evaluation is a plus  
**Minimum Qualifications**  
MS or PhD or equivalent experience in Computer Science or similar field  
5\+ years of iOS development experience including deep knowledge of Swift and experience with iOS frameworks like Swift Data, Core ML, and Foundation Models  
Hands\-on experience developing AI / machine learning\-based products, and integrating AI/ML models within complex software systems  
Experience developing prototypes and demos to support feature definition and ideation, early data collections, and algorithm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7">
      <c r="A37" t="inlineStr">
        <is>
          <t>in-ae1c802911fc4312</t>
        </is>
      </c>
      <c r="B37" t="inlineStr">
        <is>
          <t>iOS Software Engineer - Generative AI Health</t>
        </is>
      </c>
      <c r="C37" t="inlineStr">
        <is>
          <t>Apple</t>
        </is>
      </c>
      <c r="D37" t="inlineStr">
        <is>
          <t>indeed</t>
        </is>
      </c>
      <c r="E37" t="inlineStr"/>
      <c r="F37" t="inlineStr"/>
      <c r="G37" t="inlineStr">
        <is>
          <t>Cupertino, CA, US</t>
        </is>
      </c>
      <c r="H37" s="2" t="n">
        <v>46067</v>
      </c>
      <c r="I37" t="inlineStr">
        <is>
          <t>The Health Personalization team builds outstanding technologies to support AI\-driven health experiences that provide our users with understandable, actionable information about their health and wellbeing, and support them to achieve their health and wellness goals. As part of the larger Sensor Software \&amp; Prototyping team, we take a multimodal approach using a variety of sensors and user data signals across hardware platforms, such as camera, wearables, and natural language user input. We are committed to building deeply personal features that understand, anticipate, and adapt to users’ behaviors and uphold Apple’s deep commitment to privacy as a fundamental human right. Our team values expertise, innovation, and inclusivity. Come join us!  
**Description**  
We are looking to hire an iOS Software Engineer in Generative AI for Health with deep software engineering expertise and a proven record shipping machine learning features. You’ll have the opportunity to work in a fast\-growing team of highly skilled scientists and engineers to develop generative systems that achieve the highest levels of quality, reliability and alignment with human intent. This position requires a self\-motivated engineer with strong technical and interpersonal skills. You should have a strong interest in health and wellness products, if not experience contributing to them directly.  
**Preferred Qualifications**  
Curiosity about new technologies, a flexible mindset, and interest in contributing to product definition  
Experience or strong interest in building consumer digital health and wellness products  
Strong communication and interpersonal skills, and experience collaborating with AI / ML Scientists and Engineers  
Experience with privacy\-preserving technologies is a plus  
Knowledge of AI / ML fundamentals, large language models, or hands\-on experience with training and evaluation is a plus  
**Minimum Qualifications**  
MS or PhD or equivalent experience in Computer Science or similar field  
5\+ years of iOS development experience including deep knowledge of Swift and experience with iOS frameworks like Swift Data, Core ML, and Foundation Models  
Hands\-on experience developing AI / machine learning\-based products, and integrating AI/ML models within complex software systems  
Experience developing prototypes and demos to support feature definition and ideation, early data collections, and algorithm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8">
      <c r="A38" t="inlineStr">
        <is>
          <t>in-582cd80053eafeb2</t>
        </is>
      </c>
      <c r="B38" t="inlineStr">
        <is>
          <t>Software Engineer (DC Metro, hybrid)</t>
        </is>
      </c>
      <c r="C38" t="inlineStr">
        <is>
          <t>Innovative Technologies Corporation</t>
        </is>
      </c>
      <c r="D38" t="inlineStr">
        <is>
          <t>indeed</t>
        </is>
      </c>
      <c r="E38" t="inlineStr"/>
      <c r="F38" t="inlineStr"/>
      <c r="G38" t="inlineStr">
        <is>
          <t>Pentagon, DC, US</t>
        </is>
      </c>
      <c r="H38" s="2" t="n">
        <v>46068</v>
      </c>
      <c r="I38" t="inlineStr">
        <is>
          <t>Innovative Technologies Corporation (ITC) is seeking an experienced Software Engineer in the DC Metropolitan Area to support a proposal we are bidding on. We estimate the award will be made in August/September 2026\.
The Software Engineer (SMTS I) is providing advanced software development and analytical tool design support to SAF/SQ’s modeling and simulation team and Analytic Center of Excellence across the National Security Space enterprise. The position develops tailored software tools to assess Space Control/Protection, Communications and Relay, ISR, weather, and PNT issues; implements analytic methodologies in languages including MATLAB, VBA, C/C\+\+, and Java; and integrates satellite orbital data to evaluate capability, vulnerability, resiliency, capacity, and mission effectiveness of future space architectures. The role collaborates with analysts to translate requirements into executable code and actionable visualizations for senior DoD decision\-makers, delivering quantitative products under tight timelines.
**Required Clearance Level:**
TS//SCI.
**Required Qualifications**
· Bachelor’s Degree or Equivalent, plus 10\-15 yrs applicable experience in Computer Science or an Engineering, Scientific, Analysis field related to National Security Space (NSS).
· 10\+ years’ experience in software development related to National Security.
· Self\-starter and flexibility to code and debug in several programming languages to include MATLAB, Visual Basic for Applications, C/C\+\+ and Java.
· Ability to take customer requirements and translate them into software products, build analysis tools from the ground up and effectively display information to senior decision makers.
· Demonstrated ability to plan, organize, lead and execute studies or projects, work on tight timelines to deliver analysis products to executive members of the DoD.
· Interpersonal, organizational, oral presentation, executive writing and software documentation skills.
· Ability to proliferate tools and functionality across multiple domains and disparate systems.
· Expertise in oral and written English communications skills.
· Advanced skills in the Microsoft Office environment is essential (Word, PowerPoint, Excel, Teams, SharePoint).
**Desired Qualifications**
· Master’s Degree in Computer Science, Software Engineering, Systems Engineering or related field.
· MCSD, MCTA, or other development certification.
· 5\+ years’ experience in or directly supporting NSS software development projects.
· Experience with national security space enterprise, to include basic astrodynamics and orbitology.
· Experience with statistics, game theory, genetic algorithms, and optimization problems.
· Experience developing software to enable custom hardware/software prototypes.
· Experience with campaign modeling and planning, multi\-domain warfare analysis.
· Certification in AGI’s Systems Tool Kit software and experience with ExtendSim.
**Key Responsibilities**
· Develop unique, tailored software analysis tools to assess a wide range of national security space issues to including Space Control/Protection, Communications and Relay, ISR, weather, and PNT.
· Implement software code for analytic methodologies used by the modeling and simulation team, and the Analytic Center of Excellence within the SAF/SQ Staff.
· Collaborate with analysts to find useful ways to display results, and adapt software tools to show results that will be actionable by senior executive decision makers within the Department of Defense.
· Use satellite orbital information to show capability and vulnerability for future space architectures.
· Implement quantitative metrics for resiliency, capacity, and mission satisfaction of space systems and their contribution to supporting Combatant Commanders and end users.
**About ITC**
Innovative Technologies Corporation (ITC) offers challenging but rewarding opportunities for those who want to provide a great experience for the customer and strive to reach their professional goals. As a member of ITC, you will be working alongside people providing innovative solutions to our government customers. Our success is built on integrity, loyalty, and trust. ITC has a commitment to provide the right people for the job, right when they are needed.
**Compensation \&amp; Benefits**
The Salary for this contingent hire position is negotiable based on experience and includes medical/dental/vision benefits, 15 days PTO and 7 days sick time; other benefits available.
This is a contingent position for a proposal we are bidding on (published 13 Feb 2026\).
**Key Words**
Software Engineer, SAF/SQ, Pentagon, National Security Space, DoD, TS/SCI, engineer, software
Pay: $100,000\.00 \- $175,000\.00 per year
Benefits:
* 401(k)
* 401(k) matching
* Dental insurance
* Employee assistance program
* Flexible schedule
* Flexible spending account
* Health insurance
* Health savings account
* Life insurance
* Paid time off
* Professional development assistance
* Referral program
* Tuition reimbursement
* Vision insurance
People with a criminal record are encouraged to apply
Application Question(s):
* As this is a senior\-level Key Personnel role, please provide your expected annual salary range. Responses without a stated range may not be considered.
Education:
* Bachelor's (Required)
Experience:
* DoD Software Development: 10 years (Required)
* developing Space, defense, or mission planning SW systems : 10 years (Required)
Security clearance:
* Top Secret (Required)
Work Location: Hybrid remote in Pentagon, DC 20050</t>
        </is>
      </c>
    </row>
    <row r="39">
      <c r="A39" t="inlineStr">
        <is>
          <t>in-ce1b8099cfd02a30</t>
        </is>
      </c>
      <c r="B39" t="inlineStr">
        <is>
          <t>Senior Software Engineer, Networking</t>
        </is>
      </c>
      <c r="C39" t="inlineStr">
        <is>
          <t>NVIDIA</t>
        </is>
      </c>
      <c r="D39" t="inlineStr">
        <is>
          <t>indeed</t>
        </is>
      </c>
      <c r="E39" t="inlineStr"/>
      <c r="F39" t="inlineStr"/>
      <c r="G39" t="inlineStr">
        <is>
          <t>Santa Clara, CA, US</t>
        </is>
      </c>
      <c r="H39" s="2" t="n">
        <v>46067</v>
      </c>
      <c r="I39" t="inlineStr">
        <is>
          <t>NVIDIA is looking for an experienced SW Engineer with desire and ability to contribute and lead cutting edge Network Management Systems of most powerful super\-computers in the world. Our team is growing, and we are looking for hardworking and self\-motivated engineers to lead building of advanced, high scale SDN management solutions. You will be part of a dynamic team, working with amazing people. This crucial role will give you a rare opportunity to craft and deliver a new class of Data Center NMX product line.
What you'll be doing:* The team develops infrastructure for controlling, monitoring and gathering telemetry from production environments, running on the world’s largest supercomputers and datacenters.
* You will take leading role in software development and will serve as the primary technical point of contact for R\&amp;D and Field teams to resolve immediate infrastructure and integration blockers
* The work environment is dynamic and challenging; we are innovating and inventing software products at the forefront of technology in terms of performance, scalability, and features.
What we need to see:* B.Sc. or equivalent experience in computer science / software engineering.
* 6 years’ experience in Programming in Python and C/C\+\+.
* 3 years’ experience in Linux environment and tools.
* Deep knowledge of Networking Protocols including InfiniBand and Ethernet.
* Expert knowledge in computer architecture and operating systems.
* Excellent English verbal and written communication skills
Ways to stand out from the crowd:* You have positive attitude and work well with others.
* Demonstrated use of creative ideas, providing solutions to challenging problems.
NVIDIA has continuously reinvented itself over two decades. NVIDIA’s invention of the GPU in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This is our life’s work — to amplify human imagination and intelligence.
With highly competitive salaries and a comprehensive benefits package, NVIDIA is widely considered to be one of the technology world’s most desirable employers. We have some of the most brilliant and talented people in the world working for us and, due to extraordinary growth, our elite engineering teams are growing fast. If you're a creative and autonomous manager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0">
      <c r="A40" t="inlineStr">
        <is>
          <t>in-c1b323d3b41363d9</t>
        </is>
      </c>
      <c r="B40" t="inlineStr">
        <is>
          <t>Senior Software Engineer, Map Tooling - Autonomous Vehicles</t>
        </is>
      </c>
      <c r="C40" t="inlineStr">
        <is>
          <t>NVIDIA</t>
        </is>
      </c>
      <c r="D40" t="inlineStr">
        <is>
          <t>indeed</t>
        </is>
      </c>
      <c r="E40" t="inlineStr"/>
      <c r="F40" t="inlineStr"/>
      <c r="G40" t="inlineStr">
        <is>
          <t>Santa Clara, CA, US</t>
        </is>
      </c>
      <c r="H40" s="2" t="n">
        <v>46067</v>
      </c>
      <c r="I40" t="inlineStr">
        <is>
          <t>We are looking for a Senior Software Engineer for our Autonomous Vehicle efforts within the Mapping application and engineering team. The team has a variety of responsibilities, including developing visualization tools for map data, implementing distributed pipelines for large scale data processing, applying advanced deep learning models and math algorithms to automatically produce the highest quality maps for self\-driving cars.
We operate in a fast\-paced and highly agile fashion and seek the best engineers passionate about solving problems with a strong background in software development and system design. Are you interested in building future technologies to create and serve HD/SD maps to millions of self\-driving cars across the globe? If so, join us!
What You'll Be Doing:* Work on web applications to fulfill the requirements of our engineering team and customers, implement new functionalities and write solid tests.
* Web frontend development. Implement 2D/3D visualization/editing of vector and raster map data.
* Backend development. Implement the endpoints responsible to power data to your app, benchmark/optimize data loading strategy, make sure a fluent user experience.
* Collaborating with other engineering teams within Nvidia mapping including algorithms, client and validation. Supporting operations of mapping services.
What We Need To See:* BS/BA degree in Computer Science or Electrical Engineering, related technical field or equivalent experience
* 8\+ Web development experience and fluency in Javascript/Typescript.
* Working knowledge in interactive data visualization technology, including but not limited to Computer Graphics, OpenGL, webGL.
* Good understanding of Linux, networking and service deployment.
* Creative, autonomous. Good analytical and problem\-solving skills.
* Good communication and analytical skills with ability to work with multiple teams and priorities
Ways To Stand Out From The Crowd:* Prior knowledge/experience in the autonomous driving mapping industry.
* Familiarity with React (hooks, routing, state management) or similar frontend frameworks
* Knowledge of GLSL shader programming for custom visual effects
* Experience with rendering graphics on web standards (canvas, SVG or WebGL)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1">
      <c r="A41" t="inlineStr">
        <is>
          <t>in-c2539eaa533aabf6</t>
        </is>
      </c>
      <c r="B41" t="inlineStr">
        <is>
          <t>Senior Full Stack Engineer - Autonomous Vehicles</t>
        </is>
      </c>
      <c r="C41" t="inlineStr">
        <is>
          <t>NVIDIA</t>
        </is>
      </c>
      <c r="D41" t="inlineStr">
        <is>
          <t>indeed</t>
        </is>
      </c>
      <c r="E41" t="inlineStr"/>
      <c r="F41" t="inlineStr"/>
      <c r="G41" t="inlineStr">
        <is>
          <t>Santa Clara, CA, US</t>
        </is>
      </c>
      <c r="H41" s="2" t="n">
        <v>46067</v>
      </c>
      <c r="I41" t="inlineStr">
        <is>
          <t>We are looking for a highly motivated Full\-stack applications engineer to join a team laser focused on building globally scaled HD mapping solutions. We provide survey level HD Mapping and Localization services for the NVIDIA DRIVE® platform. We are looking for senior software engineers with a strong passion in the self\-driving car industry and experiences in mapping, and 3D data visualization!
What you will be doing:* Design, develop, and maintain modern , scalable and efficient tools to visualize and edit HD maps using React, TypeScript, and modern JavaScript frameworks
* Collaborate with product designers and backend engineers to build clean, efficient, and user\-friendly features.
* Process the mapping data into formats that can be consumed by downstream customers, such as NDS/OpenDrive.
* Participate in code reviews, architecture discussions, and continuous improvements to the development process.
* Contribute to build automation, deployment pipelines, and DevOps tools as needed
What we need to see:* Bachelor's or Master's degree in Computer Science, Software Engineering, Robotics, GIS or a related field (or equivalent experience)
* Solid understanding of REST web services and API integration
* 8\+ years of proven experience in software development for mapping, GIS, simulation or related fields, with a focus on 3D visualization tooling skills for HD maps.
* Strong proficiency in programming languages such as C\+\+, Javascript, React, TypeScript. Java
* Strong debugging, performance profiling, and problem\-solving skills
* Knowledge of GitLab CI/CD pipelines or similar automation tools
Ways to stand out from the crowd:* In\-depth knowledge of Computer Graphics, Computational Geometry, GPU rendering techniques, libraries, and frameworks, such as OpenGL, WebGL, or Unity3D.
* Solid background in mathematics, working knowledge of computer graphics and computational geometry.
* Working experience with one or more HD map formats: NDS, OpenDrive, Apollo, LaneLet, OSM.
* Experience with Golang for backend or service development
* Understanding of containerization (Docker) and orchestration (Kubernetes) as well as familiarity with Bazel or similar build systems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2">
      <c r="A42" t="inlineStr">
        <is>
          <t>in-e7c69401520d12a2</t>
        </is>
      </c>
      <c r="B42" t="inlineStr">
        <is>
          <t>Senior Data Backend Engineer</t>
        </is>
      </c>
      <c r="C42" t="inlineStr">
        <is>
          <t>NVIDIA</t>
        </is>
      </c>
      <c r="D42" t="inlineStr">
        <is>
          <t>indeed</t>
        </is>
      </c>
      <c r="E42" t="inlineStr"/>
      <c r="F42" t="inlineStr"/>
      <c r="G42" t="inlineStr">
        <is>
          <t>OR, US</t>
        </is>
      </c>
      <c r="H42" s="2" t="n">
        <v>46067</v>
      </c>
      <c r="I42" t="inlineStr">
        <is>
          <t>NVIDIA is a global leader in high\-speed computer vision, artificial intelligence (AI), and deep learning. Our team develops data engineering solutions that empower AI developers in autonomous vehicle (AV) domains to innovate quickly and effectively at scale. Are you ready to take on a senior technical role in building high\-performance AI data pipelines? We seek an exceptional individual to design and optimize microservices and data pipelines to process massive volumes of AV data and enable seamless data mining and AI training. The ideal candidate will bring expertise in big data processing and distributed computing to create efficient solutions and overarching architectures for challenges such as video data curation, behavioral search, and AI dataset management.
What you'll be doing:* Scope and build tools, microservices, workflows, and distributed applications to accelerate data mining and AI training.
* Design and implement solutions for streaming, resilience, logging, security, authentication, workflow orchestration, and data management.
* Deploy AI models.
* Design and develop Retrieval\-Augmented Generation (RAG) workflows enabling hybrid and agentic patterns.
* Analyze and operationalize complex distributed systems for speed\-of\-light performance.
What we need to see:* Master’s degree in Computer Science \| Electrical Engineering (or equivalent experience).
* 8\+ years of experience developing high\-performance, scalable software systems.
* Strong programming skills in Python or Golang
* Proficiency in key technologies like Kubernetes, Helm, Hive, Parquet, SQL, vector databases, e.g., Milvus.
* Strong architectural skills with a proactive, problem\-solving mentality.
* Experience in data mining \| AI development
* Experience building ETL pipelines and working with big data engines.
* Exceptional collaboration skills to work with system software and AI expert teams.
* Eagerness to learn and adopt new technologies such as NVIDIA RAPIDS.
Ways to Stand Out from the Crowd:* Prior experience with large\-scale real\-time streaming, augmented reality, or data curation.
* Prior background with Spark.
* Exposure to the latest advances in AI, including Large Language Models, Vision\-Language Models, and Retrieval\-Augmented Generation (RAGs).
* Innovative results, including patents, publications, or open source contributions.
Your base salary will be determined based on your location, experience, and the pay of employees in similar positions. The base salary range is 184,000 USD \- 287,500 USD.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3">
      <c r="A43" t="inlineStr">
        <is>
          <t>in-9b6a5ad5cf71b669</t>
        </is>
      </c>
      <c r="B43" t="inlineStr">
        <is>
          <t>System Software Engineer, Distributed Systems</t>
        </is>
      </c>
      <c r="C43" t="inlineStr">
        <is>
          <t>NVIDIA</t>
        </is>
      </c>
      <c r="D43" t="inlineStr">
        <is>
          <t>indeed</t>
        </is>
      </c>
      <c r="E43" t="inlineStr"/>
      <c r="F43" t="inlineStr"/>
      <c r="G43" t="inlineStr">
        <is>
          <t>Santa Clara, CA, US</t>
        </is>
      </c>
      <c r="H43" s="2" t="n">
        <v>46067</v>
      </c>
      <c r="I4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The VLSI Productivity and Infrastructure team supports 1000\+ chip design engineers by building tools and platforms that supercharge their everyday work. Our mission: make chip designers faster. We build and operate long shelf\-life systems spanning build automation, observability, analytics, automated error detection/remediation, and codebase modernization—with a strong commitment to stability. Our core workflow infrastructure runs as userspace software on bare\-metal Linux hosts (no sudo, no containers). We coordinate shared state and artifacts via NFS, launch long\-running, compute\-heavy workflows on IBM LSF, and provide adjacent services for APIs and observability. This is a high\-ownership environment where you'll often be the expert on what you build. We are looking for a pragmatic and versatile systems engineer who enjoys working near the metal and building tools that empower other engineers. This is a generalist role with an emphasis on distributed systems and operational excellence in a “below containers” world: coordination, reliability, performance, and safe evolution of legacy systems (including incremental modernization of large codebases into Go). This isn't a CI/CD pipeline configuration role; you will be writing the userspace software that manages state, concurrency, and reliability at scale.
What you will be doing:* Design, build, and deliver core components of our next\-generation productivity platforms
* Develop reliable userspace infrastructure for long\-running engineering workflows at scale on bare\-metal Linux hosts
* Build state coordination over NFS (atomicity, idempotency/dedup, partial\-write recovery, without privileged ops)
* Build and improve orchestration around IBM LSF (submission/tracking, retries/cancel, log capture, fairness/backpressure)
* Convert legacy codebases into modern powerhouses using incremental migration techniques (e.g., Perl to Go), with stage gates, parity strategies, and strong observability
* Debug and improve performance and reliability across Linux and Kubernetes, including operational tooling
* Collaborate with engineering users to turn ambiguous workflows into durable production systems
What we need to see:* B.S. CS/EE (or equivalent experience)
* 5\+ years developing and operating production software in Go and/or Python, ideally in large codebases
* Strong Linux fundamentals: processes, filesystems, permissions, synchronization/locks, concurrency, and debugging
* Solid distributed\-systems thinking: failures, retries/timeouts, backoff, idempotency, and operational rigor
* Experience building long\-runtime automation or services on shared compute clusters (batch schedulers, build systems)
* Ability to translate ambitious, high\-level goals into a safe delivery plan (instrumentation, staged rollout, measurable outcomes)
Ways to stand out from the crowd:* Hands\-on experience with shared filesystems at scale (NFS), or coordination patterns on eventually\-consistent storage
* Experience with batch job scheduling, shared compute fleets, or build systems
* Track record of incremental modernization (tests, shadow runs, canaries, rollback plans)
* Experience partitioning/optimizing metadata\-heavy systems and reducing I/O or R/W hot spots
* Strong incident/debug tactics: clear root\-cause analysis, remediation, and guardrails as well as rapid comprehension and ownership of unfamiliar codebases in any language (including LLM\-generated code) to implement high\-leverage changes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4">
      <c r="A44" t="inlineStr">
        <is>
          <t>in-9f6fb632e074f616</t>
        </is>
      </c>
      <c r="B44" t="inlineStr">
        <is>
          <t>Principal Software Engineer - 90404555 - Washington</t>
        </is>
      </c>
      <c r="C44" t="inlineStr">
        <is>
          <t>Amtrak</t>
        </is>
      </c>
      <c r="D44" t="inlineStr">
        <is>
          <t>indeed</t>
        </is>
      </c>
      <c r="E44" t="inlineStr"/>
      <c r="F44" t="inlineStr"/>
      <c r="G44" t="inlineStr">
        <is>
          <t>Washington, DC, US</t>
        </is>
      </c>
      <c r="H44" s="2" t="n">
        <v>46067</v>
      </c>
      <c r="I44"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**This role is based in Washington DC. Requests for Remote work will be reviewed but not guaranteed.**
Analyze, design, develop, and implement software solutions supporting enterprise procurement systems. Serve as a senior technical escalation point for operational support, ensuring timely issue resolution and overall system stability. Collaborate closely with project managers, software engineers, business systems analysts, IT service owners, and technical leads to provide clear visibility into development progress and issue status. Provide technical leadership across both operational and project initiatives, offering daily oversight throughout the project lifecycle. Partner with customers, business analysts, and delivery teams to understand business requirements and translate them into high‑quality, scalable technical solutions.
**Essential Functions**
-----------------------
* **Serve as a Senior Functional Lead** **with deep expertise in contract lifecycle management, supplier lifecycle management, source\-to\-contract, and procure\-to\-pay processes using the iCertis CLM application, SAP Ariba On\-Demand, SAP ECC, S/4HANA, and emerging procurement technologies.**
* Act as a functional subject matter expert for SAP Ariba and iCertis, responsible for designing, configuring, and architecting complex product enhancements and operational support configurations across SaaS applications and ECC/S/4HANA within multiple upstream and downstream procurement processes.
* Design, configure, enhance, and support end\-to\-end solutions for indirect spend (Supplier Lifecycle Management, Contract Lifecycle Management, Sourcing, Requisitioning, Buying \&amp; Invoicing) and direct spend (Commerce Automation).
* Manage master data—vendors, materials, and accounting data—in target applications. Configure complex approval workflows, tolerances, exception handling, and catalogs across multiple buying channels.
* Implement custom document types, templates, clauses, custom fields, forms, and validation rules aligned with business controls and compliance requirements.
* Build and maintain operational and compliance reporting frameworks and analytics dashboards using application reporting tools, with working knowledge of integrations with SAP Datasphere and SAP Analytics Cloud (SAC).
* Apply knowledge of integration development using IDoc, cXML, SOAP/REST APIs, and middleware technologies (SAP Integration Suite or PI/PO on BTP). Ensure clear and complete functional specifications for design, unit testing, and scalable, sustainable architecture for business transactions and data flows.
* Evaluate operational feasibility through analysis, problem definition, requirements gathering, and solution development. Provide functional leadership for quarterly product releases and feature upgrades.
* Collaborate with enterprise architecture and infrastructure teams to ensure solutions meet security, quality assurance, and performance standards.
* Maintain up\-to\-date architecture, design, and system documentation in SolMan or SharePoint; ensure adherence to development standards, methodologies, integration practices, and testing protocols (unit and UAT).
* Provide L2/L3 production support, including root cause analysis, error handling, and performance optimization, and support change management processes using ServiceNow and SAP Solution Manager.
**Minimum Qualifications**
--------------------------
* Bachelor’s Degree or equivalent combination of education, training and/or relevant experience.
* Plus 7 years of relevant work experience.
**Preferred Qualifications**
----------------------------
* Bachelor’s Degree or equivalent combination of education, training and/or relevant experience.
* Plus 9 years of relevant work experience.
**Knowledge, Skills, and Abilities**
------------------------------------
* **Deep expertise in the iCertis Contract Lifecycle Management application and SAP Ariba On\-Demand SaaS configurations**, including SAP ECC/S/4HANA integrations and mobility solutions supporting Contract Lifecycle and Source\-to\-Pay business processes.
* Strong documentation and communication skills, with the ability to articulate complex architectures and deliver technical guidance and presentations to senior business stakeholders while adhering to organizational policies and procedures.
* Preferred proficiency in SAP Joule AI/ML\-based business use cases, algorithms, data structures, design patterns, and Python programming, with experience across frontend, backend, and cloud platform services.
* Experience working within SAFe Agile 6 and Lean Portfolio Management methodologies; able to manage deadlines and understand end\-to\-end business operations and system requirements.
* Experience preparing and migrating data to new SaaS environments while adhering to system specifications, information security standards (e.g., CRE (NS2\), IAS/IPS for Active Directory and role\-based access), and SOX/SOD compliance requirements.
**Environmental Conditions/Physical Demands**
---------------------------------------------
The salary/hourly range is $124,600\.00 – $161,352\.00\.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ID:**165892
**Work Arrangement:**06\-Onsite 4/5 Days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45">
      <c r="A45" t="inlineStr">
        <is>
          <t>in-c4ed9da0d64ba506</t>
        </is>
      </c>
      <c r="B45" t="inlineStr">
        <is>
          <t>Sr. Applied AI Software Engineer- VPG &amp; Siri</t>
        </is>
      </c>
      <c r="C45" t="inlineStr">
        <is>
          <t>Apple</t>
        </is>
      </c>
      <c r="D45" t="inlineStr">
        <is>
          <t>indeed</t>
        </is>
      </c>
      <c r="E45" t="inlineStr"/>
      <c r="F45" t="inlineStr"/>
      <c r="G45" t="inlineStr">
        <is>
          <t>Sunnyvale, CA, US</t>
        </is>
      </c>
      <c r="H45" s="2" t="n">
        <v>46067</v>
      </c>
      <c r="I45" t="inlineStr">
        <is>
          <t>We’re building the next generation of improvements in making Apple Intelligence more aware, more personal, and even more deeply integrated with the ecosystem of Apple products that millions of users know and love today. We’re enabling our intelligent systems with access to computer vision, additional sensing, and enhanced reasoning capabilities, all while upholding the strong privacy values our users can trust. We’re looking for software engineers to build user experiences that will harness cutting\-edge sensing and AI technology to bring new and delightful experiences to life.  
**Description**  
In this role, you will work across the stack, from low\-level system software and frameworks to end\-user experiences. Your work will be highly cross\-functional, requiring collaboration with design, algorithms, software, services, privacy, security, performance, and hardware teams across Apple to define requirements and build end to end user facing features.  
You will write software using Swift, evaluate AI/ML algorithms, debug complex cross\-device interactions, and contribute to a culture of shipping high\-quality production code. You will also need to apply excellent UX intuition to identify and shape feature opportunities, iterate with design, and define technical requirements that drive development.  
**Preferred Qualifications**  
Shipping customer\-facing features or products to production at scale  
Developing for Apple platforms using Apple system frameworks like SwiftUI and ARKit  
Building \&amp; shipping features using LLMs and/or Machine Learning algorithms, including on\-device inference, data\-driven validation, requirement definition, and collaboration with algorithm teams  
Processing sensor data (e.g. image/video, audio, motion) and/or developing AR applications  
Developing \&amp; validating personalization features, including working with sensitive data such as conversation transcripts or Health data  
Developing under strict privacy and security constraints, including techniques like secure data processing, and/or privacy\-by\-design principles  
Developing system software or frameworks, including API definition and performance optimization (particularly for resource constrained or real\-time systems)  
**Minimum Qualifications**  
5\+ years in software development  
Bachelor’s degree in a related field or equivalent experience  
Strong programming skills in any programming language (preferably at least one of Swift, Objective\-C, C\+\+) and deep understanding of data structures, memory management, and concurrency  
Systems thinking, including ability to break down ambiguous problems and drive clarity on critical details  
Demonstrated ability to translate user experience design into technical requirements  
Solid cross\-functional collaboration and technical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6">
      <c r="A46" t="inlineStr">
        <is>
          <t>in-ebd23092012c9d19</t>
        </is>
      </c>
      <c r="B46" t="inlineStr">
        <is>
          <t>Software Engineer (Swift/SwiftUI) , Corporate Systems Engineering</t>
        </is>
      </c>
      <c r="C46" t="inlineStr">
        <is>
          <t>Apple</t>
        </is>
      </c>
      <c r="D46" t="inlineStr">
        <is>
          <t>indeed</t>
        </is>
      </c>
      <c r="E46" t="inlineStr"/>
      <c r="F46" t="inlineStr"/>
      <c r="G46" t="inlineStr">
        <is>
          <t>Austin, TX, US</t>
        </is>
      </c>
      <c r="H46" s="2" t="n">
        <v>46067</v>
      </c>
      <c r="I46" t="inlineStr">
        <is>
          <t>Do you love understanding every detail of how new technologies work? Join the team that serves as Apple’s nerve center, our Information Systems and Technology group. There are countless ways you’ll contribute here, whether you’re coordinating technology needs for product launches, designing music solutions for retail locations, or ensuring the strength of in\-store Wi\-Fi connections. From Apple Pay to the Apple website to our data centers around the globe, you’ll help design and manage the massive systems that countless employees and customers rely on every day.  
You’ll also build custom tools for employees, empowering them to solve complex problems on their own. Join our team, and together we’ll explore all the ways to improve how Apple operates, freeing our employees to do what they do best: craft magical experiences for our customers.  
We are Corporate Systems team within IS\&amp;T seeking a UI Engineer to build from the ground up, iOS/MacOS products that impacts thousands of our retail store and corporate users.  
**Description**  
As a Swift Software Engineer, you will be responsible for the technical design, coding, and debugging of complex iOS and macOS applications.  
","responsibilities":"You will collaborate with a team of developers to deliver new features for existing applications  
Resolve bugs, and design and develop brand\-new applications and tools to meet business requirements across the organization  
You will work in a dynamic and fast\-paced environment  
**Preferred Qualifications**  
Experience in profiling, memory management, layout rendering, and multi\-threaded application design; proven track record diagnosing and resolving performance bottlenecks  
Deep familiarity with app lifecycle concerns including offline resilience, background tasks, app extensions, and real\-time client behaviors (push notifications, Server\-Sent Events)  
Demonstrated knowledge of secure coding practices, data protection, and platform security frameworks  
Experience implementing accessible user experiences that meet WCAG standards including VoiceOver and Dynamic Type integration  
**Minimum Qualifications**  
3\+ years of software development experience building iOS and/or macOS applications in commercial or enterprise environments  
Proficiency in Swift and SwiftUI, with experience writing unit tests (XCTest) and UI automation tests (XCUITest)  
Bachelor’s degree in Computer Science or relevant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7">
      <c r="A47" t="inlineStr">
        <is>
          <t>in-821a33a4936bd429</t>
        </is>
      </c>
      <c r="B47" t="inlineStr">
        <is>
          <t>Software Engineer, Siri Runtime Systems and Interaction</t>
        </is>
      </c>
      <c r="C47" t="inlineStr">
        <is>
          <t>Apple</t>
        </is>
      </c>
      <c r="D47" t="inlineStr">
        <is>
          <t>indeed</t>
        </is>
      </c>
      <c r="E47" t="inlineStr"/>
      <c r="F47" t="inlineStr"/>
      <c r="G47" t="inlineStr">
        <is>
          <t>Cupertino, CA, US</t>
        </is>
      </c>
      <c r="H47" s="2" t="n">
        <v>46067</v>
      </c>
      <c r="I4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Create ground\-breaking technology for next generation of voice assistant technology that will usher the next revolution of human\-computer interaction. Join the team that is redefining the very core of Siri, building the very foundations that power Siri voice assistant and Dictation across billions of Apple devices! Siri Runtime Platform provides a horizontal platform across all device platforms (iOS/macOS/watchOS/visionOS) to manage the life cycle of user’s conversation with Siri. The platform facilitates the orchestration of Siri requests by integrating with several components like UI, ASR, LLM Planner etc.  
**Description**  
Siri’s Runtime Platform team is looking for a resourceful software engineer to develop Siri’s next generation of natural interaction platforms on Apple’s innovative devices! You should be eager to do hands\-on work to improve and build features to help improve overall Siri capabilities. You should enjoy working in a rapidly changing environment with changing priorities, be passionate about using new technologies to solve real problems and to improve the state of intelligent assistants. This role requires someone with deep expertise in developing, launching, maintaining, and extending products. A hire for this role will accelerate the team through helping to develop standard methodologies, creating strong architecture/design, developing software with velocity, and substantial individual technical contributions. The role requires a strong ownership mindset to collaborate with cross\-functional partners to identify and resolve dependencies. The candidate will triage issues resulting from internal live\-on population, analyze logs, reproduce bugs and help determine priority of problems, while identifying emerging trends across the reported issues.  
**Preferred Qualifications**  
Expertise in design patterns.  
Have contributed to shipping platform/products to production, and supported/extended them post launch.  
Have driven technical decision\-making and software development from product definition to ship for multiple shipped products.  
**Minimum Qualifications**  
BS in Computer Science or Computer Engineering.  
Strong expertise in Swift/Objective\-C programing language Swift or Objective\-C.  
Solid experience in software development \- contributed to code, code reviews, design reviews, and maintain production systems.  
Strong understanding of computer science fundamentals, with excellent expertise in Concurrency, Distributed Systems, and API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8">
      <c r="A48" t="inlineStr">
        <is>
          <t>in-33c9c6d62f1c8dc2</t>
        </is>
      </c>
      <c r="B48" t="inlineStr">
        <is>
          <t>Software Engineer</t>
        </is>
      </c>
      <c r="C48" t="inlineStr">
        <is>
          <t>Apple</t>
        </is>
      </c>
      <c r="D48" t="inlineStr">
        <is>
          <t>indeed</t>
        </is>
      </c>
      <c r="E48" t="inlineStr"/>
      <c r="F48" t="inlineStr"/>
      <c r="G48" t="inlineStr">
        <is>
          <t>Cupertino, CA, US</t>
        </is>
      </c>
      <c r="H48" s="2" t="n">
        <v>46067</v>
      </c>
      <c r="I48" t="inlineStr">
        <is>
          <t>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Our team is seeking a Software Engineer with a strong, critical quality\-focused mindset and Python backend expertise to drive our work with Large Language Models (LLMs) and Generative AI. In this role, you'll apply rigorous quality principles while designing and implementing core backend services and pipelines that seamlessly integrate with enterprise systems and LLM technology.  
You'll support our mission by bringing a meticulous approach to applying groundbreaking research in this rapidly evolving space. Your quality\-first engineering perspective will ensure we build robust, reliable systems that meet the highest standards. By contributing your critical thinking and attention to detail, you'll significantly influence our developer productivity tools and shape the evolution of our AI platforms.  
The ideal candidate combines technical excellence with a relentless focus on quality assurance, testing methodologies, and systematic validation\-ensuring our innovative solutions are not just powerful, but exceptionally dependable.  
**Description**  
Our team builds frameworks, services, and tools that accelerate Feature development for engineering teams.  
In this role, you'll apply your quality engineering expertise to enable workflows with particular focus on ensuring the reliability and accuracy of LLM\-based generation. Your meticulous approach to quality will be essential as you integrate our platform with various enterprise services and establish validation frameworks that maintain Apple's exacting standards.  
You'll be part of a team whose focus is on bringing a quality\-first perspective to deliver an end\-to\-end solution. Your rigorous testing methodologies and quality\-focused mindset will help ensure we build not just innovative tools, but dependable systems that our engineering teams can trust day after day","responsibilities":"This is a hands\-on role for developing and supporting new and existing features. This role requires partnering with cross\-functional teams to effectively coordinate the complex interdependencies inherent in application development.  
**Preferred Qualifications**  
Master’s Degree Computer Science, Artificial Intelligence, Machine Learning, or a related field, or related experience.  
Experience in designing and implementing information retrieval systems using embeddings (e.g., MiniLM), vector stores (e.g., Milvus, Qdrant), or similarity match \&amp; ranking techniques.  
Designed and optimized RESTful services.  
Comfort within Linux/Unix environments.  
Understanding of software engineering practices (agile, code review, automated builds, regressions testing).  
Some experience in technical leadership/mentorship in ML or software engineering experience a plus.  
Familiarity with large language model frameworks for evaluating and fine\-tuning models.  
Communicating effectively, both written and verbal, with technical and non\-technical cross\-functional teams.  
Proven track record of building enterprise\-grade ML pipelines (data prep, distributed training, optimization, monitoring) in cloud environments.  
Collaborative mindset to brainstorm on architectural patterns to arrive at the best approach. Keen interest in keeping up with the latest in the industry.  
Experience working on platform engineering or a developer experience platform is a plus.  
**Minimum Qualifications**  
Bachelor’s Computer Science, Artificial Intelligence, Machine Learning, or a related field, or related experience.  
Proven experience in building complex agentic systems using LLMs. Strong Python programming skills, with a background in developing scalable and robust services using FastAPI or similar frameworks.  
Experience in Machine Learning with a particular emphasis on Large Language Models (LLMs), Retrieval Augmented Generation(RAG) and Generative AI.  
5\+ years of industry experience focussed on ML or software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9">
      <c r="A49" t="inlineStr">
        <is>
          <t>in-6fdcea27a4c72e55</t>
        </is>
      </c>
      <c r="B49" t="inlineStr">
        <is>
          <t>SWE - Senior Software Engineer, Siri Communications Experiences</t>
        </is>
      </c>
      <c r="C49" t="inlineStr">
        <is>
          <t>Apple</t>
        </is>
      </c>
      <c r="D49" t="inlineStr">
        <is>
          <t>indeed</t>
        </is>
      </c>
      <c r="E49" t="inlineStr"/>
      <c r="F49" t="inlineStr"/>
      <c r="G49" t="inlineStr">
        <is>
          <t>Cupertino, CA, US</t>
        </is>
      </c>
      <c r="H49" s="2" t="n">
        <v>46067</v>
      </c>
      <c r="I49" t="inlineStr">
        <is>
          <t>Apple Intelligence has a transformative impact on our customers worldwide and a new Siri plays a pivotal role. As a software developer on the Siri team, you will be an important member of a diverse and passionate group of engineers and scientists dedicated to bringing Apple Intelligence to our devices. Together, we’ll empower all devices to work together seamlessly and efficiently to serve user requests. We are looking for a talented and energetic engineer to join our team and help us to develop the newest technologies and Siri features for our customers. Join us and be a part of the team bringing Apple Intelligence to the entire Siri ecosystem!  
**Description**  
As a Senior Software Engineer on Siri App Experiences, you’ll be at the forefront of bringing Siri with Apple Intelligence to new and existing Apple products. You’ll own significant parts of the product surface area, from early concept and architecture through implementation, performance tuning, and launch.  
You will:  
* **Lead design and delivery** of complex, user\-facing Siri experiences across iPhone, iPad, and other Apple devices.
* **Drive technical direction** by shaping architecture, defining best practices, and ensuring long\-term maintainability.
* **Own end\-to\-end execution** for key features, including prototyping, implementation, testing strategy, debugging, and production readiness.
* **Partner cross\-functionally** with teams across Apple (e.g. platform, AI/ML, UI, QA, product) to bring new ideas to life and integrate across the ecosystem.
* **Mentor and elevate the team** through code reviews, technical guidance, and knowledge sharing.
* **Raise the bar on quality** (e.g. performance, reliability, privacy, and polish) so Siri experiences feel fast, seamless, and delightful.  
**Preferred Qualifications**  
Demonstrated ownership of **large, cross\-functional initiatives** with tangible customer impact.  
Track record of delivering polished products with a strong focus on **user experience and quality**.  
Experience influencing architecture and technical strategy on complex codebases.  
Experience mentoring junior engineers and improving team execution practices.  
**Minimum Qualifications**  
M.S./B.S. in Computer Science, Engineering or a related field or equivalent experience  
5\+ years of professional software engineering experience, preferably working on an end\-user product.  
iOS software development experience.  
Proficiency in programming languages such as Swift, C\+\+, Objective C, etc.  
Strong understanding of software engineering and computer science fundamentals, including object\-oriented design principles, design patterns, data structures, and algorithms.  
Excellent verbal and written communication skills; we are a highly collaborative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0">
      <c r="A50" t="inlineStr">
        <is>
          <t>in-23ab5baf4db78c30</t>
        </is>
      </c>
      <c r="B50" t="inlineStr">
        <is>
          <t>Principal, Software Engineer – GenAI Initiative</t>
        </is>
      </c>
      <c r="C50" t="inlineStr">
        <is>
          <t>Walmart</t>
        </is>
      </c>
      <c r="D50" t="inlineStr">
        <is>
          <t>indeed</t>
        </is>
      </c>
      <c r="E50" t="inlineStr"/>
      <c r="F50" t="inlineStr"/>
      <c r="G50" t="inlineStr">
        <is>
          <t>Sunnyvale, CA, US</t>
        </is>
      </c>
      <c r="H50" s="2" t="n">
        <v>46067</v>
      </c>
      <c r="I50" t="inlineStr">
        <is>
          <t>**Position Summary...**
-----------------------
**What you'll do...**
---------------------
Job Description
Walmart Global Tech is at the forefront of AI innovation, leveraging cutting\-edge technologies to redefine customer experiences. We are seeking a **Principal, Software Engineer** with deep expertise in **Generative AI**, **LLMs**, and **RAG frameworks** to lead the design, development, and deployment of advanced AI systems. This role involves architecting scalable solutions, integrating agentic frameworks, and mentoring engineering teams to push the boundaries of AI\-driven innovation.  
As part of Walmarts Global Sourcing Backend team, you will be building highly scalable and reliable APIs, services and applications which will drive the next generation purchase order management system.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**About Team:**  
Focusing on customer, associate and business needs, this team works with Walmart International, which includes more than 5,200 retail units, operating in 23 countries such as Canada, Central America, Chile, China, India, Mexico and South Africa to name a few.  
''**Immigration sponsorship is not available for this role''**  
**What you'll do:**  
**1\. AI Model Development ; Agentic Frameworks:*** Design, fine\-tune, and deploy Generative AI models with a focus on RAG frameworks to enhance information retrieval and generation.
* Develop and optimize LLM\-based agents for tasks like knowledge grounding, multi\-step reasoning, and decision\-making.
* Integrate external data sources (e.g., vector databases) with LLMs to build dynamic, context\-aware systems.
2\. **Architecture ; Scalability:*** Architect scalable, distributed AI systems with a focus on performance, fault tolerance, and disaster recovery.
* Develop detailed design specifications, including modular, extensible, and functional components.
* Build MVPs to validate requirements and refine designs iteratively.
**3\. Collaboration ; Product Integration:*** Partner with product teams to integrate AI into customer\-facing applications.
* Work cross\-functionally to design solutions that address both functional and non\-functional requirements.
4\. **Leadership ; Mentorship:*** Drive technical direction for large\-scale AI initiatives and mentor junior engineers.
* Establish best practices for building and maintaining AI\-driven systems.
**What you'll bring:*** Overall 12\+ years of experience in machine learning / software engineering, with 2\+ years in Generative AI or LLMs.
* Strong experience with RAG frameworks, vector search technologies and knowledge grounding techniques.
* Expertise in Python, ML frameworks (PyTorch, TensorFlow), and libraries like Hugging Face Transformers.
* Proficiency in distributed computing, cloud platforms (GCP, Azure), and scalable architectures.
* Familiarity with disaster recovery principles and building resilient, fault\-tolerant systems.
* Experience with multi\-modal models (text, image, video) and advanced optimization techniques (e.g., quantization, distillation).
* Experience with Generative AI models (e.g., GPT, Gemini) and their fine\-tuning.
* Contributions to open\-source projects or publications in Generative AI, RAG, or agentic frameworks.
* Strong understanding of system design, non\-functional requirements, and design patterns.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840 W California Ave,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1">
      <c r="A51" t="inlineStr">
        <is>
          <t>in-67f3a52349b3a725</t>
        </is>
      </c>
      <c r="B51" t="inlineStr">
        <is>
          <t>Sr. Software Engineer</t>
        </is>
      </c>
      <c r="C51" t="inlineStr">
        <is>
          <t>Qualcomm</t>
        </is>
      </c>
      <c r="D51" t="inlineStr">
        <is>
          <t>indeed</t>
        </is>
      </c>
      <c r="E51" t="inlineStr"/>
      <c r="F51" t="inlineStr"/>
      <c r="G51" t="inlineStr">
        <is>
          <t>Santa Clara, CA, US</t>
        </is>
      </c>
      <c r="H51" s="2" t="n">
        <v>46066</v>
      </c>
      <c r="I51" t="inlineStr">
        <is>
          <t>**Company:**
------------
Qualcomm Atheros,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Engineering, Information Systems, Computer Science or related field.
* 4\+ years of Software Engineering or related work experience.
* 2\+ years of experience with Database Management Software.
* 2\+ years of experience with API.
* 1\+ year of work experience with Git, Perforce, or Source Code Management System.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$129,300\.00 \- $193,900\.00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2">
      <c r="A52" t="inlineStr">
        <is>
          <t>in-aaed957687d4fa4e</t>
        </is>
      </c>
      <c r="B52" t="inlineStr">
        <is>
          <t>Product Software Developer (Fintech)</t>
        </is>
      </c>
      <c r="C52" t="inlineStr">
        <is>
          <t>Agylex</t>
        </is>
      </c>
      <c r="D52" t="inlineStr">
        <is>
          <t>indeed</t>
        </is>
      </c>
      <c r="E52">
        <f>HYPERLINK("https://www.indeed.com/viewjob?jk=aaed957687d4fa4e", "https://www.indeed.com/viewjob?jk=aaed957687d4fa4e")</f>
        <v/>
      </c>
      <c r="F52">
        <f>HYPERLINK("http://www.indeed.com/job/product-software-developer-fintech-aaed957687d4fa4e", "http://www.indeed.com/job/product-software-developer-fintech-aaed957687d4fa4e")</f>
        <v/>
      </c>
      <c r="G52" t="inlineStr">
        <is>
          <t>Remote, US</t>
        </is>
      </c>
      <c r="H52" s="3" t="n">
        <v>46068</v>
      </c>
      <c r="I52" t="inlineStr">
        <is>
          <t>**URGENT REQUIREMENT !!!**
**Contract Details:**
* **Duration:** 12 months, with multiple extensions possible. (Full\-Time)
* **Work Timing:** 8:30 AM IST onwards.
**Location \&amp; Work Model:**
* **Preferred Location:** Hyderabad, India.
* **Remote Option:** Remote work from anywhere in India is available.
**Role Overview:**
We are seeking an experienced and highly skilled Full Stack Product Software Developer to join our team. The ideal candidate will have a strong background in developing robust, scalable, and high\-performance applications, with a particular focus on product\-based environments. This is a contract role with the opportunity for extension.
**Key Responsibilities:**
* Design, develop, and maintain high\-quality software solutions across the full stack.
* Collaborate with product managers, designers, and other engineers to define, design, and ship new features.
* Write clean, maintainable, and efficient code.
* Participate in code reviews to ensure code quality and adherence to best practices.
* Troubleshoot, debug, and upgrade existing systems.
* Contribute to the entire software development lifecycle, from concept to deployment and operations.
**Required Skills \&amp; Experience:**
* **5\+ years of experience** as a Full Stack Developer in product\-based companies.
* **Proficiency in Java, TypeScript and React** for backend and frontend development.
* Strong experience with **SQL** databases.
* Hands\-on experience with **Terraform** for infrastructure as code.
* Experience with **GRPC** for high\-performance communication.
* Familiarity with UI libraries such as **MUI (Material\-UI)**.
* Knowledge of **Hashicorp** tools (e.g., Vault, Consul, Nomad) is a plus.
* **Solid background in AWS** cloud services (e.g., EC2, S3, Lambda, RDS, VPC).
* Demonstrated ability to work in an agile development environment.
* Excellent problem\-solving, analytical, and communication skills.
Job Type: Full\-time
Pay: $3,000,000\.00 \- $4,500,000\.00 per year
Work Location: Remote</t>
        </is>
      </c>
    </row>
    <row r="53">
      <c r="A53" t="inlineStr">
        <is>
          <t>in-ce47aaa93067f449</t>
        </is>
      </c>
      <c r="B53" t="inlineStr">
        <is>
          <t>Sr. Software Engineer</t>
        </is>
      </c>
      <c r="C53" t="inlineStr">
        <is>
          <t>Mister Car Wash</t>
        </is>
      </c>
      <c r="D53" t="inlineStr">
        <is>
          <t>indeed</t>
        </is>
      </c>
      <c r="E53">
        <f>HYPERLINK("https://www.indeed.com/viewjob?jk=ce47aaa93067f449", "https://www.indeed.com/viewjob?jk=ce47aaa93067f449")</f>
        <v/>
      </c>
      <c r="F53">
        <f>HYPERLINK("https://jobs.dayforcehcm.com/en-US/mcw/CANDIDATEPORTAL/jobs/134872", "https://jobs.dayforcehcm.com/en-US/mcw/CANDIDATEPORTAL/jobs/134872")</f>
        <v/>
      </c>
      <c r="G53" t="inlineStr">
        <is>
          <t>Tucson, AZ, US</t>
        </is>
      </c>
      <c r="H53" s="3" t="n">
        <v>46067</v>
      </c>
      <c r="I53" t="inlineStr">
        <is>
          <t>Mister Car Wash is rewriting the rules of the car wash industry. Headquartered in Tucson, Arizona, we are the nation's largest and fastest growing multibillion dollar, publicly traded car wash company with over 500 car washes in 21 states!
We wash cars for the fun of it. We put people first. We help turn jobs into careers.
We’re currently seeking a Senior Software Engineer to join our Headquarters team!
The Software Engineer will plan, design, develop, configure, deploy, troubleshoot, and maintain our eCommerce and Mobile apps. Lead and collaborate as a member on a team of developers, business analysts, product managers, and QA/testing staff focused on delivering secure and top\-notch new digital experience for our customers.
**What You Will Do:****Application Development:**  
* Design and develop applications using React and React Native.
* Collaborate with UI/UX designers and backend developers to create seamless user experiences.
* Integration with backend systems, APIs, and third\-party services.
* Ensure the performance, quality, and responsiveness of applications.
* Identify and correct bottlenecks and fix bugs.
* Help maintain code quality, organization, and automation.
**Technical Leadership:**  
* Lead and mentor fellow developers in the team, fostering technical growth and excellence.
* Conduct architecture/design/code reviews to ensure quality and maintainability.
* Guide the adoption of CI/CD, automated testing, and DevOps practices in mobile development.
**Innovation \&amp; Continuous Improvement:**  
* Stay current with the latest Web/UI/UX technologies, frameworks, and industry trends.
* Drive initiatives to improve user experience, app performance, and development efficiency.
* Contribute to mobile strategy and roadmap at the enterprise level.
**Note:** The job duties above provide a general sense of the role; though, additional duties may be assigned as necessary.
**How You Will Shine:****Education:**  
* Bachelor’s degree in Computer Science, Information Technology, or related field.
**Experience:**  
* 5 years \+ of professional experience developing Retail eCommerce, Web and mobile apps.
**Knowledge, Skills, \&amp; Abilities:**  
* Expert in web and mobile design, cross\-platform development, and use of APIs.
* Proficiency in relevant frameworks such as React, React Native, TypeScript, Flutter, or similar cross\-platform tools.
* Proficiency with state management frameworks (Redux, MobX, Context API).
* Experience with automated testing frameworks like Jest, Appium, or others.
* Experience with build automation and deployment tools (Jenkins, GitHub Actions, etc.).
* Ability to work in an Agile / SCRUM environment.
* Experience integrating with APIs including SOAP and REST.
* Comprehensive knowledge of source control and change control practices, with a strong commitment to established standards.
* High\-level analytical and design skills, with required experience in a modern mobile technology stack.
* Strong verbal, written, and interpersonal communication skills, with the ability to explain technical concepts to non\-technical stakeholders.
* Demonstrated organizational skills and self\-motivation, with the ability to work independently and manage multiple priorities and deadlines in a fast\-paced environment.
* Proven collaboration and accountability, with a commitment to delivering consistent, high\-quality results.
**What motivates our team:**  
* Excellent Benefits including medical, vision, dental, PTO, 401k, etc.
* Career Progression with a high growth, publicly traded company.
* Employee Stock Purchase Plan (ESPP) offered after 6 months of employment.
* Modern office space in the heart of downtown Tucson.
* On\-site Fitness Gym and Bike Share.
* Employee Game Room and Lounge.
* Free Unlimited Wash Club Membership.
It's your time to SHINE! Join the Mister Car Wash team today!
Mister Car Wash provides equal employment opportunities to all employees and applicant for employment without regard to race, color, religion, sex, national origin, age, disability or genetics. We participate in the E\-Verify system nationwide.</t>
        </is>
      </c>
    </row>
    <row r="54">
      <c r="A54" t="inlineStr">
        <is>
          <t>in-f2d4ff76b64bfe13</t>
        </is>
      </c>
      <c r="B54" t="inlineStr">
        <is>
          <t>Software Engineer</t>
        </is>
      </c>
      <c r="C54" t="inlineStr">
        <is>
          <t>Amazon.com</t>
        </is>
      </c>
      <c r="D54" t="inlineStr">
        <is>
          <t>indeed</t>
        </is>
      </c>
      <c r="E54">
        <f>HYPERLINK("https://www.indeed.com/viewjob?jk=f2d4ff76b64bfe13", "https://www.indeed.com/viewjob?jk=f2d4ff76b64bfe13")</f>
        <v/>
      </c>
      <c r="F54">
        <f>HYPERLINK("https://www.amazon.jobs/jobs/3145977/software-engineer?cmpid=DA_INAD200785B", "https://www.amazon.jobs/jobs/3145977/software-engineer?cmpid=DA_INAD200785B")</f>
        <v/>
      </c>
      <c r="G54" t="inlineStr">
        <is>
          <t>San Francisco, CA, US</t>
        </is>
      </c>
      <c r="H54" s="3" t="n">
        <v>46008</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in-edd0b9d615c0e90d</t>
        </is>
      </c>
      <c r="B55" t="inlineStr">
        <is>
          <t>Software Engineer</t>
        </is>
      </c>
      <c r="C55" t="inlineStr">
        <is>
          <t>Amazon.com</t>
        </is>
      </c>
      <c r="D55" t="inlineStr">
        <is>
          <t>indeed</t>
        </is>
      </c>
      <c r="E55">
        <f>HYPERLINK("https://www.indeed.com/viewjob?jk=edd0b9d615c0e90d", "https://www.indeed.com/viewjob?jk=edd0b9d615c0e90d")</f>
        <v/>
      </c>
      <c r="F55">
        <f>HYPERLINK("https://www.amazon.jobs/jobs/3145977/software-engineer?cmpid=DA_INAD200785B", "https://www.amazon.jobs/jobs/3145977/software-engineer?cmpid=DA_INAD200785B")</f>
        <v/>
      </c>
      <c r="G55" t="inlineStr">
        <is>
          <t>Seattle, WA, US</t>
        </is>
      </c>
      <c r="H55" s="3" t="n">
        <v>46008</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in-756e44fa258a63a9</t>
        </is>
      </c>
      <c r="B56" t="inlineStr">
        <is>
          <t>Software Engineer I</t>
        </is>
      </c>
      <c r="C56" t="inlineStr">
        <is>
          <t>Amazon.com</t>
        </is>
      </c>
      <c r="D56" t="inlineStr">
        <is>
          <t>indeed</t>
        </is>
      </c>
      <c r="E56">
        <f>HYPERLINK("https://www.indeed.com/viewjob?jk=756e44fa258a63a9", "https://www.indeed.com/viewjob?jk=756e44fa258a63a9")</f>
        <v/>
      </c>
      <c r="F56">
        <f>HYPERLINK("https://www.amazon.jobs/jobs/3144113/software-engineer-i?cmpid=DA_INAD200785B", "https://www.amazon.jobs/jobs/3144113/software-engineer-i?cmpid=DA_INAD200785B")</f>
        <v/>
      </c>
      <c r="G56" t="inlineStr">
        <is>
          <t>San Francisco, CA, US</t>
        </is>
      </c>
      <c r="H56" s="3" t="n">
        <v>46006</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in-1f4e06c991eb80bb</t>
        </is>
      </c>
      <c r="B57" t="inlineStr">
        <is>
          <t>Software Engineer I</t>
        </is>
      </c>
      <c r="C57" t="inlineStr">
        <is>
          <t>Amazon.com</t>
        </is>
      </c>
      <c r="D57" t="inlineStr">
        <is>
          <t>indeed</t>
        </is>
      </c>
      <c r="E57">
        <f>HYPERLINK("https://www.indeed.com/viewjob?jk=1f4e06c991eb80bb", "https://www.indeed.com/viewjob?jk=1f4e06c991eb80bb")</f>
        <v/>
      </c>
      <c r="F57">
        <f>HYPERLINK("https://www.amazon.jobs/jobs/3144113/software-engineer-i?cmpid=DA_INAD200785B", "https://www.amazon.jobs/jobs/3144113/software-engineer-i?cmpid=DA_INAD200785B")</f>
        <v/>
      </c>
      <c r="G57" t="inlineStr">
        <is>
          <t>Irvine, CA, US</t>
        </is>
      </c>
      <c r="H57" s="3" t="n">
        <v>46006</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in-742a6a9d165bbeee</t>
        </is>
      </c>
      <c r="B58" t="inlineStr">
        <is>
          <t>Software Engineer I</t>
        </is>
      </c>
      <c r="C58" t="inlineStr">
        <is>
          <t>Amazon.com</t>
        </is>
      </c>
      <c r="D58" t="inlineStr">
        <is>
          <t>indeed</t>
        </is>
      </c>
      <c r="E58">
        <f>HYPERLINK("https://www.indeed.com/viewjob?jk=742a6a9d165bbeee", "https://www.indeed.com/viewjob?jk=742a6a9d165bbeee")</f>
        <v/>
      </c>
      <c r="F58">
        <f>HYPERLINK("https://www.amazon.jobs/jobs/3144113/software-engineer-i?cmpid=DA_INAD200785B", "https://www.amazon.jobs/jobs/3144113/software-engineer-i?cmpid=DA_INAD200785B")</f>
        <v/>
      </c>
      <c r="G58" t="inlineStr">
        <is>
          <t>Seattle, WA, US</t>
        </is>
      </c>
      <c r="H58" s="3" t="n">
        <v>46006</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in-09ae8e4c6c322cef</t>
        </is>
      </c>
      <c r="B59" t="inlineStr">
        <is>
          <t>Software Engineer I</t>
        </is>
      </c>
      <c r="C59" t="inlineStr">
        <is>
          <t>Amazon.com</t>
        </is>
      </c>
      <c r="D59" t="inlineStr">
        <is>
          <t>indeed</t>
        </is>
      </c>
      <c r="E59">
        <f>HYPERLINK("https://www.indeed.com/viewjob?jk=09ae8e4c6c322cef", "https://www.indeed.com/viewjob?jk=09ae8e4c6c322cef")</f>
        <v/>
      </c>
      <c r="F59">
        <f>HYPERLINK("https://www.amazon.jobs/jobs/3111761/software-engineer-i?cmpid=DA_INAD200785B", "https://www.amazon.jobs/jobs/3111761/software-engineer-i?cmpid=DA_INAD200785B")</f>
        <v/>
      </c>
      <c r="G59" t="inlineStr">
        <is>
          <t>San Francisco, CA, US</t>
        </is>
      </c>
      <c r="H59" s="3" t="n">
        <v>45946</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in-3aafd769dd9253e8</t>
        </is>
      </c>
      <c r="B60" t="inlineStr">
        <is>
          <t>Software Engineer I</t>
        </is>
      </c>
      <c r="C60" t="inlineStr">
        <is>
          <t>Amazon.com</t>
        </is>
      </c>
      <c r="D60" t="inlineStr">
        <is>
          <t>indeed</t>
        </is>
      </c>
      <c r="E60">
        <f>HYPERLINK("https://www.indeed.com/viewjob?jk=3aafd769dd9253e8", "https://www.indeed.com/viewjob?jk=3aafd769dd9253e8")</f>
        <v/>
      </c>
      <c r="F60">
        <f>HYPERLINK("https://www.amazon.jobs/jobs/3111761/software-engineer-i?cmpid=DA_INAD200785B", "https://www.amazon.jobs/jobs/3111761/software-engineer-i?cmpid=DA_INAD200785B")</f>
        <v/>
      </c>
      <c r="G60" t="inlineStr">
        <is>
          <t>Irvine, CA, US</t>
        </is>
      </c>
      <c r="H60" s="3" t="n">
        <v>45946</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in-07c9a68c1cb1deb4</t>
        </is>
      </c>
      <c r="B61" t="inlineStr">
        <is>
          <t>Software Engineer II</t>
        </is>
      </c>
      <c r="C61" t="inlineStr">
        <is>
          <t>Amazon.com</t>
        </is>
      </c>
      <c r="D61" t="inlineStr">
        <is>
          <t>indeed</t>
        </is>
      </c>
      <c r="E61">
        <f>HYPERLINK("https://www.indeed.com/viewjob?jk=07c9a68c1cb1deb4", "https://www.indeed.com/viewjob?jk=07c9a68c1cb1deb4")</f>
        <v/>
      </c>
      <c r="F61">
        <f>HYPERLINK("https://www.amazon.jobs/jobs/3104730/software-engineer-ii?cmpid=DA_INAD200785B", "https://www.amazon.jobs/jobs/3104730/software-engineer-ii?cmpid=DA_INAD200785B")</f>
        <v/>
      </c>
      <c r="G61" t="inlineStr">
        <is>
          <t>San Francisco, CA, US</t>
        </is>
      </c>
      <c r="H61" s="3" t="n">
        <v>45938</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in-85001e1681e40122</t>
        </is>
      </c>
      <c r="B62" t="inlineStr">
        <is>
          <t>Software Engineer II</t>
        </is>
      </c>
      <c r="C62" t="inlineStr">
        <is>
          <t>Amazon.com</t>
        </is>
      </c>
      <c r="D62" t="inlineStr">
        <is>
          <t>indeed</t>
        </is>
      </c>
      <c r="E62">
        <f>HYPERLINK("https://www.indeed.com/viewjob?jk=85001e1681e40122", "https://www.indeed.com/viewjob?jk=85001e1681e40122")</f>
        <v/>
      </c>
      <c r="F62">
        <f>HYPERLINK("https://www.amazon.jobs/jobs/3104730/software-engineer-ii?cmpid=DA_INAD200785B", "https://www.amazon.jobs/jobs/3104730/software-engineer-ii?cmpid=DA_INAD200785B")</f>
        <v/>
      </c>
      <c r="G62" t="inlineStr">
        <is>
          <t>Irvine, CA, US</t>
        </is>
      </c>
      <c r="H62" s="3" t="n">
        <v>45938</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in-4b30e81c1526c86e</t>
        </is>
      </c>
      <c r="B63" t="inlineStr">
        <is>
          <t>Software Engineer II</t>
        </is>
      </c>
      <c r="C63" t="inlineStr">
        <is>
          <t>Amazon.com</t>
        </is>
      </c>
      <c r="D63" t="inlineStr">
        <is>
          <t>indeed</t>
        </is>
      </c>
      <c r="E63">
        <f>HYPERLINK("https://www.indeed.com/viewjob?jk=4b30e81c1526c86e", "https://www.indeed.com/viewjob?jk=4b30e81c1526c86e")</f>
        <v/>
      </c>
      <c r="F63">
        <f>HYPERLINK("https://www.amazon.jobs/jobs/3104734/software-engineer-ii?cmpid=DA_INAD200785B", "https://www.amazon.jobs/jobs/3104734/software-engineer-ii?cmpid=DA_INAD200785B")</f>
        <v/>
      </c>
      <c r="G63" t="inlineStr">
        <is>
          <t>Irvine, CA, US</t>
        </is>
      </c>
      <c r="H63" s="3" t="n">
        <v>45938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in-74885ea1721d01f9</t>
        </is>
      </c>
      <c r="B64" t="inlineStr">
        <is>
          <t>Software Engineer II</t>
        </is>
      </c>
      <c r="C64" t="inlineStr">
        <is>
          <t>Amazon.com</t>
        </is>
      </c>
      <c r="D64" t="inlineStr">
        <is>
          <t>indeed</t>
        </is>
      </c>
      <c r="E64">
        <f>HYPERLINK("https://www.indeed.com/viewjob?jk=74885ea1721d01f9", "https://www.indeed.com/viewjob?jk=74885ea1721d01f9")</f>
        <v/>
      </c>
      <c r="F64">
        <f>HYPERLINK("https://www.amazon.jobs/jobs/3104734/software-engineer-ii?cmpid=DA_INAD200785B", "https://www.amazon.jobs/jobs/3104734/software-engineer-ii?cmpid=DA_INAD200785B")</f>
        <v/>
      </c>
      <c r="G64" t="inlineStr">
        <is>
          <t>San Francisco, CA, US</t>
        </is>
      </c>
      <c r="H64" s="3" t="n">
        <v>45938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in-ffdd5ee81cedb5c7</t>
        </is>
      </c>
      <c r="B65" t="inlineStr">
        <is>
          <t>Software Engineer II</t>
        </is>
      </c>
      <c r="C65" t="inlineStr">
        <is>
          <t>Amazon.com</t>
        </is>
      </c>
      <c r="D65" t="inlineStr">
        <is>
          <t>indeed</t>
        </is>
      </c>
      <c r="E65">
        <f>HYPERLINK("https://www.indeed.com/viewjob?jk=ffdd5ee81cedb5c7", "https://www.indeed.com/viewjob?jk=ffdd5ee81cedb5c7")</f>
        <v/>
      </c>
      <c r="F65">
        <f>HYPERLINK("https://www.amazon.jobs/jobs/3104734/software-engineer-ii?cmpid=DA_INAD200785B", "https://www.amazon.jobs/jobs/3104734/software-engineer-ii?cmpid=DA_INAD200785B")</f>
        <v/>
      </c>
      <c r="G65" t="inlineStr">
        <is>
          <t>Culver City, CA, US</t>
        </is>
      </c>
      <c r="H65" s="3" t="n">
        <v>45938</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in-b65b94ffe708ac33</t>
        </is>
      </c>
      <c r="B66" t="inlineStr">
        <is>
          <t>Software Engineer II</t>
        </is>
      </c>
      <c r="C66" t="inlineStr">
        <is>
          <t>Amazon.com</t>
        </is>
      </c>
      <c r="D66" t="inlineStr">
        <is>
          <t>indeed</t>
        </is>
      </c>
      <c r="E66">
        <f>HYPERLINK("https://www.indeed.com/viewjob?jk=b65b94ffe708ac33", "https://www.indeed.com/viewjob?jk=b65b94ffe708ac33")</f>
        <v/>
      </c>
      <c r="F66">
        <f>HYPERLINK("https://www.amazon.jobs/jobs/3090680/software-engineer-ii?cmpid=DA_INAD200785B", "https://www.amazon.jobs/jobs/3090680/software-engineer-ii?cmpid=DA_INAD200785B")</f>
        <v/>
      </c>
      <c r="G66" t="inlineStr">
        <is>
          <t>San Francisco, CA, US</t>
        </is>
      </c>
      <c r="H66" s="3" t="n">
        <v>45921</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in-e7b106a8c4dfe417</t>
        </is>
      </c>
      <c r="B67" t="inlineStr">
        <is>
          <t>Software Engineer II</t>
        </is>
      </c>
      <c r="C67" t="inlineStr">
        <is>
          <t>Amazon.com</t>
        </is>
      </c>
      <c r="D67" t="inlineStr">
        <is>
          <t>indeed</t>
        </is>
      </c>
      <c r="E67">
        <f>HYPERLINK("https://www.indeed.com/viewjob?jk=e7b106a8c4dfe417", "https://www.indeed.com/viewjob?jk=e7b106a8c4dfe417")</f>
        <v/>
      </c>
      <c r="F67">
        <f>HYPERLINK("https://www.amazon.jobs/jobs/3090680/software-engineer-ii?cmpid=DA_INAD200785B", "https://www.amazon.jobs/jobs/3090680/software-engineer-ii?cmpid=DA_INAD200785B")</f>
        <v/>
      </c>
      <c r="G67" t="inlineStr">
        <is>
          <t>Irvine, CA, US</t>
        </is>
      </c>
      <c r="H67" s="3" t="n">
        <v>45921</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in-2566ef8372f60b42</t>
        </is>
      </c>
      <c r="B68" t="inlineStr">
        <is>
          <t>Software Engineer I- Ad Demand</t>
        </is>
      </c>
      <c r="C68" t="inlineStr">
        <is>
          <t>Amazon.com</t>
        </is>
      </c>
      <c r="D68" t="inlineStr">
        <is>
          <t>indeed</t>
        </is>
      </c>
      <c r="E68">
        <f>HYPERLINK("https://www.indeed.com/viewjob?jk=2566ef8372f60b42", "https://www.indeed.com/viewjob?jk=2566ef8372f60b42")</f>
        <v/>
      </c>
      <c r="F68">
        <f>HYPERLINK("https://www.amazon.jobs/jobs/3082168/software-engineer-i-ad-demand?cmpid=DA_INAD200785B", "https://www.amazon.jobs/jobs/3082168/software-engineer-i-ad-demand?cmpid=DA_INAD200785B")</f>
        <v/>
      </c>
      <c r="G68" t="inlineStr">
        <is>
          <t>San Francisco, CA, US</t>
        </is>
      </c>
      <c r="H68" s="3" t="n">
        <v>45908</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in-eb04c79df672fac4</t>
        </is>
      </c>
      <c r="B69" t="inlineStr">
        <is>
          <t>Software Engineer I- Ad Demand</t>
        </is>
      </c>
      <c r="C69" t="inlineStr">
        <is>
          <t>Amazon.com</t>
        </is>
      </c>
      <c r="D69" t="inlineStr">
        <is>
          <t>indeed</t>
        </is>
      </c>
      <c r="E69">
        <f>HYPERLINK("https://www.indeed.com/viewjob?jk=eb04c79df672fac4", "https://www.indeed.com/viewjob?jk=eb04c79df672fac4")</f>
        <v/>
      </c>
      <c r="F69">
        <f>HYPERLINK("https://www.amazon.jobs/jobs/3082168/software-engineer-i-ad-demand?cmpid=DA_INAD200785B", "https://www.amazon.jobs/jobs/3082168/software-engineer-i-ad-demand?cmpid=DA_INAD200785B")</f>
        <v/>
      </c>
      <c r="G69" t="inlineStr">
        <is>
          <t>New York, NY, US</t>
        </is>
      </c>
      <c r="H69" s="3" t="n">
        <v>45908</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in-7fcc7a90addc40b5</t>
        </is>
      </c>
      <c r="B70" t="inlineStr">
        <is>
          <t>Sr. Software Engineer, Manager</t>
        </is>
      </c>
      <c r="C70" t="inlineStr">
        <is>
          <t>Amazon.com</t>
        </is>
      </c>
      <c r="D70" t="inlineStr">
        <is>
          <t>indeed</t>
        </is>
      </c>
      <c r="E70">
        <f>HYPERLINK("https://www.indeed.com/viewjob?jk=7fcc7a90addc40b5", "https://www.indeed.com/viewjob?jk=7fcc7a90addc40b5")</f>
        <v/>
      </c>
      <c r="F70">
        <f>HYPERLINK("https://www.amazon.jobs/jobs/3144309/sr-software-engineer-manager?cmpid=DA_INAD200785B", "https://www.amazon.jobs/jobs/3144309/sr-software-engineer-manager?cmpid=DA_INAD200785B")</f>
        <v/>
      </c>
      <c r="G70" t="inlineStr">
        <is>
          <t>San Francisco, CA, US</t>
        </is>
      </c>
      <c r="H70" s="3" t="n">
        <v>46006</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1">
      <c r="A71" t="inlineStr">
        <is>
          <t>in-9322fcb891f5c1cc</t>
        </is>
      </c>
      <c r="B71" t="inlineStr">
        <is>
          <t>Sr. Software Engineer, Manager</t>
        </is>
      </c>
      <c r="C71" t="inlineStr">
        <is>
          <t>Amazon.com</t>
        </is>
      </c>
      <c r="D71" t="inlineStr">
        <is>
          <t>indeed</t>
        </is>
      </c>
      <c r="E71">
        <f>HYPERLINK("https://www.indeed.com/viewjob?jk=9322fcb891f5c1cc", "https://www.indeed.com/viewjob?jk=9322fcb891f5c1cc")</f>
        <v/>
      </c>
      <c r="F71">
        <f>HYPERLINK("https://www.amazon.jobs/jobs/3144309/sr-software-engineer-manager?cmpid=DA_INAD200785B", "https://www.amazon.jobs/jobs/3144309/sr-software-engineer-manager?cmpid=DA_INAD200785B")</f>
        <v/>
      </c>
      <c r="G71" t="inlineStr">
        <is>
          <t>Irvine, CA, US</t>
        </is>
      </c>
      <c r="H71" s="3" t="n">
        <v>46006</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2">
      <c r="A72" t="inlineStr">
        <is>
          <t>in-64878cfcbd357420</t>
        </is>
      </c>
      <c r="B72" t="inlineStr">
        <is>
          <t>Sr. Software Engineer, Manager</t>
        </is>
      </c>
      <c r="C72" t="inlineStr">
        <is>
          <t>Amazon.com</t>
        </is>
      </c>
      <c r="D72" t="inlineStr">
        <is>
          <t>indeed</t>
        </is>
      </c>
      <c r="E72">
        <f>HYPERLINK("https://www.indeed.com/viewjob?jk=64878cfcbd357420", "https://www.indeed.com/viewjob?jk=64878cfcbd357420")</f>
        <v/>
      </c>
      <c r="F72">
        <f>HYPERLINK("https://www.amazon.jobs/jobs/3144309/sr-software-engineer-manager?cmpid=DA_INAD200785B", "https://www.amazon.jobs/jobs/3144309/sr-software-engineer-manager?cmpid=DA_INAD200785B")</f>
        <v/>
      </c>
      <c r="G72" t="inlineStr">
        <is>
          <t>Seattle, WA, US</t>
        </is>
      </c>
      <c r="H72" s="3" t="n">
        <v>46006</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3">
      <c r="A73" t="inlineStr">
        <is>
          <t>in-4a68e0f25dfccde2</t>
        </is>
      </c>
      <c r="B73" t="inlineStr">
        <is>
          <t>Sr. Software Engineer, Manager</t>
        </is>
      </c>
      <c r="C73" t="inlineStr">
        <is>
          <t>Amazon.com</t>
        </is>
      </c>
      <c r="D73" t="inlineStr">
        <is>
          <t>indeed</t>
        </is>
      </c>
      <c r="E73">
        <f>HYPERLINK("https://www.indeed.com/viewjob?jk=4a68e0f25dfccde2", "https://www.indeed.com/viewjob?jk=4a68e0f25dfccde2")</f>
        <v/>
      </c>
      <c r="F73">
        <f>HYPERLINK("https://www.amazon.jobs/jobs/3144309/sr-software-engineer-manager?cmpid=DA_INAD200785B", "https://www.amazon.jobs/jobs/3144309/sr-software-engineer-manager?cmpid=DA_INAD200785B")</f>
        <v/>
      </c>
      <c r="G73" t="inlineStr">
        <is>
          <t>New York, NY, US</t>
        </is>
      </c>
      <c r="H73" s="3" t="n">
        <v>46006</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4">
      <c r="A74" t="inlineStr">
        <is>
          <t>in-1aac336cb6b21074</t>
        </is>
      </c>
      <c r="B74" t="inlineStr">
        <is>
          <t>Sr. Software Engineer, Manager</t>
        </is>
      </c>
      <c r="C74" t="inlineStr">
        <is>
          <t>Amazon.com</t>
        </is>
      </c>
      <c r="D74" t="inlineStr">
        <is>
          <t>indeed</t>
        </is>
      </c>
      <c r="E74">
        <f>HYPERLINK("https://www.indeed.com/viewjob?jk=1aac336cb6b21074", "https://www.indeed.com/viewjob?jk=1aac336cb6b21074")</f>
        <v/>
      </c>
      <c r="F74">
        <f>HYPERLINK("https://www.amazon.jobs/jobs/3144309/sr-software-engineer-manager?cmpid=DA_INAD200785B", "https://www.amazon.jobs/jobs/3144309/sr-software-engineer-manager?cmpid=DA_INAD200785B")</f>
        <v/>
      </c>
      <c r="G74" t="inlineStr">
        <is>
          <t>Culver City, CA, US</t>
        </is>
      </c>
      <c r="H74" s="3" t="n">
        <v>46006</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5">
      <c r="A75" t="inlineStr">
        <is>
          <t>in-55819ac53e8fbb18</t>
        </is>
      </c>
      <c r="B75" t="inlineStr">
        <is>
          <t>Sr. Software Engineer- AI/ML, AWS Neuron Distributed Training</t>
        </is>
      </c>
      <c r="C75" t="inlineStr">
        <is>
          <t>Amazon Web Services</t>
        </is>
      </c>
      <c r="D75" t="inlineStr">
        <is>
          <t>indeed</t>
        </is>
      </c>
      <c r="E75">
        <f>HYPERLINK("https://www.indeed.com/viewjob?jk=55819ac53e8fbb18", "https://www.indeed.com/viewjob?jk=55819ac53e8fbb18")</f>
        <v/>
      </c>
      <c r="F75">
        <f>HYPERLINK("https://www.amazon.jobs/jobs/2912412/sr-software-engineer-aiml-aws-neuron-distributed-training?cmpid=DA_INAD200785B", "https://www.amazon.jobs/jobs/2912412/sr-software-engineer-aiml-aws-neuron-distributed-training?cmpid=DA_INAD200785B")</f>
        <v/>
      </c>
      <c r="G75" t="inlineStr">
        <is>
          <t>Seattle, WA, US</t>
        </is>
      </c>
      <c r="H75" s="3" t="n">
        <v>45713</v>
      </c>
      <c r="I7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in-2e62981abc460bf7</t>
        </is>
      </c>
      <c r="B76" t="inlineStr">
        <is>
          <t>Sr. Software Engineer- AI/ML, AWS Neuron Distributed Training</t>
        </is>
      </c>
      <c r="C76" t="inlineStr">
        <is>
          <t>Amazon Web Services</t>
        </is>
      </c>
      <c r="D76" t="inlineStr">
        <is>
          <t>indeed</t>
        </is>
      </c>
      <c r="E76">
        <f>HYPERLINK("https://www.indeed.com/viewjob?jk=2e62981abc460bf7", "https://www.indeed.com/viewjob?jk=2e62981abc460bf7")</f>
        <v/>
      </c>
      <c r="F76">
        <f>HYPERLINK("https://www.amazon.jobs/jobs/2912412/sr-software-engineer-aiml-aws-neuron-distributed-training?cmpid=DA_INAD200785B", "https://www.amazon.jobs/jobs/2912412/sr-software-engineer-aiml-aws-neuron-distributed-training?cmpid=DA_INAD200785B")</f>
        <v/>
      </c>
      <c r="G76" t="inlineStr">
        <is>
          <t>Cupertino, CA, US</t>
        </is>
      </c>
      <c r="H76" s="3" t="n">
        <v>45713</v>
      </c>
      <c r="I7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in-e16118daf29bf592</t>
        </is>
      </c>
      <c r="B77" t="inlineStr">
        <is>
          <t>Mobile Software Engineer</t>
        </is>
      </c>
      <c r="C77" t="inlineStr">
        <is>
          <t>SS Software Technologies</t>
        </is>
      </c>
      <c r="D77" t="inlineStr">
        <is>
          <t>indeed</t>
        </is>
      </c>
      <c r="E77">
        <f>HYPERLINK("https://www.indeed.com/viewjob?jk=e16118daf29bf592", "https://www.indeed.com/viewjob?jk=e16118daf29bf592")</f>
        <v/>
      </c>
      <c r="F77">
        <f>HYPERLINK("http://www.indeed.com/job/mobile-software-engineer-e16118daf29bf592", "http://www.indeed.com/job/mobile-software-engineer-e16118daf29bf592")</f>
        <v/>
      </c>
      <c r="G77" t="inlineStr">
        <is>
          <t>New York, NY, US</t>
        </is>
      </c>
      <c r="H77" s="3" t="n">
        <v>46068</v>
      </c>
      <c r="I77" t="inlineStr">
        <is>
          <t>5\+ years of professional software engineering experience with strong frontend or mobile focus
 Strong proficiency with React and TypeScript
 Experience building consumer\-facing applications
 Strong sense of product taste and attention to detail Nice to Have
 Self\-motivated and willing to push beyond comfort zone
 Open\-minded about incorporating AI tools into development workflows
Job Type: Full\-time
Pay: $97,225\.41 \- $160,088\.66 per year
Work Location: In person</t>
        </is>
      </c>
    </row>
    <row r="78">
      <c r="A78" t="inlineStr">
        <is>
          <t>in-eaa53013dfa0566d</t>
        </is>
      </c>
      <c r="B78" t="inlineStr">
        <is>
          <t>AWS Principal Software Engineer (Full-Stack)</t>
        </is>
      </c>
      <c r="C78" t="inlineStr">
        <is>
          <t>BAJ Consulting LLC</t>
        </is>
      </c>
      <c r="D78" t="inlineStr">
        <is>
          <t>indeed</t>
        </is>
      </c>
      <c r="E78">
        <f>HYPERLINK("https://www.indeed.com/viewjob?jk=eaa53013dfa0566d", "https://www.indeed.com/viewjob?jk=eaa53013dfa0566d")</f>
        <v/>
      </c>
      <c r="F78">
        <f>HYPERLINK("http://www.indeed.com/job/aws-principal-software-engineer-full-stack-eaa53013dfa0566d", "http://www.indeed.com/job/aws-principal-software-engineer-full-stack-eaa53013dfa0566d")</f>
        <v/>
      </c>
      <c r="G78" t="inlineStr">
        <is>
          <t>US</t>
        </is>
      </c>
      <c r="H78" s="3" t="n">
        <v>46068</v>
      </c>
      <c r="I78" t="inlineStr">
        <is>
          <t>**AWS Principal Software Engineer (Full\-Stack)**
**Salary \- 150k \- 175k with discretionary bonus**
Drive the technical evolution of our enterprise\-grade platforms. This role requires a heavy\-hitter in AWS, TypeScript, Node.js, Next.js, and NestJS who can navigate complex AWS cloud architectures.
**Key Responsibilities**
* Design \&amp; Strategy: Lead cross\-team architectural reviews and define organizational standards for scalability and observability.
* Full\-Stack Execution: Build robust APIs and distributed systems; optimize both SQL and NoSQL data layers.
* DevOps \&amp; Observability: Evolve CI/CD via GitLab and integrate deep tracing, logging, and metrics to ensure 99\.9% reliability.
* Innovation: Guide the adoption of emerging tech, including LLM\-driven features and geo\-aware capabilities.
**Top\-Tier Qualifications**
* Expert level architecture experience in AWS
* 8\-10\+ years in full\-stack engineering; 3\+ years in a Principal or Lead capacity.
* Expert Stack: JavaScript/TypeScript, Node.js, Next.js, NestJS, and AWS (DynamoDB/PostgreSQL).
* System Design: Proven track record of scaling SaaS platforms with eCommerce or SEO complexities.
Job Type: Full\-time
Pay: $150,000\.00 \- $175,000\.00 per year
Benefits:
* 401(k) matching
* Dental insurance
* Health insurance
* Vision insurance
Work Location: Remote</t>
        </is>
      </c>
    </row>
    <row r="79">
      <c r="A79" t="inlineStr">
        <is>
          <t>in-a46acb72e5ebccf4</t>
        </is>
      </c>
      <c r="B79" t="inlineStr">
        <is>
          <t>Blockchain Software Engineer</t>
        </is>
      </c>
      <c r="C79" t="inlineStr">
        <is>
          <t>Craftner INC</t>
        </is>
      </c>
      <c r="D79" t="inlineStr">
        <is>
          <t>indeed</t>
        </is>
      </c>
      <c r="E79">
        <f>HYPERLINK("https://www.indeed.com/viewjob?jk=a46acb72e5ebccf4", "https://www.indeed.com/viewjob?jk=a46acb72e5ebccf4")</f>
        <v/>
      </c>
      <c r="F79">
        <f>HYPERLINK("https://careers.craftner.com/job-detail/eyJpdiI6Imd5ajBWRGg1VVZic05wYnhTZ2RLQlE9PSIsInZhbHVlIjoiank1TEtjd0dYdERqMVlDK2Qya0R0dz09IiwibWFjIjoiZGI3NDAzOGUxNjg3NDQ5OTc0ZDM5ODQwYjI5ZDM2NDU4N2Q2ZjYyYmRmNjQwMGE3MGQzZGNlOTE0ODI4NTBiOSIsInRhZyI6IiJ9", "https://careers.craftner.com/job-detail/eyJpdiI6Imd5ajBWRGg1VVZic05wYnhTZ2RLQlE9PSIsInZhbHVlIjoiank1TEtjd0dYdERqMVlDK2Qya0R0dz09IiwibWFjIjoiZGI3NDAzOGUxNjg3NDQ5OTc0ZDM5ODQwYjI5ZDM2NDU4N2Q2ZjYyYmRmNjQwMGE3MGQzZGNlOTE0ODI4NTBiOSIsInRhZyI6IiJ9")</f>
        <v/>
      </c>
      <c r="G79" t="inlineStr">
        <is>
          <t>Charlotte, NC, US</t>
        </is>
      </c>
      <c r="H79" s="3" t="n">
        <v>46067</v>
      </c>
      <c r="I79"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80">
      <c r="A80" t="inlineStr">
        <is>
          <t>in-addd3fa12e689af0</t>
        </is>
      </c>
      <c r="B80" t="inlineStr">
        <is>
          <t>Principal Software Engineer</t>
        </is>
      </c>
      <c r="C80" t="inlineStr">
        <is>
          <t>Astrion</t>
        </is>
      </c>
      <c r="D80" t="inlineStr">
        <is>
          <t>indeed</t>
        </is>
      </c>
      <c r="E80">
        <f>HYPERLINK("https://www.indeed.com/viewjob?jk=addd3fa12e689af0", "https://www.indeed.com/viewjob?jk=addd3fa12e689af0")</f>
        <v/>
      </c>
      <c r="F80">
        <f>HYPERLINK("https://careers.astrion.us/jobs/23091/job?utm_source=indeed_integration&amp;iis=Job%20Board&amp;iisn=Indeed&amp;indeed-apply-token=73a2d2b2a8d6d5c0a62696875eaebd669103652d3f0c2cd5445d3e66b1592b0f", "https://careers.astrion.us/jobs/23091/job?utm_source=indeed_integration&amp;iis=Job%20Board&amp;iisn=Indeed&amp;indeed-apply-token=73a2d2b2a8d6d5c0a62696875eaebd669103652d3f0c2cd5445d3e66b1592b0f")</f>
        <v/>
      </c>
      <c r="G80" t="inlineStr">
        <is>
          <t>Hanscom AFB, MA, US</t>
        </is>
      </c>
      <c r="H80" s="3" t="n">
        <v>46067</v>
      </c>
      <c r="I80" t="inlineStr">
        <is>
          <t>Overview:
**Principal Software Engineer****LOCATION:** Hanscom AFB, Bedford MA**Salary Range:** $160\-$170,000 annually**JOB STATUS:** Full\-time**CLEARANCE:** Top Secret/SCI**CERTIFICATION:** n/a**TRAVEL:** Limited, as needed  
Astrion as an exciting opportunity for a **Principal** **Software Engineer** located at **Hanscom AFB** in **Bedford Massachusetts**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**REQUIRED QUALIFICATIONS / SKILLS:*** **Clearance****:** Must have and be able to maintain a Top Secret Level Clearance with current SCI eligibility
* **Citizenship:** Must be a US citizen
**PREFERRED QUALIFICATIONS / SKILLS:*** **Education:** Bachelor's or Master's Degree in a related field
* **Years of experience:** 20\+ years of experience with 12\+ years of experience in the DoD
*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 Familiarity with Electronic Warfare and/or Air Combat operations, including live aircrew training, tactics development, and range infrastructure systems (desired).
* Experience developing networked protocols in Windows and Linux environments (desired).
**RESPONSIBILITIES****:**
Duties include, but not limited to:* General Software Engineering and Development
	+ Assess feasibility through analysis, problem definition, and solution evaluation.
	+ Document and demonstrate solutions using diagrams, code, and documentation.
	+ Improve operations by analyzing systems and recommending procedural changes.
	+ Acquire and license software by coordinating with vendors and testing products.
	+ Analyze and summarize development and service issues to inform stakeholders.
	+ Support mission goals by completing engineering tasks as required.
	+ Perform SQA to ensure software meets defined quality standards.
	+ Collaborate in Agile teams to design, code, test, and review software and scripts.
	+ Contribute to build, deployment, and documentation tasks as needed.
* Design and Architecture
	+ Support all phases of the acquisition lifecycle through engineering activities and documentation (e.g., AoA, SEP, CDR).
	+ Conduct system architecture analysis, including feasibility studies and state\-of\-the\-art assessments.
	+ Develop and document system architectures, identify gaps, and recommend solutions using traditional or MBSE approaches.
	+ Maintain system architecture and interoperability requirements.
	+ Define operational requirements and interactions to support system development.
	+ Translate user needs into system\-level requirements using DoD acquisition practices.
	+ Analyze training systems and simulators, and evaluate their designs.
* Acquisition Support
	+ Apply DoD acquisition and sustainment engineering processes across product life cycles.
	+ Prepare/review specifications and apply modeling/simulation to optimize performance.
	+ Develop and integrate milestone documentation and reports per DoD/AF policies.
	+ Review contractor drawings for compliance with specifications and standards.
*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Hanscom Campaign</t>
        </is>
      </c>
    </row>
    <row r="81">
      <c r="A81" t="inlineStr">
        <is>
          <t>in-f051ec2fd9dad1af</t>
        </is>
      </c>
      <c r="B81" t="inlineStr">
        <is>
          <t>Principal Software Engineer</t>
        </is>
      </c>
      <c r="C81" t="inlineStr">
        <is>
          <t>Astrion</t>
        </is>
      </c>
      <c r="D81" t="inlineStr">
        <is>
          <t>indeed</t>
        </is>
      </c>
      <c r="E81">
        <f>HYPERLINK("https://www.indeed.com/viewjob?jk=f051ec2fd9dad1af", "https://www.indeed.com/viewjob?jk=f051ec2fd9dad1af")</f>
        <v/>
      </c>
      <c r="F81">
        <f>HYPERLINK("https://careers.astrion.us/jobs/23090/job?utm_source=indeed_integration&amp;iis=Job%20Board&amp;iisn=Indeed&amp;indeed-apply-token=73a2d2b2a8d6d5c0a62696875eaebd669103652d3f0c2cd5445d3e66b1592b0f", "https://careers.astrion.us/jobs/23090/job?utm_source=indeed_integration&amp;iis=Job%20Board&amp;iisn=Indeed&amp;indeed-apply-token=73a2d2b2a8d6d5c0a62696875eaebd669103652d3f0c2cd5445d3e66b1592b0f")</f>
        <v/>
      </c>
      <c r="G81" t="inlineStr">
        <is>
          <t>Hanscom AFB, MA, US</t>
        </is>
      </c>
      <c r="H81" s="3" t="n">
        <v>46067</v>
      </c>
      <c r="I81" t="inlineStr">
        <is>
          <t>Overview:
**Principal Software Engineer****LOCATION:** Hanscom AFB, Bedford MA**Salary Range:** $160\-$170,000 annually**JOB STATUS:** Full\-time**CLEARANCE:** Top Secret/SCI**CERTIFICATION:** n/a**TRAVEL:** Limited, as needed  
Astrion as an exciting opportunity for a **Principal** **Software Engineer** located at **Hanscom AFB** in **Bedford Massachusetts**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**REQUIRED QUALIFICATIONS / SKILLS:*** **Clearance****:** Must have and be able to maintain a Top Secret Level Clearance with current SCI eligibility
* **Citizenship:** Must be a US citizen
**PREFERRED QUALIFICATIONS / SKILLS:*** **Education:** Bachelor's or Master's Degree in a related field
* **Years of experience:** 20\+ years of experience with 12\+ years of experience in the DoD
*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 Familiarity with Electronic Warfare and/or Air Combat operations, including live aircrew training, tactics development, and range infrastructure systems (desired).
* Experience developing networked protocols in Windows and Linux environments (desired).
**RESPONSIBILITIES****:**
Duties include, but not limited to:* General Software Engineering and Development
	+ Assess feasibility through analysis, problem definition, and solution evaluation.
	+ Document and demonstrate solutions using diagrams, code, and documentation.
	+ Improve operations by analyzing systems and recommending procedural changes.
	+ Acquire and license software by coordinating with vendors and testing products.
	+ Analyze and summarize development and service issues to inform stakeholders.
	+ Support mission goals by completing engineering tasks as required.
	+ Perform SQA to ensure software meets defined quality standards.
	+ Collaborate in Agile teams to design, code, test, and review software and scripts.
	+ Contribute to build, deployment, and documentation tasks as needed.
* Design and Architecture
	+ Support all phases of the acquisition lifecycle through engineering activities and documentation (e.g., AoA, SEP, CDR).
	+ Conduct system architecture analysis, including feasibility studies and state\-of\-the\-art assessments.
	+ Develop and document system architectures, identify gaps, and recommend solutions using traditional or MBSE approaches.
	+ Maintain system architecture and interoperability requirements.
	+ Define operational requirements and interactions to support system development.
	+ Translate user needs into system\-level requirements using DoD acquisition practices.
	+ Analyze training systems and simulators, and evaluate their designs.
* Acquisition Support
	+ Apply DoD acquisition and sustainment engineering processes across product life cycles.
	+ Prepare/review specifications and apply modeling/simulation to optimize performance.
	+ Develop and integrate milestone documentation and reports per DoD/AF policies.
	+ Review contractor drawings for compliance with specifications and standards.
*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Hanscom Campaign</t>
        </is>
      </c>
    </row>
    <row r="82">
      <c r="A82" t="inlineStr">
        <is>
          <t>in-89b5e15e5a680047</t>
        </is>
      </c>
      <c r="B82" t="inlineStr">
        <is>
          <t>Senior Software Engineer, Generalist</t>
        </is>
      </c>
      <c r="C82" t="inlineStr">
        <is>
          <t>ANZA</t>
        </is>
      </c>
      <c r="D82" t="inlineStr">
        <is>
          <t>indeed</t>
        </is>
      </c>
      <c r="E82">
        <f>HYPERLINK("https://www.indeed.com/viewjob?jk=89b5e15e5a680047", "https://www.indeed.com/viewjob?jk=89b5e15e5a680047")</f>
        <v/>
      </c>
      <c r="F82">
        <f>HYPERLINK("https://apply.workable.com/j/F9EBF3573F", "https://apply.workable.com/j/F9EBF3573F")</f>
        <v/>
      </c>
      <c r="G82" t="inlineStr">
        <is>
          <t>San Francisco, CA, US</t>
        </is>
      </c>
      <c r="H82" s="3" t="n">
        <v>46067</v>
      </c>
      <c r="I82" t="inlineStr">
        <is>
          <t>Senior Software Engineer, Generalist \- Anza
###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 **The Role**
As a Senior Software Engineer, you will play a critical role in fortifying Anza's Agave client and the broader Solana network. This involves analyzing and debugging existing code, working with vertical subject\-matter experts to understand goals, and designing and benchmarking new solutions to meet performance and reliability requirements. Your work will directly contribute to the robustness and reliability of our blockchain infrastructure, ensuring it remains secure against emerging threats and scalable to accommodate future growth.
### **Responsibilities**
* Develop, maintain, and enhance our technical infrastructure, focusing on the Agave client within the Solana ecosystem.
* Design and implement testing frameworks and methodologies that simulate adversarial attacks, identifying vulnerabilities before they can be exploited.
* Gather and analyze metrics to identify performance bottlenecks.
* Work with subject matter experts to understand code component performance requirements and goals, both present and future.
* Design, implement, and benchmark solutions to improve performance and reliability.
* Collaborate with cross\-functional teams to architect solutions that prioritize reliability, scalability, security, and optimal performance of the Solana network.
* Contribute to the entire software development lifecycle, from concept and design to deployment, ensuring smooth transitions between development, staging, and production environments.
* Craft detailed documentation and architecture designs to foster consistent standards and knowledge sharing across teams.
**Requirements**
###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consensus algorithms, distributed systems, and blockchain technology is highly desirable.
* Problem\-Solving Skills: Ability to analyze complex systems, identify potential issues, and develop effective, flexible solutions.
* Security Mindset: Knowledge of common security threats and best practices in securing consensus processes.
* Growth Mindset: Actively consuming research papers, designing, and investigating new solutions.
* Performance Optimization: Experience with performance profiling and optimization techniques.
* Collaboration and Communication: Excellent teamwork and communication skills, with the ability to work effectively in a collaborative environment.
### **Preferred Qualifications**
* Familiarity with Linux, systems automation tools, and systems architecture.
* Understanding of networking, architecture, and principles underlying distributed systems.
* A knack for designing secure protocols, software, and algorithms that minimize trust requirements.
* Self\-driven, research oriented, and the ability to learn independently.
* Active participation in Bitcoin/Ethereum/Blockchain projects or the open\-source community is highly desirable.
**Benefits**
###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
The salary range for US\-based candidates will be determined throughout the interview process depending on experience, skill, and location. Candidates should anticipate an annual base salary (not including incentive compensation or other benefits) of $180,000 USD to $300,000 USD.</t>
        </is>
      </c>
    </row>
    <row r="83">
      <c r="A83" t="inlineStr">
        <is>
          <t>in-2120c16f61dae766</t>
        </is>
      </c>
      <c r="B83" t="inlineStr">
        <is>
          <t>Senior Software Engineer, Generalist</t>
        </is>
      </c>
      <c r="C83" t="inlineStr">
        <is>
          <t>ANZA</t>
        </is>
      </c>
      <c r="D83" t="inlineStr">
        <is>
          <t>indeed</t>
        </is>
      </c>
      <c r="E83">
        <f>HYPERLINK("https://www.indeed.com/viewjob?jk=2120c16f61dae766", "https://www.indeed.com/viewjob?jk=2120c16f61dae766")</f>
        <v/>
      </c>
      <c r="F83">
        <f>HYPERLINK("https://apply.workable.com/j/D6A497BBE4", "https://apply.workable.com/j/D6A497BBE4")</f>
        <v/>
      </c>
      <c r="G83" t="inlineStr">
        <is>
          <t>New York, NY, US</t>
        </is>
      </c>
      <c r="H83" s="3" t="n">
        <v>46067</v>
      </c>
      <c r="I83" t="inlineStr">
        <is>
          <t>Senior Software Engineer, Generalist \- Anza
###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 **The Role**
As a Senior Software Engineer, you will play a critical role in fortifying Anza's Agave client and the broader Solana network. This involves analyzing and debugging existing code, working with vertical subject\-matter experts to understand goals, and designing and benchmarking new solutions to meet performance and reliability requirements. Your work will directly contribute to the robustness and reliability of our blockchain infrastructure, ensuring it remains secure against emerging threats and scalable to accommodate future growth.
### **Responsibilities**
* Develop, maintain, and enhance our technical infrastructure, focusing on the Agave client within the Solana ecosystem.
* Design and implement testing frameworks and methodologies that simulate adversarial attacks, identifying vulnerabilities before they can be exploited.
* Gather and analyze metrics to identify performance bottlenecks.
* Work with subject matter experts to understand code component performance requirements and goals, both present and future.
* Design, implement, and benchmark solutions to improve performance and reliability.
* Collaborate with cross\-functional teams to architect solutions that prioritize reliability, scalability, security, and optimal performance of the Solana network.
* Contribute to the entire software development lifecycle, from concept and design to deployment, ensuring smooth transitions between development, staging, and production environments.
* Craft detailed documentation and architecture designs to foster consistent standards and knowledge sharing across teams.
**Requirements**
###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consensus algorithms, distributed systems, and blockchain technology is highly desirable.
* Problem\-Solving Skills: Ability to analyze complex systems, identify potential issues, and develop effective, flexible solutions.
* Security Mindset: Knowledge of common security threats and best practices in securing consensus processes.
* Growth Mindset: Actively consuming research papers, designing, and investigating new solutions.
* Performance Optimization: Experience with performance profiling and optimization techniques.
* Collaboration and Communication: Excellent teamwork and communication skills, with the ability to work effectively in a collaborative environment.
### **Preferred Qualifications**
* Familiarity with Linux, systems automation tools, and systems architecture.
* Understanding of networking, architecture, and principles underlying distributed systems.
* A knack for designing secure protocols, software, and algorithms that minimize trust requirements.
* Self\-driven, research oriented, and the ability to learn independently.
* Active participation in Bitcoin/Ethereum/Blockchain projects or the open\-source community is highly desirable.
**Benefits**
###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
The salary range for US\-based candidates will be determined throughout the interview process depending on experience, skill, and location. Candidates should anticipate an annual base salary (not including incentive compensation or other benefits) of $180,000 USD to $300,000 USD.</t>
        </is>
      </c>
    </row>
    <row r="84">
      <c r="A84" t="inlineStr">
        <is>
          <t>in-c34fb208f8db2220</t>
        </is>
      </c>
      <c r="B84" t="inlineStr">
        <is>
          <t>CNO Software Developer</t>
        </is>
      </c>
      <c r="C84" t="inlineStr">
        <is>
          <t>Dhara Consulting Group</t>
        </is>
      </c>
      <c r="D84" t="inlineStr">
        <is>
          <t>indeed</t>
        </is>
      </c>
      <c r="E84">
        <f>HYPERLINK("https://www.indeed.com/viewjob?jk=c34fb208f8db2220", "https://www.indeed.com/viewjob?jk=c34fb208f8db2220")</f>
        <v/>
      </c>
      <c r="F84">
        <f>HYPERLINK("https://www.clearancejobs.com/jobs/8757267/cno-software-developer", "https://www.clearancejobs.com/jobs/8757267/cno-software-developer")</f>
        <v/>
      </c>
      <c r="G84" t="inlineStr">
        <is>
          <t>Raleigh, NC, US</t>
        </is>
      </c>
      <c r="H84" s="3" t="n">
        <v>46067</v>
      </c>
      <c r="I84" t="inlineStr">
        <is>
          <t>Posted today
Top Secret/SCI
$130,000 \- $180,000
Full Scope Polygraph
IT \- Software
Raleigh, NC (On\-Site/Office)
Piper Companies is seeking a **CNO Software Developer** to support the development of advanced cyber capabilities within the defense and national security industry. The **CNO Software Developer** role is ideal for an engineer experienced in low\-level programming, system internals, and mission\-focused capability development.  
**Responsibilities of the CNO Software Developer:**  
* Design and develop new hardware\- or software\-based CNO capabilities.
* Manage the design, development, documentation, testing, and debugging of application software and systems.
* Apply expert knowledge of security concepts, system internals, and networks.
* Communicate technical status with leadership and customers.
* Ensure software engineering and quality standards are met.
**Qualifications of the CNO Software Developer:**  
* Bachelor's degree with 8\+ years of relevant experience, or 10\+ years of experience without a degree.
* Strong proficiency in Python and C/C\+\+ programming.
* Hands\-on experience with low\-level system internals and networking (TCP/IP, sockets).
* Solid troubleshooting, debugging, and CNO capability development experience.
* Active TS/SCI with FS Polygraph clearance.
**Compensation for the CNO Software Developer includes:**  
* Salary range: $130,000\-$180,000
* Comprehensive benefits package including medical, dental, vision, 401(k), and PTO
* Onsite or hybrid work based in Raleigh
This job opens for applications on 01/28/2026\. Applications for this job will be accepted for at least 30 days from the posting date.  
\#LI\-AR2  
\#ONSITE**GROUP ID:** 10430981</t>
        </is>
      </c>
    </row>
    <row r="85">
      <c r="A85" t="inlineStr">
        <is>
          <t>in-beacc052e1496fed</t>
        </is>
      </c>
      <c r="B85" t="inlineStr">
        <is>
          <t>Software Engineer II, Android</t>
        </is>
      </c>
      <c r="C85" t="inlineStr">
        <is>
          <t>Amazon.com</t>
        </is>
      </c>
      <c r="D85" t="inlineStr">
        <is>
          <t>indeed</t>
        </is>
      </c>
      <c r="E85">
        <f>HYPERLINK("https://www.indeed.com/viewjob?jk=beacc052e1496fed", "https://www.indeed.com/viewjob?jk=beacc052e1496fed")</f>
        <v/>
      </c>
      <c r="F85">
        <f>HYPERLINK("https://www.amazon.jobs/jobs/3166054/software-engineer-ii-android?cmpid=DA_INAD200785B", "https://www.amazon.jobs/jobs/3166054/software-engineer-ii-android?cmpid=DA_INAD200785B")</f>
        <v/>
      </c>
      <c r="G85" t="inlineStr">
        <is>
          <t>San Francisco, CA, US</t>
        </is>
      </c>
      <c r="H85" s="3" t="n">
        <v>46044</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86">
      <c r="A86" t="inlineStr">
        <is>
          <t>in-95faf0bd916cc161</t>
        </is>
      </c>
      <c r="B86" t="inlineStr">
        <is>
          <t>Software Engineer II, Android</t>
        </is>
      </c>
      <c r="C86" t="inlineStr">
        <is>
          <t>Amazon.com</t>
        </is>
      </c>
      <c r="D86" t="inlineStr">
        <is>
          <t>indeed</t>
        </is>
      </c>
      <c r="E86">
        <f>HYPERLINK("https://www.indeed.com/viewjob?jk=95faf0bd916cc161", "https://www.indeed.com/viewjob?jk=95faf0bd916cc161")</f>
        <v/>
      </c>
      <c r="F86">
        <f>HYPERLINK("https://www.amazon.jobs/jobs/3166054/software-engineer-ii-android?cmpid=DA_INAD200785B", "https://www.amazon.jobs/jobs/3166054/software-engineer-ii-android?cmpid=DA_INAD200785B")</f>
        <v/>
      </c>
      <c r="G86" t="inlineStr">
        <is>
          <t>Irvine, CA, US</t>
        </is>
      </c>
      <c r="H86" s="3" t="n">
        <v>46044</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87">
      <c r="A87" t="inlineStr">
        <is>
          <t>in-84526cfa54ecaa90</t>
        </is>
      </c>
      <c r="B87" t="inlineStr">
        <is>
          <t>Software Engineer II, Android</t>
        </is>
      </c>
      <c r="C87" t="inlineStr">
        <is>
          <t>Amazon.com</t>
        </is>
      </c>
      <c r="D87" t="inlineStr">
        <is>
          <t>indeed</t>
        </is>
      </c>
      <c r="E87">
        <f>HYPERLINK("https://www.indeed.com/viewjob?jk=84526cfa54ecaa90", "https://www.indeed.com/viewjob?jk=84526cfa54ecaa90")</f>
        <v/>
      </c>
      <c r="F87">
        <f>HYPERLINK("https://www.amazon.jobs/jobs/3166054/software-engineer-ii-android?cmpid=DA_INAD200785B", "https://www.amazon.jobs/jobs/3166054/software-engineer-ii-android?cmpid=DA_INAD200785B")</f>
        <v/>
      </c>
      <c r="G87" t="inlineStr">
        <is>
          <t>Seattle, WA, US</t>
        </is>
      </c>
      <c r="H87" s="3" t="n">
        <v>46044</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88">
      <c r="A88" t="inlineStr">
        <is>
          <t>in-e855ed8eccbb1847</t>
        </is>
      </c>
      <c r="B88" t="inlineStr">
        <is>
          <t>Sr. Embedded Software Engineer - FPGA Systems, Amazon Leo's Wireless Systems</t>
        </is>
      </c>
      <c r="C88" t="inlineStr">
        <is>
          <t>Amazon.com</t>
        </is>
      </c>
      <c r="D88" t="inlineStr">
        <is>
          <t>indeed</t>
        </is>
      </c>
      <c r="E88">
        <f>HYPERLINK("https://www.indeed.com/viewjob?jk=e855ed8eccbb1847", "https://www.indeed.com/viewjob?jk=e855ed8eccbb1847")</f>
        <v/>
      </c>
      <c r="F88">
        <f>HYPERLINK("https://www.amazon.jobs/jobs/3146069/sr-embedded-software-engineer--fpga-systems-amazon-leos-wireless-systems-?cmpid=DA_INAD200785B", "https://www.amazon.jobs/jobs/3146069/sr-embedded-software-engineer--fpga-systems-amazon-leos-wireless-systems-?cmpid=DA_INAD200785B")</f>
        <v/>
      </c>
      <c r="G88" t="inlineStr">
        <is>
          <t>Sunnyvale, CA, US</t>
        </is>
      </c>
      <c r="H88" s="3" t="n">
        <v>46008</v>
      </c>
      <c r="I8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89">
      <c r="A89" t="inlineStr">
        <is>
          <t>in-1de7df7c2aaeb3b3</t>
        </is>
      </c>
      <c r="B89" t="inlineStr">
        <is>
          <t>Sr. Embedded Software Engineer - FPGA Systems, Amazon Leo's Wireless Systems</t>
        </is>
      </c>
      <c r="C89" t="inlineStr">
        <is>
          <t>Amazon.com</t>
        </is>
      </c>
      <c r="D89" t="inlineStr">
        <is>
          <t>indeed</t>
        </is>
      </c>
      <c r="E89">
        <f>HYPERLINK("https://www.indeed.com/viewjob?jk=1de7df7c2aaeb3b3", "https://www.indeed.com/viewjob?jk=1de7df7c2aaeb3b3")</f>
        <v/>
      </c>
      <c r="F89">
        <f>HYPERLINK("https://www.amazon.jobs/jobs/3146069/sr-embedded-software-engineer--fpga-systems-amazon-leos-wireless-systems-?cmpid=DA_INAD200785B", "https://www.amazon.jobs/jobs/3146069/sr-embedded-software-engineer--fpga-systems-amazon-leos-wireless-systems-?cmpid=DA_INAD200785B")</f>
        <v/>
      </c>
      <c r="G89" t="inlineStr">
        <is>
          <t>San Diego, CA, US</t>
        </is>
      </c>
      <c r="H89" s="3" t="n">
        <v>46008</v>
      </c>
      <c r="I8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90">
      <c r="A90" t="inlineStr">
        <is>
          <t>in-cc2bd0c04566a4ee</t>
        </is>
      </c>
      <c r="B90" t="inlineStr">
        <is>
          <t>Sr. Embedded Software Engineer - FPGA Systems, Amazon Leo's Wireless Systems</t>
        </is>
      </c>
      <c r="C90" t="inlineStr">
        <is>
          <t>Amazon.com</t>
        </is>
      </c>
      <c r="D90" t="inlineStr">
        <is>
          <t>indeed</t>
        </is>
      </c>
      <c r="E90">
        <f>HYPERLINK("https://www.indeed.com/viewjob?jk=cc2bd0c04566a4ee", "https://www.indeed.com/viewjob?jk=cc2bd0c04566a4ee")</f>
        <v/>
      </c>
      <c r="F90">
        <f>HYPERLINK("https://www.amazon.jobs/jobs/3146069/sr-embedded-software-engineer--fpga-systems-amazon-leos-wireless-systems-?cmpid=DA_INAD200785B", "https://www.amazon.jobs/jobs/3146069/sr-embedded-software-engineer--fpga-systems-amazon-leos-wireless-systems-?cmpid=DA_INAD200785B")</f>
        <v/>
      </c>
      <c r="G90" t="inlineStr">
        <is>
          <t>Austin, TX, US</t>
        </is>
      </c>
      <c r="H90" s="3" t="n">
        <v>46008</v>
      </c>
      <c r="I9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91">
      <c r="A91" t="inlineStr">
        <is>
          <t>in-07da7c695c3d8203</t>
        </is>
      </c>
      <c r="B91" t="inlineStr">
        <is>
          <t>Sr Software Engineer, Amazon Ads Exchange</t>
        </is>
      </c>
      <c r="C91" t="inlineStr">
        <is>
          <t>Amazon.com</t>
        </is>
      </c>
      <c r="D91" t="inlineStr">
        <is>
          <t>indeed</t>
        </is>
      </c>
      <c r="E91">
        <f>HYPERLINK("https://www.indeed.com/viewjob?jk=07da7c695c3d8203", "https://www.indeed.com/viewjob?jk=07da7c695c3d8203")</f>
        <v/>
      </c>
      <c r="F91">
        <f>HYPERLINK("https://www.amazon.jobs/jobs/3146713/sr-software-engineer-amazon-ads-exchange?cmpid=DA_INAD200785B", "https://www.amazon.jobs/jobs/3146713/sr-software-engineer-amazon-ads-exchange?cmpid=DA_INAD200785B")</f>
        <v/>
      </c>
      <c r="G91" t="inlineStr">
        <is>
          <t>San Francisco, CA, US</t>
        </is>
      </c>
      <c r="H91" s="3" t="n">
        <v>46002</v>
      </c>
      <c r="I9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in-228dd44cdb5c075e</t>
        </is>
      </c>
      <c r="B92" t="inlineStr">
        <is>
          <t>Sr Software Engineer, Amazon Ads Exchange</t>
        </is>
      </c>
      <c r="C92" t="inlineStr">
        <is>
          <t>Amazon.com</t>
        </is>
      </c>
      <c r="D92" t="inlineStr">
        <is>
          <t>indeed</t>
        </is>
      </c>
      <c r="E92">
        <f>HYPERLINK("https://www.indeed.com/viewjob?jk=228dd44cdb5c075e", "https://www.indeed.com/viewjob?jk=228dd44cdb5c075e")</f>
        <v/>
      </c>
      <c r="F92">
        <f>HYPERLINK("https://www.amazon.jobs/jobs/3146713/sr-software-engineer-amazon-ads-exchange?cmpid=DA_INAD200785B", "https://www.amazon.jobs/jobs/3146713/sr-software-engineer-amazon-ads-exchange?cmpid=DA_INAD200785B")</f>
        <v/>
      </c>
      <c r="G92" t="inlineStr">
        <is>
          <t>Arlington, VA, US</t>
        </is>
      </c>
      <c r="H92" s="3" t="n">
        <v>46002</v>
      </c>
      <c r="I9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in-19a35e5c0c477429</t>
        </is>
      </c>
      <c r="B93" t="inlineStr">
        <is>
          <t>Sr Software Engineer, Amazon Ads Exchange</t>
        </is>
      </c>
      <c r="C93" t="inlineStr">
        <is>
          <t>Amazon.com</t>
        </is>
      </c>
      <c r="D93" t="inlineStr">
        <is>
          <t>indeed</t>
        </is>
      </c>
      <c r="E93">
        <f>HYPERLINK("https://www.indeed.com/viewjob?jk=19a35e5c0c477429", "https://www.indeed.com/viewjob?jk=19a35e5c0c477429")</f>
        <v/>
      </c>
      <c r="F93">
        <f>HYPERLINK("https://www.amazon.jobs/jobs/3146713/sr-software-engineer-amazon-ads-exchange?cmpid=DA_INAD200785B", "https://www.amazon.jobs/jobs/3146713/sr-software-engineer-amazon-ads-exchange?cmpid=DA_INAD200785B")</f>
        <v/>
      </c>
      <c r="G93" t="inlineStr">
        <is>
          <t>Palo Alto, CA, US</t>
        </is>
      </c>
      <c r="H93" s="3" t="n">
        <v>46002</v>
      </c>
      <c r="I9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in-f974e33824c2fe0e</t>
        </is>
      </c>
      <c r="B94" t="inlineStr">
        <is>
          <t>Software Engineer I</t>
        </is>
      </c>
      <c r="C94" t="inlineStr">
        <is>
          <t>Amazon.com</t>
        </is>
      </c>
      <c r="D94" t="inlineStr">
        <is>
          <t>indeed</t>
        </is>
      </c>
      <c r="E94">
        <f>HYPERLINK("https://www.indeed.com/viewjob?jk=f974e33824c2fe0e", "https://www.indeed.com/viewjob?jk=f974e33824c2fe0e")</f>
        <v/>
      </c>
      <c r="F94">
        <f>HYPERLINK("https://www.amazon.jobs/jobs/3141336/software-engineer-i?cmpid=DA_INAD200785B", "https://www.amazon.jobs/jobs/3141336/software-engineer-i?cmpid=DA_INAD200785B")</f>
        <v/>
      </c>
      <c r="G94" t="inlineStr">
        <is>
          <t>Seattle, WA, US</t>
        </is>
      </c>
      <c r="H94" s="3" t="n">
        <v>46001</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in-dfa70c2e9a219dce</t>
        </is>
      </c>
      <c r="B95" t="inlineStr">
        <is>
          <t>Software Engineer I</t>
        </is>
      </c>
      <c r="C95" t="inlineStr">
        <is>
          <t>Amazon.com</t>
        </is>
      </c>
      <c r="D95" t="inlineStr">
        <is>
          <t>indeed</t>
        </is>
      </c>
      <c r="E95">
        <f>HYPERLINK("https://www.indeed.com/viewjob?jk=dfa70c2e9a219dce", "https://www.indeed.com/viewjob?jk=dfa70c2e9a219dce")</f>
        <v/>
      </c>
      <c r="F95">
        <f>HYPERLINK("https://www.amazon.jobs/jobs/3141336/software-engineer-i?cmpid=DA_INAD200785B", "https://www.amazon.jobs/jobs/3141336/software-engineer-i?cmpid=DA_INAD200785B")</f>
        <v/>
      </c>
      <c r="G95" t="inlineStr">
        <is>
          <t>San Francisco, CA, US</t>
        </is>
      </c>
      <c r="H95" s="3" t="n">
        <v>46001</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in-6265db98cf11f1de</t>
        </is>
      </c>
      <c r="B96" t="inlineStr">
        <is>
          <t>Software Engineer II, Android</t>
        </is>
      </c>
      <c r="C96" t="inlineStr">
        <is>
          <t>Amazon.com</t>
        </is>
      </c>
      <c r="D96" t="inlineStr">
        <is>
          <t>indeed</t>
        </is>
      </c>
      <c r="E96">
        <f>HYPERLINK("https://www.indeed.com/viewjob?jk=6265db98cf11f1de", "https://www.indeed.com/viewjob?jk=6265db98cf11f1de")</f>
        <v/>
      </c>
      <c r="F96">
        <f>HYPERLINK("https://www.amazon.jobs/jobs/3138330/software-engineer-ii-android?cmpid=DA_INAD200785B", "https://www.amazon.jobs/jobs/3138330/software-engineer-ii-android?cmpid=DA_INAD200785B")</f>
        <v/>
      </c>
      <c r="G96" t="inlineStr">
        <is>
          <t>Irvine, CA, US</t>
        </is>
      </c>
      <c r="H96" s="3" t="n">
        <v>45995</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in-43022550eba42d8c</t>
        </is>
      </c>
      <c r="B97" t="inlineStr">
        <is>
          <t>Software Engineer II, Android</t>
        </is>
      </c>
      <c r="C97" t="inlineStr">
        <is>
          <t>Amazon.com</t>
        </is>
      </c>
      <c r="D97" t="inlineStr">
        <is>
          <t>indeed</t>
        </is>
      </c>
      <c r="E97">
        <f>HYPERLINK("https://www.indeed.com/viewjob?jk=43022550eba42d8c", "https://www.indeed.com/viewjob?jk=43022550eba42d8c")</f>
        <v/>
      </c>
      <c r="F97">
        <f>HYPERLINK("https://www.amazon.jobs/jobs/3138330/software-engineer-ii-android?cmpid=DA_INAD200785B", "https://www.amazon.jobs/jobs/3138330/software-engineer-ii-android?cmpid=DA_INAD200785B")</f>
        <v/>
      </c>
      <c r="G97" t="inlineStr">
        <is>
          <t>San Francisco, CA, US</t>
        </is>
      </c>
      <c r="H97" s="3" t="n">
        <v>45995</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in-bc14e78148b6a096</t>
        </is>
      </c>
      <c r="B98" t="inlineStr">
        <is>
          <t>Software Engineer II, Android</t>
        </is>
      </c>
      <c r="C98" t="inlineStr">
        <is>
          <t>Amazon.com</t>
        </is>
      </c>
      <c r="D98" t="inlineStr">
        <is>
          <t>indeed</t>
        </is>
      </c>
      <c r="E98">
        <f>HYPERLINK("https://www.indeed.com/viewjob?jk=bc14e78148b6a096", "https://www.indeed.com/viewjob?jk=bc14e78148b6a096")</f>
        <v/>
      </c>
      <c r="F98">
        <f>HYPERLINK("https://www.amazon.jobs/jobs/3138330/software-engineer-ii-android?cmpid=DA_INAD200785B", "https://www.amazon.jobs/jobs/3138330/software-engineer-ii-android?cmpid=DA_INAD200785B")</f>
        <v/>
      </c>
      <c r="G98" t="inlineStr">
        <is>
          <t>Seattle, WA, US</t>
        </is>
      </c>
      <c r="H98" s="3" t="n">
        <v>45995</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in-b9a810dbab47aef6</t>
        </is>
      </c>
      <c r="B99" t="inlineStr">
        <is>
          <t>Senior Embedded Software Engineer, Amazon Leo Digital RF Systems</t>
        </is>
      </c>
      <c r="C99" t="inlineStr">
        <is>
          <t>Amazon.com</t>
        </is>
      </c>
      <c r="D99" t="inlineStr">
        <is>
          <t>indeed</t>
        </is>
      </c>
      <c r="E99">
        <f>HYPERLINK("https://www.indeed.com/viewjob?jk=b9a810dbab47aef6", "https://www.indeed.com/viewjob?jk=b9a810dbab47aef6")</f>
        <v/>
      </c>
      <c r="F99">
        <f>HYPERLINK("https://www.amazon.jobs/jobs/3130773/senior-embedded-software-engineer-amazon-leo-digital-rf-systems?cmpid=DA_INAD200785B", "https://www.amazon.jobs/jobs/3130773/senior-embedded-software-engineer-amazon-leo-digital-rf-systems?cmpid=DA_INAD200785B")</f>
        <v/>
      </c>
      <c r="G99" t="inlineStr">
        <is>
          <t>Redmond, WA, US</t>
        </is>
      </c>
      <c r="H99" s="3" t="n">
        <v>45981</v>
      </c>
      <c r="I9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00">
      <c r="A100" t="inlineStr">
        <is>
          <t>in-0273c1efc36d4d60</t>
        </is>
      </c>
      <c r="B100" t="inlineStr">
        <is>
          <t>Senior Embedded Software Engineer, Amazon Leo Digital RF Systems</t>
        </is>
      </c>
      <c r="C100" t="inlineStr">
        <is>
          <t>Amazon.com</t>
        </is>
      </c>
      <c r="D100" t="inlineStr">
        <is>
          <t>indeed</t>
        </is>
      </c>
      <c r="E100">
        <f>HYPERLINK("https://www.indeed.com/viewjob?jk=0273c1efc36d4d60", "https://www.indeed.com/viewjob?jk=0273c1efc36d4d60")</f>
        <v/>
      </c>
      <c r="F100">
        <f>HYPERLINK("https://www.amazon.jobs/jobs/3130773/senior-embedded-software-engineer-amazon-leo-digital-rf-systems?cmpid=DA_INAD200785B", "https://www.amazon.jobs/jobs/3130773/senior-embedded-software-engineer-amazon-leo-digital-rf-systems?cmpid=DA_INAD200785B")</f>
        <v/>
      </c>
      <c r="G100" t="inlineStr">
        <is>
          <t>San Diego, CA, US</t>
        </is>
      </c>
      <c r="H100" s="3" t="n">
        <v>45981</v>
      </c>
      <c r="I10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01">
      <c r="A101" t="inlineStr">
        <is>
          <t>in-34214c0d929750b6</t>
        </is>
      </c>
      <c r="B101" t="inlineStr">
        <is>
          <t>Senior Software Engineer - Query Optimization, Aurora DSQL</t>
        </is>
      </c>
      <c r="C101" t="inlineStr">
        <is>
          <t>Amazon Web Services</t>
        </is>
      </c>
      <c r="D101" t="inlineStr">
        <is>
          <t>indeed</t>
        </is>
      </c>
      <c r="E101">
        <f>HYPERLINK("https://www.indeed.com/viewjob?jk=34214c0d929750b6", "https://www.indeed.com/viewjob?jk=34214c0d929750b6")</f>
        <v/>
      </c>
      <c r="F101">
        <f>HYPERLINK("https://www.amazon.jobs/jobs/3100177/senior-software-engineer--query-optimization-aurora-dsql?cmpid=DA_INAD200785B", "https://www.amazon.jobs/jobs/3100177/senior-software-engineer--query-optimization-aurora-dsql?cmpid=DA_INAD200785B")</f>
        <v/>
      </c>
      <c r="G101" t="inlineStr">
        <is>
          <t>East Palo Alto, CA, US</t>
        </is>
      </c>
      <c r="H101" s="3" t="n">
        <v>45931</v>
      </c>
      <c r="I1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02">
      <c r="A102" t="inlineStr">
        <is>
          <t>in-85f40fa16ffe19ba</t>
        </is>
      </c>
      <c r="B102" t="inlineStr">
        <is>
          <t>Senior Software Engineer - Query Optimization, Aurora DSQL</t>
        </is>
      </c>
      <c r="C102" t="inlineStr">
        <is>
          <t>Amazon Web Services</t>
        </is>
      </c>
      <c r="D102" t="inlineStr">
        <is>
          <t>indeed</t>
        </is>
      </c>
      <c r="E102">
        <f>HYPERLINK("https://www.indeed.com/viewjob?jk=85f40fa16ffe19ba", "https://www.indeed.com/viewjob?jk=85f40fa16ffe19ba")</f>
        <v/>
      </c>
      <c r="F102">
        <f>HYPERLINK("https://www.amazon.jobs/jobs/3100177/senior-software-engineer--query-optimization-aurora-dsql?cmpid=DA_INAD200785B", "https://www.amazon.jobs/jobs/3100177/senior-software-engineer--query-optimization-aurora-dsql?cmpid=DA_INAD200785B")</f>
        <v/>
      </c>
      <c r="G102" t="inlineStr">
        <is>
          <t>Seattle, WA, US</t>
        </is>
      </c>
      <c r="H102" s="3" t="n">
        <v>45931</v>
      </c>
      <c r="I10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03">
      <c r="A103" t="inlineStr">
        <is>
          <t>in-f30d9f35f9ba277f</t>
        </is>
      </c>
      <c r="B103" t="inlineStr">
        <is>
          <t>Sr. Device Software Engineer, Amazon Leo Government</t>
        </is>
      </c>
      <c r="C103" t="inlineStr">
        <is>
          <t>Amazon.com</t>
        </is>
      </c>
      <c r="D103" t="inlineStr">
        <is>
          <t>indeed</t>
        </is>
      </c>
      <c r="E103">
        <f>HYPERLINK("https://www.indeed.com/viewjob?jk=f30d9f35f9ba277f", "https://www.indeed.com/viewjob?jk=f30d9f35f9ba277f")</f>
        <v/>
      </c>
      <c r="F103">
        <f>HYPERLINK("https://www.amazon.jobs/jobs/3082545/sr-device-software-engineer-amazon-leo-government-?cmpid=DA_INAD200785B", "https://www.amazon.jobs/jobs/3082545/sr-device-software-engineer-amazon-leo-government-?cmpid=DA_INAD200785B")</f>
        <v/>
      </c>
      <c r="G103" t="inlineStr">
        <is>
          <t>El Segundo, CA, US</t>
        </is>
      </c>
      <c r="H103" s="3" t="n">
        <v>45911</v>
      </c>
      <c r="I10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04">
      <c r="A104" t="inlineStr">
        <is>
          <t>in-0217affe216debc8</t>
        </is>
      </c>
      <c r="B104" t="inlineStr">
        <is>
          <t>Device Software Engineer, Amazon Leo Government</t>
        </is>
      </c>
      <c r="C104" t="inlineStr">
        <is>
          <t>Amazon.com</t>
        </is>
      </c>
      <c r="D104" t="inlineStr">
        <is>
          <t>indeed</t>
        </is>
      </c>
      <c r="E104">
        <f>HYPERLINK("https://www.indeed.com/viewjob?jk=0217affe216debc8", "https://www.indeed.com/viewjob?jk=0217affe216debc8")</f>
        <v/>
      </c>
      <c r="F104">
        <f>HYPERLINK("https://www.amazon.jobs/jobs/3083623/device-software-engineer-amazon-leo-government-?cmpid=DA_INAD200785B", "https://www.amazon.jobs/jobs/3083623/device-software-engineer-amazon-leo-government-?cmpid=DA_INAD200785B")</f>
        <v/>
      </c>
      <c r="G104" t="inlineStr">
        <is>
          <t>El Segundo, CA, US</t>
        </is>
      </c>
      <c r="H104" s="3" t="n">
        <v>45910</v>
      </c>
      <c r="I10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05">
      <c r="A105" t="inlineStr">
        <is>
          <t>in-b8dacb8dcc014361</t>
        </is>
      </c>
      <c r="B105" t="inlineStr">
        <is>
          <t>Device Software Engineer, Amazon Leo Government</t>
        </is>
      </c>
      <c r="C105" t="inlineStr">
        <is>
          <t>Amazon.com</t>
        </is>
      </c>
      <c r="D105" t="inlineStr">
        <is>
          <t>indeed</t>
        </is>
      </c>
      <c r="E105">
        <f>HYPERLINK("https://www.indeed.com/viewjob?jk=b8dacb8dcc014361", "https://www.indeed.com/viewjob?jk=b8dacb8dcc014361")</f>
        <v/>
      </c>
      <c r="F105">
        <f>HYPERLINK("https://www.amazon.jobs/jobs/3083623/device-software-engineer-amazon-leo-government-?cmpid=DA_INAD200785B", "https://www.amazon.jobs/jobs/3083623/device-software-engineer-amazon-leo-government-?cmpid=DA_INAD200785B")</f>
        <v/>
      </c>
      <c r="G105" t="inlineStr">
        <is>
          <t>Redmond, WA, US</t>
        </is>
      </c>
      <c r="H105" s="3" t="n">
        <v>45910</v>
      </c>
      <c r="I10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06">
      <c r="A106" t="inlineStr">
        <is>
          <t>in-3a54c1ce787468e8</t>
        </is>
      </c>
      <c r="B106" t="inlineStr">
        <is>
          <t>Software Developer Engineer - iOS, Ring</t>
        </is>
      </c>
      <c r="C106" t="inlineStr">
        <is>
          <t>Amazon.com</t>
        </is>
      </c>
      <c r="D106" t="inlineStr">
        <is>
          <t>indeed</t>
        </is>
      </c>
      <c r="E106">
        <f>HYPERLINK("https://www.indeed.com/viewjob?jk=3a54c1ce787468e8", "https://www.indeed.com/viewjob?jk=3a54c1ce787468e8")</f>
        <v/>
      </c>
      <c r="F106">
        <f>HYPERLINK("https://www.amazon.jobs/jobs/3011028/software-developer-engineer--ios-ring?cmpid=DA_INAD200785B", "https://www.amazon.jobs/jobs/3011028/software-developer-engineer--ios-ring?cmpid=DA_INAD200785B")</f>
        <v/>
      </c>
      <c r="G106" t="inlineStr">
        <is>
          <t>Irvine, CA, US</t>
        </is>
      </c>
      <c r="H106" s="3" t="n">
        <v>45812</v>
      </c>
      <c r="I10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in-9d0e39354dfbb82f</t>
        </is>
      </c>
      <c r="B107" t="inlineStr">
        <is>
          <t>Software Developer Engineer - iOS, Ring</t>
        </is>
      </c>
      <c r="C107" t="inlineStr">
        <is>
          <t>Amazon.com</t>
        </is>
      </c>
      <c r="D107" t="inlineStr">
        <is>
          <t>indeed</t>
        </is>
      </c>
      <c r="E107">
        <f>HYPERLINK("https://www.indeed.com/viewjob?jk=9d0e39354dfbb82f", "https://www.indeed.com/viewjob?jk=9d0e39354dfbb82f")</f>
        <v/>
      </c>
      <c r="F107">
        <f>HYPERLINK("https://www.amazon.jobs/jobs/3011028/software-developer-engineer--ios-ring?cmpid=DA_INAD200785B", "https://www.amazon.jobs/jobs/3011028/software-developer-engineer--ios-ring?cmpid=DA_INAD200785B")</f>
        <v/>
      </c>
      <c r="G107" t="inlineStr">
        <is>
          <t>Austin, TX, US</t>
        </is>
      </c>
      <c r="H107" s="3" t="n">
        <v>45812</v>
      </c>
      <c r="I10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in-e3cab298f0fbd23e</t>
        </is>
      </c>
      <c r="B108" t="inlineStr">
        <is>
          <t>Software Developer Engineer - iOS, Ring</t>
        </is>
      </c>
      <c r="C108" t="inlineStr">
        <is>
          <t>Amazon.com</t>
        </is>
      </c>
      <c r="D108" t="inlineStr">
        <is>
          <t>indeed</t>
        </is>
      </c>
      <c r="E108">
        <f>HYPERLINK("https://www.indeed.com/viewjob?jk=e3cab298f0fbd23e", "https://www.indeed.com/viewjob?jk=e3cab298f0fbd23e")</f>
        <v/>
      </c>
      <c r="F108">
        <f>HYPERLINK("https://www.amazon.jobs/jobs/3011028/software-developer-engineer--ios-ring?cmpid=DA_INAD200785B", "https://www.amazon.jobs/jobs/3011028/software-developer-engineer--ios-ring?cmpid=DA_INAD200785B")</f>
        <v/>
      </c>
      <c r="G108" t="inlineStr">
        <is>
          <t>Hawthorne, CA, US</t>
        </is>
      </c>
      <c r="H108" s="3" t="n">
        <v>45812</v>
      </c>
      <c r="I10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in-f0827719cacb0c5a</t>
        </is>
      </c>
      <c r="B109" t="inlineStr">
        <is>
          <t>Senior Software Engineer - Query Processing, Aurora DSQL</t>
        </is>
      </c>
      <c r="C109" t="inlineStr">
        <is>
          <t>Amazon Web Services</t>
        </is>
      </c>
      <c r="D109" t="inlineStr">
        <is>
          <t>indeed</t>
        </is>
      </c>
      <c r="E109">
        <f>HYPERLINK("https://www.indeed.com/viewjob?jk=f0827719cacb0c5a", "https://www.indeed.com/viewjob?jk=f0827719cacb0c5a")</f>
        <v/>
      </c>
      <c r="F109">
        <f>HYPERLINK("https://www.amazon.jobs/jobs/2987643/senior-software-engineer--query-processing-aurora-dsql?cmpid=DA_INAD200785B", "https://www.amazon.jobs/jobs/2987643/senior-software-engineer--query-processing-aurora-dsql?cmpid=DA_INAD200785B")</f>
        <v/>
      </c>
      <c r="G109" t="inlineStr">
        <is>
          <t>East Palo Alto, CA, US</t>
        </is>
      </c>
      <c r="H109" s="3" t="n">
        <v>45796</v>
      </c>
      <c r="I10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in-3e2edf9348320940</t>
        </is>
      </c>
      <c r="B110" t="inlineStr">
        <is>
          <t>Senior Software Engineer - Query Processing, Aurora DSQL</t>
        </is>
      </c>
      <c r="C110" t="inlineStr">
        <is>
          <t>Amazon Web Services</t>
        </is>
      </c>
      <c r="D110" t="inlineStr">
        <is>
          <t>indeed</t>
        </is>
      </c>
      <c r="E110">
        <f>HYPERLINK("https://www.indeed.com/viewjob?jk=3e2edf9348320940", "https://www.indeed.com/viewjob?jk=3e2edf9348320940")</f>
        <v/>
      </c>
      <c r="F110">
        <f>HYPERLINK("https://www.amazon.jobs/jobs/2987643/senior-software-engineer--query-processing-aurora-dsql?cmpid=DA_INAD200785B", "https://www.amazon.jobs/jobs/2987643/senior-software-engineer--query-processing-aurora-dsql?cmpid=DA_INAD200785B")</f>
        <v/>
      </c>
      <c r="G110" t="inlineStr">
        <is>
          <t>Seattle, WA, US</t>
        </is>
      </c>
      <c r="H110" s="3" t="n">
        <v>45796</v>
      </c>
      <c r="I11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li-4239984019</t>
        </is>
      </c>
      <c r="B2" t="inlineStr">
        <is>
          <t>Software Engineer, Machine Learning</t>
        </is>
      </c>
      <c r="C2" t="inlineStr">
        <is>
          <t>Figma</t>
        </is>
      </c>
      <c r="D2" t="inlineStr">
        <is>
          <t>linkedin</t>
        </is>
      </c>
      <c r="E2" t="inlineStr"/>
      <c r="F2" t="inlineStr"/>
      <c r="G2" t="inlineStr">
        <is>
          <t>New York, NY</t>
        </is>
      </c>
      <c r="H2" t="inlineStr"/>
      <c r="I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 Design, build, and productionize ML models for Search, Discovery, Ranking, Retrieval\-Augmented Generation (RAG), and generative AI features.
* Build and maintain scalable data pipelines to collect high\-quality training and evaluation datasets, including annotation systems and human\-in\-the\-loop workflows.
* Collaborate with AI researchers to iterate on datasets, evaluation metrics, and model architectures to improve quality and relevance.
* Work with product engineers to define and deliver impactful AI features across Figma’s platform.
* Partner with infrastructure engineers to develop and optimize systems for training, inference, monitoring, and deployment.
* Explore new ideas at the edge of what’s technically possible and help shape the long\-term AI vision at Figma.
**We’d love to hear from you If you have:**
* 5\+ years of industry experience in software engineering, with 3\+ years focused on applied machine learning or AI.
* Strong experience with end\-to\-end ML model development, including training, evaluation, deployment, and monitoring.
* Proficiency in Python and familiarity with ML libraries like PyTorch, TensorFlow, Scikit\-learn, Spark MLlib, or XGBoost.
* Experience designing and building scalable data and annotation pipelines, as well as evaluation systems for AI model quality.
* Experience mentoring or leading others and contributing to a culture of technical excellence and innovation.
**While not required, It’s an added plus if you also have:**
* Familiarity with search relevance, ranking, NLP, or RAG systems.
* Experience with AI infrastructure and MLOps, including observability, CI/CD, and automation for ML workflows.
* Experience working on creative or design\-focused ML applications.
* Knowledge of additional languages such as C\+\+ or Go is a plus, but not required.
* A product mindset with the ability to tie technical work to user outcomes and business impact.
*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3">
      <c r="A3" t="inlineStr">
        <is>
          <t>li-4239977993</t>
        </is>
      </c>
      <c r="B3" t="inlineStr">
        <is>
          <t>Software Engineer, Machine Learning</t>
        </is>
      </c>
      <c r="C3" t="inlineStr">
        <is>
          <t>Figma</t>
        </is>
      </c>
      <c r="D3" t="inlineStr">
        <is>
          <t>linkedin</t>
        </is>
      </c>
      <c r="E3" t="inlineStr"/>
      <c r="F3" t="inlineStr"/>
      <c r="G3" t="inlineStr"/>
      <c r="H3" t="inlineStr"/>
      <c r="I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 Design, build, and productionize ML models for Search, Discovery, Ranking, Retrieval\-Augmented Generation (RAG), and generative AI features.
* Build and maintain scalable data pipelines to collect high\-quality training and evaluation datasets, including annotation systems and human\-in\-the\-loop workflows.
* Collaborate with AI researchers to iterate on datasets, evaluation metrics, and model architectures to improve quality and relevance.
* Work with product engineers to define and deliver impactful AI features across Figma’s platform.
* Partner with infrastructure engineers to develop and optimize systems for training, inference, monitoring, and deployment.
* Explore new ideas at the edge of what’s technically possible and help shape the long\-term AI vision at Figma.
**We’d love to hear from you If you have:**
* 5\+ years of industry experience in software engineering, with 3\+ years focused on applied machine learning or AI.
* Strong experience with end\-to\-end ML model development, including training, evaluation, deployment, and monitoring.
* Proficiency in Python and familiarity with ML libraries like PyTorch, TensorFlow, Scikit\-learn, Spark MLlib, or XGBoost.
* Experience designing and building scalable data and annotation pipelines, as well as evaluation systems for AI model quality.
* Experience mentoring or leading others and contributing to a culture of technical excellence and innovation.
**While not required, It’s an added plus if you also have:**
* Familiarity with search relevance, ranking, NLP, or RAG systems.
* Experience with AI infrastructure and MLOps, including observability, CI/CD, and automation for ML workflows.
* Experience working on creative or design\-focused ML applications.
* Knowledge of additional languages such as C\+\+ or Go is a plus, but not required.
* A product mindset with the ability to tie technical work to user outcomes and business impact.
*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4">
      <c r="A4" t="inlineStr">
        <is>
          <t>li-4292315291</t>
        </is>
      </c>
      <c r="B4" t="inlineStr">
        <is>
          <t>Senior Software Engineer, AI</t>
        </is>
      </c>
      <c r="C4" t="inlineStr">
        <is>
          <t>Aircall</t>
        </is>
      </c>
      <c r="D4" t="inlineStr">
        <is>
          <t>linkedin</t>
        </is>
      </c>
      <c r="E4" t="inlineStr"/>
      <c r="F4" t="inlineStr"/>
      <c r="G4" t="inlineStr">
        <is>
          <t>San Francisco, CA</t>
        </is>
      </c>
      <c r="H4" t="inlineStr"/>
      <c r="I4"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As a Senior Backend \&amp; AI Engineer, you will be responsible for the design, development, deployment, and operation of business\-critical AI features. Previous experience implementing AI features is a must. Best practices, evangelization, and mentoring in your team and across all of Engineering will be a part of your day to day job. Quality, excellence, and agility drive our delivery processes and you will help us level these up. You will be building practical applications such as chatbots, virtual assistants, automated content generation, and other NLP\-powered tools. You will use and fine\-tune existing LLMs to cater to specific business needs and domains, ensuring high performance in real\-world applications.
**Your Responsibilities @ Aircall:**
* Collaborate on requirements analysis to design the right technical and business solutions for our customers.
* Propose innovative solutions by staying ahead of AI landscape trends and emerging technologies.
* Own key responsibilities in the design, architecture, and end\-to\-end delivery of AI\-driven modules.
* Write clean, scalable, and maintainable code while ensuring proper testing, deployment, and monitoring.
* Continuously improve code quality through regular refactoring, debugging, and performance enhancements.
* Contribute to building secure, high\-quality AI solutions that power Aircall’s customer experience.
* Optimize product and platform performance and ensure reliability through live site monitoring.
* Participate in an on\-call rotation to handle critical incidents and maintain system uptime.
**Qualifications:**
* AI experience is a must for this position: Strong knowledge of LLMs and hands\-on experience building with them \- including usage, prompting and model integration.
* Familiarity with AI frameworks (e.g., LangChain, LlamaIndex, AutoGen) and modern AI architectures such as RAG, vector databases, reranking, and performance optimization.
* 5\+ years of experience in back\-end development using Python, TypeScript/Node.js, or Java, with a focus on security, scalability, availability, and performance.
* Full\-stack development experience is a strong plus.
* Nice to have: Ideally you will have worked with AWS in a production environment and understand how to design for, deploy on and get the best out of, the environment and services provided by Amazon.
* Security is at the forefront of your mind in everything that you do.
 $180,000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equity
 🏨 Medical, dental, and vision insurance is 100% covered
 📈 401k plan with company matching!
 ✈️ Unlimited PTO — take the time you need to come to work feeling great!
 ⭐️ Wellness, commuter, and childcare reimbursements
 💚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li-4324759285</t>
        </is>
      </c>
      <c r="B5" t="inlineStr">
        <is>
          <t>Software Engineer L5 - Ads Engineering</t>
        </is>
      </c>
      <c r="C5" t="inlineStr">
        <is>
          <t>Netflix</t>
        </is>
      </c>
      <c r="D5" t="inlineStr">
        <is>
          <t>linkedin</t>
        </is>
      </c>
      <c r="E5" t="inlineStr"/>
      <c r="F5" t="inlineStr"/>
      <c r="G5" t="inlineStr">
        <is>
          <t>New York, NY</t>
        </is>
      </c>
      <c r="H5" t="inlineStr"/>
      <c r="I5"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We wrapped up our first two years of the journey and are well into year three with more exciting things to come!
 Our Team
 The Ads Engineering team at Netflix is dedicated to creating a world\-class advertising ecosystem that drives our advertising business. This team's mission is to develop advanced technology that ensures exceptional experiences for both our members and advertisers. Our responsibilities encompass a broad spectrum of products, ranging from sales and media planning to optimizing advertiser outcomes and execution. This includes inventory and order management, campaign execution, ad serving, audience and identity management, measurement, reporting, and finance.
 We use several Netflix investments and innovations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so that members only see the most appropriate ads for them.
 Our team is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us and become a market leader in record time. Our roles come with expectations of delivering in a rapid clip, comfort with lofty goals and big ambitions, the visibility that comes with strategic initiatives, and responsibility and an appetite to operate like a startup within an established company.
 We are looking for engineers to join us on this journey, to be a part of some exciting initiatives, and the talented teams who work on realizing our ambitious vision.
**Skills \&amp; Experience We’re Seeking**
* Well grounded domain experience in any of the following areas: Ad Serving, Ads Identity \&amp; Audiences, Ads Creatives, Inventory \&amp; Forecasting, Campaign Management, Media Planning, Measurement, Reporting, or Ads Finance.
* General understanding of the advertising marketplace and landscape.
* Worked closely with ad operations to enable campaign setup, targeting, reporting and advertiser needs.
* Developed many cloud based applications and comfortable with modern programming languages (preferably object oriented),
* Familiar with A/B testing and experimentation.
* Have solid experience in setting technical directions for engineering projects, making architectural decisions, and influencing partner and cross\-functional teams.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**Spotlight On Ads Engineering Teams**
**The Ads Member Experience** 
**team** 
 is part of the core Ads Serving group and is responsible for building and serving the different ad formats available on the platform. The team owns the integration between the different Netflix clients (TV, mobile app, web) and the ads serving infrastructure. One of Its primary goals is to optimize how different ad formats are integrated with the Netflix member experience, in order to better serve both our users and our advertisers.
**The Core Ad Serving team** 
 designs and operates the scalable, resilient backend frameworks and services that form the foundation of our advertising platform, powering ad decisioning, targeting, frequency capping and policy enforcement at global scale. We also architect and build the distributed systems that enable real\-time dynamic ad insertion for live events, ensuring low latency ad delivery to millions of concurrent viewers. In addition, we develop and integrate advanced optimization systems that use machine learning to maximize advertiser outcomes and campaign performance, all while maintaining an exceptional viewing experience for our members.
**The Ads Programmatic** 
**team** 
 at Netflix is responsible for the strategic development and operational execution of programmatic advertising within the Netflix Ad Server ecosystem. This team focuses on building third\-party demand integrations to maximize programmatic channels, driving significant advertising revenue for Netflix, while ensuring positive performance and value delivery for advertising partners. The team is dedicated to building a world\-class programmatic advertising ecosystem that significantly contributes to the overall success of Netflix's advertising business.
**The Ad Supply** 
**team** 
 manages the policies and technical integrations for third\-party ad supply. While Netflix has traditionally licensed content, we're now exploring an alternative funding model where third\-party partners contribute content in exchange for a share of the ad revenue. This team's job is to build the rules that enable this co\-selling model to work smoothly. They solve complex challenges, such as determining how both Netflix and the third\-party partner can sell ad inventory for the same content without conflict. They establish clear rules for inventory sharing, campaign setup, and system configurations to ensure consistency and fairness.
**The Ads Measurement** 
**engineering team** 
 builds systems that enable advertisers on Netflix to quantify campaign outcomes. Leveraging a blend of Netflix innovations and both first\-party and third\-party solutions, we deliver ads that respect the viewing experience while driving impactful results for advertisers. Our tools empower advertisers to effectively measure and analyze these outcomes.
**The Netflix Ads Identity and Audience** 
**team** 
 is dedicated to delivering a relevant and engaging advertising experience while prioritizing consumer privacy. Our mission is to maintain precise subscriber identities to ensure that ads are not only engaging but also respectful of consumer privacy choices and regional regulations. We maintain a high\-quality Identity Graph which is used for various purposes, including respecting privacy choice and regulations, audience onboarding, targeting, measurement, and reporting.
**The Ads Creatives \&amp; Policy** 
**team** 
 at Netflix is at the forefront of developing innovative solutions that enhance the ad experience for both viewers and advertisers. We are responsible for managing the lifecycle of ad creatives, ensuring compliance with policies, and leveraging cutting\-edge technology to optimize ad delivery. Joining our team means being part of a dynamic environment where your contributions directly impact the viewing experience of millions worldwide.
**The Delivery Management \&amp; Ad Platform Foundations** 
**team** 
 focuses on two key areas \- first is enabling the set up, proactive monitoring, and troubleshooting of advertisers campaigns to ensure delivery and the second is our foundational work that crosses all of the Netflix Ad Suite to ensure developers and end\-users alike are as efficient as possible in achieving their day to day tasks.
**The Ads Media Planning** 
**team** 
 is at the heart of designing and delivering state\-of\-the\-art media planning solutions that power Netflix’s advertising business. We are developing innovative, in\-house ad tech systems that enable advertisers and internal partners to efficiently plan, allocate, and optimize media investments across Netflix’s platform. Our technology translates advertiser objectives into actionable media plans, ensuring seamless integration, automation, optimization, compliance, and management of media strategies at scale. We work closely with cross\-functional teams to deliver robust media planning capabilities that serve our advertisers, members, and Netflix’s broader business goals.
**More About Netflix**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
      <c r="A6" t="inlineStr">
        <is>
          <t>li-4277753369</t>
        </is>
      </c>
      <c r="B6" t="inlineStr">
        <is>
          <t>Software Engineer, X Product</t>
        </is>
      </c>
      <c r="C6" t="inlineStr">
        <is>
          <t>xAI</t>
        </is>
      </c>
      <c r="D6" t="inlineStr">
        <is>
          <t>linkedin</t>
        </is>
      </c>
      <c r="E6" t="inlineStr"/>
      <c r="F6" t="inlineStr"/>
      <c r="G6" t="inlineStr">
        <is>
          <t>Palo Alto, CA</t>
        </is>
      </c>
      <c r="H6" t="inlineStr"/>
      <c r="I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As a Software Engineer for X Product, you will play a key role in developing and launching  groundbreaking features and tools. This is a unique opportunity to contribute to 0\-1 product launches at one of the leading AI labs, while also working on a variety of other initiatives where Grok can enhance, automate, and accelerate processes across the company. 
**Core Responsibilities** 
 You will contribute to a portfolio of initiatives that leverage Grok to solve diverse company  challenges. Our team operates like an internal startup, owning projects that drive engineering  innovation and experimentation. This includes: 
* Rapidly prototyping and building software to improve, automate, or speed up various  internal processes and products.
* Collaborating on experimental features and tools where AI can deliver transformative  impact, from enhancing user experiences to optimizing workflows in engineering,  operations, and beyond.
* Iterating quickly based on feedback, with a strong emphasis on creating seamless, intuitive  user interfaces and experiences.
* If you're passionate about delivering polished software and thrive in a fast\-paced  environment of continuous iteration, this role oNers the chance to shape multiple high impact projects from inception.
**Experience** 
 We are looking for an engineer with 2\+ years of professional software engineering experience,  ideally in AI\-driven applications. 
* Hands\-on expertise in Python and machine learning frameworks.
* Proficiency with large language models (LLMs), retrieval\-augmented generation (RAG), and  graph\-based AI techniques.
* Experience integrating AI models like Grok into complex workflows, such as document  analysis, automation tools, and experimental prototypes.
* Proven track record of building tools or features from scratch, iterating with product teams,  and demonstrating end\-to\-end ownership.
* Background in early\-stage startups or as a founding engineer is highly desirable, with a  focus on rapid prototyping, user\-centric design, and solving real\-world problems through  AI.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7">
      <c r="A7" t="inlineStr">
        <is>
          <t>li-4290325458</t>
        </is>
      </c>
      <c r="B7" t="inlineStr">
        <is>
          <t>Software Engineer, Distributed Systems</t>
        </is>
      </c>
      <c r="C7" t="inlineStr">
        <is>
          <t>OpenAI</t>
        </is>
      </c>
      <c r="D7" t="inlineStr">
        <is>
          <t>linkedin</t>
        </is>
      </c>
      <c r="E7" t="inlineStr"/>
      <c r="F7" t="inlineStr"/>
      <c r="G7" t="inlineStr">
        <is>
          <t>San Francisco, CA</t>
        </is>
      </c>
      <c r="H7" t="inlineStr"/>
      <c r="I7" t="inlineStr">
        <is>
          <t>**About The Team**
 The Compute Runtime team builds the low level framework components to power our ML training systems. We work on building robust, scalable, high performance components to support our distributed training workloads. Our priorities are to maximize the productivity of our researchers and our hardware, with the goal of accelerating progress towards AGI.
**About The Role**
 As a Distributed Systems engineer, you will work to deliver powerful APIs orchestrating thousands of computers moving and persisting vast amounts of data. This requires both providing easy to use, introspectable systems that can promote a fast debugging and development cycle, while also enabling that experience to scale to our newest supercomputers maintaining stability and performance throughout.
 We’re looking for people who love optimizing an end to end system, understanding high performance I/O to maximize local performance and distributed across our supercomputers. We want someone excited by the rapid pace of responding to the dynamic and evolving needs of our training systems architectures.
 This role is based in San Francisco, CA. We use a hybrid work model of 3 days in the office per week and offer relocation assistance to new employees.
**In This Role, You Will**
* Work across our Python and Rust stack
* Profile and optimize and help design for scale our compute and data capabilities
* Work on deploying our training framework to our latest supercomputers rapidly responding to the changing shapes and needs of the ML systems.
**You Might Thrive In This Role If You**
* Have worked on large distributed systems
* Love figuring out how systems work and continuously come up with ideas for how to make them faster while minimizing complexity and maintenance burden
* Have strong software engineering skills and are proficient in Python and Rust or equivalent.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$250K \- $445K</t>
        </is>
      </c>
    </row>
    <row r="8">
      <c r="A8" t="inlineStr">
        <is>
          <t>li-4344366681</t>
        </is>
      </c>
      <c r="B8" t="inlineStr">
        <is>
          <t>Junior Backend Software Engineer</t>
        </is>
      </c>
      <c r="C8" t="inlineStr">
        <is>
          <t>HiringAgents.ai</t>
        </is>
      </c>
      <c r="D8" t="inlineStr">
        <is>
          <t>linkedin</t>
        </is>
      </c>
      <c r="E8" t="inlineStr"/>
      <c r="F8" t="inlineStr"/>
      <c r="G8" t="inlineStr">
        <is>
          <t>San Francisco, CA</t>
        </is>
      </c>
      <c r="H8" t="inlineStr"/>
      <c r="I8" t="inlineStr">
        <is>
          <t>*Job title* 
 : Junior Backend Software Engineer
 *Client* 
 : Voxel
 *Location* 
 : San Francisco, California, United States \- On\-Site
 *Contract type* 
 : Full\-time, permanent
 *Contract duration* 
 :
 *Salary* 
 :
**About The Role**
 Industrial labor is incredibly dangerous work—almost 3 million people in the US per year are injured in the workplace for entirely preventable and at times, fatal or debilitating causes. Protecting these essential people who power our world is what motivates the team at Voxel.
 Voxel is a fast\-growing AI company revolutionizing workplace safety and operations with a full\-stack AI and computer vision platform. Voxel’s site intelligence platform helps safety and operations leaders see unseen risks, make strategic decisions, and prevent workplace incidents before they happen. Our customers include Fortune 500 companies across major grocers and retailers, manufacturers, food and beverage warehousers, and supply chain and logistics providers. Based in San Francisco and backed by leading VCs, Voxel is building the next generation of intelligent video analytics for workplace safety.
 We’re looking for a driven and curious Junior Backend Software Engineer to join our Platform team in San Francisco. In this role, you’ll work on the backend and distributed systems that power our real\-time perception stack—from ingesting industrial video at scale, to supporting machine learning pipelines, to building production\-grade APIs. You’ll collaborate closely with engineering, data science, and product teams to ship high\-impact features that directly improve the safety of millions of workers.
 You’ll join a visionary team of AI experts, experienced entrepreneurs, and passionate problem\-solvers, with the opportunity to shape both our technology and our culture as we scale.
**Responsibilities**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**Requirements**
* Must be based in, or able to commute regularly to, the San Francisco Bay Area, California, USA for an on\-site role
* 0–2 years of experience developing backend systems using REST APIs, containerized services, and microservices architecture
* Bachelor’s degree in Computer Science, Software Engineering, or a related field, or equivalent practical software engineering experience
* Exposure to building and scaling distributed systems, with hands\-on experience using at least one of Flink, Kafka, or Kinesis for real\-time data processing
* Practical experience using Kubernetes to deploy, monitor, and manage containerized workloads
* Working knowledge of at least one major cloud platform such as AWS, Azure, or Google Cloud Platform (GCP)
**Preferred Skills**
* Experience with infrastructure\-as\-code tools such as Terraform
* Experience contributing to machine learning or computer vision pipelines, particularly around data ingestion or processing infrastructure
* Experience designing and delivering production\-ready backend or distributed systems in a collaborative team environment
* Background in video analytics, computer vision, or safety\-related industrial products
**Why join Voxel?**
* Directly impact the safety and well\-being of millions of essential workers by deploying AI in high\-impact real\-world environments
* Help build a category\-defining AI platform at an early stage, with significant ownership and influence on technical direction
* Work alongside a world\-class team of engineers, ML researchers, and entrepreneurs in a fast\-paced, mission\-driven environment
**Benefits**
* Extensive health, dental, and vision insurance
* Highly competitive paid parental leave and support system
* Equity through an Employee Equity Incentive Plan
* Generous paid time off and flexible work arrangements
* Daily in\-office meals, vibrant company events, and team\-building activities
* 401(k) retirement plan, HSA options, and pre\-tax commuter benefits</t>
        </is>
      </c>
    </row>
    <row r="9">
      <c r="A9" t="inlineStr">
        <is>
          <t>li-4233871803</t>
        </is>
      </c>
      <c r="B9" t="inlineStr">
        <is>
          <t>Software Engineer, Backend</t>
        </is>
      </c>
      <c r="C9" t="inlineStr">
        <is>
          <t>Siro</t>
        </is>
      </c>
      <c r="D9" t="inlineStr">
        <is>
          <t>linkedin</t>
        </is>
      </c>
      <c r="E9" t="inlineStr"/>
      <c r="F9" t="inlineStr"/>
      <c r="G9" t="inlineStr">
        <is>
          <t>New York, United States</t>
        </is>
      </c>
      <c r="H9" t="inlineStr"/>
      <c r="I9"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platform and backend systems at Siro, across recording, integrations, AI agents, and more!
* Own the end\-to\-end development of key features, from architectural decisions through implementation, deployment, and support
* Design and build scalable backend services that handle real\-time processing of sales conversations
* Drive technical excellence through thoughtful code reviews, documentation, and engineering best practices
* Partner closely with product and design teams to transform customer needs into elegant technical solutions
* Own the health of our systems and products, and make data\-driven decisions
* Help evolve our development practices and tooling to enable sustainable scaling while maintaining velocity
**Requirements**
* We expect 3\+ years of professional software engineering experience.
* You are excited to work in our NYC office 3\+ days a week with the rest of the team.
* You have strong proficiency in modern programming languages, databases, API frameworks, and cloud platforms (like GCP)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10">
      <c r="A10" t="inlineStr">
        <is>
          <t>li-4260421168</t>
        </is>
      </c>
      <c r="B10" t="inlineStr">
        <is>
          <t>Software Engineer, Ad Serving</t>
        </is>
      </c>
      <c r="C10" t="inlineStr">
        <is>
          <t>Roku</t>
        </is>
      </c>
      <c r="D10" t="inlineStr">
        <is>
          <t>linkedin</t>
        </is>
      </c>
      <c r="E10" t="inlineStr"/>
      <c r="F10" t="inlineStr"/>
      <c r="G10" t="inlineStr">
        <is>
          <t>Boston, MA</t>
        </is>
      </c>
      <c r="H10" t="inlineStr"/>
      <c r="I10"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highly available, real\-time advertising platform is critical to support and grow Roku's ad business. It is the mission of the Ad Engineering Team to build this platform. We are hiring a Software Engineer to be a vital part of this mission. If you bring extensive experience building complex systems, love great technology at scale, enjoy mentoring, jumping in, and figuring things out in any system, this role is for you! 
**About the Role** 
 Roku pioneered TV streaming and continues to innovate and lead the industry. The Roku Channel has us well\-positioned to help shape the future of streaming. Continued success relies on investing in Advertising Engineering. The ideal candidate will have endless curiosity and can pair a global mindset with locally relevant execution. The successful candidate will display a balance of hard and soft skills, including the ability to respond quickly to changing business needs.
 What you'll be doing: 
* Work alongside a highly skilled engineering team to design, develop, and maintain large scale, highly performing, real\-time applications
* Own building features, driving directly with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4 \- 8 years of experience building large scale and low latency distributed systems
* B.S. or M.S. degree in Computer Science, Engineering, or equivalent
* Command of Java or C\+\+
* Solid understanding of algorithms, data structures, performance optimization techniques, object\-oriented programming, multi\-threading, and real\-time programming
* Experience with distributed caching, SQL/NO SQL, and other databases is a plus
* Experience with Big Data and cloud services such as AWS/GCP is a plus
* Experience in advertising domain a big plus
* Self\-motivated individual with a high level of accountability and ownership
* Critical thinking and practical decision making
* Can do, results\-oriented mindset
* Nonpolitical, collaborative, and team oriented
* Desire to win in a highly competitive industry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t>
        </is>
      </c>
    </row>
    <row r="11">
      <c r="A11" t="inlineStr">
        <is>
          <t>li-4291500677</t>
        </is>
      </c>
      <c r="B11" t="inlineStr">
        <is>
          <t>Software Engineer, Product Backend (2-8 YOE)</t>
        </is>
      </c>
      <c r="C11" t="inlineStr">
        <is>
          <t>Airtable</t>
        </is>
      </c>
      <c r="D11" t="inlineStr">
        <is>
          <t>linkedin</t>
        </is>
      </c>
      <c r="E11" t="inlineStr"/>
      <c r="F11" t="inlineStr"/>
      <c r="G11" t="inlineStr">
        <is>
          <t>San Francisco, CA</t>
        </is>
      </c>
      <c r="H11" t="inlineStr"/>
      <c r="I11" t="inlineStr">
        <is>
          <t>Airtable is the no\-code app platform that empowers people closest to the work to accelerate their most critical business processes. More than 500,000 organizations, including 80% of the Fortune 100, rely on Airtable to transform how work gets done.
 Airtable’s mission is to bring the power of computing and software development to everyone. We are developing a powerful and extensible toolkit that our customers can leverage to solve a variety of different problems and workflows. We’ve seen our most sophisticated customers use the product to run global processes across thousands of employees, coordinate precision manufacturing pipelines, and consolidate previously siloed mission\-critical data into a single source of truth. The complexity of these use cases requires us to be extremely thoughtful about how we design and implement new functionality in the product and make sure it’s both easy to use and comprehend for our customers and maintainable for us.
 As a
 **Full\-Stack, Backend**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 The Scaled Experiences Team (Full\-Stack/BE) focuses holistically on the customer problem of using Airtable at scale. Operating at very high scale requires changes to many different product surfaces, which makes this pod somewhat unique: we focus on the business problem across the whole of the Airtable product. The business impact of this pod is aimed at unblocking high\-scale Airtable implementations that are in pipeline, and preventing churn by improving the user experience of Airtable at scale.
* The Admin \&amp; Governance Team (Full\-Stack/BE) ensures Airtable is secure, compliant, and enterprise\-ready. It owns key admin capabilities like the Admin Panel, SSO, and audit systems, as well as foundational features like User Groups. This team's mission is to accelerate organizational value for the largest customers with enterprise\-first governance and controls.
* The Solutions Platform Team (Full\-Stack/BE) enhances our platform to enable builders to standardize and accelerate builds of large\-scale solutions. Our goal is to allow sophisticated apps and workflows be built, customized, and deployed quickly at enterprise scale.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Spec and build product features that are beautiful, consistent, and fast, that encourage exploration, and that earn the trust of our customers through predictable, reliable, and thoughtful interactions.
* Work at all levels of the stack, from AWS, Node.js, and SQL to React, HTML. and CSS to build and maintain end to end products on Airtable, with a primary focus on backend development.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2\+ years of industry experience with modern full\-stack web development, with particular emphasis on backend feature development.
* You are fluent in one or more backend technologies, and are interested in programming in JavaScript and React.
* You are excited by a product\-oriented backend role.
* You have a good understanding of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New York City, or work remotely in Seattle.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$170,000 \- $277,600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2">
      <c r="A12" t="inlineStr">
        <is>
          <t>li-4355680330</t>
        </is>
      </c>
      <c r="B12" t="inlineStr">
        <is>
          <t>Full Stack Engineer 5 - Revenue &amp; Growth Tools</t>
        </is>
      </c>
      <c r="C12" t="inlineStr">
        <is>
          <t>Netflix</t>
        </is>
      </c>
      <c r="D12" t="inlineStr">
        <is>
          <t>linkedin</t>
        </is>
      </c>
      <c r="E12" t="inlineStr"/>
      <c r="F12" t="inlineStr"/>
      <c r="G12" t="inlineStr"/>
      <c r="H12" t="inlineStr"/>
      <c r="I1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**Revenue \&amp; Growth Tools (RGT)** 
 team is part of the GCP (Growth Commerce Platform) org—the backbone for all revenue collection at Netflix. We create solutions that enable teams to debug operational issues and deploy configuration changes safely. We're also expanding the use of AI within our org through Slack bots, documentation tools, and debugging assistants.
 Our team embodies Netflix values—we hold ourselves and each other accountable, create an inclusive environment where diverse perspectives are valued, and approach challenges with curiosity and selflessness. If you're passionate about building delightful tools that enhance developer productivity, we'd love for you to apply.
 This role is open for remote or hybrid engineers. Hybrid team members are based in Los Gatos, California, spending three days a week on average at Netflix's HQ.
 What will you do in this role?
 You'll identify and solve complex problems that positively impact how engineers across GCP work daily. You'll deliver team\-level architecture and lead projects that extend beyond RGT to adjacent teams.
 Using
 **React and other frontend technologies** 
 , you'll create modular experiences that minimize boilerplate and allow engineers to spin up applications quickly. Your work will enable faster debugging, better documentation, and safer changes to production systems across Netflix Commerce.
**Key Responsibilities**
* Design and develop new features for the tools platform, owning decisions on architecture, usability, and performance.
* Leverage deep expertise in frontend and backend systems to extend capabilities, improve efficiency, and perform strategic migrations.
* Collaborate with engineering teams and stakeholders to drive sustainable, well\-architected solutions.
* Mentor and grow engineers on the team, sharing knowledge and raising the bar for excellence.
* Influence technical strategy and roadmaps across GCP and adjacent teams.
 What Sets You Apart?
* Exceptional proficiency in the fundamentals of TypeScript, JavaScript, and React for web development.
* Knowledge of GraphQL and RESTful APIs for backend connectivity.
* Endlessly curious with a keen interest in developer productivity and a proactive approach to learning and innovation.
* Strong problem\-solving skills nand a passion for delivering high\-quality products.
* Able to communicate complex technical issues and their business impact to stakeholders clearly.
* Seeks different perspectives and relevant information to consider tradeoffs and avoid over\-engineering.
* Demonstrates good judgment by being unusually responsible and transparent even when it's difficult.
* Bonus: experience with design tools like Figma or Photoshop.
**Qualifications**
* Bachelor's or Master's degree in Computer Science, Engineering, or equivalent professional experience.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3">
      <c r="A13" t="inlineStr">
        <is>
          <t>li-4266776614</t>
        </is>
      </c>
      <c r="B13" t="inlineStr">
        <is>
          <t>Fullstack Engineer - Companions</t>
        </is>
      </c>
      <c r="C13" t="inlineStr">
        <is>
          <t>xAI</t>
        </is>
      </c>
      <c r="D13" t="inlineStr">
        <is>
          <t>linkedin</t>
        </is>
      </c>
      <c r="E13" t="inlineStr"/>
      <c r="F13" t="inlineStr"/>
      <c r="G13" t="inlineStr">
        <is>
          <t>Palo Alto, CA</t>
        </is>
      </c>
      <c r="H13" t="inlineStr"/>
      <c r="I13"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multimedia engineers and product thinkers who want to make Grok's realtime avatar products the best in the world.
**What You'll Do** 
* Make Grok's realtime avatar products fast, scalable, and reliable.
* Help push forward audio and gameplay research and deploy breakthrough innovations to millions of users.
* Obsess over every millisecond and byte, ensuring end\-to\-end quality and performance at scale across a rich suite of products and user platforms.
**Who You Are** 
* Well\-versed in low\-latency systems and protocols like WebSocket and WebRTC.
* Expert in Python, and preferably proficient in Rust.
* Some iOS experience preferable.
* In\-depth knowledge and experience building high performance media processing pipelines.
* Obsessed with media quality, performance, and product experience.
**Tech Stack** 
* Python, Rust, WebSocket, WebRTC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4">
      <c r="A14" t="inlineStr">
        <is>
          <t>li-4333441113</t>
        </is>
      </c>
      <c r="B14" t="inlineStr">
        <is>
          <t>Software Engineer, Hardware</t>
        </is>
      </c>
      <c r="C14" t="inlineStr">
        <is>
          <t>OpenAI</t>
        </is>
      </c>
      <c r="D14" t="inlineStr">
        <is>
          <t>linkedin</t>
        </is>
      </c>
      <c r="E14" t="inlineStr"/>
      <c r="F14" t="inlineStr"/>
      <c r="G14" t="inlineStr">
        <is>
          <t>San Francisco, CA</t>
        </is>
      </c>
      <c r="H14" t="inlineStr"/>
      <c r="I14" t="inlineStr">
        <is>
          <t>**About The Team**
 OpenAI’s Hardware organization develops silicon and system\-level solutions designed for the unique demands of advanced AI workloads. The team is responsible for building the next generation of AI\-native silicon while working closely with software and research partners to co\-design hardware tightly integrated with AI models. In addition to delivering production\-grade silicon for OpenAI’s supercomputing infrastructure, the team also creates custom design tools and methodologies that accelerate innovation and enable hardware optimized specifically for AI.
**About The Role**
 As a software engineer on the Scaling team, you’ll help build and optimize the low\-level stack that orchestrates computation and data movement across OpenAI’s supercomputing clusters. Your work will involve designing high\-performance runtimes, building custom kernels, contributing to compiler infrastructure, and developing scalable simulation systems to validate and optimize distributed training workloads.
 You will work at the intersection of systems programming, ML infrastructure, and high\-performance computing, helping to create both ergonomic developer APIs and highly efficient runtime systems. This means balancing ease of use and introspection with the need for stability and performance on our evolving hardware fleet.
 This role is based in San Francisco, CA, with a hybrid work model (3 days/week in\-office). Relocation assistance is available.
**In This Role, You Will**
* Design and build APIs and runtime components to orchestrate computation and data movement across heterogeneous ML workloads.
* Contribute to compiler infrastructure, including the development of optimizations and compiler passes to support evolving hardware.
* Engineer and optimize compute and data kernels, ensuring correctness, high performance, and portability across simulation and production environments.
* Profile and optimize system bottlenecks, especially around I/O, memory hierarchy, and interconnects, at both local and distributed scales.
* Develop simulation infrastructure to validate runtime behaviors, test training stack changes, and support early\-stage hardware and system development.
* Rapidly deploy runtime and compiler updates to new supercomputing builds in close collaboration with hardware and research teams.
* Work across a diverse stack, primarily using Rust and Python, with opportunities to influence architecture decisions across the training framework.
**You Might Thrive In This Role If You**
* Have a deep curiosity for how large\-scale systems work and enjoy making them faster, simpler, and more reliable.
* Are proficient in systems programming (e.g., Rust, C\+\+) and scripting languages like Python.
* Have experience in one or more of the following areas: compiler development, kernel authoring, accelerator programming, runtime systems, distributed systems, or high\-performance simulation.
* Are excited to work in a fast\-paced, highly collaborative environment with evolving hardware and ML system demands.
* Value engineering excellence, technical leadership, and thoughtful system 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$266K \- $455K</t>
        </is>
      </c>
    </row>
    <row r="15">
      <c r="A15" t="inlineStr">
        <is>
          <t>li-4233878121</t>
        </is>
      </c>
      <c r="B15" t="inlineStr">
        <is>
          <t>Software Engineer, Full Stack</t>
        </is>
      </c>
      <c r="C15" t="inlineStr">
        <is>
          <t>Siro</t>
        </is>
      </c>
      <c r="D15" t="inlineStr">
        <is>
          <t>linkedin</t>
        </is>
      </c>
      <c r="E15" t="inlineStr"/>
      <c r="F15" t="inlineStr"/>
      <c r="G15" t="inlineStr">
        <is>
          <t>New York, United States</t>
        </is>
      </c>
      <c r="H15" t="inlineStr"/>
      <c r="I15"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and enhance features (especially frontend) for Siro's direct consumers, creating intuitive user experiences for our AI\-powered sales platform
* Own the end\-to\-end development of key features, from architectural decisions through implementation, deployment, and support
* Craft intuitive, performant user interfaces that make complex AI insights accessible to our users
* Drive technical excellence through thoughtful code reviews, documentation, and engineering best practices
* Partner closely with product and design teams to transform customer needs into elegant technical solutions
* Help evolve our development practices and tooling to enable sustainable scaling while maintaining velocity
* Own the health of our systems and products, and make data\-driven decisions
**Requirements**
* We expect 3\+ years of professional software engineering experience.
* You are excited to work in our NYC office 3\+ days a week with the rest of the team.
* You demonstrate strong proficiency in TypeScript frameworks
* You have experience with Node.js and REST API design
* You have demonstrated skill in mobile and/or web performance optimization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16">
      <c r="A16" t="inlineStr">
        <is>
          <t>li-4373272670</t>
        </is>
      </c>
      <c r="B16" t="inlineStr">
        <is>
          <t>Senior Software Engineer - FullStack Eng / AI</t>
        </is>
      </c>
      <c r="C16" t="inlineStr">
        <is>
          <t>Uber</t>
        </is>
      </c>
      <c r="D16" t="inlineStr">
        <is>
          <t>linkedin</t>
        </is>
      </c>
      <c r="E16" t="inlineStr"/>
      <c r="F16" t="inlineStr"/>
      <c r="G16" t="inlineStr">
        <is>
          <t>Sunnyvale, CA</t>
        </is>
      </c>
      <c r="H16" t="inlineStr"/>
      <c r="I16" t="inlineStr">
        <is>
          <t>**About The Role**
 The 3P team brings together Uber's products, state of the art cognitive technologies and Uber's engineering infrastructure to deliver automated conversational assistants a.k.a chatbots to provide enhanced customer experience for our third party customers beyond the Uber ecosystem.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
 What You'll Do
 We are seeking a strong and passionate software engineer with experience in building software platforms leveraging microservices and front end stack for web experiences. You will be responsible for creating scalable, reliable, manageable platforms that deliver on customer support requirements at Uber by leveraging AI at Uber. You will be owning customer facing platforms that impact the support experience of millions of customers. You will also be leading the GenAI based support experiences as well as augmenting the existing platforms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 Bachelors Degree, or above, in Comp Science or related field
* Scalable system architecture design
* Production\-quality services, deployment, monitoring, and reliability.
* Microservice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conversational assistants
* Dialog management systems like Google Dialogflow, Amazon Alexa
* Familiarity with large scale distributed systems like Kafka and cloud platforms like AWS, GCP, or Azure.
*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
      <c r="A17" t="inlineStr">
        <is>
          <t>li-4253946318</t>
        </is>
      </c>
      <c r="B17" t="inlineStr">
        <is>
          <t>Software Engineer - Cloud</t>
        </is>
      </c>
      <c r="C17" t="inlineStr">
        <is>
          <t>MORSE Corp</t>
        </is>
      </c>
      <c r="D17" t="inlineStr">
        <is>
          <t>linkedin</t>
        </is>
      </c>
      <c r="E17" t="inlineStr"/>
      <c r="F17" t="inlineStr"/>
      <c r="G17" t="inlineStr"/>
      <c r="H17" t="inlineStr"/>
      <c r="I17"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highly motivated and talented Software Engineers with Cloud skills to join our innovative team, supporting various projects that provide critical AI, machine learning, simulation, situational awareness, and mission planning capabilities to a diverse range of Department of Defense (DoD) customers.
 As a Cloud Software Engineer at MORSE, you will have the opportunity to work on cutting\-edge technology, contributing to the success of our applications and making a meaningful impact on our customers. You will collaborate with a teams of engineers and data scientists to design, develop, and deliver high\-quality software products that meet the highest standards of quality, scalability, and reliability.
 Responsibilities:
 * Design and develop scalable, efficient, and reliable software applications using Python
* Develop and maintain cloud infrastructure
* oversee the deployment of cloud services and compliance to security guidelines
* Participate in design reviews, code reviews, and pair programming to ensure high\-quality code and knowledge sharing
* Stay up\-to\-date with the latest software engineering trends, tools, and technologies
* Collaborate with cross\-functional teams to deliver high\-quality software products, ensuring seamless integration and deployment
* Contribute to the development of new codebases that emphasize object\-orientation, modularity, and maintainability
 Requirements:
 * US citizenship and the ability to obtain a U.S. security clearance (Secret, Top Secret, or TS/SCI)
* Expertise in Python
* 1\+ years of experience working with AWS, Azure or GCP.
* Experience with Terraform or Cloud Formation
* Strong understanding of relational databases and version control systems (e.g., Git)
* Experience with Docker, Docker\-compose, or Kubernetes
* Familiarity with Agile development methodologies (Scrum or Kanban) and microservice architecture
* Strong communication skills and self\-motivation
* Bachelor's or Master's degree in Computer Science or a related field (or significant professional experience)
* 3\+ years of software development experience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8">
      <c r="A18" t="inlineStr">
        <is>
          <t>li-4324030480</t>
        </is>
      </c>
      <c r="B18" t="inlineStr">
        <is>
          <t>Software Engineer, Full Stack</t>
        </is>
      </c>
      <c r="C18" t="inlineStr">
        <is>
          <t>Clay</t>
        </is>
      </c>
      <c r="D18" t="inlineStr">
        <is>
          <t>linkedin</t>
        </is>
      </c>
      <c r="E18" t="inlineStr"/>
      <c r="F18" t="inlineStr"/>
      <c r="G18" t="inlineStr"/>
      <c r="H18" t="inlineStr"/>
      <c r="I18"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**Software Engineer, Full Stack @ Clay**
 We're looking for a Full Stack Engineer who is responsible for building out products that help our self\-serve and enterprise customers translate their growth ideas into reality. As a software engineer on these product teams, you will play a key role in achieving Clay’s vision of being a creative tool to help businesses grow by building and improving all parts of the product. You’ll wear both PM and engineering hats, working with internal as well as external stakeholders to drive features end to end — from ideation to deployment. There’ll be no shortage of fun problems to explore and technical challenges to solve.
**What You’ll Do**
* Drive product strategy and execution. You’ll work with a team of engineers and cross\-functional partners across design, data science, and GTM to define a product strategy and drive execution through conception, research, implementation, and maintenance.
* Design and build full stack features. You’ll work on a fast pace team designing and building complex features that span across both backend and frontend.
* Up\-level the codebase. Negative maintenance is one of the core values at Clay. You’ll contribute to the performance/reliability of the Clay product and help increase development velocity of other engineers.
* Mentor and learn from other engineers. You’ll help the team grow by mentoring other engineers in areas that you’re strong in. In return, you’ll also learn from other engineers with different strengths.
**What You'll Bring**
* You have a proven track record of execution. You have 4\+ years of hands on engineering experience building world\-class products.
* You love being a product manager as well as an engineer. Our product engineers drive and own products from end to end.
* You are an empathetic communicator. You express nuanced ideas clearly at different levels of abstraction for different audiences. In disagreements, you prioritize curiosity over confrontation, making sure everyone feels heard and understood.
* You love to collaborate with others to ship high quality, thoughtful features. You are able to talk to customers, think through multiple approaches, and work with our teammates to find the right solution for each problem. You care about craft and translate the solution into bug free, easily understandable code and raise the engineering bar for those around you.
* Having a diversity of perspectives is important to you. You believe that having people with different backgrounds and perspectives creates a better team and a more holistic product.
* You’re familiar with our current tech stack or can learn unfamiliar technologies quickly. Our current tech stack is:
+ React, Typescript, Python, Node.js
+ AWS services: Aurora (Postgres), Elasticache (Redis), Elastic Container Registry (ECR), ECS (Fargate), Lambda, OpenSearch
+ IaC: Terraform
+ Deployment tools: CircleCI, Netlify, Playwright
+ Observability tools: Cloudwatch, Datadog, Mezmo</t>
        </is>
      </c>
    </row>
    <row r="19">
      <c r="A19" t="inlineStr">
        <is>
          <t>li-4290932944</t>
        </is>
      </c>
      <c r="B19" t="inlineStr">
        <is>
          <t>Senior Software Engineer, Search &amp; Recommendations Platform</t>
        </is>
      </c>
      <c r="C19" t="inlineStr">
        <is>
          <t>Roku</t>
        </is>
      </c>
      <c r="D19" t="inlineStr">
        <is>
          <t>linkedin</t>
        </is>
      </c>
      <c r="E19" t="inlineStr"/>
      <c r="F19" t="inlineStr"/>
      <c r="G19" t="inlineStr">
        <is>
          <t>Boston, MA</t>
        </is>
      </c>
      <c r="H19" t="inlineStr"/>
      <c r="I19"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Roku’s Search \&amp; Recommendations (S\&amp;R) Platform Engineering team is central to our mission of delivering outstanding streaming experiences to millions of people around the world. We develop and maintain the core platform that powers search, personalization, and content discovery at scale across every Roku device and service.
 We are a technically diverse and collaborative team that values ownership, transparency, and a culture of continuous improvement. We work closely with colleagues across platforms and infrastructure teams to deliver high\-performance distributed systems and observability capabilities that enable real\-time search, ranking, and recommendations.
 Our work includes designing and optimizing online inference infrastructure, feature stores, and data pipelines — all seamlessly integrated with the broader platform ecosystem (Kubernetes, Istio, Envoy). We’re passionate about solving complex technical challenges that have a direct impact on how users experience Roku.
 About the Role
 We are looking for a Senior Software Engineer with experience in building scalable, reliable systems to help evolve and extend the infrastructure behind our Search and Recommendations platform. In this role, you’ll be part of a cross\-functional, globally distributed team dedicated to creating fast, cost\-efficient solutions that deliver relevant and seamless user experiences.
 You’ll contribute to the design, development, and operation of critical systems that power real\-time search and personalized recommendations for millions of users. You’ll help shape the roadmap for our next\-generation architecture, drive standardization and tooling efforts, and champion best practices in observability and resilience.
 We are a fast\-moving team with a strong engineering culture built on clear communication, thoughtful decision\-making, and a shared commitment to delivering impactful solutions. Collaboration is fundamental to how we work — we invest as much in supporting our growth as we do in building exceptional systems.
  What You’ll Be Doing
 * Design, build, and operate platform infrastructure powering real\-time search and personalized recommendations
* Work closely with machine learning engineers, data scientists, and infrastructure teams to scale our Machine Learning Platform
* Shape the roadmap for our next\-generation architecture, including improvements in cost efficiency, observability, and resilience
* Drive tooling and standardization, working with the broader platform teams to identify and align on shared approaches
* Design and implement multi\-tenant systems and APIs that accelerate development, reduce coupling, and serve multiple teams across Roku
* Take ownership of quality and system performance from design through deployment and operation in production
 We’re Excited If You Have
 * 8\+ years of professional experience building large\-scale distributed systems
* Proficiency in modern backend languages (Java, Python, Go) and scalable cloud\-native architectures (AWS, Kubernetes, service meshes, etc.)
* Deep knowledge of DevOps practices, SRE principles, infrastructure\-as\-code, and real\-time data processing
* Experience collaborating with engineers and product stakeholders to shape features and systems
* A platform mindset: you design with reuse, observability, and scale in mind, supporting not only your team but the broader engineering organization
* A track record of improving performance, cost efficiency, and maintainability in complex environments
* Expertise in deploying and operating observability and tracing tools such as OpenTelemetry, Grafana Tempo, Thanos, Loki, and Prometheus at scale
* Master’s degree in Computer Science, Engineering, or equivalent professional experience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here at any time.</t>
        </is>
      </c>
    </row>
    <row r="20">
      <c r="A20" t="inlineStr">
        <is>
          <t>li-4313411009</t>
        </is>
      </c>
      <c r="B20" t="inlineStr">
        <is>
          <t>Senior Software Engineer</t>
        </is>
      </c>
      <c r="C20" t="inlineStr">
        <is>
          <t>LogRocket</t>
        </is>
      </c>
      <c r="D20" t="inlineStr">
        <is>
          <t>linkedin</t>
        </is>
      </c>
      <c r="E20" t="inlineStr"/>
      <c r="F20" t="inlineStr"/>
      <c r="G20" t="inlineStr"/>
      <c r="H20" t="inlineStr"/>
      <c r="I20" t="inlineStr">
        <is>
          <t>**About LogRocket**
 Founded in 2016, LogRocket's goal is to make every experience on the web as perfect as possible. We're solving a huge challenge for product managers and developers \- understanding the user experience. LogRocket is the first system that gives these teams complete visibility into their customer's experience using their web apps \- through pixel\-perfect replays of user sessions and clear insight into logs, errors, and network activity. We've already attracted an elite roster of over 2,800 customers including ClassPass, Capital One, Cisco, and Rippling, just to name a few. Our focus is on building software with care and craftsmanship and our engineering blog posts offer a taste of that.
 Backed by top investors such as Matrix Partners, Battery Ventures, and Delta\-V Capital, we've raised $55M in funding and we're eager to bring talented people onboard to support our growth. We're on a mission to improve society's experience with software and that's where you come in.
 Responsibilities (Example Projects)
* Design a system to automatically detect the most common user paths across millions of events
* Implement a search backend that allows users to search in real time across billions of log entries
* Build a machine learning pipeline that automatically detects bugs in our users' apps
* Automate database scaling to improve operating cost while maintaining the ability to respond to traffic spikes
* Build a system that automatically recommends integrations for customers based on their toolset
**Qualifications**
* 4\+ years of experience in a full stack or backend development role, preferably with a SaaS company
* Familiarity with the state of the art in cloud technologies, including architectural principles, specific tools of the trade, and their strengths and weaknesses
* Experience in development environments with demanding scalability or availability requirements
* Familiarity with modern Javascript\-based applications and frameworks
* At least one previous full\-time software engineering role
* If you don’t meet all of these, we still encourage you to apply. We believe that code is code, regardless of language, and learning different tools is part of joining a new company.
 Benefits \&amp; Perks
* Catered lunch and an impressive array of your favorite snacks (healthy AND non\-healthy!)
* Unlimited vacation policy
* Health, Dental, Vision benefits, 401k, commuter benefits
* Generous stock options
* Regular team outings and activities (from boat rides to paintball, we’ll try anything!)
 This range is intended to provide a guideline for our typical compensation and may be modified based on location or experience of our finalist candidate.
 LogRocket is an equal opportunity employer. We celebrate diversity and are committed to creating an inclusive environment for all employees.
 LogRocket will consider sponsoring visas for applicants in the US that need work authorization.</t>
        </is>
      </c>
    </row>
    <row r="21">
      <c r="A21" t="inlineStr">
        <is>
          <t>li-4148986976</t>
        </is>
      </c>
      <c r="B21" t="inlineStr">
        <is>
          <t>Senior Software Engineer</t>
        </is>
      </c>
      <c r="C21" t="inlineStr">
        <is>
          <t>LiveRamp</t>
        </is>
      </c>
      <c r="D21" t="inlineStr">
        <is>
          <t>linkedin</t>
        </is>
      </c>
      <c r="E21" t="inlineStr"/>
      <c r="F21" t="inlineStr"/>
      <c r="G21" t="inlineStr">
        <is>
          <t>San Francisco, CA</t>
        </is>
      </c>
      <c r="H21" t="inlineStr"/>
      <c r="I21"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 Lead the design, development, and deployment of complex software solutions.
* Mentor and guide junior engineers, fostering a culture of continuous learning and improvement.
* Collaborate with cross\-functional teams to define, design, and deliver new features.
* Ensure the scalability, performance, and reliability of our systems.
* Design and implement modern data infrastructure architectures (data fabric, data mesh, data virtualization).
**Your Team Will:**
* Work on high\-impact projects that solve critical business problems.
* Develop and maintain scalable, high\-performance systems.
* Collaborate closely with product managers, designers, and other engineers to deliver high\-quality software.
* Develop and maintain big data processing systems.
* Innovate and iterate on modern, scalable data virtualization technologies.
**About You:**
* Bachelor's degree in Computer Science, Engineering, or a related field.
* 5\+ years of experience in software development, with a strong focus on backend systems.
* Proficiency in Go.
* Strong understanding of software architecture and design principles.
* Excellent problem\-solving skills and attention to detail.
* Effective communication and collaboration skills
**Preferred Skills:**
* Experience with cloud platforms such as AWS, GCP, or Azure.
* Familiarity with containerization technologies like Docker and Kubernetes.
* Familiarity with Temporal (preferred),, Airflow, Cadence or similar orchestration tools.
* Experience with distributed data systems.
* Experience with data virtualization.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 Location: work in the heart of San Francisco, Little Rock, or from home (remote\-eligible roles)
**More About Us:**
 LiveRampers are empowered to live our values of committing to shared goals and operational excellence. Connecting LiveRampers to new ideas and to one another is one of our guiding principles—one that informs how we hire, train, and grow our global teams across nine countries and four continents. By continually building inclusive, high belonging teams, LiveRampers can deliver exceptional work, champion innovative ideas, and be their best selves. Click here to learn more about Diversity, Inclusion, \&amp; Belonging (DIB) at LiveRamp.
 For All NYC POSTINGS \&amp; SF POSTINGS
*The approximate annual base compensation range is $163,000 to $191,500\. The actual offer, reflecting the total compensation package and benefits, will be determined by a number of factors including the applicant's experience, knowledge, skills, and abilities, geography, as well as internal equity among our team.*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22">
      <c r="A22" t="inlineStr">
        <is>
          <t>li-4320005202</t>
        </is>
      </c>
      <c r="B22" t="inlineStr">
        <is>
          <t>Software Engineer - Developer Productivity</t>
        </is>
      </c>
      <c r="C22" t="inlineStr">
        <is>
          <t>Rubrik</t>
        </is>
      </c>
      <c r="D22" t="inlineStr">
        <is>
          <t>linkedin</t>
        </is>
      </c>
      <c r="E22" t="inlineStr"/>
      <c r="F22" t="inlineStr"/>
      <c r="G22" t="inlineStr">
        <is>
          <t>Palo Alto, CA</t>
        </is>
      </c>
      <c r="H22" t="inlineStr"/>
      <c r="I22" t="inlineStr">
        <is>
          <t>**About The Team**
 As a member of the Developer Platform team at Rubrik, you will be focused on solving challenging problems with scale and stability in the area of Developer Experience that will enable the company to deliver a product at high\-scale without compromising on quality, velocity, and coding standards. Rubrik positions you with a unique opportunity to innovate as we scale our organization to support a rapidly increasing customer base and engineering organization. As our products add more features and functionalities to the portfolio, you will be provided with more unique and diverse problems that require innovation, which will help in accelerating your career.
**About The Role**
 As a Software Engineer in the Developer Platform organization at Rubrik, you will be developing tools, frameworks and services which will enable developers to build a high quality product at scale without compromising on quality, velocity, and coding standards. Rubrik Software Engineers are self\-starters and driven. We believe in giving engineers responsibility, not tasks. Our goal is to motivate and challenge people to do their best work.
**What You'll Do**
* Contribute to engineering efforts from planning and organization to execution and delivery to solve complex engineering problems in the area of Developer productivity apps and Developer workflows.
* Work collaboratively to design, implement and evolve high quality automation frameworks for functional and non\-functional testing and design of visualization and reporting dashboards for monitoring and enabling data based decisions
* Develop tools or implement features in existing tools for shortening the development cycle
* Work with team members on detailed and constructive design and code reviews
* Collaborate with the broader engineering team on design or architectural decisions
* Be a role model for showcasing best practices, processes and culture to help Engineering teams improve their productivity
 Experience you’ll need
* BS or MS in Computer science or related field with up to 2 years of relevant work experience.
* Strong knowledge of data structures, algorithms, and software design.
* Solid programming skills in one or more programming languages (Python preferred).
* Experience building AI agents and applications/workflows using LLMs with concepts like RAG is preferred.
* Working knowledge of virtualization, Container technologies, Storage / database / network and distributed systems.
* Ability to work collaboratively in a team environment, including quickly getting up to speed with new technologies.
 Experience that is a plus
* 
+ Developer productivity tools development.
+ Building, maintaining and supporting infrastructure.
+ Experience with Google Cloud Platform/AWS/Azure or other public cloud technologies.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$126,500—$189,700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23">
      <c r="A23" t="inlineStr">
        <is>
          <t>li-4372326210</t>
        </is>
      </c>
      <c r="B23" t="inlineStr">
        <is>
          <t>Full Stack Engineer - Senior</t>
        </is>
      </c>
      <c r="C23" t="inlineStr">
        <is>
          <t>The BitByBit Company</t>
        </is>
      </c>
      <c r="D23" t="inlineStr">
        <is>
          <t>linkedin</t>
        </is>
      </c>
      <c r="E23" t="inlineStr"/>
      <c r="F23" t="inlineStr"/>
      <c r="G23" t="inlineStr"/>
      <c r="H23" t="inlineStr"/>
      <c r="I23"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24">
      <c r="A24" t="inlineStr">
        <is>
          <t>li-4311591215</t>
        </is>
      </c>
      <c r="B24" t="inlineStr">
        <is>
          <t>Senior Software Engineer - Supply Core</t>
        </is>
      </c>
      <c r="C24" t="inlineStr">
        <is>
          <t>StubHub</t>
        </is>
      </c>
      <c r="D24" t="inlineStr">
        <is>
          <t>linkedin</t>
        </is>
      </c>
      <c r="E24" t="inlineStr"/>
      <c r="F24" t="inlineStr"/>
      <c r="G24" t="inlineStr">
        <is>
          <t>New York, NY</t>
        </is>
      </c>
      <c r="H24" t="inlineStr"/>
      <c r="I2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New York, NY or Aliso Viejo, CA or Seattle, WA*
**About The Team**
 The Supply team's mission is to simplify the lives of our large\-ticket sellers by making it effortless to onboard and manage their inventory across the entire event lifecycle. We help sellers reduce operational overhead and maximize revenue through intelligent automation, streamlined workflows that move at marketplace speed, and fast, dependable experiences. Behind the scenes, we design and operate enterprise\-grade, high\-throughput systems that power core seller operations and handle large, dynamic datasets at scale. Our work spans multiple layers of the stack \- from robust back\-end services to high\-performance, user\-focused interfaces \- ensuring sellers have a reliable, end\-to\-end platform they trust to run their business.
**What You'll Do**
* Design, develop, test, deploy, and maintain impactful improvements across both frontend and backend systems within the Supply organization’s suite of products and platforms.
* Provide technical leadership and hands\-on execution for key initiatives, focusing on feature delivery, stability, and reliability.
* Collaborate with cross\-functional stakeholders to translate product requirements into technical roadmaps and actionable engineering plans.
* Partner with teammates to define and uphold engineering best practices, ensuring consistency, maintainability, and quality across the codebase.
* Manage priorities, timelines, and deliverables independently while maintaining a high technical bar.
* Mentor and support team members, helping to elevate technical skills and foster a culture of inclusion, innovation, and excellence.
**What You've Done**
* 5–6\+ years of professional experience in software development, delivering high\-quality, production\-grade system
* Extensive experience developing robust, mission\-critical applications using one or more general\-purpose programming languages such as Java or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Strong understanding of how their systems interact with the broader production environment, including dependencies and platform primitives
* Proven ability to quickly learn and adapt to new programming languages, frameworks, and tools.
* Experience owning projects end\-to\-end, from ideation and design through implementation, deployment, and ongoing maintenance.
* Demonstrated success in mentoring and supporting junior engineers, fostering growth, and promoting engineering excellence.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5">
      <c r="A25" t="inlineStr">
        <is>
          <t>li-4343514724</t>
        </is>
      </c>
      <c r="B25" t="inlineStr">
        <is>
          <t>Senior Software Engineer, 1</t>
        </is>
      </c>
      <c r="C25" t="inlineStr">
        <is>
          <t>People Inc.</t>
        </is>
      </c>
      <c r="D25" t="inlineStr">
        <is>
          <t>linkedin</t>
        </is>
      </c>
      <c r="E25" t="inlineStr"/>
      <c r="F25" t="inlineStr"/>
      <c r="G25" t="inlineStr">
        <is>
          <t>New York, NY</t>
        </is>
      </c>
      <c r="H25" t="inlineStr"/>
      <c r="I25" t="inlineStr">
        <is>
          <t>**Job Title**
 Senior Software Engineer, 1
**Job Description**
**About Your Role:**
 People Inc. is looking for a forward\-thinking Engineer focused on API and services development with demonstrated technical excellence for an exciting opportunity to design and scale mission\-critical pieces of the next generation of our publishing. You will work in a collaborative Agile environment to build high\-performance backend services to support and add new features to our new brand\-focused mobile application.
 In this role you will leverage your full\-stack engineering expertise, primarily using Node and Javascript/TypeScript. The role offers opportunities for professional growth and experience with challenges of scale as we explore new ways of getting our content to viewers.
 In\-office Expectations: This position offers remote work flexibility; however, if you reside within a commutable distance to one of our offices in New York, Des Moines, Birmingham, Los Angeles, Chicago, or Seattle, the expectation is to work from the office three times per week. The team is currently centered in NYC, so NYC applicants are preferred.
**About Your Contributions**
* Independently design and develop new backend services and features that seamlessly connect our mobile applications with in\-house content\-management systems.
* Collaborate with frontend, QA, and product teams to define API contracts, data structures, authentication, and overall technical direction.
* Architect and execute complex feature builds from technical design and code\-level implementation through to final integration.
* Proactively identify and implement improvements for performance bottlenecks and technical debt in existing backend services.
* Maintain high quality standards by actively participating in and leading code/design reviews, writing unit and end\-to\-end tests, and guiding technical conversations.
* Drive technical progress on projects to ensure applications meet performance requirements and utilize the most effective technologies.
* Research new technologies and approaches to solve complex problems and improve existing systems.
* Contribute to team knowledge\-sharing and process improvement initiatives.
**About You**
 You have a love for technology and problem\-solving, and a strong desire to deliver quality software as quickly as possible. You have
* 4\+ years of proven experience developing and maintaining server\-side applications, with strong technical proficiency in TypeScript/JavaScript and Node.js for building and maintaining RESTful APIs and backend services, ideally within a microservices architecture.
* Experience managing and optimizing data storage with NoSQL databases (e.g., Firestore), including maintaining performance, data consistency, and managing large datasets via optimized queries, indexes, and transactions. Experience with BigQuery is a plus.
* Comfortable deploying and monitoring services in cloud platforms (e.g., AWS, GCP) using tools like Prometheus, Grafana, or native cloud solutions, and proficient in setting up CI/CD pipelines.
* Familiar with security challenges in mobile app development, able to implement secure authentication/authorization (e.g., JWT, OAuth, Device Attestation), and protect backend services from common web vulnerabilities (e.g., XSS, SQL injection, DDoS).
* Good understanding of system design and architecture fundamentals, with experience in containerization (e.g., Docker), orchestration (e.g., Kubernetes), and familiarity with serverless architectures/functions\-as\-a\-service.
* Ability to independently identify and troubleshoot complex issues, and seek collaborative input to create optimal solutions.
* Ability to translate business/product requirements into clear technical approaches and concepts, and communicate them effectively to both technical and non\-technical audiences.
* Comfortable working and proactively communicating in a distributed team environment.
 It is the policy of People Inc.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hr@people.inc.
 The Company participates in the federal E\-Verify program to confirm the identity and employment authorization of all newly hired employees. For further information about the E\-Verify program, please click here: https://www.e\-verify.gov/employees
**Pay Range**
 Salary: New York: $145,000 \- $170,000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People Inc's total compensation package for employees. Other compensation may include annual bonuses, and short\- and long\-term incentives. In addition, People Inc.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People Inc. and your work location. We also offer voluntary benefits such as pet insurance, accident, critical and hospital indemnity health insurance coverage, life and disability insurance.
 \#NMG\#</t>
        </is>
      </c>
    </row>
    <row r="26">
      <c r="A26" t="inlineStr">
        <is>
          <t>li-4373274621</t>
        </is>
      </c>
      <c r="B26" t="inlineStr">
        <is>
          <t>Back End Software Engineer</t>
        </is>
      </c>
      <c r="C26" t="inlineStr">
        <is>
          <t>Wiraa</t>
        </is>
      </c>
      <c r="D26" t="inlineStr">
        <is>
          <t>linkedin</t>
        </is>
      </c>
      <c r="E26" t="inlineStr"/>
      <c r="F26" t="inlineStr"/>
      <c r="G26" t="inlineStr"/>
      <c r="H26" t="inlineStr"/>
      <c r="I26" t="inlineStr">
        <is>
          <t>**About The Company**
 Delta Defense, LLC is a leading private company dedicated to providing comprehensive marketing, operations, and customer service solutions for the United States Concealed Carry Association (USCCA). The organization is committed to safeguarding the lives, freedoms, and financial well\-being of responsible American protectors through innovative products, educational resources, and community support. Recognized for its exceptional workplace culture, Delta Defense has garnered numerous accolades, including rankings on The Wall Street Journal’s Top 100 Most Loved Workplaces and Inc. 5000’s Fastest Growing Private Companies list for over a decade. The company fosters a dynamic and inclusive environment that values innovation, collaboration, and continuous growth, making it an ideal place for technology professionals to thrive.
**About The Role**
 We are seeking a talented Software Engineer \- Back End to join our remote, hybrid, or HQ\-based team in West Bend, Wisconsin. In this role, you will be instrumental in designing, developing, and deploying scalable and high\-performance software solutions that support our core business operations. Your expertise will contribute to building robust APIs, managing data pipelines with Kafka and Airflow, and leveraging Cloudflare Workers to optimize application performance at the edge. You will work closely with cross\-functional teams including front\-end developers, product managers, and other back\-end engineers to translate business needs into technical solutions. The ideal candidate will possess deep PHP knowledge, experience with serverless architectures, and a strong understanding of distributed systems, enabling you to make impactful contributions to our innovative technology stack.
**Qualifications**
* Strong proficiency in PHP programming language
* Deep understanding of RESTful API design and implementation
* Experience with Apache Kafka, including consumer and producer patterns
* Knowledge of Apache Airflow for workflow orchestration
* Familiarity with Cloudflare Workers or similar serverless platforms
* Proficiency with Git version control and CI/CD practices
* Excellent problem\-solving and analytical skills
* Ability to manage complex distributed systems effectively
* High school diploma or equivalent; degree in IT, Software Engineering, or related field preferred
* Equivalent professional certification or work experience may be considered
* Authorized to work for any employer in the U.S. (sponsorship not available)
**Responsibilities**
* Design, develop, and maintain scalable PHP APIs, focusing on RESTful services with high availability, security, and performance
* Integrate APIs with internal and external systems to facilitate data exchange and service orchestration
* Develop and manage Kafka consumers for processing large volumes of data, ensuring data integrity and reliability
* Utilize Apache Airflow to orchestrate workflows, manage dependencies, and schedule tasks for data processing
* Create Python processes to define and manage data pipelines
* Monitor Kafka consumer lag, handle data reprocessing, and implement retry mechanisms to ensure system robustness
* Optimize data flow for real\-time processing and batch operations
* Leverage Cloudflare’s serverless platform to build edge computing solutions, reducing latency and enhancing application performance
* Implement serverless functions for API gateway, data validation, or authentication at the edge
* Utilize Cloudflare’s infrastructure for global load balancing, CDN, and security features to ensure secure and reliable API deployment
* Integrate PHP with Kafka and Airflow for seamless backend ecosystem operation
* Optimize system interactions focusing on throughput, latency, and resource efficiency through caching, database tuning, and other performance strategies
* Collaborate with front\-end developers, product managers, and other engineers to ensure cohesive system design and implementation
* Participate in code reviews, share knowledge, and contribute to architectural decisions
* Write unit and integration tests to ensure code quality and reliability
* Troubleshoot, debug, and optimize existing systems for performance and security enhancements
* Document APIs, workflows, and system interactions; provide training and guidance to team members as needed
**Benefits**
* 23 days of personal time off, plus 8 company holidays and an annual paid volunteer day
* Reimbursement programs for personal protection, fitness, and home office setup ($500 annually)
* Comprehensive insurance options including Medical, Dental, Vision, HSA, FSA, Life, STD, and LTD
* Recognition as one of America's Most Loved Workplaces and inclusion on Inc. 5000’s list for 14 consecutive years
* Competitive salary range of $77,000 \- $95,000, with bonus eligibility based on performance
* Opportunities for professional development and career growth within a dynamic organization
 Equal Opportunity
 Delta Defense, LLC is an equal opportunity employer. We are committed to fostering an inclusive environment where all employees and applicants are treated with respect and dignity. We do not discriminate based on race, color, religion, gender, sexual orientation, gender identity, national origin, age, disability, or any other protected status under applicable law. All qualified applicants will receive consideration for employment without regard to these factors.</t>
        </is>
      </c>
    </row>
    <row r="27">
      <c r="A27" t="inlineStr">
        <is>
          <t>li-4253936448</t>
        </is>
      </c>
      <c r="B27" t="inlineStr">
        <is>
          <t>Senior Fullstack Software Engineer</t>
        </is>
      </c>
      <c r="C27" t="inlineStr">
        <is>
          <t>Conveyor</t>
        </is>
      </c>
      <c r="D27" t="inlineStr">
        <is>
          <t>linkedin</t>
        </is>
      </c>
      <c r="E27" t="inlineStr"/>
      <c r="F27" t="inlineStr"/>
      <c r="G27" t="inlineStr"/>
      <c r="H27" t="inlineStr"/>
      <c r="I27" t="inlineStr">
        <is>
          <t>Hi, we’re Conveyor 👋, creators of the \#1 Customer Trust AI automation platform.
 We solve problems that our customers “hate with the fury of 1000 suns” (actual quote!) \- the dreaded customer security review and RFP processes. These are key parts of the B2B sales cycle, but both still involve too much time, effort, and mental anguish from those involved.
 Enter Conveyor, where our mission is to eliminate all of the misery from B2B customer trust with maximum automation. We’ve made a lot of progress – we have an awesome customer list whose lives we’ve significantly impacted through product, this year we launched the first AI agents for security reviews (Sue) and RFPs (Phil), and we just raised a $20M Series B from SignalFire and OVF! (TechCrunch) But we have ambitious goals and we’re looking for our next Senior Software Engineer to help make them a reality!
**The top 3 1/2 reasons you should be interested in working at Conveyor:**
* You’ll be selling a great product with a slam dunk AI use case while building sales processes and foundations to help scale the business.
* Everyone on the team is amazing at their jobs. We care deeply about psychological safety, and believe that the ability to take risks and exist in the learning zone is critical to our success. This also comes with high accountability, which isn’t for everyone. But, you have the potential to have an outsize impact on the direction and success of the company.
* We’re highly transparent and collaborative. Giving constructive, thoughtful feedback and asking hard questions are highly encouraged! We come together to figure it out when times are hard, and in celebration when we get our wins. 1/2\. Plus, we’ll even teach you how to saber a bottle of champagne
**About The Role**
 As one of the first engineers on the team, this is a unique opportunity to shape Conveyor’s platform, and have a huge impact on our success. Designing and building innovative new capabilities for our AI\-powered products, you will have the opportunity to collaborate closely with a great team, as well tackle challenging engineering problems on your own.
**What You’ll Do**
* You will design, implement and maintain new features and capabilities for Conveyor’s SaaS platform and AI\-powered products, taking full ownership across the stack (backend, frontend and AI).
* You'll autonomously manage and own individual project priorities, deadlines, and deliverables.
* You’ll collaborate and pair frequently with teammates and peers.
* You'll inform the product roadmap and implementation decisions based on feasibility.
* You'll ensure that our product is maintainable, meaning that other engineers are able to contribute new functionality easily, and without frequent technical debt.
* You'll partner with Product and Design to effectively plan new features, avoiding bottlenecks and maximizing velocity when it comes time to implement.
* Provide constructive feedback through design and code reviews, and mentor to new or junior team members
**What We’re Looking For**
 We are looking for candidates with 5\-8 years of experience as a Fullstack Software Engineer, with a focus on B2B SaaS solutions, and experience in startup environments.
* 6\-10 years of experience as a Software Engineer, with strong foundations on building and shipping products. Your designs should be performant, maintainable (for years, not months), and evolvable.
* Experience building and scaling web applications with real users, familiarity with SaaS architecture concepts, Cloud infrastructure and services (AWS preferred), popular databases, authentication services, etc.
* Specifically, rich experience working across the stack: Ruby on Rails, Python, React, RESTful APIs, PostgreSQL, AWS
* Bias for action: Startup mentality, get things done, fast iterations, scope and implement project\-level solutions with minimal guidance, strong problem\-solving and decision\-making capabilities. Previous experience in a small startup (or as a founder) is highly preferred.
* Curiosity and Continuous Learning: You are up to speed on developments in fullstack technologies and patterns, and constantly thinking about how to apply new technologies and offerings to our platform.
* Desire to Improve: You seek to understand why things are the way they are, and think about ways to make them better.
* Product Sense: You seek to understand the features you're working on, and actively propose positive changes. Collaborate with product and design to inform roadmap decisions.
* Team Player: You have excellent communication skills (verbal and written), enjoy collaborating with others and mentoring team members.
* Deliver Legendary Customer Experience: You have experience building and scaling products that delight real users.
* Ownership: Strong sense of ownership and accountability, honor commitments and be transparent about challenges.
**Job Location**
 This position is available in the United States and Canada.
 We are a remote\-first company so you’ll be working from home most of the time, traveling for in person sessions a few times a year.
 The estimated total compensation for this role is $180,000 \- $220,000 per year.
 Ready to join our team and have a tremendous impact? We’d love to hear from you. Also, we know it’s tough, but please try to avoid the confidence gap . You don’t have to match all the listed requirements exactly to be considered for this role.</t>
        </is>
      </c>
    </row>
    <row r="28">
      <c r="A28" t="inlineStr">
        <is>
          <t>li-4115210828</t>
        </is>
      </c>
      <c r="B28" t="inlineStr">
        <is>
          <t>Software Engineer (22121)</t>
        </is>
      </c>
      <c r="C28" t="inlineStr">
        <is>
          <t>Orion Innovation</t>
        </is>
      </c>
      <c r="D28" t="inlineStr">
        <is>
          <t>linkedin</t>
        </is>
      </c>
      <c r="E28" t="inlineStr"/>
      <c r="F28" t="inlineStr"/>
      <c r="G28" t="inlineStr">
        <is>
          <t>Edison, NJ</t>
        </is>
      </c>
      <c r="H28" t="inlineStr"/>
      <c r="I28"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Responsibilities**
* Work in Scrum team as a Developer, involved in scrum calls and implementing software changes using Agile methodology
* Carry out analysis, design and development of applications using .Net Framework
* Design and develop user\-friendly web\-based application using ASP.Net Framework with supporting languages including C\#, HTML, CSS, jQuery, JavaScript
* Create master pages and style sheets for consistent look and feel in web\-based applications
* Design reusable user controls for web applications developed in ASP.Net Framework
* Develop web Methods for implementing business logic to communicate with application layer
* Use Team Foundation Server (TFS) as source control for project code throughout the project’s life cycle
* Design and create tables with indexes and primary keys and other objects in SQL Server
* Create complex business stored procedures, views and user defined functions for data retrieval and manipulations
* Perform unit testing and integration testing
* Support QA and UAT for any bug fixes
* Deploy the codes and queries successfully in production environment
**Requirements**
* Master’s in Computer Science/Applications, Information Technology/Systems or Electronics/Electrical Engineering
* Minimum 1 year experience as Software Engineer, Software Developer, Programmer Analyst or Project Associate
**Note**
 Must be willing to travel/relocate to anywhere in the US
 Job location: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29">
      <c r="A29" t="inlineStr">
        <is>
          <t>li-4341860922</t>
        </is>
      </c>
      <c r="B29" t="inlineStr">
        <is>
          <t>Software Engineer</t>
        </is>
      </c>
      <c r="C29" t="inlineStr">
        <is>
          <t>Candescent</t>
        </is>
      </c>
      <c r="D29" t="inlineStr">
        <is>
          <t>linkedin</t>
        </is>
      </c>
      <c r="E29" t="inlineStr"/>
      <c r="F29" t="inlineStr"/>
      <c r="G29" t="inlineStr">
        <is>
          <t>Atlanta, GA</t>
        </is>
      </c>
      <c r="H29" t="inlineStr"/>
      <c r="I29"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currently searching for a Software Engineer who is passionate about creating world\-class software experiences. As part of the Digital Banking team, this individual will design and deliver features that elevate customer engagement, owning services end\-to\-end and working closely with product managers and designers to craft intuitive, impactful solutions.
 The Engineer will transform complex challenges into scalable designs, uphold engineering best practices, and foster a culture of continuous improvement. Operating in a dynamic Agile environment, they will consistently produce high\-quality, production\-ready code and embrace continuous delivery. Ideal candidates are detail\-oriented, driven to solve meaningful problems, eager to learn, and committed to mentoring and excellence—striving for precision while knowing when to ship.
**Key Responsibilities And Deliverables**
**Implement Features and Deliver Production\-Ready Code**
* Develop and deploy secure, reliable features
* Create technical documentation, system diagrams, and debugging reports
* Optimize performance and monitor key metrics
**Product Strategy, Vision, and Planning**
* Participate in agile planning events with technical insights and feasibility analysis
* Collaborate with Product Owners, Designers, and Engineers to translate business needs into technical solutions
* Provide input on technology enhancements, emerging tools, and product gaps to shape the roadmap
* Support definition of acceptance criteria for development and testing
**Product Design and Development**
* Design, build, and maintain software solutions in an agile environment
* Write clean, scalable code aligned with best practices and standards
* Collaborate with peers to implement user stories, resolve issues, and improve functionality
* Engage in agile ceremonies such as daily scrums and demos
* Create proof\-of\-concepts and run experiments to guide technical decisions
* Conduct peer code reviews for quality and knowledge sharing
* Continuously improve team processes and workflows
* Stay current with emerging technologies, frameworks, and industry trends
**Performance Measurement and Optimization**
* Track delivery metrics such as lead time and deployment frequency
* Identify and implement improvements to enhance efficiency
**Qualifications And Experience**
* Bachelor’s degree in computer science, Information Technology, or equivalent
* 5\+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Familiarity with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Distinctions**
* Advocate for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30">
      <c r="A30" t="inlineStr">
        <is>
          <t>li-4349852433</t>
        </is>
      </c>
      <c r="B30" t="inlineStr">
        <is>
          <t>Founding Frontend Engineer</t>
        </is>
      </c>
      <c r="C30" t="inlineStr">
        <is>
          <t>Effective AI</t>
        </is>
      </c>
      <c r="D30" t="inlineStr">
        <is>
          <t>linkedin</t>
        </is>
      </c>
      <c r="E30" t="inlineStr"/>
      <c r="F30" t="inlineStr"/>
      <c r="G30" t="inlineStr">
        <is>
          <t>San Francisco, CA</t>
        </is>
      </c>
      <c r="H30" t="inlineStr"/>
      <c r="I30" t="inlineStr">
        <is>
          <t>**Role Details**
**Location:** 
 San Francisco, CA
 **Work Model:** 
 In\-office
**About Us**
 At Effective AI, we're building the future of work. We believe the real frontier for AI is not simple, repetitive tasks, but complex knowledge work that demands expertise and multi\-step reasoning. That's why we're building sophisticated AI Teammates designed to master complex workflows and collaborate with human experts. We're starting by tackling the trillion\-dollar U.S. Property \&amp; Casualty insurance market, a space with intricate processes and a rich data environment perfect for this challenge.
 We’ve raised $10 million in seed funding from Lightspeed Ventures \&amp; Valor Equity Partners.
 Our dedicated team is based in San Francisco and thrives on in\-person collaboration to solve these challenging problems.
**What You'll Do**
 As a Founding Frontend Engineer, you will be a crucial part of our initial team, playing a pivotal role in designing and building our core product from the ground up. You’ll push the frontiers of AI and human collaboration on some of the most data\-heavy analytical projects that insurance professionals work on.
 More specifically, you will:
* Enable long\-horizon task completion by building the foundational UX patterns for working with multi\-turn, multi\-tool agentic systems.
* Empower actuaries and underwriters to work on thousands of documents in parallel by giving them access to coding and coding agents.
* Architect and implement our frontend stack using modern frameworks (React, TypeScript, Tailwind) with a focus on performance and maintainability.
* Get your hands into the backend \&amp; core agentic platform as well! It’s all typescript.
* Collaborate closely with design, backend, and ML engineers to deliver end\-to\-end experiences.
* Rapidly prototype and iterate on features, balancing speed and quality in a startup environment.
**Who You Are**
 We're looking for an ambitious and creative builder who is excited to tackle hard problems.
* You are genuinely passionate about AI and energized by approaching ambiguous challenges from first principles.
* Have deep experience building production\-grade web applications with modern frameworks (React, Next.js, TypeScript).
* Care about performance, accessibility, and pixel\-perfect implementation.
* Have strong UI/UX sensibilities and enjoy collaborating with designers to ship delightful experiences.
* Are a collaborative, fast learner who wants to join a small team and have an outsized impact.
* (Bonus) Have experience with data visualization, realtime systems, or working on complex workflow tools.
**Why Join Effective AI?**
* Tackle Foundational AI Challenges: Work on cutting\-edge problems in agentic AI, tool use, and reliable reasoning that will define the future of work.
* Massive, Tangible Impact: Your work will directly improve efficiency and decision\-making in a trillion\-dollar industry.
* Work with the best: We’re assembling a world\-class, talent\-dense team. This is an opportunity for you to raise our already high bar and define the company culture and direction.
**What we offer:**
* Highly competitive salary \&amp; equity
* Flexible PTO
* Catered lunches
* Best\-in\-class medical, dental \&amp; vision insurance
* 401k with up to a 4% company match
* Mentorship from experienced founders and access to an elite investor network
* Team building events \&amp; happy hours
* Backing from top VCs (Lightspeed, Valor)</t>
        </is>
      </c>
    </row>
    <row r="31">
      <c r="A31" t="inlineStr">
        <is>
          <t>li-4247291585</t>
        </is>
      </c>
      <c r="B31" t="inlineStr">
        <is>
          <t>Sr Software Engineer</t>
        </is>
      </c>
      <c r="C31" t="inlineStr">
        <is>
          <t>General Motors</t>
        </is>
      </c>
      <c r="D31" t="inlineStr">
        <is>
          <t>linkedin</t>
        </is>
      </c>
      <c r="E31" t="inlineStr"/>
      <c r="F31" t="inlineStr"/>
      <c r="G31" t="inlineStr">
        <is>
          <t>Austin, TX</t>
        </is>
      </c>
      <c r="H31" t="inlineStr"/>
      <c r="I31" t="inlineStr">
        <is>
          <t>**Job Description**
**Hybrid:**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
* This role is categorized as hybrid. This means the successful candidate is expected to report to Austin innovation Center or GM Global Technical Center three times per week, at minimum.
* This job is eligible for relocation benefit
**The Role:**
 We are looking for a Senior Software Engineer to contribute to the design and development of scalable, high\-performance systems that power our global platform. This role requires strong technical skills in software engineering, a solid understanding of distributed systems, and the ability to deliver high\-quality, maintainable solutions.
 You will work closely with cross\-functional teams to implement features, improve system architecture, and ensure code quality through best practices. The ideal candidate is a hands\-on problem solver who thrives in a collaborative environment and is committed to continuous learning and technical excellence.
**Key Responsibilities:**
* Collaborate on the design and development of scalable, reliable systems that meet both business and non\-functional requirements (performance, security, maintainability).
* Contribute hands\-on to coding, prototyping, and code reviews, promoting clean code practices and secure development standards.
* Work with technical leads and peers to implement modern design patterns and architectural best practices.
* Build and maintain efficient data flows using both synchronous and asynchronous integration patterns.
* Stay current with emerging technologies and tools to improve development workflows and system capabilities.
* Partner with product managers, designers, and Staff Engineers to deliver high\-quality, customer\-focused features.
* Participate and lead technical improvements, including performance optimization and system refactoring.
* Build and optimize CI/CD workflows using platforms such as Jenkins, GitHub Actions, or ArgoCD.
* Manage and enhance services deployed on Kubernetes at scale, using Helm charts and best practices in container orchestration.
* Ensure platform stability through robust observability, monitoring, and alerting, leveraging tools like Prometheus, Grafana, Datadog, or equivalent.
* Collaborate with SREs, developers, and product teams to implement automated deployment, scaling, and recovery solutions.
**Qualifications:**
* Bachelor’s or master’s degree in computer science, Engineering, or a related field.
* 6\+ years of experience in software development, with a proven track record in designing scalable systems and contributing to architectural decisions.
* Strong understanding of software architecture, design patterns, and modern programming paradigms including microservices and micro\-frontend architectures.
* Proficient in front\-end technologies such as ReactJS, component\-based UI design and backend technologies/frameworks like Java, Quarkus or Spring Boot.
* Demonstrated ability to lead technical projects and make strategic decisions that align with business and engineering goals.
* Excellent problem\-solving skills with the ability to analyze complex systems and propose effective, scalable solutions.
* Experience with relational databases such as PostgreSQL, and familiarity with technologies like Redis and OpenSearch/Elasticsearch is a plus.
* Solid understanding of event\-driven systems and experience with tools such as Kafka, Pulsar, or Azure Event Hub.
* Deep expertise in Kubernetes administration, containerization best practices, and Helm for managing cloud\-native applications in production.
**Preferred Skills:**
* Experience designing global, scalable customer\-facing platforms tailored to diverse market needs.
* Familiarity with public cloud platforms (Azure preferred, AWS, GCP) and containerization technologies (Docker, Kubernetes).
* Experience in leading large global eCommerce product with microservices and event driven architectures.
*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$143,000 to 219,400\.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
      <c r="A32" t="inlineStr">
        <is>
          <t>li-4302165900</t>
        </is>
      </c>
      <c r="B32" t="inlineStr">
        <is>
          <t>Software Engineer - RBI</t>
        </is>
      </c>
      <c r="C32" t="inlineStr">
        <is>
          <t>Versa Networks</t>
        </is>
      </c>
      <c r="D32" t="inlineStr">
        <is>
          <t>linkedin</t>
        </is>
      </c>
      <c r="E32" t="inlineStr"/>
      <c r="F32" t="inlineStr"/>
      <c r="G32" t="inlineStr"/>
      <c r="H32" t="inlineStr"/>
      <c r="I32"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looking for an enthusiastic and energetic Software Engineer to join our Remote Browser Isolation team. As part of this team, you will develop features and systems related to the cloud hosted RBI infrastructure and backend services. In addition, you may also work on features for improving the observability, security and scalability of the cloud hosted components
**Responsibilities**
* Developing cloud\-based applications/micro\-services hosted in Kubernetes clusters.
* Developing customer Kubernetes resources and controllers for these resources
* Managing all aspects of the end\-to\-end development and deployment lifecyle, including
+ Writing high quality unit\-tests
+ Creating deployment manifests and helm charts
+ Adding monitoring support for metrics, logging, tracing and alerting.
* Designing and implementing scalability and fault tolerance aspects.
**Qualifications**
* 2\+ years of software development experience in Go.
* 2\+ years of experience with developing, deploying and operating services in a Kubernetes environment
* Experience implementing Kubernetes custom resources and controllers
* Experience with monitoring stacks such as ELK, prometheus/grafana, etc.
* Experience implementing web application backends in Go with best practices related to authentication, authorization, logging, tracing, etc.
* Experience with identity and authentication concepts including SAML and OIDC are a plus
* Strong analytical, good communication skills and the ability to work independently with minimal supervision and perform well as part of a team
 Location: United States, with a preference for Santa Clara, CA
* Applicants must be authorized to work in the US
 The pay range for this position at commencement of employment in California, Washington, or New York City is expected in the range of $160,000 to $260,000\.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33">
      <c r="A33" t="inlineStr">
        <is>
          <t>li-4355731137</t>
        </is>
      </c>
      <c r="B33" t="inlineStr">
        <is>
          <t>Senior Backend Engineer</t>
        </is>
      </c>
      <c r="C33" t="inlineStr">
        <is>
          <t>Sphinx Defense</t>
        </is>
      </c>
      <c r="D33" t="inlineStr">
        <is>
          <t>linkedin</t>
        </is>
      </c>
      <c r="E33" t="inlineStr"/>
      <c r="F33" t="inlineStr"/>
      <c r="G33" t="inlineStr"/>
      <c r="H33" t="inlineStr"/>
      <c r="I33" t="inlineStr">
        <is>
          <t>**About Sphinx**
 Sphinx builds software to solve complex national security problems in Space. Founded by engineers and technologists with deep experience across commercial and defense technology, we were frustrated by the outdated and insecure technology America's service members are forced to rely on. We're here to do better.
 We’re focused on building modern, scalable products with an emphasis on using open source technologies. Expect talented, motivated, and interesting colleagues who emphasize collaboration, transparency, and individual responsibility.
**About The Role**
 Sphinx is hiring a
 **Senior Backend Engineer** 
 to join our team, building the next generation of mission planning and command and control software for space communications programs. This team is charged with creating modern, resilient services and capabilities to service the US Government for the next decade and beyond.
 As a Senior Backend Engineer, you will play a key role in building a cutting\-edge communications platform for US government satellites. Sphinx is hiring a Senior Backend Engineer to join our Space Communications team, building a ground communications and data\-transport platform for US government satellites. As a Senior Backend Engineer, you will lead the development of core platform services and design and build technology to support the operations of various US government satellites. You'll work as both an individual contributor and a lead for more junior engineers.
 You will have an outsized role in determining what we build and how we work. You'll work as both an individual contributor and a lead for more junior engineers.
**What You Will Be Focusing On**
* Building multi\-tenant services on public cloud platforms like AWS
* Building, architecting, and consuming APIs and backend services as part of the platform ecosystem with an emphasis on automation, testing, and security
* Advocating for improvements to product quality, security, and performance that have a particular impact on your team and others
* Supporting junior engineering talent with mentorship or technical guidance
* Interacting with customers and partners to help them integrate with our services
* Scale the services and solve interesting Space Communication challenges
**You Might Be a Good Fit If You Have**
* 5\+ years of progressively responsible software engineering experience
* Have extensive experience with Python, FastAPI, Postgres, AWS, Docker, Kubernetes, and Terraform\*
* Demonstrable in\-depth knowledge of at least one commercial cloud platform and its associated services
* Led the architecture, development, and building of backend services and APIs to ensure performance, security, and reliability
* An ability to successfully own technical problems end\-to\-end
* Made enough mistakes and booked enough wins to know what not to build and what good looks like
* Excellent communication skills, working with end\-users to design and build solutions to their needs, a habit of self\-directed learning of new technologies, and the ability to learn quickly and adapt to a fast\-paced environment
**LOCATION**
 This is a fully remote role. All work must be completed in the United States. Occasional travel may be required, such as client visits, semiannual company gatherings, and other project related travel as needed may be required.
**Compensation**
 This role is between $160,000 \- $185,000 base salary.
**Benefits**
 Compensation includes competitive salary, meaningful equity ownership, profit sharing, employer 401(k) contribution, and 100% employer covered medical, dental, and vision insurance for you and your dependents.
**EEO STATEMENT**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**CLEARANCE ELIGIBILITY \- This position requires eligibility to obtain and maintain a U.S. security clearance.** 
 For more information about U.S. Security Clearances: click here.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34">
      <c r="A34" t="inlineStr">
        <is>
          <t>li-4372322358</t>
        </is>
      </c>
      <c r="B34" t="inlineStr">
        <is>
          <t>Sr. Software Engineer</t>
        </is>
      </c>
      <c r="C34" t="inlineStr">
        <is>
          <t>Qualcomm</t>
        </is>
      </c>
      <c r="D34" t="inlineStr">
        <is>
          <t>linkedin</t>
        </is>
      </c>
      <c r="E34" t="inlineStr"/>
      <c r="F34" t="inlineStr"/>
      <c r="G34" t="inlineStr">
        <is>
          <t>Santa Clara, CA</t>
        </is>
      </c>
      <c r="H34" t="inlineStr"/>
      <c r="I34" t="inlineStr">
        <is>
          <t>**Company**
 Qualcomm Atheros,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Engineering, Information Systems, Computer Science or related field.
* 4\+ years of Software Engineering or related work experience.
* 2\+ years of experience with Database Management Software.
* 2\+ years of experience with API.
* 1\+ year of work experience with Git, Perforce, or Source Code Management System.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$129,300\.00 \- $193,900\.00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5">
      <c r="A35" t="inlineStr">
        <is>
          <t>li-4281718828</t>
        </is>
      </c>
      <c r="B35" t="inlineStr">
        <is>
          <t>Senior Software Engineer, Infrastructure</t>
        </is>
      </c>
      <c r="C35" t="inlineStr">
        <is>
          <t>Retell AI</t>
        </is>
      </c>
      <c r="D35" t="inlineStr">
        <is>
          <t>linkedin</t>
        </is>
      </c>
      <c r="E35" t="inlineStr"/>
      <c r="F35" t="inlineStr"/>
      <c r="G35" t="inlineStr"/>
      <c r="H35" t="inlineStr"/>
      <c r="I35"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In 2026, We are expanding our vision to build a CX platform of the AI era where the entire contact center is reimagined as a team of AI employees. We are moving beyond mechanical automation that relies on human finetuning to instead transform core functions into intelligent, opinionated AI roles. Frontline agents, QA analysts, and managers now operate as distinct digital workers that serve as the new interface for customer experience. They execute, monitor, and improve continuously to create a system where software behaves like an organization.
 We’re scaling fast, and we’re looking for bold, ambitious people to help us build the gold standard for voice automation. If you want to work on deeply technical challenges, move fast, and make an outsized impact at one of the fastest\-growing Voice AI startups in the world, you’ll love it here.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**Senior Software Engineer \- Infrastructure** 
 , you’ll be the owner of our build, release, and runtime foundations. You’ll design and automate deployment pipelines for both cloud SaaS and on\-prem environments, orchestrate containers at scale, and ship reliable releases that meet compliance requirements. You’ll work cross\-functionally with product, security, and customer teams—then turn what you learn in the field into reusable platform capabilities.
**Key Responsibilities**
* Own CI/CD end\-to\-end: design, implement, and operate pipelines with blue/green, canary, and phased rollouts; define graceful draining for HA systems.
* Architect, maintain, and harden Kubernetes\-based runtime (Docker, Kubernetes, Helm), including multi\-cluster and multi\-tenant concerns.
* Manage cloud deployments across AWS/Azure/GCP and coordinate with on\-prem infrastructure teams; standardize with IaC (e.g., Terraform).
* Implement robust observability (metrics, logs, traces), SLOs/error budgets, and automated rollback/one\-click restore.
* Partner with compliance to integrate SOC 2 / ISO 27001 / HIPAA controls into pipelines (artifact signing, SBOMs, change management, access/keys).
* Deploy at customer sites (cloud or on\-prem), collaborating with client teams for integration, runbooks, and handover.
* Lead incident response \&amp; postmortems; drive resilience, cost, and performance improvements.
* Document release processes and platform conventions; codify best practices into tooling and templates.
**YOU MIGHT THRIVE IF**
* Have 3\+ years of deep experience with a major cloud (AWS, Azure, or GCP) and container orchestration (Kubernetes, Helm).
* Build production\-grade CI/CD with GitHub Actions / GitLab CI / Jenkins (or similar), including complex rollout strategies.
* Have shipped both SaaS and on\-prem solutions, navigating networking, security, and environment drift.
* Can integrate compliance and security into delivery (secret management, image signing, policy\-as\-code).
* Are comfortable with networking fundamentals, security hardening, and performance tuning.
* Communicate clearly, move fast in ambiguity, and enjoy being the responsible adult in prod.
 JOB DETAILS
* Cash: 215k \- 290k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exceptional builders.
* High Ownership: Small teams, \&gt;$1M revenue/employee, and significant equity.
* Performance\-Based: Offers tied to interview performance, not experience or past salaries.
 INTERVIEW PROCESS
* Online Assessment: Coding questions on practical problem\-solving (7 days to complete).
* Intro Call (15\-20min): Connect with our Founding Recruiter to get a deeper look at the team and the work you'd be doing.
* Technical Interview (45 min): A practical coding session focused on code fluency and system design, with an emphasis on DevOps and infrastructure.
* Technical Interview (45 min): A deep dive into your backend chops and how you think through systems design.
* Onsite/Virtual Interviews (2–3 hrs): Hosted in our office if located in the Bay Area or virtual, with three rounds:
+ Practical Coding: Tackle real\-world coding tasks with debugging.
+ System Design: Architect a production\-ready system.
+ Tools \&amp; Automation: Build automations or improve workflows in any basic environment setup like python, java, node.js, etc.
 Learn More
 Retell AI \- API That Turns Your LLM Into A Human\-Like Voice Agent
 Retell AI Basics: Everything You Need to Start Building Voice Agents
 Join Retell AI to shape the future of voice automation, building scalable, impactful full\-stack systems that redefine AI\-driven communication.</t>
        </is>
      </c>
    </row>
    <row r="36">
      <c r="A36" t="inlineStr">
        <is>
          <t>li-4372327042</t>
        </is>
      </c>
      <c r="B36" t="inlineStr">
        <is>
          <t>Backend Engineer</t>
        </is>
      </c>
      <c r="C36" t="inlineStr">
        <is>
          <t>RemoteHunter</t>
        </is>
      </c>
      <c r="D36" t="inlineStr">
        <is>
          <t>linkedin</t>
        </is>
      </c>
      <c r="E36" t="inlineStr"/>
      <c r="F36" t="inlineStr"/>
      <c r="G36" t="inlineStr"/>
      <c r="H36" t="inlineStr"/>
      <c r="I36"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li-4338248116</t>
        </is>
      </c>
      <c r="B37" t="inlineStr">
        <is>
          <t>Senior Software Engineer, Data Platform</t>
        </is>
      </c>
      <c r="C37" t="inlineStr">
        <is>
          <t>Gusto</t>
        </is>
      </c>
      <c r="D37" t="inlineStr">
        <is>
          <t>linkedin</t>
        </is>
      </c>
      <c r="E37" t="inlineStr"/>
      <c r="F37" t="inlineStr"/>
      <c r="G37" t="inlineStr"/>
      <c r="H37" t="inlineStr"/>
      <c r="I3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 are looking for a Senior Software Engineer to architect, build, and maintain the data infrastructure at Gusto. As part of the Data Platform team, you will collaborate closely with Data Science, Business Intelligence, and analysts across Gusto teams to help them achieve their goals.
 The Data Platform position is a software development role with knowledge of data architectures and data delivery. The ideal candidate is passionate about developing software, working with data, and understanding the needs of end users.
**Here’s What You’ll Do Day\-to\-day**
* Architect, build, and refine our infrastructure and tools that enable other teams to work with data.
* Efficiently handle vast amounts of clickstream, database, and third party application data, processing in batch and real\-time
* Take full ownership of the solutions you build, working with stakeholders to develop requirements, implement solutions, monitor production, and troubleshoot problems that arise.
* Work as part of a team. We value team players who share their knowledge and like collaborating with others.
**Here’s What We're Looking For**
* At least 7 years of software engineering experience.
* Experience building solutions in the cloud, AWS preferred (Redshift, MSK, EMR).
* Experience with OLAP databases (Clickhouse)
* Experience building data pipelines at scale, Airflow and Python preferred.
* Experience with streaming systems desired (Kafka, Kinesis, or similar).
* Ability to turn vague requirements into clear deliverables with minimal guidance.
* Experience building and maintaining a modern data stack in production.
 Our cash compensation amount for this role is targeted at $163,000\-$204,000/year in Denver, $178,000\-$223,000/year in Los Angeles, and $197,000\-$247,000/year for San Francisco, New York, and Seattle.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8">
      <c r="A38" t="inlineStr">
        <is>
          <t>li-4373270863</t>
        </is>
      </c>
      <c r="B38" t="inlineStr">
        <is>
          <t>Software Engineer</t>
        </is>
      </c>
      <c r="C38" t="inlineStr">
        <is>
          <t>PEX</t>
        </is>
      </c>
      <c r="D38" t="inlineStr">
        <is>
          <t>linkedin</t>
        </is>
      </c>
      <c r="E38" t="inlineStr"/>
      <c r="F38" t="inlineStr"/>
      <c r="G38" t="inlineStr"/>
      <c r="H38" t="inlineStr"/>
      <c r="I38" t="inlineStr">
        <is>
          <t>**Senior Software Engineer (Platform AI)** 
**SUMMARY:** 
 We're on a mission to transform how organizations manage workforce spending. For over a decade, PEX has built and evolved solutions that help small and medium\-sized organizations manage payments\-related activities more efficiently, nimbly, and competitively. Our platform serves tens of thousands of businesses and millions of cardholders, including municipalities, nonprofits, and humanitarian organizations. We are building the future of business expense management with advanced card controls, real\-time visibility, and seamless reconciliation. We work each day to find new ways we can help our community of customers operate more efficiently.
**WHO YOU ARE:** 
 You are a Senior Software Engineer who thrives at the intersection of Fintech and AI innovation. You’ll join at an exciting time—this isn’t a role where you’ll be handed tickets and told what to build. You are a customer\-focused engineer with an ownership mentality and the ability to act independently to lead features through all stages of our SDLC. You are comfortable using AI to accelerate your own productivity and have a demonstrated ability to learn new AI frameworks, workflows, and tools. You thrive in environments where you collaborate from ideation through deployment and ship code that impacts hundreds of thousands of users.
**ESSENTIAL RESPONSIBILITIES:** 
**Product Engineering \&amp; AI Innovation** 
* Own features end\-to\-end—from design through rollout, including talking directly with customers to understand their problems and shape product decisions.
* Lead the integration of customer\-facing AI or agentic workflows into our products to enhance our platform with the latest AI capabilities.
* Collaborate closely with product managers and designers to shape product direction and ideate on new features.
* Act as an end\-to\-end owner of features, ensuring they are scalable, innovative, and market\-leading.
**Technical Execution \&amp; Code Quality** 
* Contribute to high\-quality code reviews, ensuring the team maintains a high bar for engineering excellence.
* Drive DevOps practices and production monitoring to ensure the stability and performance of our global platform.
* Utilize AI tools and frameworks to accelerate development cycles and improve overall team productivity.
* Ensure all features are supported through all stages of the SDLC, from initial inception to post\-launch support.
**Security, Compliance \&amp; Architecture** 
* Apply a deep understanding of security best practices and frameworks, such as OWASP, to every aspect of the development lifecycle.
* Work within our core stack (C\#/.NET, Angular, SQL Server/NoSQL) to build secure, robust, and scalable fintech solutions.
* Partner with the broader engineering team to ensure system architecture meets or exceeds industry standards for data privacy and security.
**QUALIFICATIONS:** 
* Experience: 5\+ years of full\-stack development experience, ideally within a B2B SaaS or Fintech environment.
* AI Expertise: Experience integrating customer\-facing AI or agentic workflows into production environments.
* Security: Demonstrated knowledge of security frameworks and best practices (OWASP).
* Communication / Customer Focus: Eager to work directly with customers from feature inception to support.
**NICE TO HAVE:** 
* Experience in a high\-growth environment scaling platforms for millions of users.
* Proficient with the latest versions of .NET, C\#, and Angular.
* Mastery of working with data in platforms like SQL Server, MongoDB, and Redis.
* Comfortable working in cloud platforms such as Azure and AWS.
* Familiarity with messaging systems like RabbitMQ or Azure Service Bus.
**BENEFITS:** 
* Our People: Join an ego\-free team of high\-performers who value transparency, collaboration, and constant improvement.
* Health: 80% Company\-Subsidized Medical, Dental, \&amp; Vision.
* Time Off: Flexible PTO \+ Federal Reserve Bank Holiday Schedule.
* Finance: 401(k) with 3% Match.
* Wellness: ClassPass Credits \&amp; Gym Membership Subsidies.
* Growth: Sponsored Learning \&amp; Development Opportunities.
* Location: 100% Remote\-First Culture.</t>
        </is>
      </c>
    </row>
    <row r="39">
      <c r="A39" t="inlineStr">
        <is>
          <t>li-4338298089</t>
        </is>
      </c>
      <c r="B39" t="inlineStr">
        <is>
          <t>Senior Software Engineer, Data Platform</t>
        </is>
      </c>
      <c r="C39" t="inlineStr">
        <is>
          <t>Gusto</t>
        </is>
      </c>
      <c r="D39" t="inlineStr">
        <is>
          <t>linkedin</t>
        </is>
      </c>
      <c r="E39" t="inlineStr"/>
      <c r="F39" t="inlineStr"/>
      <c r="G39" t="inlineStr"/>
      <c r="H39" t="inlineStr"/>
      <c r="I3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 are looking for a Senior Software Engineer to architect, build, and maintain the data infrastructure at Gusto. As part of the Data Platform team, you will collaborate closely with Data Science, Business Intelligence, and analysts across Gusto teams to help them achieve their goals.
 The Data Platform position is a software development role with knowledge of data architectures and data delivery. The ideal candidate is passionate about developing software, working with data, and understanding the needs of end users.
**Here’s What You’ll Do Day\-to\-day**
* Architect, build, and refine our infrastructure and tools that enable other teams to work with data.
* Efficiently handle vast amounts of clickstream, database, and third party application data, processing in batch and real\-time
* Take full ownership of the solutions you build, working with stakeholders to develop requirements, implement solutions, monitor production, and troubleshoot problems that arise.
* Work as part of a team. We value team players who share their knowledge and like collaborating with others.
**Here’s What We're Looking For**
* At least 7 years of software engineering experience.
* Experience building solutions in the cloud, AWS preferred (Redshift, MSK, EMR).
* Experience with OLAP databases (Clickhouse)
* Experience building data pipelines at scale, Airflow and Python preferred.
* Experience with streaming systems desired (Kafka, Kinesis, or similar).
* Ability to turn vague requirements into clear deliverables with minimal guidance.
* Experience building and maintaining a modern data stack in production.
 Our cash compensation amount for this role is targeted at $163,000\-$204,000/year in Denver, $178,000\-$223,000/year in Los Angeles, and $197,000\-$247,000/year for San Francisco, New York, and Seattle.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40">
      <c r="A40" t="inlineStr">
        <is>
          <t>li-4355710144</t>
        </is>
      </c>
      <c r="B40" t="inlineStr">
        <is>
          <t>Software Developer 4</t>
        </is>
      </c>
      <c r="C40" t="inlineStr">
        <is>
          <t>Oracle</t>
        </is>
      </c>
      <c r="D40" t="inlineStr">
        <is>
          <t>linkedin</t>
        </is>
      </c>
      <c r="E40" t="inlineStr"/>
      <c r="F40" t="inlineStr"/>
      <c r="G40" t="inlineStr"/>
      <c r="H40" t="inlineStr"/>
      <c r="I40" t="inlineStr">
        <is>
          <t>**Job Description**
* This position is based in Austin or Nashville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The
 **OCI Dataservices Engineering** 
 is responsible for a critical database service used by other public OCI services.
 We are looking for a Principal software engineer who is ready to tackle new challenges in designing, implementing, and maintaining highly available and scalable services for managing this key database service. Help us build automation tools for managing our large and fast\-growing fleet of database service that underpins other OCI services. Help us build the bedrock for the Enterprise Class Cloud of the future!
**Responsibilities**
**Responsibilities** 
 :
**About You** 
 :
* You are a lead cloud engineer with a proven track record of delivering high\-scale, high\-impact solutions
* You are obsessed with the customer, always exceeding expectations
* You have excellent communication skills. You can drive complex technical concepts
* You are a disciplined engineer who understands the importance of high standards, never satisfied with mediocrity and constantly striving for excellence
* You are comfortable with ambiguity in a chaotic and fluid environment
* You are passionate about technology and are not afraid to defend your opinions or position with peers/superiors
**Minimum Qualifications**
* Ability to work in a collaborative, cross\-functional team environment, and lead peers and Jr/Sr Engineers
* Strong grasp of Computer Science concepts (data structures, algorithms, and programming paradigms)
* Proficient in Java or Python
* Proficient in Oracle Database Engineering
* You are experienced at building highly available services, possessing knowledge of common service\-oriented design patterns and service\-to\-service communication protocols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**Preferred Qualifications**
* Experience in a fast\-paced environment
* Experience building control plane/data plane solutions for cloud native companies
* Experience in diagnosing, troubleshooting, and resolving performance issues in complex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1">
      <c r="A41" t="inlineStr">
        <is>
          <t>li-4323643225</t>
        </is>
      </c>
      <c r="B41" t="inlineStr">
        <is>
          <t>Senior/Staff Software Engineer (Backend)</t>
        </is>
      </c>
      <c r="C41" t="inlineStr">
        <is>
          <t>Rally UXR</t>
        </is>
      </c>
      <c r="D41" t="inlineStr">
        <is>
          <t>linkedin</t>
        </is>
      </c>
      <c r="E41" t="inlineStr"/>
      <c r="F41" t="inlineStr"/>
      <c r="G41" t="inlineStr"/>
      <c r="H41" t="inlineStr"/>
      <c r="I41" t="inlineStr">
        <is>
          <t>**Role at a glance**
 As a Senior / Staff Backend Software Engineer, you’ll help our customers run better user research and bring the voice of the user into every product decision.
* What: Your work will directly shape how modern product, design, and research teams connect with their users and scale high\-quality research.
* Impact: You’ll join our Engineering team and partner closely with Product, Design, Research, and Go\-To\-Market partners.
* Team: You’ll be part of a small, senior group of builders who care deeply about craftsmanship, reliability, and creating leverage for product teams.
* Work style: Remote\-first within the United States, with regular async collaboration and optional in\-person team onsites.
**About Rally UXR**
 Rally is the User Research CRM that helps product, design, and research teams talk to their users quickly, safely, and at scale. Our platform automates the unglamorous parts of research—participant recruitment, outreach, screening, scheduling, consent, and incentives—so teams can spend more time learning from customers and less time wrestling with spreadsheets and manual workflows.
 We’re trusted by UX, product, and research teams at companies like Google, Adobe, Figma, GitLab, MongoDB, Webflow, and others who use Rally to make research a continuous input into product decisions.
 User research is still an emerging capability inside many organizations and has historically relied on disjointed tools and manual processes. Rally exists to fix that: we’re building the infrastructure layer that makes high\-quality research easier to run, easier to scale, and impossible to ignore.
 We’re backed by leading investors including Y Combinator, Stage 2 Capital, and Canapi Ventures, and we’re growing quickly as more teams realize that continuous research is a competitive advantage.
**About The Team**
 Rally Engineering is a highly collaborative, user\-obsessed group focused on making research smoother for both our customers and their participants.
* We work closely with UX Researchers, Research Ops leaders, designers, and product managers at some of the world’s most user\-centric companies.
* We use Rally to build Rally—talking to our own users frequently, running studies on our platform, and feeding insights straight into the roadmap.
* We favor small, empowered teams, high ownership, and a tight feedback loop between customers, product, and engineering.
**The opportunity**
 Rally is in the middle of a massive shift in how companies run user research: from ad\-hoc, one\-off projects to continuous learning that informs every product decision. In this role, you’ll help define what that future looks like—for Rally as a product and for the teams who rely on us to run research at scale. You’ll join at a stage where we have a strong product\-market fit, a fast\-growing customer base, and plenty of hard, interesting problems left to solve.
 As a Senior Backend Engineer, you’ll be central to scaling Rally’s core systems and services to power hundreds of millions of participant records and billions of events. You’ll own critical infrastructure—like email/SMS delivery, data pipelines, search, and workflow automation—and help lay the foundation for new AI\-driven features.
**What You’ll Do**
* Scale and evolve backend systems that manage large\-scale participant and event data, improving performance, reliability, and responsiveness as we grow.
* Own and mature critical infrastructure such as email/SMS delivery, data sync pipelines, search APIs, and workflow automation, with a focus on observability and operational excellence.
* Drive the evolution of our platform from 1→10: strengthening existing services to handle greater scale, tighter SLAs, and deeper product integration—not just shipping new features.
* Design and implement backend services and APIs in TypeScript, working across our stack (AWS, Postgres, Elasticsearch, Kafka, Temporal) to deliver robust, maintainable systems.
* Collaborate cross\-functionally with Product, Design, GTM, and the founding team to shape product direction and ensure engineering work is tightly aligned to user and business needs.
* Lead with technical vision: influence architectural decisions, reduce complexity, improve developer experience, and establish best practices for backend engineering.
* Mentor future engineering hires by providing thoughtful code reviews, pairing, and guidance as we grow the team.
**What You’ll Bring**
* 3\+ years of experience designing, building, and operating complex backend systems in production (at a startup or similar high\-ownership environment).
* Deep experience with server\-side development, including building and maintaining APIs and data\-intensive services.
* Strong JavaScript/TypeScript fundamentals and the willingness to work in a fully TypeScript codebase.
* Experience taking infrastructure from “1→10”—scaling systems, hardening reliability, and improving performance as usage grows.
* Proven track record leading significant projects or technical areas, from design through implementation and rollout.
* Comfort working with modern cloud infrastructure (e.g., AWS and managed services), relational databases (e.g., Postgres), and event\-driven or streaming systems (e.g., Kafka).
* Excellent communication skills and a collaborative mindset—you’re excited to partner with product, design, and go\-to\-market teams, not just other engineers.
**Nice to have**
* Familiarity with distributed systems patterns (e.g., microservices, event\-driven architectures, workflow engines like Temporal).
* Prior experience at an early\-stage or high\-growth startup where you’ve worn multiple hats and shipped quickly.
* Experience with search technologies (e.g., Elasticsearch) and/or messaging infrastructure at scale (email/SMS).
* Interest in or exposure to UX research, research operations, or customer\-centric SaaS products.
 If you’re excited about Rally and this role but don’t meet every requirement, we’d still encourage you to apply! We’re interested in what you can do, not just what you’ve done.
**How We Work**
 Rally is a remote\-first company with teammates across the US and Canada. We default to async communication, use clear written documentation to keep everyone in the loop, and reserve meetings for collaboration, decision\-making, and relationship building.
* Remote\-first: Work from anywhere in the US, with core collaboration hours that overlap across US time zones.
* In\-person connection: We bring people together for periodic team or company on\-sites to build relationships, do deep\-dive strategy work, and celebrate wins.
* High ownership: You’ll have real responsibility from day one and a lot of trust to figure out the best way to get to outcomes.
* Customer\-driven: We talk to users constantly and use those insights to drive decisions across Product, Design, Engineering, and Go\-To\-Market.
**Compensation \&amp; Benefits**
 Base salary range (US): $190,000 – $225,000 USD per year. This range reflects the minimum and maximum target for new hires in this role across the United States. Within the range, individual pay is determined by factors such as job\-related skills, experience, and location.
 Additional compensation: This role may be eligible for variable compensation (such as equity awards) in accordance with Rally’s applicable plans. Any such compensation is not guaranteed and is determined at Rally’s discretion under the terms of those plans.
* Benefits for US\-based full\-time employees currently include:
* Competitive compensation and meaningful equity
* Flexible / unlimited PTO policy
* Medical, dental, and vision insurance
* Paid parental leave
* 401(k) retirement plan
* Home office set\-up support
* Monthly remote work stipend
* Quarterly in\-person team or company gatherings
 Benefits may vary based on role, level, and location, and are subject to change as Rally grows.
**Our hiring process**
 While the exact steps can vary by role, here’s what you can generally expect:
* Initial conversation: A short call with our recruiting team to learn more about your background and share more about Rally.
* Hiring manager interview: A deeper conversation about the role, your experience, and what success looks like in the first 6–12 months.
* Exercise and presentation/whiteboarding session: Conversations with future teammates and cross\-functional partners, plus a practical exercise aligned with the day\-to\-day work.
* Team and cross\-functional conversations: Time with leadership and/or key partners to answer your remaining questions.
 We’ll share details at each stage so you know what’s coming and how to prepare!
 Rally strives to recruit and retain exceptional talent from diverse backgrounds while ensuring pay equity across our team. Our salary ranges are based on competitive market data for our size, stage, and industry, and may adjust over time as the market evolves.
 Rally is an equal opportunity employer. We do not discriminate on the basis of race, religion, color, national origin, gender (including pregnancy, childbirth, or related medical conditions), sexual orientation, gender identity or expression, age, disability, veteran status, or any other legally protected characteristic.
 We’re committed to providing reasonable accommodations to candidates with disabilities throughout the application and interview process. If you need support or an adjustment at any point, please email us at hello@rallyuxr.com and let us know how we can help.
 This job description is intended to describe the general nature and level of work for this role. It is not a complete list of all responsibilities, duties, and skills required. Employment with Rally is “at will,” which means either you or Rally may terminate the employment relationship at any time, with or without cause or notice, subject to applicable law.
 Compensation Range: $190K \- $225K</t>
        </is>
      </c>
    </row>
    <row r="42">
      <c r="A42" t="inlineStr">
        <is>
          <t>li-4372334257</t>
        </is>
      </c>
      <c r="B42" t="inlineStr">
        <is>
          <t>Software Engineer (Kubernetes)</t>
        </is>
      </c>
      <c r="C42" t="inlineStr">
        <is>
          <t>Xcel Engineering</t>
        </is>
      </c>
      <c r="D42" t="inlineStr">
        <is>
          <t>linkedin</t>
        </is>
      </c>
      <c r="E42" t="inlineStr"/>
      <c r="F42" t="inlineStr"/>
      <c r="G42" t="inlineStr">
        <is>
          <t>Oak Ridge, TN</t>
        </is>
      </c>
      <c r="H42" t="inlineStr"/>
      <c r="I42" t="inlineStr">
        <is>
          <t>**Company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 seeking a qualified applicant for a Software Engineer (Kubernetes) to design and develop custom Kubernetes Operators that extend the orchestration of high\-performance workloads and secure data workflows at scale. These roles are central to enabling American Science Cloud's AI and HPC platforms, ensuring that containerized research applications run seamlessly across heterogeneous compute and data environments.
**Essential Functions**
* Custom Kubernetes operator development
* Design, implement, maintain, modify, and test custom Kubernetes operators written in Go and/or Ansible
* Enhance existing software development processes, practices, and standards. test environments to evaluate tooling based on performance, feature set, and maintainability\-especially for components that must work reliably with on\-premise hardware and OS requirements.
* Support the use and understanding of in\-house Kubernetes operators and serve as a maintainer for those controllers.
* Architecture and Infrastructure as Code and Tooling
* Develop and implement an Architecture as Code process for the Slate platform
* Write and maintain infrastructure and deployment code using tools such as ArgoCD (GitOps), Puppet (OS management), Go, Python, Bash, Ansible, Terraform, and GitLab CI.
* Engage with development teams to understand platform needs and tailor the cluster experience to meet evolving requirements.
* Technical Leadership for Software Engineering
* Provide software development, guidance, code reviews, and pair programming support to a team of 11 engineers.
* Contribute to onboarding, team documentation, and process improvement initiatives.
* Act as a go\-to technical expert for all Kubernetes custom operator questions across the engineering organization.
* Collaboration
* Partner closely with internal cybersecurity and development teams to ensure the platform custom operators meets security, compliance, and usability expectations.
* Participate in cross\-functional projects related to platform enhancements, cluster lifecycle automation and infrastructure provisioning.
**Basic Qualifications**
* United States citizen with the ability to obtain a security clearance.
* Bachelor's degree in Computer Science, Information Technology or a related technical field.
* Experience with the following key technologies and tools:
* Languages: Go, Python, Bash
* CI/CD: GitLab CI, ArgoCD
* IaC/Config Management: Puppet, Helm, Ansible
* Kubernetes and Ecosystem: On\-prem K8s, Custom Operators, Service Mesh, k8s architecture
* Operating Systems: Linux\-based OS management at the hardware level, strong Linux sysadmin skills
**Desired Qualifications**
* Prior Istio operator development or service mesh integration experience.
* Familiarity with WebAssembly plugin development for Istio or Kubernetes.
* Background in HPC platforms, GPU\-based AI training environments, or large\-scale distributed systems.
* Exposure to DOE computing ecosystems (ALCF, OLCF, NERSC, ESnet, HPDF).
* Experience with containerized scientific workflows and secure data\-sharing architectures.
**PHYSICAL REQUIREMENTS And ENVIRONMENTAL CONDITIONS**
* Inside office environment.
* Working on a computer for long periods f time.
* May involve long period of sitting at a desk.
* The work environment is fast\-paced and sometimes involves extreme deadline pressures.
 \[]{style\="font\-size: 10pt; font\-family: arial, helvetica, sans\-serif; font\-weig
 "}</t>
        </is>
      </c>
    </row>
    <row r="43">
      <c r="A43" t="inlineStr">
        <is>
          <t>li-4292332658</t>
        </is>
      </c>
      <c r="B43" t="inlineStr">
        <is>
          <t>Senior Software Engineer</t>
        </is>
      </c>
      <c r="C43" t="inlineStr">
        <is>
          <t>Parker Hannifin</t>
        </is>
      </c>
      <c r="D43" t="inlineStr">
        <is>
          <t>linkedin</t>
        </is>
      </c>
      <c r="E43" t="inlineStr"/>
      <c r="F43" t="inlineStr"/>
      <c r="G43" t="inlineStr">
        <is>
          <t>Hauppauge, NY</t>
        </is>
      </c>
      <c r="H43" t="inlineStr"/>
      <c r="I43" t="inlineStr">
        <is>
          <t>**Org Marketing Statement**
 At Parker Aerospace, we develop technologies and innovative solutions that enable reliable, efficient and increasingly sustainable flight for the lifecycle of the aircraft, including aftermarket support. Our passionate people with deep engineering expertise, together with our breadth of differentiated technologies, ensure that we make the extraordinary happen and continue to shape the future of aviation in partnership with our customers.
 As a member of our team, you are instrumental in fulfilling our mission: 'Enabling Engineering Breakthroughs that Lead to a Better Tomorrow.' Pursuing a career at Parker presents unlimited opportunities for both professional and personal development. Working with some of the most brilliant minds in the industry, your contributions will be pivotal in developing innovative technologies and products, significantly contributing to Parker’s goal of addressing the world’s most pressing engineering challenges. At Parker, our team members belong, matter and make a difference.
**Position Summary**
 Parker Fluid Systems Division (FSD) is seeking a Lead Software Engineer to join our team. We are looking for a candidate who has working experience leading a software project team, designing, developing and verifying embedded software in aerospace and/or industrial applications. The candidate should be familiar with industry\-standard software development and design assurance practices (such as DO\-178, ISO 26262, EN 50128, IEC 61508 or IEC 62304\) and their application across the entire software development lifecycle.
 This position is in the Fluid Systems Division (FSD) of Parker Hannifin. To learn more about the Division please visit their site here on Parker.com.
**Essential Functions**
 Our charter is to develop fuel measurement, management and inerting systems for commercial and defense airframers. The Software Engineering team works closely with the Systems and Electronic Hardware Engineering teams to develop, qualify and certify these technologies as products for our customers in aerospace and industrial markets. The individual will have the following responsibilities (not an inclusive list):
* Lead a project team of software developers using Agile methods
* Develop embedded software using C and/or model\-based tools such as SCADE
* Develop high level and low level software requirements
* Create requirements\-based test cases and verification procedures
* Perform software integration testing on target hardware using both real and simulated inputs/outputs
* Analyze software requirements, design and code to assure compliance to standards and guidelines
* Perform traceability analysis to customer specification requirements to software code
* Participate in software certification audits, e.g. stages of involvement (SOI)
**Qualifications**
 We are seeking an engineer with experience working in a new product development environment. The following are key requirements to be successful in the position:
**Required**
* BS in Software Engineering, Computer Engineering, Computer Science or related field
* 5\+ years of experience performing software development, verification and/or integration
* Strong technical aptitude with analytical and problem\-solving capabilities
* Excellent interpersonal and communication skills, both verbal and written
* Ability to work in a team environment, cultivate strong relationships and demonstrate initiative
* Must be a US Citizen or US Permanent Resident
**Preferred**
* Experience leading a small project team
* Experience with C programming language
* Experience with model\-based software development using SCADE
* Experience developing embedded software control systems
* Experience planning and executing projects using Agile software development methodology
* Experience managing requirements using DOORS or DOORS Next Gen (DNG)
* Experience with digital signal processing or digital filter design
* Experience with ARM microprocessors
* Experience with serial communication protocols (e.g. CANbus, ARINC, RS\-232\)
* Familiarity with aerospace (e.g., DO\-178, DO\-330, DO\-331\) and/or industrial (e.g., IEC 61508\) software certification requirements
* Familiarity with functional safety standards such as ISO 13489, IEC 61508, IEC 62061, ISO 26262 or ARP4761
**Competitive Compensation**
**Pay, Benefits, Work Schedule**
* Pay Range: $104400 to $174150 annually
* Participation in Annual Incentive Program
**Benefit \&amp; Retirement Plans**
**Parker Offers Competitive Benefit Programs, Including**
* Comprehensive coverage for medical, prescription drugs, dental, vision, voluntary optional life, accident insurance, hospital indemnity insurance and critical illness insurance with competitive premium cost.
* 401(k) Plan with company matching contributions at 100% of the first 5% of pay.
* Company provided defined\-contribution retirement plan with annual contribution equal to 3% of pay.
* Career development and tuition reimbursement.
* Other benefits including paid parental leave, short and long\-term disability programs, adoption assistance, a Care.com membership and financial planning assistance are provided at no cost to you.
* Supplemental benefit programs including identity protection, legal protection, and pet wellness are available at competitive rates.
* Paid Time Off and Company\-Paid Holidays.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Employees \&amp; Job Applicants \| U.S. Equal Employment Opportunity Commission
**Drug\-Free Workplace**
 In accordance with Parker’s policies and applicable state laws, Parker provides for a drug\-free workplace. Therefore, all applicants seeking employment with Parker will be subject to drug testing as a condition of employment.</t>
        </is>
      </c>
    </row>
    <row r="44">
      <c r="A44" t="inlineStr">
        <is>
          <t>li-4336931697</t>
        </is>
      </c>
      <c r="B44" t="inlineStr">
        <is>
          <t>Senior Software Engineer (AI team)</t>
        </is>
      </c>
      <c r="C44" t="inlineStr">
        <is>
          <t>Pattern®</t>
        </is>
      </c>
      <c r="D44" t="inlineStr">
        <is>
          <t>linkedin</t>
        </is>
      </c>
      <c r="E44" t="inlineStr"/>
      <c r="F44" t="inlineStr"/>
      <c r="G44" t="inlineStr">
        <is>
          <t>Lehi, UT</t>
        </is>
      </c>
      <c r="H44" t="inlineStr"/>
      <c r="I44"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 Target.com , eBay, Tmall, TikTok Shop, JD, and Mercado Libre. To learn more, visit pattern.com or email \[email protected] .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In this role, you will translate product manager's solution concepts into reality, while championing our AI\-first development vision. You will take ownership of the end\-to\-end delivery of full\-stack applications, mentor colleagues in the latest technologies, and collaborate with a global team of engineers. Additionally, you will be a leader in the technical integration of AI into every process throughout the company.
**What is a day in the life of a Senior Software Engineer (AI team)?**
* Architect, build, and deploy internal tools and external proof‑of‑concept products in short, iterative cycles.
* Contribute AI knowledge \- evaluate emerging models, set standards for AI‑assisted coding, testing, and DevOps, and guide the team in adopting those practices. We have a dedicated budget to explore bleeding‑edge tech, and you’ll shape how it’s spent.
* Integrate generative‑AI capabilities (LLMs, embeddings, multimodal models, agents) to solve real business problems and open new markets.
* Guide Junior Engineers through code reviews, pair programming, and goal setting.
* Collaborate across time zones, partnering with product managers, designers, and engineers in the U.S. and India.
* Own quality and operability, from automated testing to observability and CI/CD.
* Champion engineering best practices while keeping speed and pragmatism front‑of‑mind.
**What will I need to thrive in this role?**
* 7 \+ years of professional software engineering experience delivering production full‑stack applications.
* Proficiency with one back‑end language/runtime (e.g., Python/FastAPI, Node.js ) and at least one modern front‑end framework (e.g., React)
* Hands‑on experience with relational databases and SQL; familiarity with PostgreSQL or Snowflake is a plus.
* Proven success deploying to a major cloud platform—AWS preferred.
* Demonstrated ownership: you’ve taken a 0 → 1 product or complex feature from design through launch.
* Curiosity or hands‑on work with generative AI (prompt engineering, fine‑tuning, vector search, LangChain/LangGraph, etc.).
* Experience evaluating or integrating developer‑productivity AI tools (Copilot, CodeWhisperer, test‑generation, DevOps assistants, etc.).
**Nice to have in this role**
* Experience mentoring or managing junior engineers.
* Prior work in high‑growth startups or hackathon environments.
* Familiarity with event‑driven architectures, serverless patterns, or data‑intensive applications.
* Contributions to open‑source AI/ML or developer‑tooling projects.
**What will make me stand out in the interview process?**
* Demonstrated experience in implementing successful AI content initiatives.
* Portfolio showcasing projects involving AI\-generated content.
* Knowledge of the latest advancements in AI for content creation.
* Ability to articulate the business value of AI\-driven content solutions.
* Experience with PXM(Product Experience Management) software.
* Experience with LLM (Large Language Model) tuning and implementation.
**What is the team like?**
* You will work under the supervision of the Staff Software Engineer collaborating with a team of software engineers and AI engineers based in both the US and India. The AI Engineering team at Pattern provides a work environment that values both autonomy and recognition, where you'll have the opportunity to set technical direction and receive credit for your accomplishments. You'll be joining a talented team of individuals who are passionate about AI and pushing the boundaries of what's possible. The team also provides a healthy AI exploration budget to encourage testing, adopting, and even building next\-generation tooling, as well as competitive salary, equity, benefits, and a hardware and education stipend. The team also offers a flexible work schedule with robust remote\-collaboration support.
**Sounds great! What's the company culture?**
* We are looking for individuals who are: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**What is the hiring process?**
* Initial phone interview with Pattern’s talent acquisition team
* Video interview with a hiring manager
* Take home case study
* Onsite interviews with panels of department leaders
* Professional reference checks
* Executive review
* Offer
**How can I stand out as an applicant?**
* Provide concrete examples of your experience with AI content deployment.
* Quantify your achievements with data and metrics.
* Demonstrate your understanding of the ecommerce and SaaS industries.
* Highlight your passion for AI and content innovation.
**Why should I work at Pattern?**
**Benefits**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5">
      <c r="A45" t="inlineStr">
        <is>
          <t>li-4338407895</t>
        </is>
      </c>
      <c r="B45" t="inlineStr">
        <is>
          <t>Software Developer - .NET</t>
        </is>
      </c>
      <c r="C45" t="inlineStr">
        <is>
          <t>Orion Innovation</t>
        </is>
      </c>
      <c r="D45" t="inlineStr">
        <is>
          <t>linkedin</t>
        </is>
      </c>
      <c r="E45" t="inlineStr"/>
      <c r="F45" t="inlineStr"/>
      <c r="G45" t="inlineStr">
        <is>
          <t>Montvale, NJ</t>
        </is>
      </c>
      <c r="H45" t="inlineStr"/>
      <c r="I45"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**Summary**
* Full stack Developer experienced in Angular 10\+, TypeScript, .NET Core, C\#, Azure SQL
* Proficiency working in Angular SPA applications
* Experience in Server\-side technologies like .Net Core to build RESTful web services
* Experience working with cloud technologies and services; Azure preferred
* Experience delivering serverless cloud solutions using PAAS model
* Experience using Azure App Service, Azure SQL, Service Bus, API Gateway Management, etc.
* Experience writing SQL Stored Procedures, Functions and ability to troubleshoot performance issue with SQL queries.
* Exposure to Microservices design patterns like pub/sub messaging, synchronous/asynchronous communication, etc.
* Experience with distributed version control systems Azure DevOps/Git
* Any Azure cloud certification from Microsoft preferred
* Experience or exposure to Agile development methodology
* Act with integrity, professionalism, and personal responsibility to uphold the firm’s respectful and courteous work environment.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46">
      <c r="A46" t="inlineStr">
        <is>
          <t>li-4224476259</t>
        </is>
      </c>
      <c r="B46" t="inlineStr">
        <is>
          <t>Software Engineer (Technical Leadership) - Machine Learning Specialist</t>
        </is>
      </c>
      <c r="C46" t="inlineStr">
        <is>
          <t>Meta</t>
        </is>
      </c>
      <c r="D46" t="inlineStr">
        <is>
          <t>linkedin</t>
        </is>
      </c>
      <c r="E46" t="inlineStr"/>
      <c r="F46" t="inlineStr"/>
      <c r="G46" t="inlineStr">
        <is>
          <t>Menlo Park, CA</t>
        </is>
      </c>
      <c r="H46" t="inlineStr"/>
      <c r="I46" t="inlineStr">
        <is>
          <t>Meta is seeking Machine Learning Engineers to join our engineering team. The ideal candidate will have industry experience working on a range of classification and optimization problems like payment fraud, click\-through rate prediction, click\-fraud detection, search ranking, text/sentiment classification, collaborative filtering/recommendation, or spam detection. The position will involve taking these skills and applying them to some of the most exciting and massive social data and prediction problems that exist on the web.
 Software Engineer (Technical Leadership) \- Machine Learning Specialist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Suggest, collect and synthesize requirements and create an effective feature roadmap
* Develop highly scalable classifiers and tools leveraging machine learning, data regression, and rules\-based models
* Adapt standard machine learning methods to best exploit modern parallel environments (e.g. distributed clusters, multicore SMP, and GPU)
 Minimum Qualifications:
* Experience leading projects with industry\-wide impact
* Experience communicating and working across functions to drive solutions
* Experience in mentoring/influencing engineers across organizations
* Proven track record of planning multi\-year roadmap in which short\-term projects ladder to the long\-term vision
* Experience in driving large cross\-functional/industry\-wide engineering efforts
* 12\+ years of experience in programming languages (Python, C\+\+, Java or R) with technical background
* 8\+ years of experience in one or more of the following areas: machine learning, recommendation systems, pattern recognition, NLP, data mining or artificial intelligence
* Bachelor's degree in Computer Science, Computer Engineering, relevant technical field, or equivalent practical experience
 Preferred Qualifications:
* Experience in shipping products to millions of customers or have started a new line of product
* Experience with Hadoop/Hadoop Base/Pig or MapReduce/Sawzall/Bigtable/Hive/Spark
* Experience in one or more of the following areas: machine learning, recommendation systems, pattern recognition, NLP, data mining or artificial intelligence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7">
      <c r="A47" t="inlineStr">
        <is>
          <t>li-4338377878</t>
        </is>
      </c>
      <c r="B47" t="inlineStr">
        <is>
          <t>Senior Software Engineer, Data Platform</t>
        </is>
      </c>
      <c r="C47" t="inlineStr">
        <is>
          <t>Gusto</t>
        </is>
      </c>
      <c r="D47" t="inlineStr">
        <is>
          <t>linkedin</t>
        </is>
      </c>
      <c r="E47" t="inlineStr"/>
      <c r="F47" t="inlineStr"/>
      <c r="G47" t="inlineStr">
        <is>
          <t>Denver, CO</t>
        </is>
      </c>
      <c r="H47" t="inlineStr"/>
      <c r="I4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 are looking for a Senior Software Engineer to architect, build, and maintain the data infrastructure at Gusto. As part of the Data Platform team, you will collaborate closely with Data Science, Business Intelligence, and analysts across Gusto teams to help them achieve their goals.
 The Data Platform position is a software development role with knowledge of data architectures and data delivery. The ideal candidate is passionate about developing software, working with data, and understanding the needs of end users.
**Here’s What You’ll Do Day\-to\-day**
* Architect, build, and refine our infrastructure and tools that enable other teams to work with data.
* Efficiently handle vast amounts of clickstream, database, and third party application data, processing in batch and real\-time
* Take full ownership of the solutions you build, working with stakeholders to develop requirements, implement solutions, monitor production, and troubleshoot problems that arise.
* Work as part of a team. We value team players who share their knowledge and like collaborating with others.
**Here’s What We're Looking For**
* At least 7 years of software engineering experience.
* Experience building solutions in the cloud, AWS preferred (Redshift, MSK, EMR).
* Experience with OLAP databases (Clickhouse)
* Experience building data pipelines at scale, Airflow and Python preferred.
* Experience with streaming systems desired (Kafka, Kinesis, or similar).
* Ability to turn vague requirements into clear deliverables with minimal guidance.
* Experience building and maintaining a modern data stack in production.
 Our cash compensation amount for this role is targeted at $163,000\-$204,000/year in Denver, $178,000\-$223,000/year in Los Angeles, and $197,000\-$247,000/year for San Francisco, New York, and Seattle.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48">
      <c r="A48" t="inlineStr">
        <is>
          <t>li-4312662534</t>
        </is>
      </c>
      <c r="B48" t="inlineStr">
        <is>
          <t>Display Software Engineer, Staff</t>
        </is>
      </c>
      <c r="C48" t="inlineStr">
        <is>
          <t>Qualcomm</t>
        </is>
      </c>
      <c r="D48" t="inlineStr">
        <is>
          <t>linkedin</t>
        </is>
      </c>
      <c r="E48" t="inlineStr"/>
      <c r="F48" t="inlineStr"/>
      <c r="G48" t="inlineStr">
        <is>
          <t>San Diego, CA</t>
        </is>
      </c>
      <c r="H48" t="inlineStr"/>
      <c r="I48"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Master's Degree in Engineering, Information Systems, Computer Science or related field.
* 8\+ years of Software Engineering or related work experience.
* 3\+ years of experience with Database Management Software.
* 3\+ years of experience with API.
* 1\+ year of work experience with Git, Perforce, or Source Code Management System.
**Principal Duties And Responsibilities**
* Leverages advanced Software knowledge and experience to design, develop, create, modify, and validate embedded and cloud edge software, applications, and/or specialized utility programs.
* Analyzes user needs, software requirements, and time and cost constraints to design and customize software for optimal operational efficiency.
* Designs and implements software modules for large\-scale products and systems.
* Participates in and leads design, coding, unit testing, debugging, and integration efforts to ensure projects are completed to specifications and schedules.
* Performs complex code reviews and regression tests as well as triages and fixes issues to ensure the quality of code.
* Collaborates with individuals outside the software function (e.g., Hardware, Systems, and Test engineers) to ensure solutions work with other components of a specific project.
* Writes detailed technical documentation for complex Software projects.
**Level Of Responsibility**
* Works independently with minimal supervision.
* Provides supervision/guidance to other team members.
* Decision\-making is significant in nature and affects work beyond immediate work group.
* Requires verbal and written communication skills to convey information. May require basic negotiation, influence, tact, etc.
* Has a moderate amount of influence over key organizational decisions (e.g., is consulted by senior leadership to make key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9">
      <c r="A49" t="inlineStr">
        <is>
          <t>li-4323603794</t>
        </is>
      </c>
      <c r="B49" t="inlineStr">
        <is>
          <t>Software Engineer Graduate (Data Platfrom TikTok BP) - 2026 Start (BS/MS)</t>
        </is>
      </c>
      <c r="C49" t="inlineStr">
        <is>
          <t>TikTok</t>
        </is>
      </c>
      <c r="D49" t="inlineStr">
        <is>
          <t>linkedin</t>
        </is>
      </c>
      <c r="E49" t="inlineStr"/>
      <c r="F49" t="inlineStr"/>
      <c r="G49" t="inlineStr">
        <is>
          <t>San Jose, CA</t>
        </is>
      </c>
      <c r="H49" t="inlineStr"/>
      <c r="I49" t="inlineStr">
        <is>
          <t>**Responsibilities**
 We are looking for talented individuals to join our team in 2026\. As a graduate, you will get opportunities to pursue bold ideas, tackle complex challenges, and unlock limitless growth. Launch your career where inspiration is infinite at TikTok.
**Team Introduction:**
 The Data Platform team works on building data infrastructures and data products to support business engineering teams at TikTok.
 As a Software Development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**Responsibilities:**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BS/MS from a quantitative field of study (CS, STEM, etc)
* Experience in API, backend, and data services development
* Experience in Big Data stack(Hadoop, M/R, Hive, Spark, Metastore, Presto, Flume, Kafka, ClickHouse, Flink etc.)
* Experience with ETL (Extraction, Transformation \&amp; Loading) or ELT, and architecting data systems
* Ability to ship code in Java, Python and SQL
* Solid communication and collaboration skills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0">
      <c r="A50" t="inlineStr">
        <is>
          <t>li-4372308995</t>
        </is>
      </c>
      <c r="B50" t="inlineStr">
        <is>
          <t>Sr Software Engineer</t>
        </is>
      </c>
      <c r="C50" t="inlineStr">
        <is>
          <t>RemoteHunter</t>
        </is>
      </c>
      <c r="D50" t="inlineStr">
        <is>
          <t>linkedin</t>
        </is>
      </c>
      <c r="E50" t="inlineStr"/>
      <c r="F50" t="inlineStr"/>
      <c r="G50" t="inlineStr"/>
      <c r="H50" t="inlineStr"/>
      <c r="I50" t="inlineStr">
        <is>
          <t>About the Opportunity:
 The organization connects people, data, and applications quickly and securely to support business growth. This role is for a Sr. Software Engineer with Java and Spring Boot experience who will work in an agile team to design, develop, test, and enhance software with moderate complexity.
 Responsibilities:
 • Design, develop, test, debug, and support new or enhanced software in an Agile Scrum environment
 • Collaborate with business partners and technical staff to deliver technical solutions
 • Define and implement automated tests with product developers
 • Document work for transparency and reuse
 • Build enterprise\-grade systems meeting SLAs for scalability, reliability, and performance
 • Participate in code reviews, unit testing, and continuous integration
 • Ensure code quality by adhering to coding standards and best practices
 • Mentor junior and mid\-level engineers
 • Design and implement scalable, maintainable, and efficient software solutions
 • Work with cross\-functional teams to define requirements and deliver solutions
 • Perform software testing and quality assurance
 • Contribute to strategic planning and technology decision\-making
 • Manage multiple concurrent projects
 • Take accountability for completing assignments successfully
 • Stay current with industry trends, technologies, and programming standards
 • Identify and solve complex problems, make data\-driven decisions, and mitigate risks
 Requirements:
 • 6\+ years of experience with a bachelor’s degree or equivalent (Computer Science or similar preferred); 4\+ years with a master’s degree
 • Knowledge of software development methodologies, standards, and coding best practices
 • Experience with Agile practices including sprint planning, grooming, standups, and retrospectives
 • 5\+ years development experience with Java, Spring Boot, Kubernetes
 • Experience with Oracle RDBMS, NoSQL, PL/SQL, Kafka
 • Familiarity with modern technologies like cloud platforms, AI/ML, DevOps within relevant domains
 • Experience with Unix/Linux shell scripting
 • Experience developing scalable high\-performance systems for high data volume processing
 Preferred Qualifications:
 • Experience with REST API Services
 • Experience in the telecommunications industry
 Compensation:
 • $82,969 \- $110,625 base salary range in these states: AL, AR, AZ, FL, GA, IA, ID, IN, KS, KY, LA, ME, MO, MS, MT, ND, NE, NM, OH, OK, PA, SC, SD, TN, UT, VT, WI, WV, WY
 • $87,117 \- $116,156 base salary range in these states: CO, HI, MI, MN, NC, NH, NV, OR, RI
 • $91,266 \- $121,688 base salary range in these states: AK, CA, CT, DC, DE, IL, MA, MD, NJ, NY, TX, VA, WA
 Benefits \&amp; Perks:
 • Comprehensive health, life, and voluntary lifestyle benefits
 • Programs supporting physical, mental, emotional, and financial wellbeing
 • Information on bonus structures available during the selection process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1">
      <c r="A51" t="inlineStr">
        <is>
          <t>li-4312900380</t>
        </is>
      </c>
      <c r="B51" t="inlineStr">
        <is>
          <t>Senior Backend Engineer, Data Platform</t>
        </is>
      </c>
      <c r="C51" t="inlineStr">
        <is>
          <t>LaunchDarkly</t>
        </is>
      </c>
      <c r="D51" t="inlineStr">
        <is>
          <t>linkedin</t>
        </is>
      </c>
      <c r="E51" t="inlineStr"/>
      <c r="F51" t="inlineStr"/>
      <c r="G51" t="inlineStr"/>
      <c r="H51" t="inlineStr"/>
      <c r="I51" t="inlineStr">
        <is>
          <t>**About The Job**
 Software powers the world, and LaunchDarkly empowers all teams to deliver and control the best software. As a Data Platform Engineer, you will help us build batch and stream processing pipelines that process trillions of events per day and deliver data to optimized derived tables that power all major internal and external products built on event data.
 Our platform serves over twenty trillion feature flags daily. To accommodate the large scale of our systems, we use state\-of\-the\-art pipeline technologies in the AWS ecosystem, including Kinesis, Airflow, Spark, Lambda, Flink and Athena. We store data in databases including Clickhouse, Postgres, ElasticSearch, Timestream and Snowflake. As part of our you\-build\-it\-you\-run\-it culture, all engineers support the pipelines in production, including in an on\-call rotation.
**Responsibilities**
* Build and expand our data pipelines and data products supporting Experimentation, Release observability, Metrics, Product Analytics and Flag Insights product lines, as well as internal Business Intelligence.
* Collaborate with frontend engineers, product managers and UX designers to deliver user\-facing features
* Monitor and improve database and pipeline performance
* Write unit, integration, and load tests as necessary
* Actively participate in code reviews
* Write and review technical proposals
* Improve engineering standards, tooling, and processes
**Qualifications**
* 5\+ Years of backend software engineering experience
* Minimum of 1 year experience building product focused Data Pipelines or Data Warehouse
* Demonstrable experience with data pipelines, including some of Kinesis, Airflow, Spark, Lambda, Flink and Athena.
* Experience with event or analytical data sets in databases including some of Clickhouse, Postgres, ElasticSearch, Timestream and Snowflake.
* Familiarity with computer science fundamentals such as data structures, distributed systems, concurrency, and threading
* A commitment to working in a communicative and collaborative environment
* You write code that can be easily understood by others, with an eye towards maintainability
* You hold yourself and others to a high bar when working with production systems
* You value high code quality, automated testing, and other engineering best practices
* Familiarity with Infrastructure\-as\-Code tools like Terraform or equivalent
* Familiarity with observability tools like Datadog or equivalent
**Pay**
*Target pay ranges based on Geographic Zones\* for Level 4:*
* Zone 1: San Francisco/Bay Area or NYC Metropolitan Area, Boston, Seattle \- $187,000 \- $257,000\*\*
* Zone 2: Irvine, LA, Monterey, Santa Barbara, Santa Rosa, Austin, Portland, Philadelphia, Chicago \- $168,000 \- $231,000\*\*
* Zone 3: All other US locations \- $158,000 \- $218,000\*\*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52">
      <c r="A52" t="inlineStr">
        <is>
          <t>li-4350985898</t>
        </is>
      </c>
      <c r="B52" t="inlineStr">
        <is>
          <t>Staff Software Engineer</t>
        </is>
      </c>
      <c r="C52" t="inlineStr">
        <is>
          <t>Yum! Brands</t>
        </is>
      </c>
      <c r="D52" t="inlineStr">
        <is>
          <t>linkedin</t>
        </is>
      </c>
      <c r="E52" t="inlineStr"/>
      <c r="F52" t="inlineStr"/>
      <c r="G52" t="inlineStr"/>
      <c r="H52" t="inlineStr"/>
      <c r="I52" t="inlineStr">
        <is>
          <t>**Who We Are**
 Our story might surprise you. We’re the world’s largest restaurant company—encompassing KFC, Pizza Hut, and Taco Bell—but there’s a lot more going on behind the scenes than just frying chicken, baking pizzas, and serving up tacos. We put this delicious food in the hands of customers through apps, websites, kiosks, POS, and other digital dining experiences – and we are only getting started. Here in Chicago, we’re building out a bold team of hackers to help Yum! Brands deliver the next generation of software to 50,000 restaurants in more than 145 countries. That’s a huge responsibility, which is why we’re on a mission to find the most fearless engineers to join our software startup within Yum!.
 Yum!'s vision for the future is simple: a world with more Yum!: with our iconic brands in more places, and more ways for consumers to access them. The key and not\-so\-secret ingredient in our recipe for growth is our unrivaled talent and culture, which fuels our results. And like all companies who win consistently, our brands, employees, and franchisees will need to continually adjust to stay relevant now and in the future. The software we’re building does just that: it serves people in new ways to make team members more productive and customers happier.
**What We Need**
 The Point of Sales team is seeking a senior level developer who has a proven track record of leading design, architecture, and best practices for high performing software teams. The POS domain brings with it some very unique and exciting problems to solve: peer\-to\-peer replication, interacting with external in\-store hardware, generalizing a solution for multiple brand needs, and performance tuning with the consideration that our app runs potentially all day long.
**You Will**
* Be building an Android\-based point\-of\-sale and operations platform that will be a critical tool in tens of thousands of restaurants around the world
* Help drive process and practice to keep pace with required scaling
* Solve problems with new and emerging technologies including distributed databases, real\-time syncing, message queues, and distributed transactions
**You Have**
* A bachelor’s degree in Computer Engineering or equivalent experience
* Expert knowledge of the Android SDK and good working knowledge of all new Android and Kotlin concepts
* A proven history of writing robust software. This includes having a solid grasp of and respect for proper architectures and testing strategies
* Experience architecting and building libraries, SDK, and tools for internal and external consumption
* Ability to self\-direct and prioritize work for other developers
* Experience leading technical initiatives and driving complex features
* Willingness and ability to own/manage specific aspects of the development process including implementation, testing, or deployment (CI/CD)
**We Prefer**
* Startup experience
* Strong background in reactive UI patterns (RxJava/Flow)
* Experience building payment systems
* Experience with peer\-to\-peer networks and building distributed systems
* Experience with both SQL and NoSQL databases, knowledge of their tradeoffs
* Experience integrating with hardware peripherals including printers and payment terminals
* Experience customizing the Android OS and deploying it on X86 hardware
* Social proof of your passion for software development (blog, personal apps or websites, meetup presentations, community involvement)
 Salary Range: 148,900 \- 186,500
**Benefits** 
 : Employees (and their eligible family members) may enroll in the following types of insurance coverage: medical, dental, vision, legal, and accidental death and dismemberment, as well as FSA/HSA (depending on enrolled medical plan). Yum! also provides short\-term disability, long\-term disability, and life insurance. Employees may enroll in our 401(k) plan. Yum! provides 4 weeks of vacation, paid sick leave, 10 paid holidays, a floating day off and 2 paid days for volunteer time each calendar year. To learn more about working at Yum! \-Click here.
 At Yum!, one of our core values is to Believe in ALL People. This means seeing the value in everyone and unlocking their full potential to be their best self. YUM! Brands, Inc. (including its subsidiaries Yum Restaurant Services Group, LLC (“YRSG”) and Yum Connect, LLC (“Yum Digital and Technology”)(collectively, “Yum”)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Yum! is committed to working with and providing reasonable accommodation to applicants with disabilities or special needs.
*US Job Seekers/Employees \-* 
*Click here* 
*to view the “* 
 Know Your Rights
 *” poster and supplement and the Pay Transparency Policy Statement.*
*This posting will be open for a minimum of two weeks. Applications will be accepted on an ongoing basis until a candidate is selected.*
***Beware of fake job postings using Yum! and/or our brand logos \-\- KFC, Pizza Hut, Taco Bell and Habit Burger \&amp; Grill \-\- on fraudulent sites. Yum! Brands only posts jobs on official career pages and never asks for money during onboarding. Avoid unsolicited contacts via Telegram, WhatsApp or similar social apps.***</t>
        </is>
      </c>
    </row>
    <row r="53">
      <c r="A53" t="inlineStr">
        <is>
          <t>li-4279928923</t>
        </is>
      </c>
      <c r="B53" t="inlineStr">
        <is>
          <t>Senior Frontend Engineer - Design Systems</t>
        </is>
      </c>
      <c r="C53" t="inlineStr">
        <is>
          <t>StubHub</t>
        </is>
      </c>
      <c r="D53" t="inlineStr">
        <is>
          <t>linkedin</t>
        </is>
      </c>
      <c r="E53" t="inlineStr"/>
      <c r="F53" t="inlineStr"/>
      <c r="G53" t="inlineStr">
        <is>
          <t>Los Angeles, CA</t>
        </is>
      </c>
      <c r="H53" t="inlineStr"/>
      <c r="I5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or
 *Century City* 
 , CA or Aliso Viejo, CA.*
**About The Team**
 The Design Systems team at StubHub builds the foundation for consistent, accessible, and high\-quality user experiences across all platforms. As a senior engineer on the team, you'll help shape the system's architecture, establish standards, and drive adoption across the company.
 We work closely with Product Design, Brand, and Engineering to deliver a robust, reusable component library. Our stack includes React, TypeScript, Storybook, and Figma, with contributions that support both web and mobile platforms. This role is focused on the web, but you'll collaborate with teams working on mobile (React Native) to ensure design consistency across surfaces. You'll influence everything from design tokens and theming to documentation, CI/CD, and usage guidelines.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frontend engineering experience, with 2\+ years focused on design systems or reusable component libraries
* Strong skills in React, TypeScript, and Storybook, with experience building accessible, production\-ready UI components
* Collaborated with designers to translate Figma libraries into scalable components
* Contributed to design tokens, theming, and component packaging, with familiarity in CI/CD workflows
* Maintained Storybook documentation using MDX and usage guidelines
* Implemented unit, integration, and e2e tests, and conducted accessibility and performance checks (e.g., axe, Lighthouse)
* Mentored engineers and helped define frontend standards, patterns, and code review practices
* Web\-focused, but able to collaborate with mobile teams (e.g., React Native) to align design system usage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4">
      <c r="A54" t="inlineStr">
        <is>
          <t>li-4337249146</t>
        </is>
      </c>
      <c r="B54" t="inlineStr">
        <is>
          <t>Senior Software Engineer, Sharing and Trust</t>
        </is>
      </c>
      <c r="C54" t="inlineStr">
        <is>
          <t>Flock</t>
        </is>
      </c>
      <c r="D54" t="inlineStr">
        <is>
          <t>linkedin</t>
        </is>
      </c>
      <c r="E54" t="inlineStr"/>
      <c r="F54" t="inlineStr"/>
      <c r="G54" t="inlineStr"/>
      <c r="H54" t="inlineStr"/>
      <c r="I54"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Flock is seeking a seasoned Software Engineer to join the Sharing and Trust team to help build, maintain, and enhance the critical systems that enable customers to control how they share their devices and contribute to the community\-wide effort to eliminate crime, managing the exponential growth of Flock's customers and devices. This team owns how customers discover, agree, and comply with various sharing arrangements, providing the necessary tools and monitoring to foster a powerful network effect that makes communities stronger and safer. You will be responsible for building intuitive applications within the Flock Software Platform that enable customers to set agreements for other agencies and comply with the usage agreements of others. The technical challenges are diverse and sophisticated, requiring a strong engineer who can collaborate, contribute to the product, and build robust bindings to the overall platform, while embracing continuous learning, fast iteration, and decisive collaboration.
**The Skillset**
* Love writing code and a commitment to continuous learning.
* Motivated by taking an unknown problem, sinking your teeth in, and coming up with a plan of attack (resourceful problem\-solver mindset).
* Desire to grow your role and directly influence the growth of a young company.
* Excited about working on a fast\-paced, constantly evolving product.
* Confidence with TypeScript / Node / Express for web services and strong general API design skills (e.g., REST, gRPC, GraphQL, etc).
* Confidence in a modern web framework like React / Typescript. (Would love to talk if that is really Vue or Angular too, ideally, you understand the patterns and differences with a good familiarity and strong in Typescript).
* Strong familiarity with relational databases, we primarily use PostgreSQL, but this role will likely interact with Clickhouse and other databases as well.
* Confidence with sophisticated SQL to access and synthesize customer data especially for support needs in understanding and/or make bulk change scripts.
* Experience with map technologies and visualize data on real world maps.
* Confidence in microservices and system design.
* Familiar with Docker and how to run locally and deploy remotely via Helm to Kubernetes.
* Familiar with AWS and have used some managed services like S3, API Gateway, SNS/SQS, etc.
* Familiarity with Terraform or similar IaC patterns.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to 90 day plans and believe that good days, lead to good weeks, which lead to good months. The purpose of a 90 day plan: At Flock, we believe strongly in setting clear expectations and holding ourselves accountable. These are detailed outlines of what success looks like for an individual and are the best tools to establish regular feedback with a new manager\-direct report relationship.
**The First 30 Days**
* Meet with colleagues!
* Meet with colleagues and key stakeholders to build relationships inside and outside the Insights team.
* Familiarize yourself with the company's mission, products, and development processes (the Flock Way).
* Pair with team members and adjacent teams to learn current practices and codebase.
* Work on tasks for the sprint with support, participating in all scrum ceremonies.
* Complete a first day push to production and start shipping code on a consistent basis with assistance.
* Review teammates' code with an eye towards learning and offering your unique perspective.
* Consistently bring agenda items to your weekly manager 1\-1 meeting.
**The First 60 Days**
* Ability to perform role with decreased need for guidance on routine tasks.
* Able to complete larger features spanning multiple repositories with less assistance.
* Understand the software design philosophies being used, especially around data visualization and microservices.
* Learn the details of our deployment, monitoring, and logging stacks, and suggest improvements to observability.
* Prioritize reviewing PRs to learn existing patterns and push peers to use stronger practices.
* Establish a habit of running code locally when reviewing high\-impact PRs.
* Collaborate with cross\-functional teams and build relationships with team members.
* Help teach a skill or introduce a new development practice with your teammates.
**90 Days \&amp; Beyond**
* Ability to perform role with little guidance with transparency.
* Be comfortable picking up engineering tasks of larger size and more ambiguity.
* Demonstrate impact to teams outside Insights by representing the team on a cross\-functional project and delivering needed solutions.
* Author an architecture document for a major new feature, or review multiple architecture docs and push for strong patterns.
* Lead our team in improving software quality and propose a solution to an observed user experience problem.
* Communicate across multiple teams to solve problems efficiently.
* Participate in one or more customer calls and complete a device installation ride\-along.
* Present recent work in a video demo to be shared with other teams.
* Have a sense of where you want to grow at Flock.
**The Interview Process**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
**Salary \&amp; Equity**
 In this role, you’ll receive a starting salary of $170,000\-$185,000 as well as stock options. Base salary is determined by job\-related experience, education/training, as well as market indicators. Your recruiter will discuss this in\-depth with you during our first chat.
**The Perks**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55">
      <c r="A55" t="inlineStr">
        <is>
          <t>li-4321450592</t>
        </is>
      </c>
      <c r="B55" t="inlineStr">
        <is>
          <t>Senior Software Engineer (Remote), Non-profit, Open-source</t>
        </is>
      </c>
      <c r="C55" t="inlineStr">
        <is>
          <t>Internet2</t>
        </is>
      </c>
      <c r="D55" t="inlineStr">
        <is>
          <t>linkedin</t>
        </is>
      </c>
      <c r="E55" t="inlineStr"/>
      <c r="F55" t="inlineStr"/>
      <c r="G55" t="inlineStr">
        <is>
          <t>Michigan, United States</t>
        </is>
      </c>
      <c r="H55" t="inlineStr"/>
      <c r="I55" t="inlineStr">
        <is>
          <t>An advanced non\-profit technology community founded in 1996 by the nation’s leading higher education institutions, Internet2 provides a collaborative environment for U.S. research and education organizations to solve shared technology challenges and develop innovative solutions supporting their research, educational, and community service missions. Today, Internet2 stands at the intersection of infrastructure and innovation, operating a state\-of\-the\-art national research and education network while simultaneously advancing a comprehensive service portfolio spanning trust and identity solutions, cloud programs and services, research engagement initiatives, and community\-building programs. This integrated approach enables Internet2 to deliver unique value that empowers its diverse membership, including universities, government agencies, regional networks, corporations, and leading research and education organizations.
 We exist to make science, research, and education flourish. By providing and operating the nation's largest and fastest research and education network, we enable universities, federal agencies (NOAA, USDA), regional networks, and countless community institutions (schools, libraries, hospitals) to fulfill their missions. Using our network, a researcher can transfer a terabyte of data in minutes.
**Build the Backbone of American Science**
 This is a rare greenfield opportunity to help us architect and build an open\-source web\-based NaaS console platform from the ground up. You will help transition us from a legacy stack (Vue/ FastAPI) to a modern, scalable architecture (targeting Elixir, Go, or Python), while contributing to the open\-source community.
 Network engineers in the research and education community rely on this console to provision network resources across the United States. The ideal candidate has experience designing and building complex distributed systems from scratch, excellent communication skills, and can thrive in an academic culture. An inquiring and curious mindset is a must!
**Responsibilities**
* Architect, develop, and maintain a new web\-based console for the Internet2 network.
* Maintain and decommission a first\-generation console (Vue, FastAPI).
* Collaborate with colleagues to understand and document business needs, assess project scope, and research and prototype potential solutions.
* Participate in estimation, task breakdown, planning, and prioritization.
* 2\-3 weeks of travel annually.
**Requirements**
* Bachelor of Science in Computer Science or related degree, (or equivalent combination of education and experience).
* 5\+ years designing, developing, and deploying web\-based software products.
* General experience developing front\-end and back\-end software components in complex architectures and/or problem domains.
* Broad understanding of the software development lifecycle, with knowledge of software development practice and technology, including source code control, automated testing, continuous integration, and issue tracking tools.
* Strong customer service skills, including the ability to effectively communicate and work with a diverse set of technical and non\-technical colleagues and community members.
* Ability to work in a team\-based environment and continuously develop knowledge and skills related to the position.
* Ability to clearly define problems and use appropriate methods to determine and implement solutions.
* Ability to travel 2\-3 weeks annually.
**Preferred Qualifications**
* 10\+ years of professional experience in a software development capacity.
* Specific work experience in the context of academic or research\-focused projects, organizations, or institutions.
* Experience with network engineering concepts and practices.
* Demonstrated experience developing a product or major functionality from scratch.
* Familiarity with two of the following languages: Elixir, Python, Go, JavaScript.
* Experience with Elixir and distributed systems.
* Experience integrating AI/LLMs into a service.
* Experience working on open\-source software.
* Experience with the Trusted Infrastructure Federation (TIF).
**Logistics**
 This position requires availability during the time zones of the continental United States.
 As a full\-time employee, you will be eligible to participate in Internet2’s employee benefits program effective on your start date in accordance with the terms and conditions of each plan.  The program currently includes medical, dental, life, vision and disability insurances, a health spending account program, sick time, vacation time and a tax deferred retirement plan.
**Expected Hiring Range:** 
 $125,600 – $141,300
 Starting salary is typically within the first quartile of the range and varies based on experience.
**Pay Grade:** 
 IT\-5
 For pay transparency purposes, the full salary range is:$125,600 – $188,400
 Internet2 is a 501(c)(3\) not\-for\-profit organization and equal opportunity employer. All qualified applicants will receive consideration for employment without regard to race, color, religion, sex, sexual orientation, gender identity, national origin, disability or veteran status.</t>
        </is>
      </c>
    </row>
    <row r="56">
      <c r="A56" t="inlineStr">
        <is>
          <t>li-4368967834</t>
        </is>
      </c>
      <c r="B56" t="inlineStr">
        <is>
          <t>(Artificial Intelligence-AI) EXPERIENCED Software Engineer-Python, AWS:  HYBRID</t>
        </is>
      </c>
      <c r="C56" t="inlineStr">
        <is>
          <t>State Farm</t>
        </is>
      </c>
      <c r="D56" t="inlineStr">
        <is>
          <t>linkedin</t>
        </is>
      </c>
      <c r="E56" t="inlineStr"/>
      <c r="F56" t="inlineStr"/>
      <c r="G56" t="inlineStr">
        <is>
          <t>Richardson, TX</t>
        </is>
      </c>
      <c r="H56" t="inlineStr"/>
      <c r="I56"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in or nearby a hub location (listed below) and should plan to spend time working from home and some time working in the office as part of our hybrid work environment
 **.**
**HUB LOCATIONS: Dunwoody, GA; Richardson, TX; Tempe, AZ; or Bloomington, IL**
**SPONSORSHIP:** 
 Applicants for this position are required to be eligible to lawfully work in the U.S. immediately; employer will not sponsor applicants for U.S. work authorization (e.g. H\-1B visa) for this opportunity.
* Application deadline is expected to close on Tuesday 2/17/2026 at 12noon CT. Applicant volume and hiring needs may result in early closure or extension beyond the listed deadline. To submit an application, click "Apply" on the job listing page on the State Farm career site.\*\*\*
**Responsibilities**
**Grow Your Skills, Grow Your Potential**
 State Farm is investing in generative AI to make customer experiences smarter, faster, and more trusted. This is an
 **AWESOME Opportunity** 
 to work on a team where new AI capabilities move from idea to pilot to production, with strong engineering practices behind everything we ship. If you like building modern cloud services, working with the latest LLM and agent technologies, and solving real problems with real users, you will find a lot to get excited about here.
 We are hiring
 **Experienced AI Software Engineers** 
 to build production GenAI solutions that modernize digital insurance at enterprise scale. You will design and implement LLM\-powered services, integrate models into APIs and workflows, and help build agent\-to\-agent and Model Context Protocol (MCP) integrations. You will partner closely with product and data science to deliver secure, reliable capabilities that drive customer acquisition, strengthen loyalty, and expand State Farm’s ecosystem through strategic integrations. This role may be assigned to one of the following Technology teams: Digital or Billing \&amp; Payments.
 Some Responsibilities May Include:
* Design, build, manage and implement GenAI solutions
* Design, build, and manage Agent\-to\-Agent and MCP (Model Context Protocol) servers
* Integrate LLMs into production systems via APIs, pipelines, and workflows
* Partner with data scientists, product managers, and cross\-functional teams
* Contribute to strategic AI initiatives and roadmap development
* Design and build reliable REST APIs
**Qualifications**
**We Are Seeking Candidates With:**
* Experience designing, building, testing, and deploying enterprise\-grade applications
* Expertise in Python. Other languages: Java, JavaScript/TypeScript, or Go
* Experience with Frontend: React \+ Next.js, modern JavaScript/TypeScript, responsive UI design
* Experience with AWS, lambda, ECS/Fargate, EC2, S3, DynamoDB, Amazon OpenSearch (vector search)
* Experience with GenAI platforms, OpenAI, Anthropic, gemini, AWS (e.g., Bedrock/Strands)
* Experience AWS Bedrock and AgentCore experience (preferred)
* Strong engineering fundamentals: clean code, design patterns, and unit/integration testing
* Quality and automation mindset: CI/CD, code reviews, debugging, TDD/BDD, and security/compliance automation
* Familiarity with AI security risks (prompt injection, data leakage)
* Working knowledge of RAG, vector databases, and LLM application patterns
**Additional**
* Experience in software engineering (backend/platform/full\-stack); AI/LLM integration experience is a plus
* Proven experience delivering production services on AWS (fintech/payments experience is a strong plus)
* Preferred: Bachelor’s/Master’s degree in Computer Science/Software Engineering (or equivalent practical experience)
* Certifications: AWS CCP, AWS Solutions Architect, and/or AWS ML Specialty are nice\-to\-have
**Our Benefits**
 Because work\-life balance is a priority at State Farm, compensation is based on our standard 38:45\-hour work week!
* Potential starting salary range: $90,000 \- $165,000 \*\*\*High end of the range limited to applicants with significant relevant experience\*\*\*
+ Starting salary will be based on skills, background, and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57">
      <c r="A57" t="inlineStr">
        <is>
          <t>li-4338437911</t>
        </is>
      </c>
      <c r="B57" t="inlineStr">
        <is>
          <t>Software Engineer, Embedded Linux</t>
        </is>
      </c>
      <c r="C57" t="inlineStr">
        <is>
          <t>TrellisWare Technologies</t>
        </is>
      </c>
      <c r="D57" t="inlineStr">
        <is>
          <t>linkedin</t>
        </is>
      </c>
      <c r="E57" t="inlineStr"/>
      <c r="F57" t="inlineStr"/>
      <c r="G57" t="inlineStr">
        <is>
          <t>San Diego, CA</t>
        </is>
      </c>
      <c r="H57" t="inlineStr"/>
      <c r="I57" t="inlineStr">
        <is>
          <t>TrellisWare launched in 2000 with an innovative culture striving to push technological boundaries in the area of wireless communications. We are now a worldwide leader in highly advanced algorithms, waveforms, and communications systems that range from small form factor radio products to fully integrated solutions.
 At TrellisWare, we connect passion with purpose and together we make an impact\- on our careers, our company, and the world. And you can too. If you love to innovate and collaborate amid chaos and change, you belong at TrellisWare. Where the opportunity to serve is not a challenge but a gift. Where you’re never going alone.
 **Because there’s too much at stake to go solo.**
 Our Software Team is seeking a
 **Software Engineer, Embedded Linux.** 
 You'll develop software for our ecosystem of radios and waveforms to implement the next generation of resilient communications solutions. A typical day might start with you working in your personal office designing and implementing embedded Linux applications, drivers, or servers. It could move into one of our many state\-of\-the\-art labs with your teammates to bring up your design on physical hardware.
 Enhancing cohesiveness and maintaining team morale is a responsibility of all our team members, as is the ambition for self\-improvement and talent development. Through this dedication to unity and professional advancement, each team member is directly impacting the successful outcome of TrellisWare's deliverables and setting the tone for our core values of delivering excellence, pushing boundaries, and empowering people.
**The Essential Duties And Responsibilities Include**
* Design, implement, and integrate software for an embedded Linux target (headless applications, servers, and drivers).
* Perform feasibility studies, and performance analysis of embedded Linux components.
* Interface with common Linux services and protocols.
* Configure Linux kernel and board support packages across a variety of platforms.
* Troubleshoot complex system\-level issues across the embedded Linux stack from bootloaders to user space applications.
* Document and present design alternatives using standard professional practices and corporate defined engineering processes.
* Perform other duties as assigned.
* Develop relationships with team members built on trust and respect.
**Education And Work Experience Requirements Are**
* Bachelor's degree in Electrical/Computer Engineering, Computer Science or related field of study required.
* Minimum of four years' experience integrating with embedded Linux and four years of embedded software development experience.
* General proficiency of C\+\+ and Python.
* Two years of experience with Yocto Project.
* Experience with common lab test equipment (i.e. oscilloscope, logic analyzer).
* Experience with Object\-Oriented design.
* Experience in device drivers and data link layer.
* Experience in cross\-compilation and kernel development.
**Skills**
 To be considered for this position, you would need to meet, at a minimum, the
 **knowledge, skills, and abilities** 
 listed here:
* Linux subsystems.
* Multi\-platform kernel development.
* Integrating with open\-source applications.
* C\+\+ and Python.
* Distributed revision control systems and common embedded Linux development tools (i.e. compilers, linkers, and debuggers).
* You can think on your feet \- you are analytical, pay attention to detail and are able to communicate your thought process both written and verbally.
* You enjoy working independently as well as in a team environment.
* Strong written and verbal communication skills.
* Demonstrates documentation skills and proficiency with PC office applications.
* Demonstrates strong written and verbal communication skills.
* Strong collaborative drive and interpersonal skills.
* Strong initiative, proactive work ethic and prioritization skills.
* Trustable judgement and analytical problem\-solving skills.
* Effective execution and decision making.
* Champion of change and promotes innovation.
 The
 **physical demands** 
 described here represent those that must be met in order to successfully perform the essential functions of this job. Reasonable accommodations may be made to enable those with qualified disabilities.
* Able to frequently sit, stand, walk, use hands to fingers, handle or feel, reach within hands and arm's length, stoop, kneel, and crouch, talk and hear.
* Regularly required to sit for extended periods of time; frequently required to use office equipment such as PC, printer, telephone, etc.
* Able to regularly lift and/or move up to 10 pounds, frequently lift and/or move up to 25 pounds, and occasionally lift and/or move up to 50 pounds.
* Specific vision abilities required by this job include close vision, distance vision, color vision, peripheral vision, depth perception, and ability to adjust focus.
**Additional Requirements Are**
* U.S. Citizenship or Permanent Residency.
*Note: Many of TrellisWare's positions require a security clearance or the ability to obtain one. Security clearances may only be granted to U.S. citizens. In addition, applicants who accept a conditional offer of employment may be subject to government security investigation(s) and must meet eligibility requirements for access to classified information.*
**Disclaimer \-** 
 The above statements are not intended to be an exhaustive list of all responsibilities, duties and skills required of personnel so classified. Nothing in the job description restricts the company's right to change, assign, or reassign duties and responsibilities at any time for any reason
 *.*
*TrellisWare Technologies pays competitively according to the market in an individual's geographic location, in addition to their qualifications and experience. The posted range is annually and for individuals located in the San Diego, CA area.*
 San Diego, California Pay Range
 $115,000 \- $185,000 USD
* TrellisWare Technologies, Inc. is an EEO/AA/Disability/Vets Employer.\*
 Check out the Careers page for more information about working at TrellisWare Technologies.</t>
        </is>
      </c>
    </row>
    <row r="58">
      <c r="A58" t="inlineStr">
        <is>
          <t>li-4311758318</t>
        </is>
      </c>
      <c r="B58" t="inlineStr">
        <is>
          <t>Senior Software Engineer (iOS) - Consumer Experience</t>
        </is>
      </c>
      <c r="C58" t="inlineStr">
        <is>
          <t>StubHub</t>
        </is>
      </c>
      <c r="D58" t="inlineStr">
        <is>
          <t>linkedin</t>
        </is>
      </c>
      <c r="E58" t="inlineStr"/>
      <c r="F58" t="inlineStr"/>
      <c r="G58" t="inlineStr">
        <is>
          <t>Los Angeles, CA</t>
        </is>
      </c>
      <c r="H58" t="inlineStr"/>
      <c r="I5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in iOS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Century City,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(Swift or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Exposure to React Native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9">
      <c r="A59" t="inlineStr">
        <is>
          <t>li-4311751815</t>
        </is>
      </c>
      <c r="B59" t="inlineStr">
        <is>
          <t>Senior Software Engineer (Android) - Consumer Experience</t>
        </is>
      </c>
      <c r="C59" t="inlineStr">
        <is>
          <t>StubHub</t>
        </is>
      </c>
      <c r="D59" t="inlineStr">
        <is>
          <t>linkedin</t>
        </is>
      </c>
      <c r="E59" t="inlineStr"/>
      <c r="F59" t="inlineStr"/>
      <c r="G59" t="inlineStr">
        <is>
          <t>New York, NY</t>
        </is>
      </c>
      <c r="H59" t="inlineStr"/>
      <c r="I59"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in Android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 New York, NY*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(Kotlin or Java)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Exposure to React Native
* Proven ability to learn other coding languages, platforms, frameworks, and tool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0">
      <c r="A60" t="inlineStr">
        <is>
          <t>li-4365690506</t>
        </is>
      </c>
      <c r="B60" t="inlineStr">
        <is>
          <t>Software Engineer II - Android</t>
        </is>
      </c>
      <c r="C60" t="inlineStr">
        <is>
          <t>JPMorganChase</t>
        </is>
      </c>
      <c r="D60" t="inlineStr">
        <is>
          <t>linkedin</t>
        </is>
      </c>
      <c r="E60" t="inlineStr"/>
      <c r="F60" t="inlineStr"/>
      <c r="G60" t="inlineStr">
        <is>
          <t>New York, NY</t>
        </is>
      </c>
      <c r="H60" t="inlineStr"/>
      <c r="I60" t="inlineStr">
        <is>
          <t>**Job Description**
 You’re ready to gain the skills and experience needed to grow within your role and advance your career — and we have the perfect software engineering opportunity for you.
 As a Software Engineer II \- Android at JPMorganChase within the Connected Commerce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Hands\-on practical experience delivering system design, application development, testing, and operational stability
* Advanced in one or more programming language(s) including RxJava, Kotlin, Gradle, Git, Gradle, API and Android developer studio
* Expertise with UI frameworks (Android, XML), MVVM architecture, and reactive (RxJava) event\-driven application design
* Experience with data structures and algorithms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AWS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1">
      <c r="A61" t="inlineStr">
        <is>
          <t>li-4351105632</t>
        </is>
      </c>
      <c r="B61" t="inlineStr">
        <is>
          <t>GPU Exerciser Software Engineer</t>
        </is>
      </c>
      <c r="C61" t="inlineStr">
        <is>
          <t>AMD</t>
        </is>
      </c>
      <c r="D61" t="inlineStr">
        <is>
          <t>linkedin</t>
        </is>
      </c>
      <c r="E61" t="inlineStr"/>
      <c r="F61" t="inlineStr"/>
      <c r="G61" t="inlineStr">
        <is>
          <t>Austin, TX</t>
        </is>
      </c>
      <c r="H61" t="inlineStr"/>
      <c r="I61"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Our growing team plays a major role in architecting and shaping data center GPUs offered by AMD. As part of the Exerciser team, you will architect and develop low\-level GPU testcases (“exercisers”) to expose silicon and software bugs. This will require strong collaboration with stakeholders from design, emulation, driver, firmware, and debug teams.
 Candidates with a background or strong skills in both GPU and systems programming (Linux kernel and userspace) will excel in this role. Out\-of\-the\-box thinking and leveraging of novel approaches to address tough technical challenges is encouraged. Join our growing team to accelerate the introduction of cutting\-edge compute products into the datacenter market.
**THE PERSON:**
 We are seeking a highly analytical and detail\-oriented individual with proven problem\-solving skills. The successful candidate will possess strong technical expertise, specifically in GPU programming and Linux systems programming. You should be comfortable working both collaboratively as part of a team and independently, demonstrating the ability to manage your workload efficiently with minimal supervision.
**KEY RESPONSIBILITIES:** 
* Design and implement innovative exercisers and stress applications that leverage deep understanding of GPU microarchitecture to uncover subtle hardware and software issues.
* Drive complex debug efforts from failure observation through root\-cause analysis, working closely with hardware, firmware, and software teams.
* Build and enhance in\-house stress and validation frameworks, improving their scalability, coverage, and ease of use for the broader engineering organization.
**PREFERRED EXPERIENCE:** 
 The preferred candidate has worked on at least two projects utilizing many of the skills below:
* GPU programming (CUDA / HIP / OpenCL / SP3 assembly)
* GPU architecture expertise
* Microprocessor validation/ verification
* Experience with parallel programming, concurrency, and memory consistency models
* Modern C\+\+ programming
* Low\-level/firmware programming
* Linux device drivers and/or kernel development
* Linux userspace systems programming
**Education**
* Bachelor’s or Master’s Degree in Computer Engineering, Electrical Engineering, Computer Science, or a related field.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62">
      <c r="A62" t="inlineStr">
        <is>
          <t>li-4264954889</t>
        </is>
      </c>
      <c r="B62" t="inlineStr">
        <is>
          <t>Remote Principal Software Developer– AI/ML</t>
        </is>
      </c>
      <c r="C62" t="inlineStr">
        <is>
          <t>Oracle</t>
        </is>
      </c>
      <c r="D62" t="inlineStr">
        <is>
          <t>linkedin</t>
        </is>
      </c>
      <c r="E62" t="inlineStr"/>
      <c r="F62" t="inlineStr"/>
      <c r="G62" t="inlineStr"/>
      <c r="H62" t="inlineStr"/>
      <c r="I62" t="inlineStr">
        <is>
          <t>**Job Description**
 As a Principal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We are seeking a candidate with a good understanding of current AI trends and the ability to grasp the synergy between Software Development Engineering and Machine Learning Engineering. Additionally, proficiency in multiple programming languages is essential, with a focus on adaptability, as we work with Python, Java, and other languages interchangeably.
**Responsibilities**
**Responsibilities:**
* Lead the design and implementation of the CDA data platform, ensuring it is scalable, secure, and optimized for AI\-driven applications.
* Collaborate closely with the CDA team,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Build and optimize data pipelines using ETL/ELT processes and tools like Kafka, Flink, and RabbitMQ for efficient data flow.
* Ensure data security and privacy by implementing access controls, encryption, and compliance with healthcare regulations.
* Mentor and guide junior engineers, fostering a culture of knowledge\-sharing and technical excellence.
* Stay updated with the latest advancements in cloud\-native AI/ML technologies and propose innovative solutions to enhance the CDA platform.
**Qualifications:**
* BS or MS degree in Computer Science or a related field is required, with a strong academic background.
* 6\+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In\-depth knowledge of data architecture, including database design, data modeling, analytics, metadata management, and data\-access controls.
* Proficiency in Oracle Database and search technologies such as Opensearch, Pinecone, and Oracle Golden Gate Replication.
* Experience with data pipeline orchestration using tools like Kafka, Flink, and RabbitMQ.
* Understanding of system design and distributed systems architecture best practices.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3">
      <c r="A63" t="inlineStr">
        <is>
          <t>li-4338438280</t>
        </is>
      </c>
      <c r="B63" t="inlineStr">
        <is>
          <t>Principal Software Engineer for Data Center SOC</t>
        </is>
      </c>
      <c r="C63" t="inlineStr">
        <is>
          <t>Proven Recruiting</t>
        </is>
      </c>
      <c r="D63" t="inlineStr">
        <is>
          <t>linkedin</t>
        </is>
      </c>
      <c r="E63" t="inlineStr"/>
      <c r="F63" t="inlineStr"/>
      <c r="G63" t="inlineStr">
        <is>
          <t>San Diego, CA</t>
        </is>
      </c>
      <c r="H63" t="inlineStr"/>
      <c r="I63" t="inlineStr">
        <is>
          <t>**Principal Software Engineer – Data Center SOC – San Diego, CA**
 Ready to lead cutting\-edge development for next\-generation data center platforms? A global technology innovator is seeking a
 **Principal Software Engineer** 
 to drive advancements in memory management and security architecture. This is your chance to influence critical technologies and collaborate with senior leadership in a high\-impact role.
**Who you are:**
* Bachelor’s degree in Computer Science, Engineering, or related field and 8\+ years of software engineering experience, including security engineering (Master’s degree is a plus).
* 4\+ years of programming experience in C/C\+\+
* Prior contributions to open\-source projects (e.g., Linux Kernel) and maintaining/upstreaming code
* Strong debugging skills and hands\-on experience with ARM\-based platforms and device driver development for servers (e.g., Ampere).
* Proficiency in performance management tools, Linux Kernel internals, and data center SOC methodologies
**What you’ll do:**
* Design, develop, and optimize software solutions for data center platforms.
* Enhance Linux Kernel features, including virtualization (KVM), scheduler, and memory management.
* Drive security architecture and perform advanced vulnerability assessments.
* Collaborate with cross\-disciplinary teams to deliver scalable, high\-performance solutions.
* Contribute to upstream open\-source projects and lead improvements in ARM\-based system software.
**Why work here:**
* Shape the future of open\-source software by collaborating with upstream communities and major distributions, driving meaningful change through transparent community\-first engagement.
* Opportunity to work on cutting\-edge technologies impacting global connectivity.
* Competitive bonus program and RSU grants.
* Comprehensive benefits package supporting work\-life balance.
**What does this position pay?**
 Compensation is determined by several factors, which may include skillset, experience level, and education.
 The expected range for this role is $190K–$290K per year. Please note this range is an estimate, and actual pay may vary based on qualifications and experience.
**What’s next?**
 Please email your resume to hhenderson@provenrecruiting.com
 **i** 
 f you’re excited to explore this unique opportunity.
*We actively support and promote people of various backgrounds, from race, religion, gender to geographical area, university, lifestyle, and personality type. Proven Recruiting is minority\-owned, majority women, and is a strong advocate for diversity and inclusion in the broader community. Apply today!*
*\#DICE*</t>
        </is>
      </c>
    </row>
    <row r="64">
      <c r="A64" t="inlineStr">
        <is>
          <t>li-4365681035</t>
        </is>
      </c>
      <c r="B64" t="inlineStr">
        <is>
          <t>Software Engineer II - Android</t>
        </is>
      </c>
      <c r="C64" t="inlineStr">
        <is>
          <t>JPMorganChase</t>
        </is>
      </c>
      <c r="D64" t="inlineStr">
        <is>
          <t>linkedin</t>
        </is>
      </c>
      <c r="E64" t="inlineStr"/>
      <c r="F64" t="inlineStr"/>
      <c r="G64" t="inlineStr">
        <is>
          <t>New York, NY</t>
        </is>
      </c>
      <c r="H64" t="inlineStr"/>
      <c r="I64" t="inlineStr">
        <is>
          <t>**Job Description**
 You’re ready to gain the skills and experience needed to grow within your role and advance your career — and we have the perfect software engineering opportunity for you.
 As a Software Engineer II \- Android at JPMorganChase within the Connected Commerce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Hands\-on practical experience delivering system design, application development, testing, and operational stability
* Advanced in one or more programming language(s) including RxJava, Kotlin, Gradle, Git, Gradle, API and Android developer studio
* Expertise with UI frameworks (Android, XML), MVVM architecture, and reactive (RxJava) event\-driven application design
* Experience with data structures and algorithms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AWS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5">
      <c r="A65" t="inlineStr">
        <is>
          <t>li-4319866500</t>
        </is>
      </c>
      <c r="B65" t="inlineStr">
        <is>
          <t>Senior Software Engineer, Care - FuzeRx</t>
        </is>
      </c>
      <c r="C65" t="inlineStr">
        <is>
          <t>Alto Pharmacy</t>
        </is>
      </c>
      <c r="D65" t="inlineStr">
        <is>
          <t>linkedin</t>
        </is>
      </c>
      <c r="E65" t="inlineStr"/>
      <c r="F65" t="inlineStr"/>
      <c r="G65" t="inlineStr">
        <is>
          <t>Texas, United States</t>
        </is>
      </c>
      <c r="H65" t="inlineStr"/>
      <c r="I65" t="inlineStr">
        <is>
          <t>**Job Summary**
 As a Senior Full Stack Engineer on the Care Team, you will join a team that is working to improve patients’ lives through a better pharmacy experience. The Care Team owns the services that manage all of prescription processing from intake up to the moment we send an order to our pharmacies for fulfillment. The key focus areas for the Care Team include:
 Preparing prescriptions for fulfillment and delivery as quickly and accurately as possible through a combination of automation and efficient manual task coordination when third party input is required to advance a fill
 Enabling the growth of the business by enabling partners like drug manufacturers, insurers, and individual providers to easily configure billing, benefits, and clinical workflows tailored to their use cases
**Example Projects**
 Increase Alto’s intake automation rate by leveraging LLMs to parse unstructured data from prescriptions
 Accelerate pharmacist workflows by integrating controlled substance dispensing history and risk scores into our pre\-dispense clinical safety and review step
 Optimize the selection of which drug to dispense to find patients the best price
**Job Description**
 Accelerate Your Career as You
* Excited about balancing low inventory on hand with high availability
* Establish the foundations for an extensible inventory management platform to fuel business growth
* Mentor other engineers, encouraging best practices in software development and design
* Solve complex technical problems at the intersection of healthcare and e\-commerce
* Thought leader on how to build world class predictive systems
**Minimum Qualifications**
 A Bit About You
* Bachelor's degree in Engineering or equivalent experience
* 10\+ years of progressive software engineering experience in a high volume, high throughput production environment
* Background in Backend or Full Stack technologies
* Expertise in architecting complex systems for long\-term maintainability, performance, and scalability
* Strong engineering fundamentals and experience building high volume, high throughput, resilient systems.
* Proven track record of technical best practices, including code style, documentation, code review, bug fixing, and production issue mitigation.
* Relentless in pursuing impact through their work.
**Preferred Qualifications**
* Solid experience with supply chain optimization systems.
* Proficiency in Alto's tech stack: Rails, Python, and PostgreSQL.
* Experience building and integrating predictive ML models.
* Demonstrated ability to thrive in a dynamic entrepreneurial environment and maintain a growth mindset.
* A pragmatic approach to problem solving that’s biased towards impact.
* A strong sense of ownership over your work and a desire to uplevel your peers.
* Passion for Alto’s mission and our company values.
* Experience designing and implementing service oriented architectures.
**Additional Information**
**Additional Physical Job Requirements**
 Physical requirements for this role include the ability to work at a computer terminal with monitor, keyboard and mouse for extended periods of time, periodically move away from the computer terminal for in\-person meetings, stoop, bend, and reach for equipment and supplies, make frequent repetitive motions required to operate a computer that include the wrists, hands and fingers, and lift, carry, push, pull, and move objects up to 50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Alto’s policy to provide reasonable accommodation to enable qualified individuals with disabilities to perform essential job functions, unless such accommodation would cause an undue hardship.*
**Salary And Benefits**
 Salary Range: $148,000 \- $185,000
 Commission Eligible: No
 Travel: Yes \- Required up to 15% of the time for engineering onsites or off\-sites.
 Location Requirement: Employment at Alto is limited to individuals residing in the following states: California, Connecticut, Colorado, Florida, Nevada, Illinois, New York, Kansas, Texas, Maryland, Washington (WA), Missouri, New Jersey, North Carolina, Oregon, Pennsylvania, South Carolina, Tennessee, Wisconsin.
 Employment Authorization Requirement: Applicants must be authorized to work for any employer in the U.S. At this time, Alto is unable to sponsor or take over sponsorship of an employment Visa.
 Benefits: Full\-time employee benefits include: Multiple group medical, dental and vision plans to choose from, 401(k) plan, group life, AD\&amp;D, FSA/HSA, employer paid STD/LTD, Take\-What\-You\-Need vacation time, accrued paid sick time, 11 paid holidays (7 for Pharmacy and Care teams), 8 weeks paid parental leave for eligible employees.
 Application Deadline: February 15, 2026
*Alto Pharmacy is an Equal Opportunity Employer. All qualified applicants will receive consideration for employment without regard to race, color, national origin, religion, sex, gender identity, sexual orientation, age, disability, veteran status, or any other legally protected basis. If you have a disability and require reasonable accommodation during any portion of the application or hiring process, please contact us at CandidateHelp@alto.com.*
*Alto Pharmacy considers qualified applicants with arrest or conviction records for employment and conducts background checks consistent with applicable law, including the California, Los Angeles County, San Francisco, and New York City Fair Chance laws. We are an E\-Verify participating company.*
*Alto Pharmacy recruiters and hiring managers may use automated decision\-making tools to assist with identifying candidates who match the stated job requirements, and to what extent. These tools are designed to help ensure fairness in all aspects of the hiring process by providing recruiters and hiring managers with data\-backed insights based on information provided in your resume, including work experience, education, and other skills. If you have any questions or would like to request an alternative process, please contact us at* 
*CandidateHelp@alto.com* 
*. To learn about Alto Pharmacy's privacy practices including compliance with applicable privacy laws, please* 
*click here* 
*.*</t>
        </is>
      </c>
    </row>
    <row r="66">
      <c r="A66" t="inlineStr">
        <is>
          <t>li-4329995475</t>
        </is>
      </c>
      <c r="B66" t="inlineStr">
        <is>
          <t>Lead Software Engineer - Sustenance and Tools Engineering</t>
        </is>
      </c>
      <c r="C66" t="inlineStr">
        <is>
          <t>Qualys</t>
        </is>
      </c>
      <c r="D66" t="inlineStr">
        <is>
          <t>linkedin</t>
        </is>
      </c>
      <c r="E66" t="inlineStr"/>
      <c r="F66" t="inlineStr"/>
      <c r="G66" t="inlineStr">
        <is>
          <t>Foster City, CA</t>
        </is>
      </c>
      <c r="H66" t="inlineStr"/>
      <c r="I66" t="inlineStr">
        <is>
          <t>Come work at a place where innovation and teamwork come together to support the most exciting missions in the world!
**About The Role**
 We are seeking a
 **Lead Software Engineer** 
 to join the
 **Sustenance \&amp; Tools Engineering** 
 team within the Qualys ETM organization. This role is critical to ensuring platform stability, rapid issue resolution, and continuous improvement of customer experience with tooling innovation. This role is at the intersection of
 **customer support, analytics, and product engineering** 
 , with a strong emphasis on ensuring that Qualys customers realize full value from their ETM investment.
 You will act as a technical leader owning the
 **end\-to\-end CRM (Customer Reported Issue) lifecycle** 
 , driving live troubleshooting, delivering fixes in production environments, and collaborating closely with Support, SRE, Product, and core engineering teams. In addition, you will help design and enhance scalable microservices while mentoring engineers and strengthening the overall sustenance engineering function.
**Key Responsibilities**
* Customer Issue Management \&amp; Sustenance
+ Drive the entire CRM lifecycle from an engineering standpoint, starting from triage when a CRM is assigned to Engineering, ensuring the correct component and owning team are identified, through root\-cause analysis, fix development, and final release.
+ Closely monitor all CRMs assigned to the Engineering team and ensure adherence to defined SLAs and escalation processes.
+ Lead live troubleshooting sessions with Customer Support, SREs, and other cross\-functional teams to diagnose production issues and restore service quickly.
+ Provide workarounds, quick fixes, and tactical solutions wherever possible by leveraging strong software development and debugging skills.
* Enhancements, Fixes \&amp; Production Support
* Understand and deliver enhancement requests driven by customer use cases and real\-world adoption patterns.
* Develop and deliver hotfixes, patches, and minor enhancements, and provide upgrade and deployment support for production environments.
* Ensure fixes are robust, well\-tested, and aligned with long\-term platform stability and scalability.
* Analytics \&amp; Tools Engineering
+ Lead the design and development of analytics dashboards and back\-office tools to improve customer health, adoption, and risk visibility.
+ Monitor customer usage patterns and provide actionable insights to internal teams for proactive engagement.
+ Build automation and self\-service capabilities that reduce friction for customers and internal support teams.
* Architecture, Design \&amp; Code Quality
+ Design, develop, and deliver distributed, scalable, high\-performance, containerized microservice\-based applications.
+ Collaborate with core ETM teams across connectors, asset management, and risk management to ensure seamless integration and consistency.
+ Ensure high\-quality design and code through thorough design reviews, code reviews, and adherence to engineering best practices.
* Knowledge Sharing \&amp; Enablement
+ Create and maintain knowledge base articles and runbooks for both customers and internal teams to reduce troubleshooting time and improve first\-time resolution.
+ Act as a technical escalation point and provide expert guidance and mentorship to team members.
* Team Building \&amp; Leadership
+ Provide technical leadership, coaching, and mentorship to engineers within the sustenance and tools engineering team.
+ Participate actively in hiring processes, including interviewing and technical evaluations, to help build a strong and scalable sustenance engineering organization.
**Qualifications**
* Bachelor’s or Master’s degree in Computer Science, Engineering, or a related field.
* 7\+ years of professional software engineering experience, with a strong focus on production systems and customer\-facing platforms.
* Strong hands\-on experience building Java/Spring Boot microservices, preferably in a SaaS environment, including implementation of single sign\-on (SSO) authentication mechanisms such as SAML, OAuth, or OpenID Connect.
* Experience working with containerized and distributed systems (Docker, Kubernetes).
* Strong debugging and troubleshooting skills in complex, production\-scale environments.
* Solid understanding of relational databases and search/analytics platforms (e.g., Elasticsearch).
* Experience collaborating with Support, SRE, and Product teams to resolve customer\-impacting issues.
* Excellent communication skills with the ability to explain complex technical issues clearly to both technical and non\-technical stakeholders.
* Experience working in cybersecurity, risk management, or asset management platforms.
 The salary range for this position is $155,000 \- $165,000 per year. Final compensation will be determined based on several factors, including but not limited to skills, relevant experience, and work location. Please note this range reflects base salary and does not include incentive compensation or potential equity grants. We also offer a comprehensive and highly competitive benefits package.
 Qualys is an Equal Opportunity Employer, please see our EEO policy.</t>
        </is>
      </c>
    </row>
    <row r="67">
      <c r="A67" t="inlineStr">
        <is>
          <t>li-4193979487</t>
        </is>
      </c>
      <c r="B67" t="inlineStr">
        <is>
          <t>Staff Software Engineer, Data Delivery</t>
        </is>
      </c>
      <c r="C67" t="inlineStr">
        <is>
          <t>Ridgeline</t>
        </is>
      </c>
      <c r="D67" t="inlineStr">
        <is>
          <t>linkedin</t>
        </is>
      </c>
      <c r="E67" t="inlineStr"/>
      <c r="F67" t="inlineStr"/>
      <c r="G67" t="inlineStr">
        <is>
          <t>San Ramon, CA</t>
        </is>
      </c>
      <c r="H67" t="inlineStr"/>
      <c r="I67" t="inlineStr">
        <is>
          <t>Are you a systems thinker who thrives on architecting reliable, scalable, and developer\-friendly data platforms? Do you enjoy leading complex initiatives from ideation to delivery while mentoring others along the way? Are you eager to define the future of real\-time data infrastructure in a cloud\-native, AI\-enabled environment? If so, we invite you to be a part of our innovative team.
 Ridgeline’s Data Delivery Squad is seeking a Staff Software Engineer to drive foundational platform architecture and influence the future of our data streaming capabilities. As a senior technical leader, you will shape the end\-to\-end design of messaging systems, stream processing pipelines, and developer tooling that power our core product analytics, client workflows, and operational excellence. This is a hands\-on, high\-impact role that balances architectural leadership with technical depth—leveraging technologies like Kafka, Flink, and Kotlin, as well as AI tools like Copilot, Cursor, Windsurf, Claude Code, Junie, Glean, ChatGPT, and more to amplify engineering velocity and innovation.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this excites you, we’d love to meet you.
**The Impact You Will Make**
* Architect scalable, highly available messaging and stream processing systems for real\-time and batch data delivery
* Lead design and implementation of elasticity, autoscaling, and high\-availability features across the platform
* Build SDKs, libraries, and paved paths that reduce cognitive load and accelerate developer productivity
* Establish observability standards and cost dashboards for platform visibility, accountability, and optimization
* Define platform\-wide best practices for event ordering, schema validation, and materialization logic
* Collaborate across squads to integrate data delivery solutions with 40\+ teams including Accounting, Reporting, Workflows, and AI agents
* Influence platform roadmap, assess emerging technologies, and lead technical POCs and design reviews
* Mentor engineers across the organization and model engineering excellence in system design, execution, and communication
**What We Look For**
* 10\+ years of experience in software engineering, with 3\+ years in platform or distributed systems leadership roles
* Deep expertise in building event\-driven systems using Kafka, Flink, or similar technologies
* Advanced proficiency in Kotlin, Java, or Python with strong fundamentals in system design and architecture
* Proven track record designing cloud\-native systems on AWS or equivalent platforms
* Strong understanding of observability, system resiliency, CI/CD, and cost\-efficiency patterns
* Experience with developer experience tooling, platform SDKs, or internal developer platforms
* Excellent written and verbal communication, with the ability to drive consensus and lead technical strategy
* Commitment to mentoring, knowledge sharing, and fostering an inclusive engineering culture
**Bonus**
* Experience designing multi\-tenant data platforms or cross\-region HA/DR architectures
* Familiarity with Debezium, Kafka Connect, schema registries, or Change Data Capture workflows
* Contributions to data mesh or streaming\-first architectures
* Background in fintech, investment management, or regulatory data environments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The typical starting salary range for new hires in this role is listed below. In select locations (including, the San Francisco Bay Area, CA, and the New York City Metro Area), an alternate range may apply as specified below.
 The typical starting salary range for this role is: $174,500\-$205,000\.
 The typical starting salary range for this role in the select locations listed above is: $185,000\-$220,000\.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68">
      <c r="A68" t="inlineStr">
        <is>
          <t>li-4241271648</t>
        </is>
      </c>
      <c r="B68" t="inlineStr">
        <is>
          <t>Staff Software Engineer</t>
        </is>
      </c>
      <c r="C68" t="inlineStr">
        <is>
          <t>Circle</t>
        </is>
      </c>
      <c r="D68" t="inlineStr">
        <is>
          <t>linkedin</t>
        </is>
      </c>
      <c r="E68" t="inlineStr"/>
      <c r="F68" t="inlineStr"/>
      <c r="G68" t="inlineStr"/>
      <c r="H68" t="inlineStr"/>
      <c r="I68"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Staff Software Engineer is responsible for extending Circle's in\-house blockchain systems infrastructure to support the tokenization of the world; analyzing requirements, procedures, and problems to improve existing systems and modifying systems; building and owning scalable microservices that are responsible for reliable and secure APIs that transfer value and assets across all blockchain protocols as well as traditional banking protocols; collaborating with Product and Engineering teams to design, test, and shape Circle features, including developing and documenting system design procedures, testing procedures, and quality standards; troubleshooting program and system malfunctions to restore normal functioning; building publicly accessible APIs that make it simple for developers to integrate with complex payment systems; integrating Platform Services with leading banks and financial technologies; consulting with management to ensure agreement on system principles; writing the infrastructure to deliver great payment experiences, including data sources (SQL or NoSQL), messaging systems and APIs; other duties as assigned.
**What You'll Bring To Circle**
* 7 years minimum professional software development experience in object oriented languages like Go or Java.
* Computer Science degree or a closely related field (or foreign equivalent).
* Technical leadership of teams \&gt;4 on architecture and system design.
* Expert in one of the domains of API design, payments processing, or blockchains.
* Deep understanding/experience with:
+ Architecture, design, and deployment of production\-quality, scalable software
+ Web3, blockchain, smart Contract business logic
+ RESTful API design and development principles
+ Cloud services (AWS, Google Cloud, Microsoft Azure, etc)
+ Container orchestration systems like Kubernetes or EKS, ECS
+ SQL databases and designing schemas
* Deep focus on coding standards and code quality \-\- a desire to have great test coverage to enable continuous delivery.
* Excellent communication skills, able to collaborate with remote teams, share ideas and present concepts effectively
* Self\-starter with a curious mindset, you enjoy moving at a fast pace, shipping software that improves the user experience and constantly improving your work with little supervision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$172,500 \- $227,500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69">
      <c r="A69" t="inlineStr">
        <is>
          <t>li-4343415551</t>
        </is>
      </c>
      <c r="B69" t="inlineStr">
        <is>
          <t>Software Engineer, Mid</t>
        </is>
      </c>
      <c r="C69" t="inlineStr">
        <is>
          <t>Booz Allen Hamilton</t>
        </is>
      </c>
      <c r="D69" t="inlineStr">
        <is>
          <t>linkedin</t>
        </is>
      </c>
      <c r="E69" t="inlineStr"/>
      <c r="F69" t="inlineStr"/>
      <c r="G69" t="inlineStr">
        <is>
          <t>Fort Belvoir, VA</t>
        </is>
      </c>
      <c r="H69" t="inlineStr"/>
      <c r="I69" t="inlineStr">
        <is>
          <t>**Job Number: R0230726**
 Software Engineer, Mid
**The Opportunity:**
 As a back\-end developer, you know that a good site or system needs the right combination of clean code, APIs, analytics, and infrastructure to develop a user\-focused solution. We’re looking for a back\-end developer with the software engineering skills it takes to help identify potential risks, contribute to solution development, and create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In this role, you’ll make a mission\-forward impact as you sharpen your skillset and grow your career. Work with us as we shape systems for the better.
 Join us. The world can’t wait.
**You Have:**
* Experience with Python and C or C\+\+ programming languages
* Experience with Linux
* TS/SCI clearance
* HS diploma or GED and 7\+ years of experience as a Software Engineer, or Bachelor’s degree and 3\+ years of experience as a Software Engineer
* Windows CE or Linux CE Certification
* DOD Approved 8570 \- Information Assurance Technician Level II (IAT\-II) Certification, including CCNA Security, CySA\+, GICSP, GSEC, Security\+ CE, CND, or SSCP Certification
**Nice If You Have:**
* Experience with programming languages, such as ASM, Rust, Bash, or PowerShell
* Experience with working on multiple OS platforms, including Windows
* Experience with Kali
* Certified Secure Software Lifecycle Professional (CSSLP)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0">
      <c r="A70" t="inlineStr">
        <is>
          <t>li-4343386628</t>
        </is>
      </c>
      <c r="B70" t="inlineStr">
        <is>
          <t>Lead Backend Engineer, Agentforce for Supply Chain</t>
        </is>
      </c>
      <c r="C70" t="inlineStr">
        <is>
          <t>Salesforce</t>
        </is>
      </c>
      <c r="D70" t="inlineStr">
        <is>
          <t>linkedin</t>
        </is>
      </c>
      <c r="E70" t="inlineStr"/>
      <c r="F70" t="inlineStr"/>
      <c r="G70" t="inlineStr">
        <is>
          <t>New York, NY</t>
        </is>
      </c>
      <c r="H70" t="inlineStr"/>
      <c r="I7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As a Lead Software Engineer, Backend Systems, for the Super Agent, you will be instrumental in executing the vision for the AI\-driven workflow engine and data platform. If you love designing and scaling complex backend systems, have shipped major projects or entire products, and can think fluently about distributed systems, data modeling, API design, and integrations, this role is for you. You’ll architect and scale our Go/Postgres/Redis/GraphQL backend, working alongside world\-class engineers and product minds to drive high\-impact projects, lead critical design discussions, and collaborate directly with customers to shape a platform that’s transforming supply chain, manufacturing, and beyond. This role offers high autonomy, significant technical ownership, and direct impact on the direction of the platform.
**Responsibilities**
* Architect and build scalable, extensible, and reliable backend systems for data\-intensive software\-as\-a\-service (SaaS) applications and help shape the long\-term technical roadmap.
* Collaborate with cross\-functional teams including Design, Product Management and industry experts to deeply understand customer problems, build high\-quality product features and make thoughtful tradeoffs that maximize impact.
* Lead and mentor engineers, providing guidance and expertise in backend development, database systems and distributed systems, while cultivating broader engineering skills.
* Stay abreast of emerging technologies and industry trends, incorporating new developments into the backend architecture and processes where appropriate.
* Conduct code reviews, technical discussions and decision\-making processes to maintain high standards of code quality and best practices.
* Drive the adoption of best practices in backend development, data modeling, API design and observability, ensuring scalable, maintainable systems and operational excellence.
* Champion a culture of innovation, encouraging and leading initiatives to explore new technologies and improve existing systems.
**Required Qualifications**
* A related technical degree
* 5\+ years of industry experience as a backend software engineer, with a focus on large\-scale, user\-facing web applications
* Proven experience architecting and implementing large or complex software as a service (SaaS) systems, with a strong understanding of scalable, extendable and resilient architectural patterns
* Extensive experience in database systems development, API design, data modeling, distributed systems and building robust, modern application backends. Experience with Go and GraphQL is strongly preferred, with the ability to quickly learn new technologies as needed
* Excellent written and verbal communication skills
* Passion for continuous learning and effective informal mentorship, fostering an environment of clear communication, constructive discussion, and engineering growth
* Experience ensuring operational excellence through observability, monitoring, logging, and reliability practices
* Proven end\-to\-end ownership of engineering projects, leading work independently and in collaboration with others
* Strong judgment in technical/product tradeoffs and prioritizing for customer and business impact
* Ability to work closely with product/design to deeply understand customer problems and shape effective solutions
* Demonstrated ability to drive technical direction, architecture decisions, and engineering best practices
**Preferred Qualifications**
* M.S. in Computer Science or a related field, or B.S. in Computer Science or a related field with substantial relevant experience
* A builder's spirit (you have a track record of building projects for fun, staying updated with open\-source developments, etc.)
* Published works including contributions to open\-source projects, patents, or papers
* \- Exposure to the supply chain, logistics, or manufacturing industry
* \- Familiarity with the Salesforce platform ecosystem
* \- Experience influencing cross\-functional leaders or driving org\-wide engineering initiatives
* \- Experience with workflow engines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71">
      <c r="A71" t="inlineStr">
        <is>
          <t>li-4365664886</t>
        </is>
      </c>
      <c r="B71" t="inlineStr">
        <is>
          <t>Lead Software Engineer - Full Stack Java/React</t>
        </is>
      </c>
      <c r="C71" t="inlineStr">
        <is>
          <t>JPMorganChase</t>
        </is>
      </c>
      <c r="D71" t="inlineStr">
        <is>
          <t>linkedin</t>
        </is>
      </c>
      <c r="E71" t="inlineStr"/>
      <c r="F71" t="inlineStr"/>
      <c r="G71" t="inlineStr">
        <is>
          <t>Jersey City, NJ</t>
        </is>
      </c>
      <c r="H71" t="inlineStr"/>
      <c r="I71" t="inlineStr">
        <is>
          <t>**Job Description**
 We have an opportunity to impact your career and provide an adventure where you can push the limits of what's possible.
 As a Lead Software Engineer at JPMorganChase within the Asset \&amp; Wealth Management Marketing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Architect, build, and maintain backend services and APIs using Java (preferably Java 17\+) and Spring Boot.
* Executes creative software solutions, design, development, and technical troubleshooting with ability to think beyond routine or conventional approaches to build solutions or break down technical problems
* Design RESTful and/or GraphQL interfaces; ensure robust authentication, authorization, and input validation.
* Own system performance, reliability, observability (metrics, logging, tracing), and security best practices.
* Write comprehensive automated tests (unit, integration, end\-to\-end) and drive CI/CD excellence.
* Lead code reviews, mentor engineers, and promote engineering standards and clean architecture.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10\+ Years of Experience
* Hands\-on practical experience delivering system design, application development, testing, and operational stability
* Advanced in one or more programming language(s)
* Proficiency in automation and continuous delivery methods
* Experience with relational databases (PostgreSQL, MySQL) and at least one NoSQL store (e.g., MongoDB).
* Knowledge of messaging/streaming (Kafka, RabbitMQ) and asynchronous processing.
* Solid testing practices: JUnit, Mockito, Spring Test; front\-end testing with Jest, React Testing Library, Cypress/Playwright.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Develop high\-quality, reusable React components (React 18\+, TypeScript) and front\-end features
* Hands\-on with AWS services: ECS/EKS or Lambda, API Gateway, S3, CloudFront, RDS/Aurora, DynamoDB, SNS/SQS, CloudWatch.
* Infrastructure\-as\-Code (Terraform or CloudFormation).
* Experience with Kubernetes and service mesh (Istio/Linkerd) a plus.
* Observability tooling: OpenTelemetry, Grafana, Prometheus.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72">
      <c r="A72" t="inlineStr">
        <is>
          <t>li-4292022847</t>
        </is>
      </c>
      <c r="B72" t="inlineStr">
        <is>
          <t>Principal Software Engineer – Linux/BSP</t>
        </is>
      </c>
      <c r="C72" t="inlineStr">
        <is>
          <t>Magna International</t>
        </is>
      </c>
      <c r="D72" t="inlineStr">
        <is>
          <t>linkedin</t>
        </is>
      </c>
      <c r="E72" t="inlineStr"/>
      <c r="F72" t="inlineStr"/>
      <c r="G72" t="inlineStr">
        <is>
          <t>Southfield, MI</t>
        </is>
      </c>
      <c r="H72" t="inlineStr"/>
      <c r="I72" t="inlineStr">
        <is>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Transforming mobility. Making automotive technology that is smarter, cleaner, safer and lighter. That’s what we’re passionate about at Magna Electronics, and we do it by creating world\-class Electronic systems. We are a premier supplier for the global automotive industry with full capabilities in design, development, testing and manufacturing of complex Electronic systems. Our name stands for quality, environmental consciousness, and safety. Innovation is what drives us and we drive innovation. Dream big and create the future of mobility at Magna Electronics.
**Job Responsibilities**
 The Principal Software Engineer is responsible for developing embedded software including design and development for safety critical automotive computer vision\-based applications. The candidate must have programming experience with Linux Device drivers, Linux OS bring up, Board Support Package, ARM architecture, C/C\+\+ on QNX or Linux operating systems, using a formal software process model like ASPICE.
**Your Responsibilities**
* Development (design, implement, test and debug) of core and/or application specific software requirements for automotive embedded electronic module serial production projects
* Develop software in compliance with a formal ASPICE/Comma based Global Engineering Process (GEP)
* Perform work assignments as a highly competent software engineer, requiring independent design, implementation and testing of the software components.
* Interface with product development teams located in various geographical locations
* Ability to adapt to changing software release schedules and multitask in a fast\-paced environment
* Real\-time embedded software using C for 32/64\-bit multicore SoC/microcontrollers like NVIDIA, Qualcomm or TI
* Experience in developing Linux device drivers, Board bring up,
* Strong understanding of Image Quality Metrics and Test Patterns, camera MTF tests
* Camera image quality tuning for Automotive applications like Internal cabin, external cameras, Machine Vision, Human Vision, etc.
* Experience with OS/BSP, Camera device driver development
* Experience with design, implement, test and debug of embedded software for automotive electronic modules
* Experience with developing software in compliance with a formal ASPICE based Global Engineering Process (GEP)
* Hardware/Software (HW/SW) integration, Software configuration management, Full software life\-cycle development
* ISO26262 Functional safety software development experience
* Ability to successfully contribute to multi\-disciplined teams
**Who We Are Looking For**
***Education***
* Bachelor’s degree in computer engineering / software engineering / electrical engineering / computer science or equivalent (Master’s preferred)
**Experience**
* 5 years or more relevant experience for development Linux Device drivers, PCIe, Device Tree, Board Bring up, etc. software development
**Your Preferred Qualifications**
* Excellent knowledge of writing Camera drivers, tuning ISPs using Embedded C\+\+ or C including Linux/QNX/RTOS environment
* knowledge of GPU, C6x/C7x DSP core architecture, OpenVX, OpenGL ES
* Excellent knowledge of product development engineering practices in automotive field
* Experience using the following tools or related tools:
+ Requirements management (PTC/Reqtify),
+ Architect \&amp; Design (Enterprise Architect),
+ Static Analysis (QAC), Debuggers,
+ Unit Testing (VectorCAST, GTest),
+ Configuration Management (PTC Integrity/Git),
+ QNX/Linux Development environment,
+ GUI software development,
* Open mind to work in constantly changing requirements and schedules
* Able to work effectively in a global environment.
* Able to adapt to different tools to conform to processes
* Able to represent technical design topics internally and externally
* Travel (domestic and international) may be needed
* Able to demonstrate self\-motivation, tenacity, and determination (these skills are very useful in this position)
* Able to work independently with no supervision
* Able to teach and mentor other engineers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**Notice Regarding The Use Of AI**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If you have any questions or concerns about this process, feel free to contact our Talent Attraction team.
**Worker Type**
 Regular / Permanent
**Group**
 Magna Electronics</t>
        </is>
      </c>
    </row>
    <row r="73">
      <c r="A73" t="inlineStr">
        <is>
          <t>li-4373277487</t>
        </is>
      </c>
      <c r="B73" t="inlineStr">
        <is>
          <t>Software Engineer - AI/ML</t>
        </is>
      </c>
      <c r="C73" t="inlineStr">
        <is>
          <t>Wiraa</t>
        </is>
      </c>
      <c r="D73" t="inlineStr">
        <is>
          <t>linkedin</t>
        </is>
      </c>
      <c r="E73" t="inlineStr"/>
      <c r="F73" t="inlineStr"/>
      <c r="G73" t="inlineStr"/>
      <c r="H73" t="inlineStr"/>
      <c r="I73" t="inlineStr">
        <is>
          <t>**About The Company**
 Insight is a leading global solutions integrator with a strong presence across various industries. With a workforce of over 14,000 engaged teammates worldwide, Insight has established itself as a trusted partner in digital transformation. Recognized as \#20 on Fortune’s World's Best Workplaces™ list, the company boasts a revenue of $9\.2 billion and has received more than 35 industry and partner awards in the past year. Insight is committed to making a positive impact through its charitable contributions, totaling over $1\.4 million in 2023\. More than just a technology provider, Insight is a people\-first organization that leverages the power of people and technology to accelerate transformation and deliver extraordinary results. As a Fortune 500 Solutions Integrator, Insight specializes in cloud, data, AI, cybersecurity, and intelligent edge solutions, guiding organizations through complex digital decisions with expertise and innovation.
**About The Role**
 The Principal Data Scientist at Insight will play a pivotal role in aligning complex business challenges with innovative data science and machine learning solutions. This leadership position requires a strategic thinker capable of designing and executing data\-driven strategies that deliver measurable business value across diverse industries and stakeholder groups. The successful candidate will work closely with both technical and non\-technical clients to understand their needs, clarify objectives, and iterate on requirements to ensure the deployment of impactful solutions. Key responsibilities include leading the design of data science solutions, managing projects through all stages of the data science lifecycle—from data discovery to deployment and feedback— and architecting scalable ML solutions utilizing Google Cloud Platform (GCP), including Vertex AI, along with modern data engineering tools such as dbt and Databricks. Additionally, the role involves mentoring team members, promoting best practices, and fostering a culture of innovation and continuous learning. This is a highly collaborative role that emphasizes strategic thinking, technical expertise, and leadership to drive successful outcomes and support the company’s mission of digital transformation.
**Qualifications**
* Advanced degree (PhD or MS) in Operations Research, Industrial Engineering, Applied Mathematics, or a related field
* Strong foundation in optimization algorithms, stochastic modeling, and systems analysis
* Proficiency in Python and experience with ML and simulation libraries such as TensorFlow, PyTorch, and Scikit\-learn
* Experience with Google Cloud Platform services including Vertex AI, BigQuery, and AI Platform, or equivalent experience in Azure or AWS
* Experience working with healthcare data, clinical research protocols, and regulatory compliance
* Excellent analytical, problem\-solving, and communication skills
* Ability to lead cross\-functional teams and manage multiple projects simultaneously
**Responsibilities**
* Lead the development and implementation of data science and machine learning strategies aligned with client business goals
* Manage projects through all phases of the data science lifecycle, including data discovery, model development, deployment, and monitoring
* Architect scalable data science solutions leveraging GCP tools such as Vertex AI, BigQuery, and AI Platform
* Collaborate with clients and internal teams to clarify objectives, gather requirements, and iterate on technical solutions
* Mentor and guide team members, fostering a culture of innovation, best practices, and continuous learning
* Promote the adoption of modern data engineering tools like dbt and Databricks within project workflows
* Stay current with industry trends and emerging technologies to continuously enhance solution offerings
* Ensure compliance with healthcare regulations and data privacy standards when working with sensitive data
**Benefits**
* Flexible remote work arrangements, including the option to work from international locations for up to 30 days per year
* Access to 11 diverse Teammate Resource Groups to support professional development and community engagement
* Competitive compensation packages and comprehensive health benefits
* Opportunities for career growth, upskilling, and promotions within a global organization
* Supportive work environment that emphasizes core values of Hunger, Heart, and Harmony
* Paid time off and wellness programs designed to promote work\-life balance
 Equal Opportunity
 Insight is an equal opportunity employer. All qualified applicants will receive consideration for employment without regard to race, color, religion, sex, national origin, disability status, protected veteran status, sexual orientation, or any other characteristic protected by law. We celebrate diversity and are committed to creating an inclusive environment for all employees. When applying, please share your pronouns and any reasonable accommodations needed during the interview process. We encourage candidates from all backgrounds to consider joining our team and contributing to our mission of transforming organizations through innovative technology solutions.</t>
        </is>
      </c>
    </row>
    <row r="74">
      <c r="A74" t="inlineStr">
        <is>
          <t>li-4132136414</t>
        </is>
      </c>
      <c r="B74" t="inlineStr">
        <is>
          <t>Senior Software Engineer - Machine Learning</t>
        </is>
      </c>
      <c r="C74" t="inlineStr">
        <is>
          <t>Kikoff</t>
        </is>
      </c>
      <c r="D74" t="inlineStr">
        <is>
          <t>linkedin</t>
        </is>
      </c>
      <c r="E74" t="inlineStr"/>
      <c r="F74" t="inlineStr"/>
      <c r="G74" t="inlineStr">
        <is>
          <t>San Francisco, CA</t>
        </is>
      </c>
      <c r="H74" t="inlineStr"/>
      <c r="I74" t="inlineStr">
        <is>
          <t>We are seeking a Senior Machine Learning Engineer to join our team. This role will focus on developing and maintaining machine learning infrastructure and operations, particularly for our cash advance underwriting model and other machine learning use cases. The ideal candidate will have a strong background in software development, machine learning, and data engineering, with experience in deploying scalable ML models in production environments.
**Key Responsibilities**
* ML Infrastructure and Operations: Design, build and maintain the infrastructure required for optimal extraction, transformation, and loading of data from various sources. Develop and manage data pipelines and workflows for machine learning models.
* Model Development and Deployment: Design, develop, and implement machine learning models for underwriting and other financial service applications. Ensure models are robust, scalable, and maintainable.
* Collaboration: Work closely with data scientists, software engineers, and product managers to integrate machine learning models into production systems. Collaborate with cross\-functional teams to understand business requirements and translate them into technical solutions.
* Performance Monitoring: Monitor and evaluate the performance of deployed models, ensuring they meet the desired accuracy and efficiency metrics. Implement processes for continuous improvement and optimization of models.
* A/B Testing and Experimentation: Design and implement experiments to optimize models and ensure they align with business goals.
* Mentorship: Provide guidance and mentorship to junior engineers, fostering a culture of learning and growth within the team.
**Qualifications**
* Educational Background: Bachelor’s degree in Computer Science, Engineering, Mathematics, or a related field. Advanced degree preferred.
* Experience: Minimum of 3 years of experience in machine learning engineering, with a proven track record of deploying ML models in production environments.
* Technical Skills:
+ Proficiency in programming languages such as Python or Ruby.
+ Strong understanding of data structures, algorithms, and software design principles.
+ Experience with machine learning frameworks and libraries (e.g., TensorFlow, PyTorch).
+ Familiarity with MLOps practices and tools for continuous integration and deployment of ML models.
+ Experience with cloud services (e.g., AWS, GCP) and containerization technologies (e.g., Docker, Kubernetes).
* Analytical Skills: Strong problem\-solving skills with the ability to analyze complex data sets, apply advanced data science techniques, and derive actionable insights. Proficient in building predictive models, performing statistical analysis, and utilizing machine learning algorithms to identify trends, patterns, and opportunities for optimization.
* Communication Skills: Excellent verbal and written communication skills, with the ability to convey complex technical concepts to non\-technical stakeholders.
**What We’re Like**
* Scrappy. We had a product goal and put out the MVP, collecting our first users with steady growth via paid channels in four months. We don’t cut corners when we know we’ll need them but we don’t build things without that need. We don’t like inefficiency but we dislike operationalizing one\-off tasks even more.
* Risk\-oriented. Everything has risk, but a mature team knows how to make these tradeoffs. That’s why we built the MVP fast––because time is your most valuable asset and is practically fungible with money in the startup world.
* Data\-obsessed. We all look at data and pull it, and we believe that understanding the mechanics can yield valuable insights. Complex systems require elegant, not just simple solutions. You absolutely need to be interested in data if you want to leverage your knowledge of systems.
* Lucky. That’s how we look at this journey so far. From our timing of fundraising, to the circumstances in which we came together, to the initial product traction we’re getting, there’s no other word to describe it. We are grateful you are reading this, and we know that if you’re meant to be with us on this journey, then we will see you soon.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Meaningful equity in the form of RSU's
 🏝️ 20 days of paid time off per year — we encourage taking real time away to recharge and do your best work
 💵 401(k) plan with a generous employer match to help you invest in your future
 💰 US salary range for this full\-time position consists of base \+ equity \+ benefits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information:https://www.eeoc.gov/sites/default/files/migrated\_files/employers/poster\_screen\_reader\_optimized.pdfhttps://www.dol.gov/ofccp/regs/compliance/posters/pdf/OFCCP\_EEO\_Supplement\_Final\_JRF\_QA\_508c.pdf
 If you need reasonable accommodation for a job opening please connect with us at talent@kikoff.com and describe the specific accommodation requested for a disability\-related limitation. Reasonable accommodations are modifications or adjustments to the application or hiring process that would enable you to fully participate in that process.
 San Francisco Fair Chance Ordinance: Pursuant to the San Francisco Fair Chance Ordinance, Kikoff will consider for employment qualified applicants with arrest and conviction records.</t>
        </is>
      </c>
    </row>
    <row r="75">
      <c r="A75" t="inlineStr">
        <is>
          <t>li-4371903294</t>
        </is>
      </c>
      <c r="B75" t="inlineStr">
        <is>
          <t>Senior Software Engineer</t>
        </is>
      </c>
      <c r="C75" t="inlineStr">
        <is>
          <t>SquareTrade</t>
        </is>
      </c>
      <c r="D75" t="inlineStr">
        <is>
          <t>linkedin</t>
        </is>
      </c>
      <c r="E75" t="inlineStr"/>
      <c r="F75" t="inlineStr"/>
      <c r="G75" t="inlineStr">
        <is>
          <t>San Francisco, CA</t>
        </is>
      </c>
      <c r="H75" t="inlineStr"/>
      <c r="I75"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Senior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ElastiCache)
* Performs continuous integration, continuous delivery, and continuous deployment pipelines on AWS and Microsoft Azure
* Monitors in production and improves system performance, reliability, and scalability
* Adopts XP methodology and practices paired programming and test\-driven development (TDD) daily
* Participates in daily standups, code reviews and retrospectives
**Qualifications**
* Bachelors in Computer Science or related majors is REQUIRED
* 5\+ years of professional software development experience with a successful track record
* Strong proficiency in Java, Spring Boot, Kafka and microservices framework
* Hands\-on experience with Test\-Driven Development (TDD) and writes high\-quality, testable code
* Comfortable working in a pair\-programming (XP) environment
* Experience with relational databases, such as PostgreSQL
* Familiarity with code versioning tools such as Github
* Familiarity with build pipeline such as Jenkins
**Nice to have**
* Familiarity with cloud and hybrid environments, including Azure, AWS, and on\-prem systems
* Familiarity with web related technologies, such as Angular, JavaScript, CSS
* Knowledge of CI/CD pipelines, Docker, Kubernetes and DevOps practices
* Experience in the warranty, insurance, fintech, or e\-commerce domains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$160K \- 190K
 SquareTrade estimates the possible base compensation for this role, if hired in the Denver, Colorado, to be in the range : $145K \- 165K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76">
      <c r="A76" t="inlineStr">
        <is>
          <t>li-4364733887</t>
        </is>
      </c>
      <c r="B76" t="inlineStr">
        <is>
          <t>Senior Software Engineer</t>
        </is>
      </c>
      <c r="C76" t="inlineStr">
        <is>
          <t>SquareTrade</t>
        </is>
      </c>
      <c r="D76" t="inlineStr">
        <is>
          <t>linkedin</t>
        </is>
      </c>
      <c r="E76" t="inlineStr"/>
      <c r="F76" t="inlineStr"/>
      <c r="G76" t="inlineStr">
        <is>
          <t>San Francisco, CA</t>
        </is>
      </c>
      <c r="H76" t="inlineStr"/>
      <c r="I76"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Senior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cloud\-native technologies)
* Designs, develops, and integrates Generative AI modules (e.g. ChatGPT, Gemini, RAG, Python), and fine\-tunes results for specific use cases
* Build and operate CI/CD pipelines and support deployments across AWS and Azure
* Monitor and improve production systems, troubleshoot complex issues,
* Adopt and actively participate in XP practices including daily standups, pair programming, retrospectives, and TDD
**Qualifications**
* Bachelor’s degree in computer science or related majors is REQUIRED
* 5\+ years of professional software development experience with a successful track record
* Strong proficiency in Python, Java, Spring Boot, Kafka and microservices framework
* Exposure to Generative AI technologies and use cases
* Hands\-on experience with Test\-Driven Development (TDD) and writes high\-quality, testable code
* Comfortable working in a pair\-programming (XP) environment
* Experience with relational databases, such as PosgreSQL
* Familiarity with code versioning tools such as Github
* Familiarity with build pipeline such as Jenkins
**Desirable Skills**
* Familiarity with cloud and hybrid environments, including Azure, AWS, and on\-prem systems
* Familiarity with web related technologies, such as Angular, JavaScript, CSS
* Knowledge of CI/CD pipelines, Docker, Kubernetes and DevOps practices
* Domain experience in the warranty, insurance, fintech, or e\-commerce.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$170K \- 200K
 SquareTrade estimates the possible base compensation for this role, if hired in the Denver, Colorado, to be in the range : $150K \- 170K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77">
      <c r="A77" t="inlineStr">
        <is>
          <t>li-4364713983</t>
        </is>
      </c>
      <c r="B77" t="inlineStr">
        <is>
          <t>Software Engineer</t>
        </is>
      </c>
      <c r="C77" t="inlineStr">
        <is>
          <t>SquareTrade</t>
        </is>
      </c>
      <c r="D77" t="inlineStr">
        <is>
          <t>linkedin</t>
        </is>
      </c>
      <c r="E77" t="inlineStr"/>
      <c r="F77" t="inlineStr"/>
      <c r="G77" t="inlineStr">
        <is>
          <t>San Francisco, CA</t>
        </is>
      </c>
      <c r="H77" t="inlineStr"/>
      <c r="I77"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ElastiCache)
* Designs, develops, and integrates Generative AI modules (e.g. ChatGPT, Gemini, RAG, Python), and fine\-tunes results for specific use cases
* Performs continuous integration, continuous delivery, and continuous deployment pipelines on AWS and Microsoft Azure
* Monitors in production and improves system performance, reliability, and scalability
* Adopts XP methodology and practices paired programming and test\-driven development (TDD) daily
* Participates in daily standups, code reviews and retrospectives
**Qualifications**
* Bachelors in Computer Science or related majors is REQUIRED
* 3\+ years of professional software development experience with a successful track record
* Proficiency in Python, Java, Spring Boot, Kafka and microservices framework
* Exposure to Generative AI technologies and use cases
* Hands\-on experience with Test\-Driven Development (TDD) and writes high\-quality, testable code
* Comfortable working in a pair\-programming (XP) environment
* Experience with relational databases, such as PosgreSQL
* Familiarity with code versioning tools such as Github
* Familiarity with build pipeline such as Jenkins
**Desirable Skills**
* Familiarity with cloud and hybrid environments, including Azure, AWS, and on\-prem systems
* Familiarity with web related technologies, such as Angular, JavaScript, CSS
* Knowledge of CI/CD pipelines, Docker, Kubernetes and DevOps practices
* Experience in the warranty, insurance, fintech, or e\-commerce domains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$140K \- 170K
 SquareTrade estimates the possible base compensation for this role, if hired in the Denver, Colorado, to be in the range : $90K \- 140K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78">
      <c r="A78" t="inlineStr">
        <is>
          <t>li-4364547482</t>
        </is>
      </c>
      <c r="B78" t="inlineStr">
        <is>
          <t>Software Engineer</t>
        </is>
      </c>
      <c r="C78" t="inlineStr">
        <is>
          <t>SquareTrade</t>
        </is>
      </c>
      <c r="D78" t="inlineStr">
        <is>
          <t>linkedin</t>
        </is>
      </c>
      <c r="E78" t="inlineStr"/>
      <c r="F78" t="inlineStr"/>
      <c r="G78" t="inlineStr">
        <is>
          <t>San Francisco, CA</t>
        </is>
      </c>
      <c r="H78" t="inlineStr"/>
      <c r="I78"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ElastiCache)
* Designs, develops, and integrates Generative AI modules (e.g. ChatGPT, Gemini, RAG, Python), and fine\-tunes results for specific use cases
* Performs continuous integration, continuous delivery, and continuous deployment pipelines on AWS and Microsoft Azure
* Monitors in production and improves system performance, reliability, and scalability
* Adopts XP methodology and practices paired programming and test\-driven development (TDD) daily
* Participates in daily standups, code reviews and retrospectives
**Qualifications**
* Bachelors in Computer Science or related majors is REQUIRED
* 3\+ years of professional software development experience with a successful track record
* Proficiency in Python, Java, Spring Boot, Kafka and microservices framework
* Exposure to Generative AI technologies and use cases
* Hands\-on experience with Test\-Driven Development (TDD) and writes high\-quality, testable code
* Comfortable working in a pair\-programming (XP) environment
* Experience with relational databases, such as PosgreSQL
* Familiarity with code versioning tools such as Github
* Familiarity with build pipeline such as Jenkins
**Desirable Skills**
* Familiarity with cloud and hybrid environments, including Azure, AWS, and on\-prem systems
* Familiarity with web related technologies, such as Angular, JavaScript, CSS
* Knowledge of CI/CD pipelines, Docker, Kubernetes and DevOps practices
* Experience in the warranty, insurance, fintech, or e\-commerce domains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$140K \- 170K
 SquareTrade estimates the possible base compensation for this role, if hired in the Denver, Colorado, to be in the range : $90K \- 140K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79">
      <c r="A79" t="inlineStr">
        <is>
          <t>li-4373282185</t>
        </is>
      </c>
      <c r="B79" t="inlineStr">
        <is>
          <t>Full Stack Engineer</t>
        </is>
      </c>
      <c r="C79" t="inlineStr">
        <is>
          <t>Wiraa</t>
        </is>
      </c>
      <c r="D79" t="inlineStr">
        <is>
          <t>linkedin</t>
        </is>
      </c>
      <c r="E79" t="inlineStr"/>
      <c r="F79" t="inlineStr"/>
      <c r="G79" t="inlineStr"/>
      <c r="H79" t="inlineStr"/>
      <c r="I79" t="inlineStr">
        <is>
          <t>**About The Company**
 ElevenLabs is a pioneering research and product company at the forefront of Audio AI technology. Since its inception in January 2023, ElevenLabs has rapidly established itself as a leader in the development of human\-like speech synthesis and voice AI solutions. The company’s innovative AI models are used globally by millions of individuals for diverse applications such as article narration, video voice\-overs, and reclaiming voices lost due to disabilities. Additionally, leading developers and enterprises leverage ElevenLabs’ technology to create AI agents for support, sales, and educational purposes.
 In January 2025, ElevenLabs secured a substantial $180 million Series C funding round, valuing the company at $3\.3 billion. The round was co\-led by prominent venture capital firms Andreessen Horowitz and ICONIQ Growth, with continued backing from renowned figures in the tech industry including Nat Friedman, Daniel Gross, Mike Krieger, Brendan Iribe, Mustafa Suleyman, and others. Despite being only two years old, the company is scaling rapidly and continuously pushing the boundaries of what is possible with Audio AI. ElevenLabs fosters a high\-velocity, impact\-driven work environment where innovation and excellence are core values.
**About The Role**
 We are seeking a talented Software Engineer to join our growth team in a remote capacity. This role is pivotal in enhancing our self\-serve customer experience, focusing on consumer, prosumer, and self\-serve B2B segments. As a Software Engineer in this position, you will work at the intersection of engineering, product development, and marketing to create and optimize channels that drive user acquisition, activation, retention, revenue, and referrals. Your work will involve developing novel growth features, conducting experiments, and implementing scalable solutions that have a direct impact on our user base and business metrics.
 This role offers an exciting chance to operate across the full spectrum of growth initiatives, combining technical expertise with strategic insight. You will collaborate closely with cross\-functional teams to deliver high\-impact solutions that enhance our market presence and user satisfaction.
**Qualifications**
* Strong full\-stack engineering skills (backend, frontend, or both)
* Demonstrated product sense and understanding of user engagement
* Interest in growth strategies and business metrics
* Proven ability to solve complex problems through projects, designs, or open\-source contributions
* Self\-motivated with a passion for innovation and impact
* Excellent communication and collaboration skills
* (Bonus) Experience in launching or scaling products
* (Bonus) Familiarity with analytics and experimentation tools
* (Bonus) Design skills for creating intuitive user experiences
**Responsibilities**
* Ideate, design, and implement full\-stack growth features and experiments to enhance user acquisition and engagement
* Create in\-product onboarding flows to improve activation rates
* Develop and maintain a pricing experimentation system to optimize revenue streams
* Analyze user behavior and product performance metrics to inform growth strategies
* Collaborate with product, marketing, and engineering teams to deliver scalable solutions
* Participate in rapid experimentation cycles, testing new ideas and iterating based on data
* Contribute to a culture of excellence, innovation, and impact within the team
**Benefits**
* Learning and development stipend for professional growth
* Annual discretionary stipend for social travel to meet colleagues
* Participation in an annual company offsite at a new location each year
* Monthly coworking stipend for remote work flexibility
* Remote\-first work environment with optional in\-person offices in London, New York, San Francisco, Tokyo, and Warsaw
* Opportunity to work on cutting\-edge AI technology with a global impact
 Equal Opportunity
 ElevenLabs is committed to fostering an inclusive environment where all employees are valued and respected. We are an equal opportunity employer and do not discriminate based on race, ethnicity, gender, sexual orientation, age, disability, or any other protected status. We believe diversity drives innovation and are dedicated to creating a workplace that reflects the global community we serve.</t>
        </is>
      </c>
    </row>
    <row r="80">
      <c r="A80" t="inlineStr">
        <is>
          <t>li-4318563465</t>
        </is>
      </c>
      <c r="B80" t="inlineStr">
        <is>
          <t>Senior Software Engineer, Backend</t>
        </is>
      </c>
      <c r="C80" t="inlineStr">
        <is>
          <t>Siro</t>
        </is>
      </c>
      <c r="D80" t="inlineStr">
        <is>
          <t>linkedin</t>
        </is>
      </c>
      <c r="E80" t="inlineStr"/>
      <c r="F80" t="inlineStr"/>
      <c r="G80" t="inlineStr">
        <is>
          <t>New York, United States</t>
        </is>
      </c>
      <c r="H80" t="inlineStr"/>
      <c r="I80"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platform and backend systems at Siro, across recording, integrations, AI agents, and more!
* Own the end\-to\-end development of key features, from architectural decisions through implementation, deployment, and support
* Design and build scalable backend services that handle real\-time processing of sales conversations
* Drive technical excellence through thoughtful code reviews, documentation, and engineering best practices
* Partner closely with product and design teams to transform customer needs into elegant technical solutions
* Own the health of our systems and products, and make data\-driven decisions
* Help evolve our development practices and tooling to enable sustainable scaling while maintaining velocity
**Requirements**
* We expect 6\+ years of professional software engineering experience.
* You are excited to work in our NYC office 3\+ days a week with the rest of the team.
* You have strong proficiency in modern programming languages, databases, API frameworks, and cloud platforms (like GCP)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81">
      <c r="A81" t="inlineStr">
        <is>
          <t>li-4239977994</t>
        </is>
      </c>
      <c r="B81" t="inlineStr">
        <is>
          <t>Software Engineer, Distributed Systems</t>
        </is>
      </c>
      <c r="C81" t="inlineStr">
        <is>
          <t>Figma</t>
        </is>
      </c>
      <c r="D81" t="inlineStr">
        <is>
          <t>linkedin</t>
        </is>
      </c>
      <c r="E81" t="inlineStr"/>
      <c r="F81" t="inlineStr"/>
      <c r="G81" t="inlineStr">
        <is>
          <t>New York, NY</t>
        </is>
      </c>
      <c r="H81" t="inlineStr"/>
      <c r="I8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At Figma, infrastructure is at the heart of everything we build. As a Software Engineer on our Infrastructure team, you’ll help design, build, and operate the systems that power our real\-time collaborative design tools used by millions of people worldwide. We’re scaling fast, and we’re looking for experienced distributed systems engineers across a variety of teams. Whether you’re passionate about storage, compute orchestration, developer tooling, networking, or real\-time data systems, this role offers an opportunity to shape the technical foundation of one of the most beloved design platforms in the world.
 This is a full time role that can be held from one of our US hubs or remotely in the United States.
**What You’ll Do at Figma:**
* Design, build, and maintain scalable and reliable infrastructure systems that support product innovation and user collaboration at scale.
* Architect and evolve distributed systems including storage platforms, streaming infrastructure, and compute orchestration.
* Improve developer experience by building internal platforms, CI/CD systems, build tools, and APIs.
* Collaborate across product and infrastructure teams to design secure, maintainable, and performant systems.
* Participate in shaping platform strategy, roadmaps, and engineering best practices across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specifically in backend or infrastructure engineering..
* Deep understanding of distributed systems concepts such as sharding, replication, consistency, and eventual convergence.
* Experience with cloud\-native environments (AWS, GCP, or Azure), infrastructure\-as\-code, and container orchestration.
* Proficiency in languages such as Go, TypeScript, Python, Rust, or Ruby.
* Strong system design skills and a track record of architecting resilient production systems.
* Excellent communication skills, with experience collaborating across teams and mentoring others.
**While it’s not required, it’s an added plus if you also have:**
* Experience scaling storage platforms (e.g., Postgres, Redis, S3, DynamoDB) or operating streaming systems like Kafka.
* Background in traffic management, DDoS mitigation, or service mesh technologies (e.g., Envoy, Istio).
* A history of developing complex, realtime distributed systems at scale.
* A passion for building developer productivity tools, including development environments, CI/CD pipelines, and build systems.
* Experience with evolving large\-scale, shared developer platforms to improve reliability and developer velocity.
* Strong problem\-solving skills and a bias for action—especially when tackling high\-impact, gritty challenges.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82">
      <c r="A82" t="inlineStr">
        <is>
          <t>li-4261191038</t>
        </is>
      </c>
      <c r="B82" t="inlineStr">
        <is>
          <t>Frontend Engineer</t>
        </is>
      </c>
      <c r="C82" t="inlineStr">
        <is>
          <t>Pump.co</t>
        </is>
      </c>
      <c r="D82" t="inlineStr">
        <is>
          <t>linkedin</t>
        </is>
      </c>
      <c r="E82" t="inlineStr"/>
      <c r="F82" t="inlineStr"/>
      <c r="G82" t="inlineStr">
        <is>
          <t>San Francisco, CA</t>
        </is>
      </c>
      <c r="H82" t="inlineStr"/>
      <c r="I82" t="inlineStr">
        <is>
          <t>**About Pump.co** 
**Location:** 
 San Francisco, CA (Onsite 5 days a week)
**Compensation:** 
 $100K–$160K salary \+ 0\.1%–0\.6% equity
 Pump is on a mission to radically simplify AWS cost optimization for teams building in the cloud. We use group buying and AI to help startups save like big tech — often reducing AWS bills by \~60%, completely for free.
 As a 
 **Frontend Engineer** 
 , you’ll play a foundational role in shaping both our product and our company. You’ll work closely with the founding team, contribute across the stack (especially frontend), and help define our technical direction and culture from the ground up.
 This is a rare chance to join something early and make a real impact — we hope Pump becomes a career\-defining chapter for everyone who joins.
**What You’ll Do** 
* Build intuitive, performant, and scalable interfaces that bring our vision to life
* Contribute across the stack, with a strong emphasis on frontend architecture and best practices
* Work closely with engineers, designers, and founders to ship quickly and iterate based on feedback
* Help define and execute our technical roadmap — balancing technical debt and innovation
* Invent, improve, and maintain development processes, tools, and workflows
* Prototype often and move fast — while maintaining high product quality and UX standards
**Qualifications** 
* BS or MS in Computer Science, Engineering, or a related field
* 5\+ years of experience as a full stack engineer, with a focus on building scalable and reliable web applications
* Preferably has experience at a Series B\+ to pre\-IPO company
* Strong proficiency in at least one modern frontend framework — React and Next.js preferred
* Strong proficiency in Python, and familiarity with at least one Python backend framework (e.g. Django, FastAPI, Flask)
* Experience with AWS — knowledge of cloud infrastructure and cost/billing concepts is a plus
* Experience with SQL or NoSQL databases
* Experience with Docker; container orchestration systems like Kubernetes are a plus
* Strong communication skills and ability to collaborate effectively with cross\-functional teams
* Enjoys prototyping and experimenting quickly to validate ideas and iterate fast
**Required Skills** 
* Deep expertise in JavaScript/TypeScript and frontend development
* Strong architectural understanding of scalable frontend systems
* Experience integrating with backend APIs and working with real\-time or dynamic data
* Strong product sense and attention to detail — you care how things 
 *look* 
  and 
 *feel*
* Ability to thrive in a fast\-paced, ambiguous startup environment and take initiative
* **Ability to work onsite 5 days a week**
**Bonus Points For** 
* Experience at early\-stage startups or fast\-growth environments (Series A–C, pre\-IPO)
* Passion for developer tools, infrastructure, or cloud platforms
* Familiarity with Kubernetes or modern DevOps workflows
* An opinionated eye for clean, simple design and thoughtful UI
**Benefits** 
* Comprehensive healthcare and dental coverage for you
* 401(k) plan
* Generous PTO: 13 accrued days, plus company shutdown December 24—January 1st
* Free lunch \&amp; dinner at the office
* Annual company\-paid retreats
* Developmental bonuses: support for professional development opportunities tied to cloud and related fields
 Compensation: $100,000 USD \- $160,000 USD</t>
        </is>
      </c>
    </row>
    <row r="83">
      <c r="A83" t="inlineStr">
        <is>
          <t>li-4373299227</t>
        </is>
      </c>
      <c r="B83" t="inlineStr">
        <is>
          <t>Software Developer - Fully Remote</t>
        </is>
      </c>
      <c r="C83" t="inlineStr">
        <is>
          <t>Mercor</t>
        </is>
      </c>
      <c r="D83" t="inlineStr">
        <is>
          <t>linkedin</t>
        </is>
      </c>
      <c r="E83" t="inlineStr"/>
      <c r="F83" t="inlineStr"/>
      <c r="G83" t="inlineStr"/>
      <c r="H83" t="inlineStr"/>
      <c r="I83"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**Contingent Worker**
**Compensation:** 
**$90–$105/hour**
**Location:** 
**Remote**
**Commitment:** 
**20\+ hours/week**
**Role Responsibilities**
* Diagnose and resolve technical issues across various systems and platforms.
* Analyze and interpret complex codebases to ascertain key technical architecture.
* Collaborate effectively with cross\-functional teams to ensure the successful execution of ongoing projects and deliverables.
* Document findings meticulously and contribute to process optimization initiatives as required.
* Exhibit rapid adaptability to emerging technologies and evolving project specifications.
**Qualifications**
**Must\-Have**
* 2\-5 years of experience in C\+\+, Python, and MySQL.
* Demonstrated expertise in debugging and troubleshooting of technical infrastructure.
* Proven capability to quickly understand and analyze complex code.
* Superior problem\-solving skills coupled with meticulous attention to detail.
* Excellent communication and collaborative proficiencies.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4">
      <c r="A84" t="inlineStr">
        <is>
          <t>li-4373502095</t>
        </is>
      </c>
      <c r="B84" t="inlineStr">
        <is>
          <t>Software Developer Engineer</t>
        </is>
      </c>
      <c r="C84" t="inlineStr">
        <is>
          <t>Mercor</t>
        </is>
      </c>
      <c r="D84" t="inlineStr">
        <is>
          <t>linkedin</t>
        </is>
      </c>
      <c r="E84" t="inlineStr"/>
      <c r="F84" t="inlineStr"/>
      <c r="G84" t="inlineStr"/>
      <c r="H84" t="inlineStr"/>
      <c r="I84"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**Contingent Worker**
**Compensation:** 
**$90–$105/hour**
**Location:** 
**Remote**
**Commitment:** 
**20\+ hours/week**
**Role Responsibilities**
* Diagnose and resolve technical issues across various systems and platforms.
* Analyze and interpret complex codebases to ascertain key technical architecture.
* Collaborate effectively with cross\-functional teams to ensure the successful execution of ongoing projects and deliverables.
* Document findings meticulously and contribute to process optimization initiatives as required.
* Exhibit rapid adaptability to emerging technologies and evolving project specifications.
**Qualifications**
**Must\-Have**
* 2\-5 years of experience in C\+\+, Python, and MySQL.
* Demonstrated expertise in debugging and troubleshooting of technical infrastructure.
* Proven capability to quickly understand and analyze complex code.
* Superior problem\-solving skills coupled with meticulous attention to detail.
* Excellent communication and collaborative proficiencies.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5">
      <c r="A85" t="inlineStr">
        <is>
          <t>li-4312797454</t>
        </is>
      </c>
      <c r="B85" t="inlineStr">
        <is>
          <t>Frontend Software Engineer II</t>
        </is>
      </c>
      <c r="C85" t="inlineStr">
        <is>
          <t>Bestow</t>
        </is>
      </c>
      <c r="D85" t="inlineStr">
        <is>
          <t>linkedin</t>
        </is>
      </c>
      <c r="E85" t="inlineStr"/>
      <c r="F85" t="inlineStr"/>
      <c r="G85" t="inlineStr"/>
      <c r="H85" t="inlineStr"/>
      <c r="I85"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Frontend Platform team is responsible for all frontend applications, libraries, tooling, and infrastructure for Bestow and the Bestow Platform. We serve employees, consumers, and enterprise customers. In addition to building software, we integrate and manage many third\-party products used by employees and as part of the platform.
 Within Bestow Engineering, our major functional teams are product engineering, infrastructure, IT, data and analytics, and program management. Frontend Platform works closely with upstream engineering teams, experience design, and product management to define and prioritize the product roadmap.
 We are looking for multiple engineers to join our team.
 This role will report to our Engineering Manager and is open to Remote (US).
**What You'll Do**
 The right candidate for this role will:
* Use a cutting\-edge frontend platform to develop scalable experiences, and make exciting contributions to the platform itself
* Design, develop, and optimize user interfaces using React/Remix, ensuring they are accessible, intuitive, responsive, and user\-friendly across different devices.
* Collaborate with backend engineers to maintain state\-of\-the\-art GraphQL infrastructure
* Work closely with designers, backend engineers, and product managers to build and iterate on platform features and ensure alignment on user needs and technical feasibility.
* Implement unit tests and integration tests to ensure code quality and stability.
* Participate in code reviews to maintain high standards.
* Manage build and deployment pipelines using NX and CircleCI to streamline continuous integration, testing, and deployment processes, ensuring fast and reliable delivery of frontend updates.
**Who You Are**
* Bachelor’s Degree or equivalent experience required
* Strong proficiency in React and Remix (or other SSR framework, like NextJS)
* Deep understanding of (or interest in) GraphQL for data fetching, integrating with back\-end systems, and optimizing queries for efficient communication between frontend and backend.
* Ability to implement accessible, intuitive, and user\-friendly designs, working closely with design teams to create responsive and aesthetically pleasing interfaces.
* Excellent communication skills to collaborate with backend engineers, product managers, and designers to ensure alignment on platform features and technical requirements.
* Proficiency in implementing unit tests and integration tests (using tools like Jest, Vitest, React Testing Library) to ensure code quality, stability, and maintainability.
* Experience managing build and deployment pipelines
* Solid experience with Git for version control and collaboration through platforms like GitHub or GitLab.
* Familiarity with, or strong interest in, building scalable frontend architectures and frameworks that can easily grow as the platform evolves, supporting new features, integrations, and modules.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86">
      <c r="A86" t="inlineStr">
        <is>
          <t>li-4373282879</t>
        </is>
      </c>
      <c r="B86" t="inlineStr">
        <is>
          <t>Software Developer Engineer</t>
        </is>
      </c>
      <c r="C86" t="inlineStr">
        <is>
          <t>Mercor</t>
        </is>
      </c>
      <c r="D86" t="inlineStr">
        <is>
          <t>linkedin</t>
        </is>
      </c>
      <c r="E86" t="inlineStr"/>
      <c r="F86" t="inlineStr"/>
      <c r="G86" t="inlineStr"/>
      <c r="H86" t="inlineStr"/>
      <c r="I86"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III
**Type:** 
**Temporary**
**Compensation:** 
**$100–$120/hour**
**Location:** 
**US – Washington – Redmond (remote work options may be available for candidates located in the United States, depending on team needs and assignment requirements)**
**Role Responsibilities**
* Design, implement, test, and maintain software features and services aligned to project objectives.
* Write clean, maintainable, well\-documented code and contribute to code reviews.
* Troubleshoot, debug, and resolve production and non\-production issues as needed.
* Collaborate with product, design, data, and infrastructure partners to deliver scoped outcomes.
* Participate in on\-call or operational support processes if required for the assignment.
* Follow security, privacy, and engineering best practices applicable to the work.
**Qualifications**
**Must\-Have**
* Bachelor’s degree in Computer Science, Engineering, or a related field, or equivalent practical experience.
* Experience developing software in one or more general\-purpose programming languages (e.g., C\+\+, Java, Python, Go).
* Experience with data structures, algorithms, and software design principles.
* Experience with version control (e.g., Git) and modern development workflows (e.g., CI/CD).
* Ability to work effectively in a distributed team environment and communicate technical concepts clearly.
* Must be authorized to work in the United States for the duration of the assignment.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87">
      <c r="A87" t="inlineStr">
        <is>
          <t>li-4372329424</t>
        </is>
      </c>
      <c r="B87" t="inlineStr">
        <is>
          <t>Full Stack Engineer</t>
        </is>
      </c>
      <c r="C87" t="inlineStr">
        <is>
          <t>hatch I.T.</t>
        </is>
      </c>
      <c r="D87" t="inlineStr">
        <is>
          <t>linkedin</t>
        </is>
      </c>
      <c r="E87" t="inlineStr"/>
      <c r="F87" t="inlineStr"/>
      <c r="G87" t="inlineStr"/>
      <c r="H87" t="inlineStr"/>
      <c r="I87" t="inlineStr">
        <is>
          <t>Hatch IT is partnering with a fast\-growing, mission\-driven digital health software company that builds products used by hundreds of health systems across the U.S. Their platform supports critical fundraising and philanthropy operations, and they’re in the middle of a major shift from a services\-led model to a true product company.
 They’re looking for a
 **Full Stack** 
**Product Engineer** 
 to join a small, senior engineering team and help build, scale, and modernize a growing platform. This is a hands\-on role for someone who wants real product ownership—not just ticket execution.
**What You’ll Do** 
* Build and ship features across a Ruby on Rails stack
* Work full stack: backend, frontend, data models, and integrations
* Own features end\-to\-end—from problem definition to production
* Collaborate closely with product and business stakeholders
* Help standardize and productize a growing platform
* Build both:
* External, customer\-facing product features
* Internal tools used by operations and account teams
* Make pragmatic technical and product decisions in a fast\-moving environment
**What They’re Looking For** 
* 5\+ years of experience as a full stack or product\-focused engineer
* **Strong Ruby and Ruby on Rails experience (this is critical)**
* Experience working in product\-driven environments (not just services/agency work)
* Comfortable owning problems, not just implementing specs
* Able to communicate clearly with non\-engineers and stakeholders
* Enjoys working in small teams with real product responsibility
* Pragmatic, business\-aware, and impact\-focused
**Tech Stack** 
* Ruby, Ruby on Rails
* SQL
* HTML, CSS, Vanilla JavaScript
* AWS
* Nice to have: React, Hotwire (Turbo/Stimulus)
**Location \&amp; Work Setup** 
* Fully remote
* Most of the team works East Coast hours, but West Coast is welcome
**Why This Role Is Interesting** 
* Real product ownership, not just ticket execution
* Direct access to leadership and product direction
* A platform already used by hundreds of organizations and scaling fast
* A company in a true build\-and\-modernize phase, not maintenance mode
* Opportunity to shape both external product and internal systems</t>
        </is>
      </c>
    </row>
    <row r="88">
      <c r="A88" t="inlineStr">
        <is>
          <t>li-3765966971</t>
        </is>
      </c>
      <c r="B88" t="inlineStr">
        <is>
          <t>Senior Backend Engineer - Alerts and Operations</t>
        </is>
      </c>
      <c r="C88" t="inlineStr">
        <is>
          <t>Verkada</t>
        </is>
      </c>
      <c r="D88" t="inlineStr">
        <is>
          <t>linkedin</t>
        </is>
      </c>
      <c r="E88" t="inlineStr"/>
      <c r="F88" t="inlineStr"/>
      <c r="G88" t="inlineStr">
        <is>
          <t>San Mateo, CA</t>
        </is>
      </c>
      <c r="H88" t="inlineStr"/>
      <c r="I88"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Team**
 Alerts are an important part of the Verkada ecosystem and our customers rely on alert notifications to stay on top of live events such as persons of interest entering buildings, if a door was forced open after hours or simply knowing when to let the delivery person in. The Alerts and Operations team is responsible for building and maintaining the end\-to\-end systems for Events, Alerts and Notifications, processing upwards of 500 million events weekly from over a million devices worldwide.
 Our systems process real\-time events from Verkada's global device fleet, delivering intelligent, actionable alerts through multiple channels including email, SMS, push notifications, and webhooks.
 In 2025, we launched Operations, a suite of features designed for customers monitoring critical infrastructure with dedicated security teams, starting with enhanced collaboration tools and expanding integration capabilities.
 We're actively exploring how AI can help customers use our products more efficiently and respond more effectively to events, while continuing to improve the core reliability and intelligence of our alerting systems.
**What You'll Do**
* Build and maintain scalable backend systems that process hundreds of millions of events, alerts and notifications weekly from security devices deployed around the world.
* Lead technical design discussions and make architectural decisions for new features across our event processing, alert rule management, and notification delivery services.
* Own complex systems end\-to\-end, from initial design through implementation, testing, deployment, monitoring, and ongoing optimization.
* Drive the development of backend infrastructure integrated with AI capabilities.
* Mentor and support junior engineers through code reviews, technical guidance, and knowledge sharing.
* Contribute to Verkada's public API that customers use for integrations with their existing security and operations systems.
* Collaborate with product managers, engineering leaders, and teams across the organization to define and deliver high\-impact products.
**What You Bring**
* Degree in Computer Science or similar field.
* 5\+ years of professional experience as a Back End Engineer with a track record of building and operating large\-scale distributed systems, ideally at a rapidly growing start up or innovative company.
* Deep expertise in Go, Python, Java, or C\+\+ with strong software engineering fundamentals.
* Proven experience designing and working with both relational (Postgres, MySQL) and non\-relational databases (DynamoDB, MongoDB, OpenSearch, Elasticsearch).
* Track record of leading technical initiatives, making architectural decisions, and delivering complex systems from concept to production.
* Experience with event\-driven architectures and message streaming platforms (Kafka, SQS).
* Experience working in cloud environments (AWS, GCP, Azure) and container orchestration platforms (Kubernetes, Docker).
* Demonstrated ability to mentor engineers and elevate team technical standards.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89">
      <c r="A89" t="inlineStr">
        <is>
          <t>li-4302219104</t>
        </is>
      </c>
      <c r="B89" t="inlineStr">
        <is>
          <t>Senior Software Developer</t>
        </is>
      </c>
      <c r="C89" t="inlineStr">
        <is>
          <t>Samaritan's Purse</t>
        </is>
      </c>
      <c r="D89" t="inlineStr">
        <is>
          <t>linkedin</t>
        </is>
      </c>
      <c r="E89" t="inlineStr"/>
      <c r="F89" t="inlineStr"/>
      <c r="G89" t="inlineStr">
        <is>
          <t>Coppell, TX</t>
        </is>
      </c>
      <c r="H89" t="inlineStr"/>
      <c r="I89" t="inlineStr">
        <is>
          <t>**Job Description**
**Get Involved!**
 Samaritan's Purse is seeking a
 **Senior Software Developer** 
 to join our
 **Information Technology** 
 department, working in
 **Coppell, TX** 
 . As a Senior Software Developer, you will help the ministry deliver high\-quality, mission\-aligned software by contributing across the entire product lifecycle. Working in close partnership with the Product Technical Lead, you will shape technical solutions, validate feasibility, and implement scalable, maintainable, and secure systems. You will build features across the full technology stack, drive engineering excellence through code reviews and modern practices, mentor other developers, and contribute to a culture of continuous improvement and shared ownership. Bring your technical knowledge to help support a mission\-critical team. Come and use your gifts daily to advance the Gospel!
****A day in the life of a Senior Software Developer:****
 At Samaritans Purse, the Gospel really is the center of all we do! We start each day with a time of devotions and spend time praying for each other, our staff and volunteers who serve around the globe.
 In the role of
 **Senior Software Developer** 
 , you will have the opportunity to:
* Maintain your personal relationship with Jesus Christ and be an effective witness for Him.
* Lead in the building and maintenance of product features across the stack, including responsive web and mobile interfaces, APIs, services, and data layers, using high\-quality, test\-driven code and modern engineering practices. Utilize various Artificial Intelligence (AI) tools to assist in optimizing coding speed and accuracy.
* Partner with the Product Technical Lead to design and deliver scalable, maintainable, secure systems that solve real customer problems and support strategic business goals.
* Collaborate closely with the Product Owner and Product Designer to explore ideas, clarify user needs, assess tradeoffs, and ensure implementation aligns with both experience goals and technical integrity.
* Mentor other developers by modeling strong software craftsmanship, sharing knowledge, and fostering a culture of continuous learning, feedback, and accountability within the team.
* Take shared ownership of product outcomes by contributing to integration, deployment, incident response, and ongoing refinement, continuously seeking to improve product performance, reliability, and impact.
* All other duties as assigned.
 Learn more about serving with Samaritans Purse.
**Qualifications \&amp; Experience**
* Bachelor's degree in computer science or related field of study and five (5\) or more years of related experience.
+ A relevant combination of education and experience would also be considered.
* Thorough knowledge of the software development lifecycle (SDLC), programming languages including C\#, .NET, .NET Core, or Angular, and databases such as MS SQL Server, MySQL, or PostgreSQL.
* Ability to design and implement well\-structured, scalable web services and front ends, with practical experience applying AI to support development and optimize workflows.
* Comprehensive knowledge of testing practices and techniques, with the ability to understand a variety of programming languages and patterns.
* 12 credit hours of college\-level Biblical Studies (required); if not already completed, opportunity to meet and complete requirement is available upon hire.
****Job Location:****
 Coppell, TX
****Type:****
 Full\-Time
****Language Requirement:****
 Fluency in English (required)
**Benefits**
* Medical, prescription, dental \&amp; vision insurance
* Flexible Spending Account (FSA)
* Long\-term and Short\-term disability insurance
* Paid Family Medical Leave
* Term Life Insurance
* 401(k) retirement savings plan
* 10 paid holidays
* 12 vacation/personal days
* 10 sick days
**Samaritan's Purse Mission Statement**
 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 The organization serves the Church worldwide to promote the Gospel of the Lord Jesus Christ.
**Samaritan's Purse Statement Of Faith**
* We believe the Bible to be the inspired, the only infallible, authoritative Word of God. 1 Thessalonians 2:13; 2 Timothy 3:15\-17\.
* We believe that there is one God, eternally existent in three persons: Father, Son, and Holy Spirit. Matthew 28:19; John 10:30; Ephesians 4:4\-6\.
*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 We believe that all men everywhere are lost and face the judgment of God, that Jesus Christ is the only way of salvation, and that for the salvation of lost and sinful man, repentance of sin and faith in Jesus Christ results in regeneration by the Holy Spirit. Luke 24:46\-47; John 14:6; Acts 4:12; Romans 3:23; 2 Corinthians 5:10\-11; Ephesians 1:7 and 2:8\-9; Titus 3:4\-7\.
* We believe in the present ministry of the Holy Spirit, whose indwelling enables the Christian to live a godly life. John 3:5\-8; Acts 1:8 and 4:31; Romans 8:9; 1 Corinthians 2:14; Galatians 5:16,17,18; Ephesians 6:12; Colossians 2:6\-10\.
* We believe in the resurrection of both the saved and the lost; the saved unto the resurrection of eternal life and the lost unto the resurrection of damnation and eternal punishment. 1 Corinthians 15:51\-57; Revelation 20:11\-15\.
* We believe in the spiritual unity of believers in the Lord Jesus Christ and that all true believers are members of His body, the church. 1 Corinthians 12:12, 27; Ephesians 1:22\-23\.
* We believe that the ministry of evangelism and discipleship a responsibility of all followers of Jesus Christ. Matthew 28:18\-20; Acts 1:8; Romans 10:9\-15; 1 Peter 3:15\.
* We believe Gods plan for human sexuality is to be expressed only within the context of marriage, that God created man and woman as unique biological persons made to complete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 We believe that we must dedicate ourselves to prayer, to the service of our Lord, to His authority over our lives, and to the ministry of evangelism. Matthew 9:35\-38; 22:37\-39, 28:18\-20; Acts 1:8; Romans 10:9\-15 and 12:20\-21; Galatians 6:10; Colossians 2:6\-10; 1 Peter 3:15\.
* We believe that human life is sacred from conception to its natural end; and that we must have concern for the physical and spiritual needs of our fellowmen. Psalm 139:13; Isaiah 49:1; Jeremiah 1:5; Matthew 22:37\-39; Romans 12:20\-21; Galatians 6:10\.
* We believe that God wonderfully and immutably creates each person biological male or female. These two distinct but complementary sexes together reflect the image and likeness of God. Rejection of ones biological sex is a rejection of Gods merciful design and creative order. Genesis 1:26\-27;1 Corinthians 6:9; Deuteronomy 22:5</t>
        </is>
      </c>
    </row>
    <row r="90">
      <c r="A90" t="inlineStr">
        <is>
          <t>li-4365678458</t>
        </is>
      </c>
      <c r="B90" t="inlineStr">
        <is>
          <t>Software Engineer</t>
        </is>
      </c>
      <c r="C90" t="inlineStr">
        <is>
          <t>McKesson</t>
        </is>
      </c>
      <c r="D90" t="inlineStr">
        <is>
          <t>linkedin</t>
        </is>
      </c>
      <c r="E90" t="inlineStr"/>
      <c r="F90" t="inlineStr"/>
      <c r="G90" t="inlineStr">
        <is>
          <t>Atlanta, GA</t>
        </is>
      </c>
      <c r="H90" t="inlineStr"/>
      <c r="I9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***Macro Helix***
 is the premier provider of 340B program management technology for hospital health system covered entities and retail contract pharmacy networks.
 As a Software Engineer you will work on product development using mostly C\#, Angular, etc. You will play an active role in prototyping concepts in partnership with other senior engineers within the team and across the business. You will tackle challenging, novel situations every day and will have an opportunity to work with different teams across the organization. As a part of this growing team, you will get to work on variety of technologies like Azure cloud, Databricks, Snowflake etc. with high visibility in the organization. Along the way, we guarantee that you’ll learn a ton, have fun, grow and make positive impact on many people.
**Key** 
**Responsibilities**
* This is a hands\-on development role with experience in developing enterprise level applications.
* Conceptualize and demonstrate solutions through documentation, flowcharts, layouts, diagrams, charts.
* Develop cutting edge\-solutions to maximize performance, scalability, and distributed processing capabilities.
* Work with a team of highly motivated and talented people with diverse perspectives.
* Participate in the software development life cycle that takes project from inception to completion through connecting client's needs with applicable state\-of\-the\-art technology solutions.
* Work closely with QA team throughout the development cycle and support performance tuning and testing activity.
* Work with Product Team in translating business requirements into technical specifications, establish and refine details and requirements of applications, components, enhancements, and defects.
* Ability to Debug/ troubleshoot the issues and identify the root cause.
* Analyze and investigate application engineering tasks and prepare design specifications, analysis, and recommendations.
* Ensure that system improvements are secure and well tested and successfully implemented, documented, and monitored to increase efficiency.
* Develop enterprise\-scale Object\-Oriented Programming (OOP) software utilizing SaaS design principles
* Modernize legacy products to use the latest cloud technologies.
* Build and deploy secure solutions utilizing quality standards and software development life cycle processes which include requirement gathering, high level and detailed design, coding, testing and support.
* Actively participate in Agile Ceremonies.
**Minimum Requirement**
 Degree or equivalent and typically requires 4\+ years of relevant experience.
**Education**
 4\-year degree in computer science or related field or equivalent experience
**Critical Skills**
* 4\+ years of experience in software development in a team environment
* 4\+ years of experience with C\# /.Net core back\-end development
* 4\+ years of experience with SQL server 2012 and higher
* 4\+ years of experience with frontend development
* 2\+ years of experience working with Angular, .NET, Bootstrap, CSS, JSON, JavaScript, HTML.
* 2\+ years of experience in building Restful APIs.
**Preferred Skills**
* 1\+ years of experience working with Microsoft Azure (preferred), Google Cloud Platform, or AWS (IaaS, PaaS, and Services)
* 1\+ year experience with Databricks and Unity Catalog.
* Demonstrated experience in building microservices utilizing Restful APIs.
* Demonstrated experience in enabling code to align with a CI/CD process (JIRA, Jenkins, Git)
**Additional Skills**
* Experience in developing and implementing applications on a cloud platform preferably using Azure.
* Familiarity with containerization using Docker for app development.
* Agile Methodology
* Front end frameworks such as Angular
* JIRA
* Excellent written and verbal communication skills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91">
      <c r="A91" t="inlineStr">
        <is>
          <t>li-4323721126</t>
        </is>
      </c>
      <c r="B91" t="inlineStr">
        <is>
          <t>Software Engineer, Frontend</t>
        </is>
      </c>
      <c r="C91" t="inlineStr">
        <is>
          <t>Clay</t>
        </is>
      </c>
      <c r="D91" t="inlineStr">
        <is>
          <t>linkedin</t>
        </is>
      </c>
      <c r="E91" t="inlineStr"/>
      <c r="F91" t="inlineStr"/>
      <c r="G91" t="inlineStr"/>
      <c r="H91" t="inlineStr"/>
      <c r="I91"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**Software Engineer, Frontend**
 We're looking for a frontend product engineer who is responsible for building out user\-facing products that help our customers translate their growth ideas into reality. As a frontend engineer on these product teams, you will play a key role in achieving Clay's vision of being a creative tool to help businesses grow by building and improving the frontend experience. You'll wear both PM and engineering hats, working with internal as well as external stakeholders to drive frontend features end to end — from ideation to deployment. There'll be no shortage of fun problems to explore and technical challenges to solve in the React ecosystem.
**What You’ll Do**
* Drive product strategy and execution. You’ll work with a team of engineers and cross\-functional partners across design, data science, and GTM to define a product strategy and drive execution through conception, research, implementation, and maintenance.
* Design and build product features. You'll work on a fast pace team designing and building complex frontend features that deliver exceptional user experiences across web platforms.
* Up\-level the frontend codebase. Negative maintenance is one of the core values at Clay. You'll contribute to the performance/reliability of the Clay frontend and help increase development velocity of other engineers through component architecture, performance optimizations, and best practices.
* Mentor and learn from other engineers. You’ll help the team grow by mentoring other engineers in areas that you’re strong in. In return, you’ll also learn from other engineers with different strengths.
**What You’ll Bring**
* You have a proven track record of execution. You have 4\+ years of hands on engineering experience building world\-class products.
* You love being a product manager as well as an engineer. Our product engineers drive and own products from end to end.
* You are an empathetic communicator. You express nuanced ideas clearly at different levels of abstraction for different audiences. In disagreements, you prioritize curiosity over confrontation, making sure everyone feels heard and understood.
* You love to collaborate with others to ship high quality, thoughtful features. You are able to talk to customers, think through multiple approaches, and work with our teammates to find the right solution for each problem. You care about craft and translate the solution into bug free, easily understandable code and raise the engineering bar for those around you.
* Having a diversity of perspectives is important to you. You believe that having people with different backgrounds and perspectives creates a better team and a more holistic product.
* You’re familiar with our current tech stack or can learn unfamiliar technologies quickly. Our current tech stack is:
+ React, Typescript, Python, Node.js
+ AWS services: Aurora (Postgres), Elasticache (Redis), Elastic Container Registry (ECR), ECS (Fargate), Lambda, OpenSearch
+ IaC: Terraform
+ Deployment tools: CircleCI, Netlify, Playwright
+ Observability tools: Cloudwatch, Datadog, Mezmo</t>
        </is>
      </c>
    </row>
    <row r="92">
      <c r="A92" t="inlineStr">
        <is>
          <t>li-4373289085</t>
        </is>
      </c>
      <c r="B92" t="inlineStr">
        <is>
          <t>Software Developer</t>
        </is>
      </c>
      <c r="C92" t="inlineStr">
        <is>
          <t>Hirenza</t>
        </is>
      </c>
      <c r="D92" t="inlineStr">
        <is>
          <t>linkedin</t>
        </is>
      </c>
      <c r="E92" t="inlineStr"/>
      <c r="F92" t="inlineStr"/>
      <c r="G92" t="inlineStr"/>
      <c r="H92" t="inlineStr"/>
      <c r="I92" t="inlineStr">
        <is>
          <t>**About The Company**
 Raytheon is a global leader in defense and aerospace solutions, dedicated to creating innovative technologies that enhance security and safety worldwide. With a rich history of technological excellence and a commitment to integrity, Raytheon provides advanced systems and services to government agencies, military organizations, and commercial clients. The company’s focus on research and development drives the creation of cutting\-edge solutions in areas such as cybersecurity, missile defense, radar, and space systems. Raytheon’s collaborative culture and commitment to sustainability foster an environment where innovation thrives, enabling the company to maintain its position at the forefront of the industry.
**About The Role**
 We are seeking a highly skilled and motivated professional to join our team as a Systems Engineer. In this role, you will be responsible for designing, developing, and implementing complex systems that meet the strategic needs of our clients. You will collaborate with cross\-functional teams to analyze requirements, develop technical solutions, and ensure the successful integration and deployment of systems. The ideal candidate will have a strong background in systems engineering principles, excellent problem\-solving skills, and the ability to work effectively in a fast\-paced, dynamic environment. This position offers an exciting opportunity to contribute to mission\-critical projects that have a significant impact on national security and defense capabilities.
**Qualifications**
* Bachelor’s degree in Engineering, Computer Science, or a related technical field; Master’s degree preferred.
* Minimum of 5 years of experience in systems engineering or related roles within defense or aerospace industries.
* Proficiency in systems design, integration, and testing methodologies.
* Strong understanding of software development, hardware integration, and network systems.
* Excellent communication and interpersonal skills to effectively collaborate with diverse teams and stakeholders.
* Ability to obtain and maintain security clearances as required.
* Experience with modeling and simulation tools, as well as project management practices, is a plus.
**Responsibilities**
* Develop and refine system requirements based on client needs and technical specifications.
* Design system architecture, ensuring scalability, reliability, and security.
* Coordinate with software, hardware, and firmware teams to facilitate seamless integration of system components.
* Conduct system testing, validation, and troubleshooting to ensure optimal performance.
* Create technical documentation, reports, and presentations for stakeholders and clients.
* Participate in project planning, risk assessment, and technical reviews to meet project milestones.
* Support the deployment and operational phases of systems, providing technical guidance and troubleshooting support as needed.
* Stay updated on emerging technologies and industry best practices to continuously improve system solutions.
**Benefits**
 Raytheon offers a comprehensive benefits package designed to support the health, well\-being, and professional growth of its employees. This includes competitive health insurance plans, retirement savings options, and paid time off. Employees have access to ongoing training and development programs, tuition reimbursement, and opportunities for career advancement. The company fosters a collaborative and inclusive work environment, promoting work\-life balance and employee engagement. Additionally, Raytheon provides various wellness programs and resources to support the physical and mental health of its workforce.
 Equal Opportunity
 Raytheon is an Equal Opportunity Employer. We are committed to fostering an inclusive environment where all employees and applicants are treated with respect and dignity. We do not discriminate on the basis of race, color, religion, gender, sexual orientation, gender identity or expression, national origin, age, disability, veteran status, or any other legally protected characteristics. We believe diversity enhances our innovation and strengthens our ability to serve our clients and communities effectively.</t>
        </is>
      </c>
    </row>
    <row r="93">
      <c r="A93" t="inlineStr">
        <is>
          <t>li-4318552888</t>
        </is>
      </c>
      <c r="B93" t="inlineStr">
        <is>
          <t>Senior Software Engineer, Full Stack</t>
        </is>
      </c>
      <c r="C93" t="inlineStr">
        <is>
          <t>Siro</t>
        </is>
      </c>
      <c r="D93" t="inlineStr">
        <is>
          <t>linkedin</t>
        </is>
      </c>
      <c r="E93" t="inlineStr"/>
      <c r="F93" t="inlineStr"/>
      <c r="G93" t="inlineStr">
        <is>
          <t>New York, United States</t>
        </is>
      </c>
      <c r="H93" t="inlineStr"/>
      <c r="I93"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and enhance features (especially frontend) for Siro's direct consumers, creating intuitive user experiences for our AI\-powered sales platform
* Own the end\-to\-end development of key features, from architectural decisions through implementation, deployment, and support
* Craft intuitive, performant user interfaces that make complex AI insights accessible to our users
* Drive technical excellence through thoughtful code reviews, documentation, and engineering best practices
* Partner closely with product and design teams to transform customer needs into elegant technical solutions
* Help evolve our development practices and tooling to enable sustainable scaling while maintaining velocity
* Own the health of our systems and products, and make data\-driven decisions
**Requirements**
* We expect 6\+ years of professional software engineering experience.
* You are excited to work in our NYC office 3\+ days a week with the rest of the team.
* You demonstrate strong proficiency in TypeScript frameworks
* You have experience with Node.js and REST API design
* You have demonstrated skill in mobile and/or web performance optimization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94">
      <c r="A94" t="inlineStr">
        <is>
          <t>li-4373291611</t>
        </is>
      </c>
      <c r="B94" t="inlineStr">
        <is>
          <t>Java Software Developer</t>
        </is>
      </c>
      <c r="C94" t="inlineStr">
        <is>
          <t>Mercor</t>
        </is>
      </c>
      <c r="D94" t="inlineStr">
        <is>
          <t>linkedin</t>
        </is>
      </c>
      <c r="E94" t="inlineStr"/>
      <c r="F94" t="inlineStr"/>
      <c r="G94" t="inlineStr"/>
      <c r="H94" t="inlineStr"/>
      <c r="I94"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III
**Type:** 
**Temporary**
**Compensation:** 
**$100–$120/hour**
**Location:** 
**US – Washington – Redmond (remote work options may be available for candidates located in the United States, depending on team needs and assignment requirements)**
**Role Responsibilities**
* Design, implement, test, and maintain software features and services aligned to project objectives.
* Write clean, maintainable, well\-documented code and contribute to code reviews.
* Troubleshoot, debug, and resolve production and non\-production issues as needed.
* Collaborate with product, design, data, and infrastructure partners to deliver scoped outcomes.
* Participate in on\-call or operational support processes if required for the assignment.
* Follow security, privacy, and engineering best practices applicable to the work.
**Qualifications**
**Must\-Have**
* Bachelor’s degree in Computer Science, Engineering, or a related field, or equivalent practical experience.
* Experience developing software in one or more general\-purpose programming languages (e.g., C\+\+, Java, Python, Go).
* Experience with data structures, algorithms, and software design principles.
* Experience with version control (e.g., Git) and modern development workflows (e.g., CI/CD).
* Ability to work effectively in a distributed team environment and communicate technical concepts clearly.
* Must be authorized to work in the United States for the duration of the assignment.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95">
      <c r="A95" t="inlineStr">
        <is>
          <t>li-4372323062</t>
        </is>
      </c>
      <c r="B95" t="inlineStr">
        <is>
          <t>Software Engineer</t>
        </is>
      </c>
      <c r="C95" t="inlineStr">
        <is>
          <t>RemoteHunter</t>
        </is>
      </c>
      <c r="D95" t="inlineStr">
        <is>
          <t>linkedin</t>
        </is>
      </c>
      <c r="E95" t="inlineStr"/>
      <c r="F95" t="inlineStr"/>
      <c r="G95" t="inlineStr"/>
      <c r="H95" t="inlineStr"/>
      <c r="I95" t="inlineStr">
        <is>
          <t>About the Opportunity:
 This Software Engineer position involves analysis, design, implementation, unit testing, and quality engineering to develop and maintain high\-quality software solutions. The role offers the chance to build a new platform using a fresh technology stack and processes, requiring rapid learning of new tools, languages, domains such as data science and psychometrics, and innovative approaches like LLM codegen and agentic AI development.
 Responsibilities:
 • Develop and support a new web application stack
 • Leverage and refine LLM\-codegen processes to balance agility and quality
 • Develop and leverage agent\-driven AI architectures
 • Work closely with customers to adapt tools to their needs
 • Develop psychometrics and data science\-focused tools in R
 • Operate, extend, and create cloud\-based solutions in AWS
 • Develop and maintain code following best practices for maintainability, performance, security, and verifiability
 • Quickly learn new processes, tools, and business domains
 • Collaborate with engineering leadership to deliver timely, robust software adhering to best practices
 Requirements:
 • Bachelor’s degree in computer science, MIS, or equivalent technology discipline, or equivalent on\-the\-job training
 • Willingness to learn new technologies and domains including R, data science, and agentic AI cloud applications
 • 3\-5 years of relevant full\-stack software development experience
 • Experience in software development, maintenance, and testing following industry best practices
 • Experience with highly available, highly concurrent cloud\-based web applications
 • Background in statistics is a plus
 Benefits \&amp; Perks:
 Information on benefits offered is available through the program.
 Compensation:
 • Full\-time salary range between $120,000 and $140,000
 • Eligible to participate in an annual incentive program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6">
      <c r="A96" t="inlineStr">
        <is>
          <t>li-4333336247</t>
        </is>
      </c>
      <c r="B96" t="inlineStr">
        <is>
          <t>Full Stack Engineer</t>
        </is>
      </c>
      <c r="C96" t="inlineStr">
        <is>
          <t>SS&amp;C Technologies</t>
        </is>
      </c>
      <c r="D96" t="inlineStr">
        <is>
          <t>linkedin</t>
        </is>
      </c>
      <c r="E96" t="inlineStr"/>
      <c r="F96" t="inlineStr"/>
      <c r="G96" t="inlineStr">
        <is>
          <t>Florida, United States</t>
        </is>
      </c>
      <c r="H96" t="inlineStr"/>
      <c r="I9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**Full Stack Engineer**
**Locations:** 
 San Francisco, CA / Jacksonville, FL / Boston, MA / New York, NY, Texas (Remote)
**Get To Know Us**
 We are highly collaborative team; we value attributes and personality traits that encourages team work and collaborative environment. We value diversity; we come from diverse backgrounds, experience, education and skillset.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modular and scalable code for front\-end applications.
* Work in all phases of the software development lifecycle.
* Provide a great user experience for our end users.
* Work effectively with User Experience, Business Analyst and QA teams.
* Contribute to presentation\-layer standards and best practices.
 What You Will Bring
* 5\+ years of professional Full Stack Web Development experience with a focus on front\-end development.
* Minimum 4\+ years of front\-end experience.
* Hands\-on experience developing large\-scale applications using modern JavaScript framework (React preferred) and TypeScript.
* Knowledge and experience with backend technologies especially Java and Spring framework.
* Experience writing unit tests.
* Strong communication skills.
* BS/BA from accredited college or university.
 Experience and/or knowledge of the following is a plus
* Experience in Agile development methodologies, Scrum preferred.
* Experience with implementing CI/CD pipelines.
* Working with automated testing tools.
* Working with Front End build, packaging tools such as Webpack, npm scripts, yarn.
* Experience with data visualizations.
* Experience with databases.
* Experience with reporting tools such as SSRS, ActiveReports, JasperReports.
* Proficiency with relational and/or object\-oriented databases such as SQL Server and MongoDB.
 Thank you for your interest in SS\&amp;C! To further explore this opportunity, please apply through our careers page on the corporate website at https://www.ssctech.com/careers/join\-ssc
 https://www.ssctech.com/hubfs/website/pdf/Privacy\-Notice\-for\-CA\-Job\-Applicants.pdf
 \#LH\-REMOTE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97">
      <c r="A97" t="inlineStr">
        <is>
          <t>li-4291997482</t>
        </is>
      </c>
      <c r="B97" t="inlineStr">
        <is>
          <t>Software Engineer, Android</t>
        </is>
      </c>
      <c r="C97" t="inlineStr">
        <is>
          <t>Airtable</t>
        </is>
      </c>
      <c r="D97" t="inlineStr">
        <is>
          <t>linkedin</t>
        </is>
      </c>
      <c r="E97" t="inlineStr"/>
      <c r="F97" t="inlineStr"/>
      <c r="G97" t="inlineStr">
        <is>
          <t>New York, NY</t>
        </is>
      </c>
      <c r="H97" t="inlineStr"/>
      <c r="I97" t="inlineStr">
        <is>
          <t>Airtable is the no\-code app platform that empowers people closest to the work to accelerate their most critical business processes. More than 500,000 organizations, including 80% of the Fortune 100, rely on Airtable to transform how work gets done.
 Airtable's Android app presents a rare opportunity to design and develop novel mobile interfaces that elegantly support a wide range of workflows so that our customers can organize anything, anywhere.
 In developing Airtable's Android app, we've taken great care to not simply port our web interface to mobile, but rather to design each interaction and animation in a mobile\-first and touch\-friendly way. We're looking for someone to pick up the reins and lead all things Android. You'll not only fully own the development of new features on Android, but also have the opportunity to rethink existing core Airtable features that currently have no mobile equivalent by creating them from scratch on Android.
 What you'll do
* Take ownership and responsibility for designing, building, testing, iterating, releasing, and maintaining the Airtable Android application
* Work with cross functional peers (PM, Design) to define the product roadmap
* Analyze and visualize data to drive product insights and to inform our decisions
* Collaborate with the mobile and broader\-engineering team to develop requirements and validate technical specifications for your solutions
* Work autonomously and with QA to ensure the safety, effectiveness, and reliability of Airtable’s systems and our customers data
* Provide mentorship and feedback to teammates to make your team the best version of itself. Motivate and encourage everyone to give their best work.
 Who you are
* You have 3\+ years of Android development experience.
* You have extensive experience with developing high\-quality, UI\-rich Android apps — as a bonus, we’d love to see your apps in the Play Store!
* You have deep knowledge of Java and/or Kotlin
* You have strong product and design sensibilities, and enjoy perfecting the details that matter
* You take a thoughtful approach to decision making; knowing when to move fast and when to do things right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$170,000 \- $277,600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98">
      <c r="A98" t="inlineStr">
        <is>
          <t>li-4373502122</t>
        </is>
      </c>
      <c r="B98" t="inlineStr">
        <is>
          <t>Software Engineer - Contract Role</t>
        </is>
      </c>
      <c r="C98" t="inlineStr">
        <is>
          <t>Mercor</t>
        </is>
      </c>
      <c r="D98" t="inlineStr">
        <is>
          <t>linkedin</t>
        </is>
      </c>
      <c r="E98" t="inlineStr"/>
      <c r="F98" t="inlineStr"/>
      <c r="G98" t="inlineStr"/>
      <c r="H98" t="inlineStr"/>
      <c r="I98"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III
**Type:** 
**Temporary**
**Compensation:** 
**$100–$120/hour**
**Location:** 
**US – Washington – Redmond (remote work options may be available for candidates located in the United States, depending on team needs and assignment requirements)**
**Role Responsibilities**
* Design, implement, test, and maintain software features and services aligned to project objectives.
* Write clean, maintainable, well\-documented code and contribute to code reviews.
* Troubleshoot, debug, and resolve production and non\-production issues as needed.
* Collaborate with product, design, data, and infrastructure partners to deliver scoped outcomes.
* Participate in on\-call or operational support processes if required for the assignment.
* Follow security, privacy, and engineering best practices applicable to the work.
**Qualifications**
**Must\-Have**
* Bachelor’s degree in Computer Science, Engineering, or a related field, or equivalent practical experience.
* Experience developing software in one or more general\-purpose programming languages (e.g., C\+\+, Java, Python, Go).
* Experience with data structures, algorithms, and software design principles.
* Experience with version control (e.g., Git) and modern development workflows (e.g., CI/CD).
* Ability to work effectively in a distributed team environment and communicate technical concepts clearly.
* Must be authorized to work in the United States for the duration of the assignment.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99">
      <c r="A99" t="inlineStr">
        <is>
          <t>li-4355800155</t>
        </is>
      </c>
      <c r="B99" t="inlineStr">
        <is>
          <t>Software Developer 4</t>
        </is>
      </c>
      <c r="C99" t="inlineStr">
        <is>
          <t>Oracle</t>
        </is>
      </c>
      <c r="D99" t="inlineStr">
        <is>
          <t>linkedin</t>
        </is>
      </c>
      <c r="E99" t="inlineStr"/>
      <c r="F99" t="inlineStr"/>
      <c r="G99" t="inlineStr">
        <is>
          <t>Austin, TX</t>
        </is>
      </c>
      <c r="H99" t="inlineStr"/>
      <c r="I99" t="inlineStr">
        <is>
          <t>**Job Description**
* This position is based in Austin or Nashville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The
 **OCI Dataservices Engineering** 
 is responsible for a critical database service used by other public OCI services.
 We are looking for a Principal software engineer who is ready to tackle new challenges in designing, implementing, and maintaining highly available and scalable services for managing this key database service. Help us build automation tools for managing our large and fast\-growing fleet of database service that underpins other OCI services. Help us build the bedrock for the Enterprise Class Cloud of the future!
**Responsibilities**
**Responsibilities** 
 :
**About You** 
 :
* You are a lead cloud engineer with a proven track record of delivering high\-scale, high\-impact solutions
* You are obsessed with the customer, always exceeding expectations
* You have excellent communication skills. You can drive complex technical concepts
* You are a disciplined engineer who understands the importance of high standards, never satisfied with mediocrity and constantly striving for excellence
* You are comfortable with ambiguity in a chaotic and fluid environment
* You are passionate about technology and are not afraid to defend your opinions or position with peers/superiors
**Minimum Qualifications**
* Ability to work in a collaborative, cross\-functional team environment, and lead peers and Jr/Sr Engineers
* Strong grasp of Computer Science concepts (data structures, algorithms, and programming paradigms)
* Proficient in Java or Python
* Proficient in Oracle Database Engineering
* You are experienced at building highly available services, possessing knowledge of common service\-oriented design patterns and service\-to\-service communication protocols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**Preferred Qualifications**
* Experience in a fast\-paced environment
* Experience building control plane/data plane solutions for cloud native companies
* Experience in diagnosing, troubleshooting, and resolving performance issues in complex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0">
      <c r="A100" t="inlineStr">
        <is>
          <t>li-4355910518</t>
        </is>
      </c>
      <c r="B100" t="inlineStr">
        <is>
          <t>Display Software Engineer</t>
        </is>
      </c>
      <c r="C100" t="inlineStr">
        <is>
          <t>Skyryse</t>
        </is>
      </c>
      <c r="D100" t="inlineStr">
        <is>
          <t>linkedin</t>
        </is>
      </c>
      <c r="E100" t="inlineStr"/>
      <c r="F100" t="inlineStr"/>
      <c r="G100" t="inlineStr">
        <is>
          <t>El Segundo, CA</t>
        </is>
      </c>
      <c r="H100" t="inlineStr"/>
      <c r="I100" t="inlineStr">
        <is>
          <t>Our mission at Skyryse is nothing less than a new era in flight, where fatalities are nearly zero, piloting any aircraft is simple and safe, and the sky is accessible to all. SkyOS, our industry\-first universal operating system for flight, provides any airplane or helicopter with a fly\-by\-wire flight management solution that significantly reduces the complexity of flying. Skyryse One, our first production aircraft powered by SkyOS, was unveiled in 2024 and features the simplest, safest, and most intuitive flight controls in general aviation.
**DISPLAY SOFTWARE ENGINEER \- EL SEGUNDO**
 We are looking for an experienced Display Software Engineer to join our team and contribute to the development of advanced display systems for aviation and aerospace applications. This role involves optimizing graphics performance, ensuring system reliability, and collaborating with cross\-functional teams to deliver world\-class visual solutions for mission\-critical environments.
**RESPONSIBILITIES:** 
* Design, develop, and maintain display software for aviation/aerospace systems, ensuring high performance, reliability, and compliance with industry standards.
* Implement and optimize rendering pipelines, graphics effects, and display drivers to maximize performance and efficiency on both CPU and GPU.
* Develop and integrate 3D graphics solutions using OpenGL, Vulkan, and related APIs.
* Utilize GPU programming frameworks such as CUDA or OpenCL for performance\-critical applications.
* Work on concurrent and parallel programming to achieve real\-time performance requirements.
* Debug and optimize display systems at both application and driver levels, ensuring seamless operation in embedded environments.
* Collaborate with hardware teams to bring up new display hardware, troubleshoot issues, and integrate solutions for embedded platforms.
* Work on Linux\-based development environments and contribute to system\-level integration and debugging.
* Interface with cross\-functional teams including graphics, hardware, and avionics specialists to deliver integrated display solutions.
**REQUIRED QUALIFICATIONS:**
* Bachelor’s degree in Computer Science or equivalent (Master’s degree preferred).
* 3\+ years of professional experience in display software development or related fields.
* Strong programming skills with proficiency in Python and C\+\+ or Rust.
* Experience in concurrent programming and multithreaded systems.
* Deep understanding of 3D graphics principles and experience with OpenGL and Vulkan.
* Proven experience with GPU programming using CUDA or OpenCL.
* Development experience with Linux Operating System.
* Practical experience with embedded hardware and debugging serial interfaces (e.g., UART, SPI, I²C).
* Industry experience developing display software for aviation or aerospace applications.
**PREFERRED SKILLS:**
* Experience with real\-time systems and low\-latency display rendering.
* Familiarity with color management, HDR, and image processing.
* Knowledge of display protocols such as MIPI DSI, DisplayPort, or HDMI.
* Exposure to safety\-critical software development standards (e.g., DO\-178C, ARINC\-661\).
* Experience with Anysys SCADE, GL Studio or equivalent
**WHY SKYRYSE?** 
* The opportunity to change the world through improving aviation safety and accessibility
* Salary: 150K \- 170K
* Valuable stock option plan
* Heavily subsidized medical, dental and vision plans
* Full\-time employees are eligible for 20 days of paid time off (PTO) and 5 sick days annually.  PTO and sick days must be used in accordance with Company policy.
* A company with an ambitious vision, a dynamic work environment, and a team of smart, motivated, and fun to work\-with colleagues!
*The posted salary range reflects the potential base pay for this role, adjusted to account for varying geographic markets. Final compensation will be based on factors such as your location, job\-related skills, experience, and internal alignment, including equity and benefits.* 
**WE WELCOME ALL**
 Skyryse is an equal opportunity employer. We value diversity. We do not discriminate on the basis of race, religion, color, national origin, gender, sexual orientation, age, marital status, veteran status, or disability status.
 NO AGENCY CANDIDATES WILL BE CONSIDERED.</t>
        </is>
      </c>
    </row>
    <row r="101">
      <c r="A101" t="inlineStr">
        <is>
          <t>li-4349392327</t>
        </is>
      </c>
      <c r="B101" t="inlineStr">
        <is>
          <t>Data/Software Engineer Lead</t>
        </is>
      </c>
      <c r="C101" t="inlineStr">
        <is>
          <t>Medica</t>
        </is>
      </c>
      <c r="D101" t="inlineStr">
        <is>
          <t>linkedin</t>
        </is>
      </c>
      <c r="E101" t="inlineStr"/>
      <c r="F101" t="inlineStr"/>
      <c r="G101" t="inlineStr"/>
      <c r="H101" t="inlineStr"/>
      <c r="I101"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Medica is seeking an experienced Data/Software Engineer Lead with experience in modern data engineering concepts with a development background in designing scalable solutions that will support Medica’s eligibility platforms. This role is ideal for a highly technical strategic thinker who thrives in a mission\-driven, healthcare\-focused organization and is passionate about ensuring efficiency, scalability, financial integrity and compliance.
 The Data/Software Engineer Lead will provide hands\-on technical leadership and guide the future of our technology ecosystem. The role will assess our current systems, uncover opportunities for modernization, and lead the design and implementation of scalable solutions that support Medica’s long\-term goals. Performs other duties as assigned.
 The ideal candidate is a technical generalist with strong system design expertise and a proven ability to bridge strategy and execution across diverse technologies.
**Key Accountabilities**
* Assess existing systems and integrations to understand current capabilities, gaps, and areas for improvement
* Lead system design and architecture decisions to build secure, scalable, and reliable solutions
* Provide hands\-on technical expertise in backend and frontend development while setting engineering best practices
* Partner with product, infrastructure, and business teams to define technology roadmaps and implementation plans
* Mentor and guide development teams, fostering a culture of quality, collaboration, and continuous improvement
* Communicate technical strategies and recommendations clearly to non\-technical stakeholders and leadership teams
**Required Qualifications**
* Experienced with Python, Informatica and SQL
* Strong understanding of system design principles, architecture patterns, and cloud\-based technologies (AWS, Azure, APIs, microservices)
* Bachelor's degree in computer science, Engineering, or related field desired, or equivalent work experience.
* 7\+ years of experience in software engineering or technical architecture, with at least 2 years in a leadership role.
**Preferred Qualifications**
* Hands\-on experience in backend and frontend development, with proficiency in technology like Go, Java, .NET, and React
* Experience evaluating legacy systems and implementing modernization or integration solutions
* Excellent collaboration and communication skills, with the ability to engage both technical teams and business stakeholders
**Skills And Abilities**
* Experience in healthcare, insurance, or other regulated industries.
* Knowledge of security, privacy, and compliance frameworks (e.g., HIPAA).
* Experience leading technology transformations, migrations, or platform upgrades.
* Self\-starter with strong analytical skills
* Strong understanding of systems, data governance standards and hierarchies
* Ability to think strategically and influence with formal and informal leadership
 This position is an Office role, which requires an employee to work onsite, on average, 3 days per week. We are open to candidates located near one of the following office locations: Minnetonka, MN, or Madison, WI
 The full salary grade for this position is $100,300 \- $172,000\. While the full salary grade is provided, the typical hiring salary range for this role is expected to be between $100,300 \- $150,465\.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are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102">
      <c r="A102" t="inlineStr">
        <is>
          <t>li-4347231390</t>
        </is>
      </c>
      <c r="B102" t="inlineStr">
        <is>
          <t>Software Engineer II, Developer Experience (Delivery)</t>
        </is>
      </c>
      <c r="C102" t="inlineStr">
        <is>
          <t>CoreWeave</t>
        </is>
      </c>
      <c r="D102" t="inlineStr">
        <is>
          <t>linkedin</t>
        </is>
      </c>
      <c r="E102" t="inlineStr"/>
      <c r="F102" t="inlineStr"/>
      <c r="G102" t="inlineStr">
        <is>
          <t>New York, NY</t>
        </is>
      </c>
      <c r="H102" t="inlineStr"/>
      <c r="I10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The Developer Experience \- Delivery Team ensures the reliability, scalability, and usability of the core application management platform within CoreWeave. This team is responsible for the services, processes and tooling that enable internal consumers to install, upgrade, and manage the complete lifecycle of applications within CoreWeave’s Kubernetes\-native infrastructure platform. Members of this team will be challenged to combine the tools and patterns of the modern Kubernetes ecosystem with learnings gained from experiences with CI/CD, distributed systems orchestration, traffic shaping, progressive rollouts, application packaging, channel management, and SRE fundamentals to develop CoreWeave’s next\-generation solution for internal service delivery.
 We Are Seeking a Software Engineer To Join The Developer Experience \- Delivery Team And Help Us Develop And Advance The Platform And Processes Used To Deliver Internal Services Reliably, At\-scale, And With Minimal Engineer Friction. This Individual Will Join a Team Of 6 Mixed\-skill Engineers And Have The Opportunity To Work On The Full Gamut Of Rewarding Challenges That Come With The Business Of Building a Cloud In a Communicative, Supportive, And High\-performing Environment. As a Member Of The Developer Experience \- Delivery Team, You Would Have The Opportunity To
* Design and implement scalable solutions that power CoreWeave’s internal delivery platform, enabling efficient orchestration of services across one of the most dynamic cloud environments today
* Leverage innovative and proven tools and practices from the Kubernetes service delivery ecosystem to enhance how CoreWeave deploys and manages services at scale
* Collaborate closely with all engineering teams to champion and drive the adoption of best practices for service deployment
* Create custom Kubernetes interfaces, gateways, and orchestrators such as ArgoCD to enable declarative, reliable delivery of applications at scale.
* Grow, change, invest in your teammates, be invested\-in, share your ideas, listen to others, be curious, have fun, and, above all, be yourself.
**Wondering if you’re a good fit?** 
**We believe in investing in our people, and value candidates who can bring their own diversified experiences to our teams – even if you aren't a 100% skill or experience match.** 
**Here are some qualities we’ve found compatible with our team. If a portion of this resonates with you, we’d love to talk.**
* You have two or more years of experience in a software or infrastructure engineering industry
* You have experience operating services in production and at scale.
* You regularly use Go as your primary programming language.
* You have hands\-on experience with Kubernetes, including a conceptual understanding of its major components, and have managed clusters using automation.
* You have experience working with Argo, Flux and GitHub Actions
* You know your way around a Linux distro, shell scripting, and/or the Linux storage and networking stacks.
* Are familiar with concepts, such as testing strategies, progressive deployments, error budgets.
* You’re excited about being part of a team of diverse perspectives and backgrounds that believe in tackling challenges, growing hand in hand, and winning together.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3">
      <c r="A103" t="inlineStr">
        <is>
          <t>li-4350907205</t>
        </is>
      </c>
      <c r="B103" t="inlineStr">
        <is>
          <t>Embedded Software Engineer</t>
        </is>
      </c>
      <c r="C103" t="inlineStr">
        <is>
          <t>Blue Origin</t>
        </is>
      </c>
      <c r="D103" t="inlineStr">
        <is>
          <t>linkedin</t>
        </is>
      </c>
      <c r="E103" t="inlineStr"/>
      <c r="F103" t="inlineStr"/>
      <c r="G103" t="inlineStr">
        <is>
          <t>Los Angeles, CA</t>
        </is>
      </c>
      <c r="H103" t="inlineStr"/>
      <c r="I103"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As a member of the Blue Origin family of companies Honeybee Robotics has been at the forefront of robotics for over 40 years, establishing ourselves as pioneers in developing novel exploration systems for the most extreme planetary environments. At our Southern California location, we look to "Touch Life" by supporting planetary science, including every NASA Mars rover since Spirit and Opportunity. We aim to "Mine the Sky" through the development of practical In\-Situ Resource Utilization (ISRU) solutions. We search for technically brilliant individuals in engineering, software, and support fields who take ownership of their work, enjoy collaborating in teams, and have a laser focus on the details that drive excellence.
 Honeybee Robotics is looking for an Embedded Software Engineer III to join our team. In this role, you will develop embedded software for a remotely controlled rover.
 We are looking for someone to apply their technical expertise, leadership skills, and commitment to quality to positively impact safe human spaceflight. Passion for our mission and vision is required!
**Special Mentions**
* This is an onsite role at our office in Altadena, CA
**Responsibilities Include But Are Not Limited To**
* Manage software field deployments and provide support on\-site and remotely to customers
* Develop code for given software system requirements and meet schedules
* Evaluate and identify improvements to system design with a specific focus on robust autonomy
* Collaborate with scientists, engineering managers, product management, and program management to drive new product development programs from concept to production
* Provide hands\-on support to multi\-functional product development teams servicing markets, including space, defense, manufacturing, and other industries
* Write requirements and specification documents
**Required Qualifications**
* Bachelor's Degree in Computer Science, Robotics, Computer Engineering, Electrical Engineering, or related field
* 2\+ years of hands\-on experience in software development for PC or embedded platforms
* Background in space flight avionics application
* Proficient in developing bare metal applications using C/C\+\+
* Proficient in applying testing frameworks and conducting unit tests
* Proven experience crafting reliable software architectures for critical systems
* Adept with Git version control system
* Understanding of digital communication protocols (Ethernet, USB, asynchronous serial, CAN, SPI, I2C)
* Familiarity with automated testing methodologies and continuous integration practices
* Familiar with reading circuit schematics and performing basic debugging tasks
**Preferred Qualifications**
* Experience in operational control of a remotely controlled mission with large latencies
* 
* Skilled in Python scripting
* Background in developing software for vehicles
* Experienced in working with a variety of sensors and camera systems
* Proficiency in building maintainable and versatile multithreaded and multi\-process applications in an RTOS environment
* Experience with development using TI TMS 570
**Compensation Range For**
 CA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04">
      <c r="A104" t="inlineStr">
        <is>
          <t>li-4343389403</t>
        </is>
      </c>
      <c r="B104" t="inlineStr">
        <is>
          <t>Senior Software Engineer</t>
        </is>
      </c>
      <c r="C104" t="inlineStr">
        <is>
          <t>Microsoft</t>
        </is>
      </c>
      <c r="D104" t="inlineStr">
        <is>
          <t>linkedin</t>
        </is>
      </c>
      <c r="E104" t="inlineStr"/>
      <c r="F104" t="inlineStr"/>
      <c r="G104" t="inlineStr"/>
      <c r="H104" t="inlineStr"/>
      <c r="I104" t="inlineStr">
        <is>
          <t>**Overview**
 Are you energized by the opportunity to shape the future of Cloud Computing? The Azure Dedicated team (AzD) is one of the fastest growing parts of the Microsoft Cloud Division and is responsible for expanding the capabilities of Azure Cloud in several areas.  To enable new experiences for our customers, we collaborate regularly across the company with Azure Networking, Compute, Storage, Key Vault, etc. and external vendors such as Nutanix, VMWare, NetApp, HPE, Arista, Cisco, SAP, etc. Join our team and immerse yourself in cutting\-edge technologies, where you’ll accelerate your expertise and make a real impact in these rapidly evolving fields. As a Senior Software Engineer in AzD, you will lead the development of a robust platform for integrating third\-party products and services, including hardware and solutions from partners such as VMware, Nutanix, and NetApp, into the AzD ecosystem. In this role, you will drive engineering execution, system architecture, live\-site operations, and overall solution quality. This opportunity will allow you to grow your career while working on important initiatives that are key to the future growth of Azure Cloud. You’ll be joining a diverse team that values teamwork and collaboration and offers opportunities for mentorship and career advancement. This is a flexible work opportunity that allows you to work partially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 Drives identification of dependencies and the development of design documents for a product, application, service, or platform. \-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OR equivalent experience.
* 4\+ years' experience building and running scalable production services, including securing applications and infrastructure on top of cloud infrastructure like Azure, AWS, or GCP.
* 2\+ years experience with inner and outer loop.
* 1\+ years experience leading projects and/or mentoring other software engineers.
* 2\+ years experience capturing customer/partner requirements and translating into team sprints for execution.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OR Master's Degree in Computer Science or related technical field AND 6\+ years technical engineering experience with coding in languages including, but not limited to, C, C\+\+, C\#, Java, JavaScript, or Python OR equivalent experience.
* 6\+ years' experience building and running scalable production services, including securing applications and infrastructure on top of cloud infrastructure like Azure, AWS, or GCP. Prior experience with Private Cloud platforms like KVM, VMware, Nutanix, OpenStack or Proxmox will be an advantage.
* Prior understanding of compute and networking frameworks to support these Private Clouds will be an advantage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5">
      <c r="A105" t="inlineStr">
        <is>
          <t>li-4373266870</t>
        </is>
      </c>
      <c r="B105" t="inlineStr">
        <is>
          <t>Software Engineer (Js, TypeScript)</t>
        </is>
      </c>
      <c r="C105" t="inlineStr">
        <is>
          <t>Wiraa</t>
        </is>
      </c>
      <c r="D105" t="inlineStr">
        <is>
          <t>linkedin</t>
        </is>
      </c>
      <c r="E105" t="inlineStr"/>
      <c r="F105" t="inlineStr"/>
      <c r="G105" t="inlineStr"/>
      <c r="H105" t="inlineStr"/>
      <c r="I105" t="inlineStr">
        <is>
          <t>**About The Company**
 We believe that mental health is just as important as physical health. We recognize that mental health issues can be complex and multifaceted, and we are dedicated to treating the whole person, not just the symptoms. Our mission is to create a world where mental health is no longer stigmatized or marginalized, but rather embraced as an integral part of overall well\-being. By providing quality, evidence\-based, and compassionate care, we aim to empower individuals to take charge of their mental health and achieve their full potential. Our passionate team strives to make a positive impact on the lives of those struggling with mental health issues and to be a force for positive change in the field of mental healthcare.
 Rula is a remote\-first company committed to accessibility and flexibility. We currently hire in most U.S. states, excluding Hawaii. Our approach allows us to foster a diverse and inclusive work environment, where innovation and collaboration thrive regardless of geographical location.
**About The Role**
 We are seeking a highly skilled Staff Software Engineer (L4\) to serve as a frontend technical leader within Rula’s Patient Onboarding team. In this pivotal role, you will own and evolve the architecture of some of our most visible and critical user journeys, including the marketing site (rula.com), Storyblok\-powered CMS, Entry Form, and Registration/Checkout flows. Your expertise will help untangle and modernize a complex onboarding funnel, ensuring a seamless and trustworthy experience for patients beginning their care journey.
 The role involves leading technical strategy and execution for large, multi\-month initiatives by collaborating closely with product managers, designers, backend engineers, analytics teams, and other stakeholders. You will focus on designing scalable, future\-proof frontend systems, including building reusable component libraries, defining clear boundaries between frontend and backend workflows, and reducing technical debt to facilitate rapid iteration. As a technical multiplier, you will mentor engineers, set architectural standards, and improve system performance, reliability, and experimentation capabilities. Your efforts will directly contribute to making the onboarding process faster, simpler, and more reliable for patients.
 This position is ideal for someone who thrives in front\-end\-heavy problem spaces and is passionate about driving technical excellence. You will operate at the intersection of long\-term platform planning and pragmatic delivery, balancing innovation with practical implementation to enhance user experience and operational efficiency.
**Qualifications**
* 8\+ years of professional experience building and maintaining modern, production\-grade web applications with long\-term ownership.
* Deep expertise in frontend engineering, including significant experience with React, TypeScript, JavaScript, Next.js, and other frontend/fullstack frameworks.
* Proven track record leading large, complex frontend initiatives from technical design through successful delivery.
* Strong architectural judgment for frontend systems, including componentization, state management, data flow, performance optimization, SEO, and experimentation.
* Excellent collaboration and communication skills, with the ability to align technical decisions with product and business goals.
* Experience mentoring and guiding other engineers through code reviews, design guidance, and establishing frontend best practices.
**Responsibilities**
* Own and evolve the architecture of frontend user journeys, including the marketing site, CMS, Entry Form, and Registration/Checkout flows, contributing to onboarding funnel modernization.
* Lead technical strategy for large, multi\-month frontend initiatives, working closely with cross\-functional teams to ensure alignment and successful delivery.
* Build reusable component systems and shared libraries; define clear boundaries between frontend and backend workflows; and reduce technical debt to facilitate rapid iteration.
* Mentor engineers, set architectural standards, and improve system performance, reliability, and experimentation capabilities.
* Balance long\-term platform planning with pragmatic delivery to continuously enhance the patient onboarding experience.
**Benefits**
* 100% remote work environment supporting a healthy work\-life balance (based in the United States, excluding Hawaii).
* Competitive pay and transparent salary ranges across all U.S. locations.
* Comprehensive health benefits, including medical, dental, vision, life, disability, and FSA/HSA options.
* 401(k) retirement plan to help you save for your future.
* Generous paid time off, including two company\-wide shutdown weeks annually for self\-care.
* Paid parental leave for all parents, including birth, adoption, and fostering.
* Employee Assistance Program (EAP) to support mental and physical well\-being.
* Home office stipend to set up a productive workspace.
* Quarterly department stipends for team\-building activities or in\-person gatherings.
* Wellness events, lunch \&amp; learns, and ongoing professional development opportunities.
* Participation in community and employee resource groups fostering diversity, equity, and inclusion.
 Equal Opportunity
 We are an equal opportunity employer committed to fostering an inclusive environment for all employees. We celebrate diversity and are dedicated to creating a workplace where everyone feels safe, valued, and empowered to contribute their unique perspectives and talents. All qualified applicants will receive consideration for employment without regard to race, color, religion, gender identity, sexual orientation, national origin, age, disability, or any other protected status.</t>
        </is>
      </c>
    </row>
    <row r="106">
      <c r="A106" t="inlineStr">
        <is>
          <t>li-4341993452</t>
        </is>
      </c>
      <c r="B106" t="inlineStr">
        <is>
          <t>Sr. Software Engineer, Full Stack (C#.NET Core/GraphQL/API/React/Next.js)</t>
        </is>
      </c>
      <c r="C106" t="inlineStr">
        <is>
          <t>Crum &amp; Forster</t>
        </is>
      </c>
      <c r="D106" t="inlineStr">
        <is>
          <t>linkedin</t>
        </is>
      </c>
      <c r="E106" t="inlineStr"/>
      <c r="F106" t="inlineStr"/>
      <c r="G106" t="inlineStr">
        <is>
          <t>Glastonbury, CT</t>
        </is>
      </c>
      <c r="H106" t="inlineStr"/>
      <c r="I106" t="inlineStr">
        <is>
          <t>**Crum \&amp; Forster Company Overview**
**Travel Insured International (TII),** 
 a Crum \&amp; Forster company is a leading travel insurance provider with more than 30 years in business. As a key component of our Specialty Business Unit, within the Accident \&amp; Health division, TII provides travel protection plans to help each individual travel confidently.
 Travel Insured International is proud to offer products to consumers and to agency partners of all sizes. We're committed to providing dependable coverage, great value, and end\-to\-end satisfaction for all customers.
 Travel Insured International (TII), a Crum \&amp; Forster company, is hiring a
 **Senior Software Engineer, Full Stack** 
 .
**Job Description**
 We are seeking a
 **Senior Software Engineer** 
 with strong experience in GraphQL, API management, and React/Next.js to join our
 **Digital Transformation \&amp; Technology** 
 team.
 Reporting to the AVP, Digital Transformation \&amp; Technology, you will support in the technical design and development of a new, self\-service developer portal built on Azure APIM portal, which will enable external partners to integrate our products quickly and efficiently. Beyond the core portal functionality, you will be extending it’s native functionality to expose embedded React/Next.js web components to partners to ensure a frictionless and simple integration to sell our products. This position will work closely with technical product owners, business analytics, and domain experts in support of the design, integration, and deployment of these advanced functionalities.
**What You Will Do**
* Developer Portal Implementation
+ Work closely with stakeholders to understand the requirements for the developer portal.
+ Configure and customize an APIM portal solution to showcase our GraphQL endpoints, documentation, and partner onboarding workflows.
+ Integrate authentication, usage analytics, and other relevant APIs and dashboards within the portal.
+ Collaborate closely with a technical writer to ensure all functionality has clear and easy to understand documentatio
* Embedded Web Components
+ Architect, develop, and maintain React/Next.js components that can be embedded by third\-party partners (airlines, travel booking sites, mobile platforms) to seamlessly offer travel insurance solutions.
+ Ensure these components are easy to integrate, secure, and perform well across a variety of front\-end environments.
* GraphQL API Enhancement
+ Collaborate with back\-end engineers and other team members to refine, enhance, and extend our existing GraphQL APIs to support needs of our embedded marketplace initiative.
+ Maintain best practices around API design, versioning, schema management, and documentation
* Technical Leadership \&amp; Collaboration
+ Provide technical guidance and mentorship to other developers.
+ Work cross\-functionally with product managers, UX/UI designers, QA, and DevOps teams to ensure smooth project execution.
+ Participate in design reviews, code reviews, and architecture discussions.
* Quality, Security, \&amp; Scalability
+ Implement testing strategies to ensure high\-quality releases (unit tests, integration tests, end\-to\-end tests).
+ Advocate for and implement security best practices (OAuth, token\-based auth, etc.).
+ Design solutions that are scalable and capable of handling high traffic volumes.
**What YOU Will Bring To C\&amp;F**
* A Bachelor’s degree in computer science, Engineering, or a related field, or equivalent work experience is required
* 6\+ years of professional experience as a Full Stack Software Developer is required
* Hands\-on experience building and consuming GraphQL APIs is required
* Experience with ASP.NET Core and .NET Core is required
* Familiarity with node.js or another server\-side language for server\-side rendering and microservices is required
* Proven track record using or even creating custom solutions on APIM portals (e.g., Azure APIM, AWS API Gateway \+ Portal, or equivalent) or similar API management platforms is required
* Familiarity with node.js or another server\-side language for server\-side rendering and microservices is required
* Experience with CI/CD pipelines, containerization (Docker/Kubernetes), and modern DevOps practices is a plus.
* Strong communication skills for cross\-functional collaboration.
* Ability to articulate architectural decisions and trade\-offs clearly.
* Self\-driven mindset, comfortable taking ownership and adapting to shifting priorities.
**What C\&amp;F Will Bring To You**
* Competitive compensation package
* Generous 401K employer match
* Employee Stock Purchase plan with employer matching
* Generous Paid Time Off
* Excellent benefits that go beyond health, dental \&amp; vision. Our programs are focused on your whole family’s wellness, including your physical, mental and financial wellbeing
* A core C\&amp;F tenet is owning your career development, so we provide a wealth of ways for you to keep learning, including tuition reimbursement, industry\-related certifications and professional training to keep you progressing on your chosen path
* A dynamic, ambitious, fun and exciting work environment
* We believe you do well by doing good and want to encourage a spirit of social and community responsibility, matching donation program, volunteer opportunities, and an employee\-driven corporate giving program that lets you participate and support your community
**At C\&amp;F you will BELONG**
 If you require special accommodations, please let us know.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accommodations, please let us know. Belonging at C\&amp;F, is a mindset. It’s about fostering a culture of inclusion and connection, where everyone feels valued, heard, and empowered to thrive and where our social impact efforts help strengthen the communities where we live and work.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$95,700 to a maximum of $147,700\.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t>
        </is>
      </c>
    </row>
    <row r="107">
      <c r="A107" t="inlineStr">
        <is>
          <t>li-4337627983</t>
        </is>
      </c>
      <c r="B107" t="inlineStr">
        <is>
          <t>3.81 Software Engineer: Developer Tools</t>
        </is>
      </c>
      <c r="C107" t="inlineStr">
        <is>
          <t>FieldAI</t>
        </is>
      </c>
      <c r="D107" t="inlineStr">
        <is>
          <t>linkedin</t>
        </is>
      </c>
      <c r="E107" t="inlineStr"/>
      <c r="F107" t="inlineStr"/>
      <c r="G107" t="inlineStr">
        <is>
          <t>Irvine, CA</t>
        </is>
      </c>
      <c r="H107" t="inlineStr"/>
      <c r="I107"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We are seeking a skilled and motivated 
**Software Engineer \- Developer Tools
  to join our engineering team. In this role, you will be responsible for designing, building, and maintaining development setups and tools. You will work closely with developers, DevOps, and infrastructure teams to ensure the efficiency and quality of our software development. This is an exciting opportunity to join a fast\-growing company and support the success of enterprise clients in a dynamic environment.
**What You Will Get To Do** 
* Develop and maintain containerized development setups
* Develop and maintain automated code quality and code style checks
* Develop and maintain internal CLI tools
* Maintain monorepo build system, file structure, and documentation
* Work with a diverse group of developers from various disciplines, such as robotics, web, data pipeline, and machine learning, to support their development needs
**What You Have** 
* Bachelor’s degree in Computer Science, Engineering, or a related field (or equivalent work experience)
* 3\-7 years of experience in software engineering roles
* Strong programming/scripting skills in languages such as Python or similar
* Hands on experience with Docker or other containerization technologies
* Solid understanding of Linux operating system
* Excellent problem\-solving skills and the ability to work collaboratively in a team environment
**What Will Set You Apart** 
* Experience with Build systems such as Bazel and Nx
* Familiarity with robotics systems to support robotic applications (e.g., ROS, real\-time systems, sensor integration)
* Hands\-on experience in CI/CD and GitHub Actions.
**Compensation and Benefits**
 Our salary range is between ($70,000 \- $300,000 annual), but we take into consideration an individual's background and experience in determining final salary; base pay offered may vary considerably depending on geographic location, job\-related knowledge, skills, and experience.  Also, while we enjoy being together on\-site, we are open to exploring a hybrid or remote option.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Irvine,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8">
      <c r="A108" t="inlineStr">
        <is>
          <t>li-4373285562</t>
        </is>
      </c>
      <c r="B108" t="inlineStr">
        <is>
          <t>Lead Software Engineer</t>
        </is>
      </c>
      <c r="C108" t="inlineStr">
        <is>
          <t>Zelis</t>
        </is>
      </c>
      <c r="D108" t="inlineStr">
        <is>
          <t>linkedin</t>
        </is>
      </c>
      <c r="E108" t="inlineStr"/>
      <c r="F108" t="inlineStr"/>
      <c r="G108" t="inlineStr"/>
      <c r="H108" t="inlineStr"/>
      <c r="I108"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Lead Software Engineer role focused on designing, building, and maintaining high\-quality web applications end\-to\-end, while managing priorities and delivering projects on time. Collaborates closely with product and design, mentors engineers, and leverages modern cloud, AI, and JavaScript/TypeScript technologies to drive scalable solutions.
**Responsibilities**
* Design, develop, test, deploy, improve, and maintain software.
* Manage project priorities, deadlines, and deliverables.
* Work with product managers and designers to implement functional requirements.
* Mentor and provide technical leadership to fellow engineers.
**Requirements**
* BS degree in Computer Science, related technical field, or equivalent experience.
* 6\+ years post\-education work experience.
* Strong track record for delivering high\-quality projects in a timely manner.
* Excellent written and verbal communication skills.
* Positive attitude, collaborative personality, and desire to learn.
* Experience developing web\-based applications (front\-end and back\-end)
* Experience using AI tools to enhance development workflows
**Optional Qualifications**
* Experience in TypeScript, Node.js, Angular, PostgreSQL, or AWS.
**Technologies used**
* Typescript
* Node.js
* Angular
* SASS
* PostgreSQL
* Elasticsearch
* AWS
* Terraform
* Claude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$127,000\.00 \- $160,550\.00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109">
      <c r="A109" t="inlineStr">
        <is>
          <t>li-4301035438</t>
        </is>
      </c>
      <c r="B109" t="inlineStr">
        <is>
          <t>Staff Full Stack Software Engineer - Product Engineering</t>
        </is>
      </c>
      <c r="C109" t="inlineStr">
        <is>
          <t>Betterment</t>
        </is>
      </c>
      <c r="D109" t="inlineStr">
        <is>
          <t>linkedin</t>
        </is>
      </c>
      <c r="E109" t="inlineStr"/>
      <c r="F109" t="inlineStr"/>
      <c r="G109" t="inlineStr">
        <is>
          <t>New York, NY</t>
        </is>
      </c>
      <c r="H109" t="inlineStr"/>
      <c r="I109" t="inlineStr">
        <is>
          <t>**About Betterment**
 Betterment is a leading, technology\-driven financial services company that offers investing and retirement solutions for retail investors and investment advisors as well as financial wellness solutions, including a 401(k) for small and medium\-sized businesses. Our team is passionate about our mission,
 **to empower people to build wealth with confidence and ease** 
 . We’re headquartered in NYC and offer hybrid NY\-based positions (Four days/ week in\-office).
**About The Role**
 The Advisor Experience team aims to build the best full\-service investment management platform in the industry. The team operates as part of Betterment Advisor Solutions, the all\-in\-one custodial platform for independent RIAs, and this team focuses on empowering financial advisors with the tools to manage their clients on Betterment’s platform. Our team holds a high amount of pride in building high\-quality user experiences to simplify complex needs. We’re looking for a technical leader to drive this team forward while upholding high standards in quality and execution for Core Registered Investment Advisors managing their clients on Betterment’s platform. We also support our advisor support team and relationship managers.
 As a staff engineer, you’ll play an instrumental role in designing and implementing complex systems within the team’s domain, guiding your team’s full stack development practices and collaborating with other senior engineering leaders to advance Betterment’s technology and create high performance, reliability and exceptional developer experience.
 If you're passionate about delightful customer experiences, building scalable, high\-performance web applications and are eager to work in a collaborative, forward\-thinking environment, we'd love to have you on our team.
* New York City: $200,000 \- $238,000
 We offer a competitive equity package, health, dental and vision benefits, life and AD\&amp;D, short\-term and long\-term disability insurance, EAP, commuter and parking benefits FSA/HSA, and 401(k) with employer match as well as a flexible PTO policy. This job may also be eligible for variable compensation in the form of a company incentive bonus. For jobs based out of our NYC HQ, we require in office attendance Monday through Thursday, weekly.
**A Day In The Life**
* Build things people love. Our goal is to delight our customers whenever possible. Sleek design, simple user experience, and access to sophisticated advice.
* Teach and Learn. As a Staff Engineer, we expect you to share your knowledge with new, junior, and senior engineers. Help mentor and grow our team professionally as well as learn from our leaders to level up your own talents.
* Solve “impossible” problems. Take your ideas to the next level right away. We experiment, iterate, learn, and repeat.
* Collaborate, with purpose. You’ll work in small groups with other talented thinkers and figure out how to make Betterment’s revolutionary software even better.
* Gain trust through transparency. We believe in taking the guesswork out of investing. That means a consistent experience for our customers — you’ll build the tools to make it possible. We already have the best UX in the business. Let’s make it even better.
* Create efficiency. Our software helps customers save time and money. We maintain it through clean code, pragmatic programming, and lean engineering.
* Work with people who care. Half of our team is made up of engineers, but we believe everyone at Betterment is an engineer with their own tools. We’re a group of talented professionals who pride ourselves on what we do. We’re smart, innovative, energetic, and lots of fun.
**What We’re Looking For**
* Have proven and recent experience scoping, building, and leading technical projects (and the teams building them) from discovery through release
* Have experience in at least one server\-side language \- Ruby, Java, C\#, C\+\+, Python. (we use Ruby on Rails)
* Have experience building interactive web applications using modern Javascript frameworks (we use React)
* Have a strong understanding of appropriate technical design, architecture, and other complexity in building web applications
* Have experience gathering inputs, building consensus, and making technical decisions in an inclusive manner
* Have experience communicating effectively with technical and non\-technical colleagues across different roles, teams, and lines of business
* Have a commitment to upskilling teammates through feedback, pairing, and mentorship
* Have a passion for software engineering, and for creating what doesn’t exist
* Know how to make the tradeoffs required to ship without compromising quality
* Realize that automated tests are a worthwhile investment
* Appreciate agility and pragmatism in software development
* Thrive in a startup environment
**What Being At Betterment Means For You**
**We change lives**
 Join a community of innovators working to transform financial outcomes for real people. Your work will make an impact, always laddering up to our mission: making people's lives better.
**We set audacious goals**
 We set them for the company, our customers, and ourselves—and we won’t stop until we reach them. We don’t just show up; we give our all, then celebrate our wins.
**We value all perspectives**
 When we collaborate, we're at our best. We believe diverse perspectives lead to better outcomes and strive to uphold our supportive and inclusive community.
**We Invest In You With**
* A competitive suite of benefits, including: medical, dental, and vision insurance; life and AD\&amp;D insurance; STD and LTD benefits, including infertility support and World Professional Association for Transgender Health approved benefits; and generous parental leave.
* Flexible paid time off (and encouragement to use it!)
* Meaningful opportunity for community building through our 7 Employee Resource Groups
* Empowerment to own and lead change and affect the business
* Dedicated professional development opportunities
* Lunch from our in\-house chef at our NYC headquarters
**What Happens Next**
 We’ll take a few weeks to review all applications. If we’d like to spend more time with you, we’ll reach out to arrange next steps, which will include 3\-4 sets of meetings with your future colleagues.
 In the interview process, we’ll look to learn more about your skills, experiences, capabilities, and motivators. Many of our questions will be aimed at understanding how you might operate here at Betterment. Depending on the role, we may ask you to complete a case study exercise or technical assessments, as we want to collect a robust set of data points to better inform our decisions.
 On average, it takes us around 3\-5 weeks to make a hiring decision, depending on your availability and sense of urgency. As a best practice, we aim to interview at least 2\-3 final round candidates before making a hiring decision. Please note that, as we usually receive an overwhelming number of applications for open positions, we’re unable to offer individual feedback during the interview process.
 We recognize that interviewing for a new role is a big deal. We appreciate you considering Betterment as the next step in your career, and our Recruiting Team is here to support and advocate for you through the interview process!
*Betterment is dedicated to providing accommodations to candidates upon request. If you need accommodations at any point throughout the interview process, please reach out to your recruiter.*
**Please note that in any materials you submit, you may* 
*redact* 
*or remove age\-identifying information such as age, date of birth, or dates of school attendance or graduation. You will not be penalized for* 
*redacting* 
*or removing this information.**
**Come join us!**
*We’re an equal opportunity employer and comply with all applicable federal, state, and local fair employment practices laws. We strictly prohibit and do not tolerate discrimination against employees, applicants, or any other covered persons because of race, color, religion, creed, national origin or ancestry, ethnicity, sex, gender (including gender nonconformity and status as a transgender or transsexual individual), sexual orientation, marital status, age, physical or mental disability, citizenship, past, current or prospective service in the uniformed services, predisposing genetic characteristic, domestic violence victim status, arrest records, or any other characteristic protected under applicable federal, state or local law.*
**E\-Verify Statement**
*Betterment participates in E\-Verify. We will provide the Social Security Administration, and if necessary, the Department of Homeland Security, with information from each new employee’s Form I\-9 to confirm work authorization. Please note that we do not use this information to pre\-screen job applicants.
 E\-Verify Notice
 E\-Verify Notice (Spanish)
 Right to Work Notice
 Right to Work Notice (Spanish)*
**CPRA Language \- CA Applicants ONLY**
*We collect and store personal information for the purposes of candidate tracking (for this role and future opportunities). The information you provide in the course of completing your application will be kept for up to 24 months. We use tools provided by third\-party service providers but do not share candidate information for any purpose other than for recruiting. To access the data that is collected, request deletion or to make updates to your candidate profile, please email* 
*team.hire@betterment.com* 
*.*</t>
        </is>
      </c>
    </row>
    <row r="110">
      <c r="A110" t="inlineStr">
        <is>
          <t>li-4372323042</t>
        </is>
      </c>
      <c r="B110" t="inlineStr">
        <is>
          <t>Senior Fullstack Engineer</t>
        </is>
      </c>
      <c r="C110" t="inlineStr">
        <is>
          <t>RemoteHunter</t>
        </is>
      </c>
      <c r="D110" t="inlineStr">
        <is>
          <t>linkedin</t>
        </is>
      </c>
      <c r="E110" t="inlineStr"/>
      <c r="F110" t="inlineStr"/>
      <c r="G110" t="inlineStr"/>
      <c r="H110" t="inlineStr"/>
      <c r="I110" t="inlineStr">
        <is>
          <t>About the Opportunity:
 This team strives to support individuals, families, and communities with their mental health needs through high\-quality mental healthcare services. The Sr. Full Stack Engineer will deliver scalable software solutions across web and backend layers, collaborating with product managers, designers, and engineers to create intuitive and reliable user experiences and service\-oriented capabilities.
 Responsibilities:
 • Develop and maintain scalable, high\-quality software solutions across the full stack (Node.js, TypeScript, React, microservices, cloud infrastructure).
 • Mentor and support junior engineers through code reviews and pair programming.
 • Take ownership of feature development, technical design, and implementation while collaborating with cross\-functional stakeholders.
 • Write clean, maintainable, and well\-tested code ensuring reliability, performance, and security.
 • Architect and implement backend services and APIs, integrating with external and internal systems following microservice best practices.
 • Develop modern, responsive web applications to enhance user experience.
 • Troubleshoot and resolve issues proactively to minimize downtime and ensure system reliability.
 • Collaborate with product managers and designers to translate requirements into technical implementations aligned with business goals.
 • Participate in technical discussions, code reviews, and architectural decisions to promote engineering excellence.
 • Stay current on emerging technologies and industry trends to continuously improve skills and apply best practices.
 Requirements:
 • 5\+ years of full stack development experience with strong proficiency in Node.js, TypeScript, React, and microservice architectures.
 • Experience with React workflows using Redux or Flux.
 • Strong front\-end development skills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with minimal supervision.
 • Strong problem\-solving skills to troubleshoot complex stack issues.
 • Experience with DevOps practices including CI/CD pipelines, logging, and monitoring solutions.
 • Collaborative mindset with excellent communication skills.
 Nice to Have:
 • Experience with GraphQL, WebSockets, and event\-driven architecture.
 • Familiarity with Kubernetes, Terraform, or Infrastructure as Code tools.
 • Background in building highly available, scalable, and secure applications.
 • Prior experience in healthcare, behavioral health, or regulated industry environments.
 Benefits \&amp; Perks:
 • Medical, dental, and vision insurance.
 • Accidental death and dismemberment insurance, short and long\-term disability, and life insurance.
 • 401k retirement savings with employer match.
 • Paid parental leave.
 • Paid time off and holiday pay.
 • Employee Assistance Program.
 Compensation:
 • $120,000 to $130,000 annually.
 • Competitive bonus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1">
      <c r="A111" t="inlineStr">
        <is>
          <t>li-4372329033</t>
        </is>
      </c>
      <c r="B111" t="inlineStr">
        <is>
          <t>Senior Software Engineer, Backend</t>
        </is>
      </c>
      <c r="C111" t="inlineStr">
        <is>
          <t>RemoteHunter</t>
        </is>
      </c>
      <c r="D111" t="inlineStr">
        <is>
          <t>linkedin</t>
        </is>
      </c>
      <c r="E111" t="inlineStr"/>
      <c r="F111" t="inlineStr"/>
      <c r="G111" t="inlineStr"/>
      <c r="H111" t="inlineStr"/>
      <c r="I111"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2">
      <c r="A112" t="inlineStr">
        <is>
          <t>li-4302221058</t>
        </is>
      </c>
      <c r="B112" t="inlineStr">
        <is>
          <t>Software Engineer - C++ Core Middleware</t>
        </is>
      </c>
      <c r="C112" t="inlineStr">
        <is>
          <t>Zoox</t>
        </is>
      </c>
      <c r="D112" t="inlineStr">
        <is>
          <t>linkedin</t>
        </is>
      </c>
      <c r="E112" t="inlineStr"/>
      <c r="F112" t="inlineStr"/>
      <c r="G112" t="inlineStr">
        <is>
          <t>Foster City, CA</t>
        </is>
      </c>
      <c r="H112" t="inlineStr"/>
      <c r="I112" t="inlineStr">
        <is>
          <t>Shipping the software that powers Zoox's revolutionary autonomous vehicles is an extremely challenging job. As a Software Engineer on the Robotics Middleware team, you will be pivotal in designing and developing the middleware framework for our autonomous vehicle software stack.
 This role contributes to the entire software organization by seeking opportunities to make our software and engineering teams more efficient and productive. You will regularly tackle complex, cross\-functional challenges that impact multiple teams, helping to ensure our stack remains robust, scalable, and safety\-critical.
 This role demands strong expertise in real\-time computing, cross\-platform development, and abstraction layer design. You’ll be responsible for contributing to performance optimization and ensuring efficient, modular, and maintainable code. Your deep debugging and problem\-solving skills will support high\-quality solutions across our middleware. This position requires strong teamwork to collaborate on technical decisions, foster cross\-functional partnerships, and uphold engineering best practices. Your excellence in technical communication, paired with your ability to balance technical precision with practical delivery, will ensure impactful outcomes across Zoox's software organization.
**In This Role, You Will**
* Contribute to the technical direction and architecture of our robotics middleware platform and the runtime control system
* Develop and maintain platform\-agnostic middleware components, including Robot state machine, software interfaces, task schedulers, data transport layers, diagnostic reporting, and message interfaces
* Participate in design reviews and code reviews to maintain high code quality and share knowledge
* Collaborate extensively with software teams across the organization to ensure the middleware meets all technical requirements
* Participate in technical forums, contribute to technical documentation, and adhere to established best practices
**Qualifications**
* 1\+ years of professional software development experience
* Strong proficiency in modernC\+\+ (C\+\+14/17\)
* Strong background in developing scalable, distributed applications in Linux and the Nvidia Drive platform
* Experience with GPU/CUDA programming
* Experience with robotics frameworks/middleware (e.g., ROS/ROS2\)
**Bonus Qualifications**
* Experience with different processor architectures (e.g., X86, ARM)
* Experience with AI\-assisted coding tools (e.g., Cursor, Claude Code)
* Proven experience in high\-performance, distributed, and resource\-constrained software systems
 $175,000 \- $212,000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li-4372319409</t>
        </is>
      </c>
      <c r="B113" t="inlineStr">
        <is>
          <t>Software Engineer</t>
        </is>
      </c>
      <c r="C113" t="inlineStr">
        <is>
          <t>Haystack</t>
        </is>
      </c>
      <c r="D113" t="inlineStr">
        <is>
          <t>linkedin</t>
        </is>
      </c>
      <c r="E113" t="inlineStr"/>
      <c r="F113" t="inlineStr"/>
      <c r="G113" t="inlineStr"/>
      <c r="H113" t="inlineStr"/>
      <c r="I113" t="inlineStr">
        <is>
          <t>**Digital Platforms Product Manager \- Alpharetta, GA \| Alpharetta Office \- United States \| Hybrid \| $107,681 \- $179,432** 
 We're working with Avanos Medical on this exciting opportunity.
 Are you a visionary Digital Platforms Product Manager ready to shape the future of medical technology? Avanos Medical is seeking a dynamic leader to drive our digital ecosystem, blending strategic architectural oversight with hands\-on technical guidance across web and mobile platforms using cutting\-edge technologies like React, Node.js, and Azure.
**The Role** 
 • Own the end\-to\-end digital architecture for public websites, mobile applications, and internal platforms.
 • Establish and enforce governance models for digital content, security, compliance (GDPR, CCPA), and performance.
 • Architect and guide the delivery of enterprise\-scale content management ecosystems (e.g., WordPress) and lead cross\-platform mobile app development with React Native.
 • Implement immersive front\-end solutions using React, JavaScript, HTML/CSS, and manage secure backend services in Node.js, PHP, and MySQL/SQL environments.
 • Drive CI/CD strategy using GitHub Actions and maintain scalable, secure, and high\-performing cloud infrastructure (Azure preferred).
**What You'll Need** 
 • Bachelor’s degree in Computer Science, IT, or a related field.
 • 7\+ years in digital ecosystems (web and backend), with 3\-5 years in strategic or technical leadership roles.
 • Hands\-on experience with React, Node.js, MySQL/SQL, and cloud platforms (Azure preferred).
 • Proven experience in website security management, domain governance, accessibility compliance, and implementing cookie policy libraries (e.g., OneTrust, Cookiebot).
**What's On Offer** 
 • Competitive salary range of $107,681 \- $179,432, plus an attractive incentive compensation program.
 • Comprehensive benefits package, including a generous 401(k) employer match with immediate vesting.
 • Benefits on day 1, free onsite gym, and onsite cafeteria at our Alpharetta office.
 • Be part of a company that strives to be independent and different, supporting and inspiring you to excel in changing medical devices.
**Apply via Haystack today!**</t>
        </is>
      </c>
    </row>
    <row r="114">
      <c r="A114" t="inlineStr">
        <is>
          <t>li-4349737152</t>
        </is>
      </c>
      <c r="B114" t="inlineStr">
        <is>
          <t>Senior Software Developer</t>
        </is>
      </c>
      <c r="C114" t="inlineStr">
        <is>
          <t>Oracle</t>
        </is>
      </c>
      <c r="D114" t="inlineStr">
        <is>
          <t>linkedin</t>
        </is>
      </c>
      <c r="E114" t="inlineStr"/>
      <c r="F114" t="inlineStr"/>
      <c r="G114" t="inlineStr"/>
      <c r="H114" t="inlineStr"/>
      <c r="I114"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5">
      <c r="A115" t="inlineStr">
        <is>
          <t>li-4267990251</t>
        </is>
      </c>
      <c r="B115" t="inlineStr">
        <is>
          <t>Senior Software Engineer, Python (Chicago)</t>
        </is>
      </c>
      <c r="C115" t="inlineStr">
        <is>
          <t>Fitch Group, Inc.</t>
        </is>
      </c>
      <c r="D115" t="inlineStr">
        <is>
          <t>linkedin</t>
        </is>
      </c>
      <c r="E115" t="inlineStr"/>
      <c r="F115" t="inlineStr"/>
      <c r="G115" t="inlineStr">
        <is>
          <t>Chicago, IL</t>
        </is>
      </c>
      <c r="H115" t="inlineStr"/>
      <c r="I115" t="inlineStr">
        <is>
          <t>**Senior Software Engineer, Python Programmer**
 Fitch Ratings is currently seeking a Senior Software Engineer specializing in Python Programming or applications to join our team in Chicago. In this role, you will support the development and delivery of applications based on Python and AWS, Azure cloud platform. You will collaborate with dynamic teams committed to maintaining high standards of quality, performance, and scalability for Fitch’s Ratings workflow systems. If you are passionate about innovative solutions and thrive in a collaborative environment, we encourage you to apply.
**Objectives of this role**
* Develop, test and maintain high\-quality software using Python programming language.
* Participate in the entire software development lifecycle, building, testing and delivering high\-quality solutions.
* Collaborate with cross\-functional teams to identify and solve complex problems.
* Write clean and reusable code that can be easily maintained and scaled.
**Your tasks**
* Work on technically complex systems with strong hands\-on experience in design and development.
* Interpret complex requirements associated with Ratings workflow tools.
* Participate in code reviews, ensure code quality and identify areas for improvement to implement practical solutions.
* Set up CI/CD pipelines for projects and integrate them with the organization's delivery mechanisms.
* Debugging codes when required and troubleshooting any Python\-related queries.
* Keep up to date with emerging trends and technologies in Python development.
* Participate in Agile development processes to deliver high\-quality software solutions.
* Assist in managing multiple projects to ensure timely delivery within scope and timelines.
* Provide production support and help establish technical best practices.
**Required Skills And Qualifications**
* 7\+ years of experience as a Python Developer with a strong portfolio of projects.
* Bachelor’s degree in software engineering or a related field.
* In\-depth understanding of the Python software development stacks, ecosystems, frameworks and automation.
* Experience with front\-end development and cloud\-platforms/technologies offered by AWS, Microsoft Azure.
* Experience with databases such as Postgres and Oracle and database technologies such as SQL and NoSQL.
* Code versioning, maintenance and deployment tools like GitHub, Bamboo, JIRA.
* Excellent problem\-solving ability with solid communication and collaboration skills.
**Preferred Skills And Qualifications**
* Experience with popular Python frameworks such as Django, Flask or Pyramid.
* Knowledge of DevOps practices and tools (e.g., Docker, Kubernetes/EKS\-based container orchestration).
* Knowledge of data science and machine learning concepts and tools.
* Contributions to open\-source Python projects or active involvement in the Python community.
**Why Fitch?**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We are building incredible things at Fitch and we invite you to join us on our journey.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Group is proud to be an Equal Opportunity and Affirmative Action Employer. We evaluate qualified applicants without regard to race, color, national origin, religion, sex, sexual orientation, gender identity, disability, protected veteran status, and other statuses protected by law.
**FOR CHICAGO ROLES ONLY:** 
 Expected base pay rates for the role will be between $125,000 and $150,000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t>
        </is>
      </c>
    </row>
    <row r="116">
      <c r="A116" t="inlineStr">
        <is>
          <t>li-4372329029</t>
        </is>
      </c>
      <c r="B116" t="inlineStr">
        <is>
          <t>Senior Full-Stack Software Engineer</t>
        </is>
      </c>
      <c r="C116" t="inlineStr">
        <is>
          <t>RemoteHunter</t>
        </is>
      </c>
      <c r="D116" t="inlineStr">
        <is>
          <t>linkedin</t>
        </is>
      </c>
      <c r="E116" t="inlineStr"/>
      <c r="F116" t="inlineStr"/>
      <c r="G116" t="inlineStr"/>
      <c r="H116" t="inlineStr"/>
      <c r="I116" t="inlineStr">
        <is>
          <t>About the Opportunity:
 An organization is automating the manual process enterprises use to calculate R\&amp;D tax credits and capitalize software costs. Their software ingests data from project management, identity management, and payroll systems, leveraging AI to complete in hours what previously took weeks or months of manual work for U.S. businesses. The Senior Full\-Stack Software Engineer role focuses on building products that automate enterprise accounting and finance processes, starting with a software capitalization product that tracks development costs as assets for compliance and financial reporting. The company operates fully remote, preferring hires in overlapping time zones with its Mountain View, CA headquarters.
 Responsibilities:
 • Collaborate cross\-functionally with engineering, data science, and product teams to evaluate requirements, scope projects, estimate effort, and prioritize impactful work
 • Design, develop, and maintain web applications for both external customers and internal use
 • Build scalable data ingestion pipelines processing millions of records from diverse sources such as Jira, Github, payroll systems, and accounting software
 • Design flexible data models to accommodate various company types, industries, and business processes
 • Develop integrations by reading API documentation and handling quirks of third\-party systems
 • Deliver customer\-facing features supporting monthly capitalization workflows for finance teams
 • Build internal tools to assist in system operation and debugging
 • Maintain automated testing and deployment processes to ensure system robustness
 • Review code from other engineers and provide timely, constructive feedback
 • Troubleshoot critical issues, identify root causes, and implement durable fixes
 Requirements:
 • Bachelor’s or Master’s degree in Computer Science, Computer Engineering, or related field
 • Minimum 7 years of professional full\-stack development experience
 • Strong proficiency in TypeScript
 • Strong proficiency in databases including ORMs, SQL, and relational databases
 • Strong proficiency with NodeJS and related frameworks
 • Proficiency with React or similar frameworks using one\-way data binding
 • Experience with distributed systems, such as asynchronous data processing pipelines
 • Ability to design and implement solutions independently without AI assistance
 • Strong problem\-solving, analytical, communication, and teamwork skills
 Bonus Qualifications:
 • Experience with GraphQL
 • Experience with cloud platforms such as GCP, AWS, or Azure
 • Experience with DevOps tools and practices (e.g., Terraform)
 • Experience with automated testing (unit, integration, end\-to\-end, black box, mocking)
 • Experience working in early\-stage, venture\-backed startups
 Benefits \&amp; Perks:
 • Stock Option Plan (Equity)
 • Health Care Plans including Medical, Dental, Vision, and Short\-term Disability with 90% coverage for individual and family
 • Health and Wellness subsidy
 • Retirement Plan (401k)
 • Paid Time Off including vacation, sick leave, and public holidays
 • Family Leave benefits (maternity and paternity)
 • 100% remote work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7">
      <c r="A117" t="inlineStr">
        <is>
          <t>li-4347211386</t>
        </is>
      </c>
      <c r="B117" t="inlineStr">
        <is>
          <t>Senior Software Engineer, Box-Office</t>
        </is>
      </c>
      <c r="C117" t="inlineStr">
        <is>
          <t>CoreWeave</t>
        </is>
      </c>
      <c r="D117" t="inlineStr">
        <is>
          <t>linkedin</t>
        </is>
      </c>
      <c r="E117" t="inlineStr"/>
      <c r="F117" t="inlineStr"/>
      <c r="G117" t="inlineStr">
        <is>
          <t>Bellevue, WA</t>
        </is>
      </c>
      <c r="H117" t="inlineStr"/>
      <c r="I11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Fleet Engineering Team is responsible for the automated provisioning and management of CoreWeave’s ever\-expanding fleet of hardware nodes and node\-types. Playing a central role in CoreWeave’s growth strategy, this team is engaged in streamlining and coordinating the domains of node provisioning, hardware RMA, datacenter operations, and platform services into a cohesive, zero\-touch, and high\-reliability engine of fleet management.
**About The Role**
 We are seeking a Senior Full\-Stack Engineer to join the Box\-Office Team to help us build, run and refine our automation reliability, efficiency, scalability and user experience. This individual will join a team of mixed\-skill engineers focused on all aspects of hardware lifecycle management. As a member of the Box\-Office Team, you would have the opportunity to:
* Develop applications, user experiences, reporting automations, API endpoints, and other fleet management tooling and UIs.
* Assess and improve existing User Interfaces, adding new features and simplifying the user experience.
* Resolve integration challenges between our infrastructure and our vendors’ APIs, focusing on making the interactions plain to understand and robust.
* Design and implement solutions to fascinating problems at scale for multi\-site deployment and management of CoreWeave’s global hardware fleet, including interfaces for managing the deployment and maintenance of said fleet.
* Create test plans, deployment automation, dashboards, alerts, and insights into our fleet operations as well as participate in the Fleet Provisioning Automation on\-call rotation.
* Grow, change, invest in your teammates, be invested\-in, share your ideas, listen to others, be curious, have fun, and, above all, be yourself.
**Who You Are**
 We believe in investing in our people, and value candidates who can bring their own diversified experiences to our teams – even if you aren't a 100% skill or experience match. Here are some qualities we’ve found compatible with our team. If a portion of this resonates with you, we’d love to talk.
* You have 5 or more years experience in a software or infrastructure engineering industry.
* You have experience designing and implementing container\-based microservices and integrating open\-source tools to customize solutions.
* You believe in the value of automation and will champion practices that drive reliability and prioritize the CoreWeave customer experience.
* You have a good end to end understanding of what a UI needs to be successful, and how to build it to high quality standards in a reasonable time frame. You can explain trade offs of build versus import and are able to choose the best path.
* Proficiency in React, Typescript, and Golang.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8">
      <c r="A118" t="inlineStr">
        <is>
          <t>li-4333361866</t>
        </is>
      </c>
      <c r="B118" t="inlineStr">
        <is>
          <t>Staff/Senior Software Engineer, Programmatic Bidding</t>
        </is>
      </c>
      <c r="C118" t="inlineStr">
        <is>
          <t>StackAdapt</t>
        </is>
      </c>
      <c r="D118" t="inlineStr">
        <is>
          <t>linkedin</t>
        </is>
      </c>
      <c r="E118" t="inlineStr"/>
      <c r="F118" t="inlineStr"/>
      <c r="G118" t="inlineStr"/>
      <c r="H118" t="inlineStr"/>
      <c r="I118"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**About The Team**
 The Programmatic Bidding team powers our Adtech platform by processing billions of ad auctions every day at millisecond latency. Our Bidding team designs, and builds scalable microservices that span every core aspect of the Adtech pipeline—including pacing, machine learning, bid price optimization, user\-profile enrichment, and more. The StackAdapt bidding platform supports hundreds of thousands of advertisers, delivering real\-time, intelligent and performant bidding decisions ensuring that every bid is both efficient, and strategically aligned with our customer's business goals. We empower our customers with the best performance driven platform for them to drive the best business decisions, and ROI.
 The ideal candidates we're looking for must have proven experience in Adtech, exceptional analytical thinking, and superior execution skills. You'll thrive here if you are eager to build and experiment with new technologies and approaches, and can back your ideas with rigorous analysis and data\-driven, pragmatic approaches.
**What You'll Be Doing**
* Lead and collaborate with a team of engineers to design, implement, and optimize our programmatic bidding systems.
* Apply analytical, data\-driven, and statistical methodologies to problem solving. Continuously optimizing programmatic performance through experimentation and quantitative analysis.
* Collaborate with ML engineers to architect and to build complex, innovative solutions that pushes the boundaries of programmatic advertising capabilities, and drive impactful business results.
* Rigorously optimize large\-scale distributed systems capable of handling billions of requests per second with ms\-level latency, ensuring high throughput and infrastructure performance under demanding workloads.
* Partner with Product teams to ship innovative features that advance the company's vision, and drive competitive advantage.
* Embody the team mission. Be adaptable, and ground development efforts in pragmatic, results\-oriented decision making.
* Foster operational excellence across engineering and backend teams by cultivating a culture of trust, transparency and technical excellence
* Clearly articulate development ideas and hypotheses, openly embrace technical feedback to support collaborative innovation and continuous improvement.
**What You'll Bring To The Table**
* 3\+ years of experience in AdTech or MarTech, ideally working on high\-scale or performance\-critical systems.
* Advanced programming expertise in Go (or strong proficiency in comparable languages such as C\+\+, Java, Scala, or Rust). We value engineers who can deliver high\-performance applications regardless of language.
* Experience applying machine learning, mathematics, and numerical methods—including deploying large\-scale models and real\-time inference systems in production. (This is an applied engineering role, not research\-focused.)
* 5\+ years of experience in software development, particularly building high\-throughput, low\-latency distributed systems and architecting scalable microservices or data pipelines in a fast\-growing tech environment.
* Hands\-on experience with multiple database systems, with a solid grasp of their trade\-offs and performance considerations.
* Strong foundation in computer science fundamentals, including data structures and algorithms.
* Up\-to\-date knowledge of modern technologies, tools, and frameworks, with curiosity to continuously learn and evolve.
* Bonus: Interest or experience in computational graphics, GPU programming, game development, game theory, or financial trading systems.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
 To learn more about our privacy practices, please see our Privacy Policy.</t>
        </is>
      </c>
    </row>
    <row r="119">
      <c r="A119" t="inlineStr">
        <is>
          <t>li-4124620131</t>
        </is>
      </c>
      <c r="B119" t="inlineStr">
        <is>
          <t>Senior Software Engineer - Mobile/React Native</t>
        </is>
      </c>
      <c r="C119" t="inlineStr">
        <is>
          <t>Rilla</t>
        </is>
      </c>
      <c r="D119" t="inlineStr">
        <is>
          <t>linkedin</t>
        </is>
      </c>
      <c r="E119" t="inlineStr"/>
      <c r="F119" t="inlineStr"/>
      <c r="G119" t="inlineStr">
        <is>
          <t>New York, NY</t>
        </is>
      </c>
      <c r="H119" t="inlineStr"/>
      <c r="I119" t="inlineStr">
        <is>
          <t>A Foundational Company
 Rilla builds the world’s leading conversation intelligence software for offline commerce.
 By recording, analyzing, and indexing conversations, our platform supplies unparalleled alpha to the critical, physical businesses that constitute the backbone of our economy.
 Our purpose is to bring the technology of the 21st century’s most innovative companies to the rest of the economy.
 As a side effect of this mission, we’ve become one of the fastest growing companies in history. In numbers, that means 0→$40M in 3\.5 years, growing 15% MoM, Net Revenue Retention above 170%, an NPS higher than the iPhone’s, and profitability.
 The Role
 Rilla engineers architect and ship features across the stack at lightning speed. On a daily basis, you will build end\-to\-end workflows, take them to production, and solve real world problems across an out\-sized scale.
 As the first fully dedicated mobile engineer, you will clear today’s velocity bottlenecks and take full ownership of our mobile codebase, crafting a lightning‑fast, real‑time experience for field users. Your work will establish a unified mobile layer that captures and surfaces billions of conversation events—setting the quality bar for every release to come.
 Do you describe yourself as "obsessive"? Do you aspire to be a founder or a leader in applying AI to the physical world? We believe Rilla is the best place — with the best peers — to learn how.
 Technologies We Use
* Different languages and frameworks, including React, React Native, Typescript and Python
* Open\-source technologies like Node.js, PostgreSQL, Turborepo, Lodash, and Zod
* Industry\-standard build tooling, including GitHub Actions, Terraform, and Spacelift
 What We Value
* An infinite learner. Someone who is relentless in their curiosity.
* A customer obsessive. Someone who deeply care about delighting customers and solving real pains, not vanity metrics.
* A winning attitude. You thrive with extreme accountability, learning as a team, and both giving and receiving rapid feedback.
* Extreme empathy. Our customers are not tech companies. They live and work in the real world. Empathy is critical to arriving at correct solutions.
* Unafraid of failure. You take risks. You see failure as an opportunity to learn, grow, and be better the next time. In a weird way, you trick your brain into being excited when you fail, because it means you got a new opportunity to learn more.
**What We Require**
* Strong coding skills with demonstrated proficiency in programming languages, such as Javascript, C\+\+, Python, Rust, or similar languages.
* Strong mobile engineering prowess (\~5\+ years), ideally developed at start\-ups.
* Familiarity with storage and data processing systems, cloud infrastructure, and other technical tools.
* Strong written and verbal communication skills and ability to iterate quickly with teammates, incorporating feedback and holding a high bar for quality.
 Don’t Work Here
**Please Don't Join If You're Not Excited About**
* Building an AI product for an industry untouched by modern software
* Constantly talking to and visiting customers in the field
* Working \~70 hrs/week in person with some of the most ambitious people in NYC
* Attempting to build a generational company, and the intensity required to do so
**Compensation**
 The estimated salary range for this position is $230,000 \- $300,000/year.
 Successful candidates with competing offers will receive matching and competitive offers.
 Total compensation for this position may also include Incentive Stock Options, sign\-on bonus, and other potential future incentives. This estimate excludes the value of any potential sign\-on bonus; the value of any benefits offered; and the potential future value of any long\-term incentives.
 Our benefits aim to empower Rilla employees in removing roadblocks to achieving their life’s work. The list below details our available benefits and some of the perks that can be enjoyed as an employee of Rilla.
**Benefits**
* Medical, dental, and vision insurance
* Breakfast, lunch, dinner, and supplementary food and drink — 6x a week
* Gym membership
* Commuter benefits
* Relocation assistance
* Take what you need paid time off, not accrual based
* $1,000 stipend for learning and personal growth
* $1,500 a month rent stipend
* Tech equipment</t>
        </is>
      </c>
    </row>
    <row r="120">
      <c r="A120" t="inlineStr">
        <is>
          <t>li-4351077390</t>
        </is>
      </c>
      <c r="B120" t="inlineStr">
        <is>
          <t>AI Models GPU deployment software Engineer</t>
        </is>
      </c>
      <c r="C120" t="inlineStr">
        <is>
          <t>AMD</t>
        </is>
      </c>
      <c r="D120" t="inlineStr">
        <is>
          <t>linkedin</t>
        </is>
      </c>
      <c r="E120" t="inlineStr"/>
      <c r="F120" t="inlineStr"/>
      <c r="G120" t="inlineStr">
        <is>
          <t>Austin, TX</t>
        </is>
      </c>
      <c r="H120" t="inlineStr"/>
      <c r="I120"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 is looking for a software engineer who is passionate about expanding AI models on AMD GPUs, and improving the performance of key applications and benchmarks. You will be a member of a core team of incredibly talented industry specialists and will work with the very latest hardware and software technology.
**The Person**
 Strong technical and analytical skills in C\+\+/Python AI development in a Linux environment. Ability to work as part of a team, while also being able to work independently, define goals and scope and lead your own development effort.
**Key Responsibilities**
* Enable and optimize key AI models (LLM, Vision, MultiModal, etc.) on AMD GPUs
* Optimize AI frameworks like PyTorch, TensorFlow, etc. on AMD GPUs in upstream open\-source repositories
* Collaborate and interact with internal GPU library teams to analyze and optimize training and inference for AI
* Work with open\-source framework maintainers to understand their requirements – and have your code changes integrated upstream
* Optimize GPU kernels, understand and drive AI operator performance (GEMM, Attention, etc.) with specialized teams
* Work in a distributed computing setting to optimize for both scale\-up (multi\-GPU) and scale\-out (multi\-node) systems
* Apply your knowledge of software engineering best practices
**Preferred Experience**
* Knowledge of GPU computing (HIP, CUDA, OpenCL)
* AI model experience or knowledge \- Natural Language Processing, Vision, Audio, Recommendation systems
* Excellent C/C\+\+/Python programming and software design skills, including debugging, performance analysis, and test design.
* Experiences to run workloads on large scale heterogeneous cluster is a plus
* Experiences to optimize GPU kernels for performance is a plus
**Academic Credentials**
* Masters or PhD or equivalent experience in Computer Science, Computer Engineering, or related field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21">
      <c r="A121" t="inlineStr">
        <is>
          <t>li-4324010233</t>
        </is>
      </c>
      <c r="B121" t="inlineStr">
        <is>
          <t>Android Software Engineer, Ad Formats</t>
        </is>
      </c>
      <c r="C121" t="inlineStr">
        <is>
          <t>Reddit, Inc.</t>
        </is>
      </c>
      <c r="D121" t="inlineStr">
        <is>
          <t>linkedin</t>
        </is>
      </c>
      <c r="E121" t="inlineStr"/>
      <c r="F121" t="inlineStr"/>
      <c r="G121" t="inlineStr">
        <is>
          <t>New York, NY</t>
        </is>
      </c>
      <c r="H121" t="inlineStr"/>
      <c r="I12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The
 **Brand Ad Formats team** 
 drives the development of ad formats that help advertisers maximize reach and brand impact. They focus on high\-visibility, awareness\-driven solutions that create memorable experiences for Reddit users. By delivering guaranteed placements and engaging ad interactions, they support major brand initiatives and help advertisers achieve measurable outcomes. Their work includes evolving existing formats and launching entirely new ones to keep Reddit’s ad offerings fresh and competitive.The team is working on multiple new formats including a fully customizable interactive ad format, and an ad format that uses AI to incorporate User\-Generated Content.
 The Ad Formats team is seeking a skilled
 **Android Engineer** 
 with a product\-focused mindset to join the team.
**Responsibilities**
* Build Ad experiences and create patterns for Reddit’s Android app that enhance our ads’ performance and functionality.
* Collaborate across product, design, and engineering teams to innovate and implement sophisticated solutions for complex challenges.
* Engage in the full development cycle: design, develop, QA, experiment, analyze, and deploy.
**Required Qualifications**
* Proficiency in Android engineering and languages such as Kotlin or Java, with at least 3 years of experience in software development.
* Strong software engineering fundamentals.
* A willingness to tackle the challenges of creating data\-intensive, highly responsive, and fault\-tolerant apps.
* An openness to explore innovative approaches to software development.
 Bonus Points
* Experience working on ad tech.
* Able to work full stack.
**Technologies Used On The Team Include**
* Languages: Kotlin, Java, Go, Python
* Frameworks: Thrift, gRPC
* Datastores: Postgres, DynamoDB, BigQuery
* Tools: Kubernetes, Argo, Docker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22">
      <c r="A122" t="inlineStr">
        <is>
          <t>li-4373293509</t>
        </is>
      </c>
      <c r="B122" t="inlineStr">
        <is>
          <t>Software Engineering Lead</t>
        </is>
      </c>
      <c r="C122" t="inlineStr">
        <is>
          <t>Mercor</t>
        </is>
      </c>
      <c r="D122" t="inlineStr">
        <is>
          <t>linkedin</t>
        </is>
      </c>
      <c r="E122" t="inlineStr"/>
      <c r="F122" t="inlineStr"/>
      <c r="G122" t="inlineStr"/>
      <c r="H122" t="inlineStr"/>
      <c r="I122"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III
**Type:** 
**Temporary**
**Compensation:** 
**$100–$120/hour**
**Location:** 
**US – Washington – Redmond (remote work options may be available for candidates located in the United States, depending on team needs and assignment requirements)**
**Role Responsibilities**
* Design, implement, test, and maintain software features and services aligned to project objectives.
* Write clean, maintainable, well\-documented code and contribute to code reviews.
* Troubleshoot, debug, and resolve production and non\-production issues as needed.
* Collaborate with product, design, data, and infrastructure partners to deliver scoped outcomes.
* Participate in on\-call or operational support processes if required for the assignment.
* Follow security, privacy, and engineering best practices applicable to the work.
**Qualifications**
**Must\-Have**
* Bachelor’s degree in Computer Science, Engineering, or a related field, or equivalent practical experience.
* Experience developing software in one or more general\-purpose programming languages (e.g., C\+\+, Java, Python, Go).
* Experience with data structures, algorithms, and software design principles.
* Experience with version control (e.g., Git) and modern development workflows (e.g., CI/CD).
* Ability to work effectively in a distributed team environment and communicate technical concepts clearly.
* Must be authorized to work in the United States for the duration of the assignment.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23">
      <c r="A123" t="inlineStr">
        <is>
          <t>li-3925557666</t>
        </is>
      </c>
      <c r="B123" t="inlineStr">
        <is>
          <t>Staff Software Engineer</t>
        </is>
      </c>
      <c r="C123" t="inlineStr">
        <is>
          <t>Ironclad</t>
        </is>
      </c>
      <c r="D123" t="inlineStr">
        <is>
          <t>linkedin</t>
        </is>
      </c>
      <c r="E123" t="inlineStr"/>
      <c r="F123" t="inlineStr"/>
      <c r="G123" t="inlineStr">
        <is>
          <t>San Francisco, CA</t>
        </is>
      </c>
      <c r="H123" t="inlineStr"/>
      <c r="I123" t="inlineStr">
        <is>
          <t>Ironclad is the leading AI contracting platform that transforms agreements into assets. Contracts move faster, insights surface instantly, and agents push work forward, all with you in control. Whether you’re buying or selling, Ironclad unifies the entire process on one intelligent platform, providing leaders with the visibility they need to stay one step ahead. That’s why the world’s most transformative organizations, from OpenAI to the World Health Organization and the Associated Press, trust Ironclad to accelerate their business.
 We’re consistently recognized as a leader in the industry: a Leader in the Forrester Wave and Gartner Magic Quadrant for Contract Lifecycle Management, a Fortune Great Place to Work, and one of Fast Company’s Most Innovative Workplaces. Ironclad has also been named to Forbes’ AI 50 and Business Insider’s list of Companies to Bet Your Career On. We’re backed by leading investors including Accel, Y Combinator, Sequoia, BOND, and Franklin Templeton. For more information, visit www.ironcladapp.com or follow us on LinkedIn.
***This is a hybrid role based out of our San Francisco office. Office attendance is required at least twice a week on Tuesdays and Thursdays for collaboration and connection. There may be additional in\-office days for team or company events.***
**Engineering at Ironclad**
 As a Staff Software Engineer at Ironclad, you’ll partner closely with teammates across engineering, product, design, and go\-to\-market to uncover high\-impact problems and design, build, and ship thoughtful solutions. You’ll help shape the platform that empowers legal teams and business partners to do their best work at scale. Our product is bringing a centuries\-old profession into the digital age, and you’ll play a pivotal role in defining what the next generation of contracting looks like.
 We welcome experienced engineers from all backgrounds who bring strong coding fundamentals and a track record of shipping thoughtful, reliable products. You’ll join a highly collaborative, low\-ego team that values learning from one another, listening to different perspectives, and creating an inclusive, supportive environment. If you’re energized by our mission and excited to help shape the product that legal and business teams love, we’d love to hear from you.
**What you'll do:**
* Collaborate closely with product managers, designers, and engineers across the company to scope, design, and ship features and systems that meaningfully impact our customers.
* Partner with quality engineers to co\-create, evolve, and maintain a thoughtful testing strategy that keeps our product fast, reliable, and resilient.
* Lead technical discussions, share context generously, and mentor teammates through clear, kind feedback and coaching.
* Help grow an inclusive, high\-performing team by interviewing and hiring engineers from a wide range of backgrounds and experiences.
* Build in a modern stack that includes TypeScript, ReactJS, Node.js, PostgreSQL, and Kubernetes on Google Cloud Platform—no need to have used all of these before; we’ll support you as you learn.
**What we look for:**
* At least 7\+ years of software experience architecting, building, launching and maintaining complex systems (a formal degree is not required, we are prioritizing industry experience)
* Leadership across teams and a drive towards improving overall technical architecture and achieving company\-wide goals
* Passion for software engineering to build and ship great product
* Hands\-on experience shipping valuable products to production with real user feedback
* A high bar for quality
* Strong cross\-team communication and collaboration skills
* Ironclad’s Values: drive, intent, integrity, and empathy
**Base Salary Range: $215,000 \- $235,000**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**US Full\-Time Employee Benefits at Ironclad:**
* 100% health coverage for employees (medical, dental, and vision), and 75% coverage for dependents with buy\-up plan options available
* Market\-leading leave policies, including gender\-neutral parental leave and compassionate leave
* Family forming support through Maven for you and your partner
* Paid time off \- take the time you need, when you need it
* Monthly stipends for wellbeing, hybrid work, and (if applicable) cell phone use
* Mental health support through Modern Health, including therapy, coaching, and digital tools
* Pre\-tax commuter benefits (US Employees)
* 401(k) plan with Fidelity with employer match (US Employees)
* Regular team events to connect, recharge, and have fun
* And most importantly: the opportunity to help build the company you want to work at
* UK Employee\-specific benefits are included on our UK job postings
 Pursuant to the San Francisco Fair Chance Ordinance, we will consider for employment qualified applicants with arrest and conviction records.
 Compensation Range: $215K \- $235K</t>
        </is>
      </c>
    </row>
    <row r="124">
      <c r="A124" t="inlineStr">
        <is>
          <t>li-4311675370</t>
        </is>
      </c>
      <c r="B124" t="inlineStr">
        <is>
          <t>Software Developer Productivity Engineer | HPC | Experienced Hire</t>
        </is>
      </c>
      <c r="C124" t="inlineStr">
        <is>
          <t>Susquehanna International Group</t>
        </is>
      </c>
      <c r="D124" t="inlineStr">
        <is>
          <t>linkedin</t>
        </is>
      </c>
      <c r="E124" t="inlineStr"/>
      <c r="F124" t="inlineStr"/>
      <c r="G124" t="inlineStr"/>
      <c r="H124" t="inlineStr"/>
      <c r="I124" t="inlineStr">
        <is>
          <t>**Overview**
 Susquehanna is looking for an experienced Software Build Engineer with deep knowledge of C\+\+ build tools and a passion for Developer Productivity. The build tools are used for building trading desk’s low latency, high performance infrastructure and applications.
**If You Join Us, You Might Be**
* Working on design, develop and maintain build tools, utilities and infrastructure utilized to support software development lifecycle.
* Working with our developers and systems engineers to ensure all software components in the stack are easy to build, test, and compose together.
**Major Responsibilities Include**
* Optimize C\+\+ build times using distributed compilation, object caches, careful dependency management, and refactoring of C\+\+ code.
* Ensure compatibility of operating system (Linux and Windows), open source, and in\-house code using package managers (Spack/Conda) and careful attention to ABI compatibility and compile flags.
* Catch bad code with continuous integration (TeamCity), static analysis, profiling/coverage tools, and custom dash boards providing insight into what is broken.
* Package C\+\+, Python, and Python extensions for easy deployment
**What We're Looking For**
* 4\+ years of experience working with build systems with large code base
* Bachelor’s degree (or foreign equivalent) in Computer Science, Engineering, Mathematics or a related technical field and five years of software development experience required
* C/C\+\+ and Python coding experience in a Linux environment required
* Experience with make and CI/CD methodologies required
* Experience with orchestrating automated build and regression tests on distributed build farm
* Experience working with geographically distributed C\+\+/Python software engineers is a plus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If you're a recruiting agency and want to partner with us, please reach out to recruiting@sig.com . Any resume or referral submitted in the absence of a signed agreement will not be eligible for an agency fee.</t>
        </is>
      </c>
    </row>
    <row r="125">
      <c r="A125" t="inlineStr">
        <is>
          <t>li-4121835348</t>
        </is>
      </c>
      <c r="B125" t="inlineStr">
        <is>
          <t>Software Engineer</t>
        </is>
      </c>
      <c r="C125" t="inlineStr">
        <is>
          <t>UICGS / Bowhead Family of Companies</t>
        </is>
      </c>
      <c r="D125" t="inlineStr">
        <is>
          <t>linkedin</t>
        </is>
      </c>
      <c r="E125" t="inlineStr"/>
      <c r="F125" t="inlineStr"/>
      <c r="G125" t="inlineStr">
        <is>
          <t>Charleston, SC</t>
        </is>
      </c>
      <c r="H125" t="inlineStr"/>
      <c r="I125" t="inlineStr">
        <is>
          <t>SOFTWARE ENGINEER (BSAD)
 Bowhead seeks a Software Engineer to join our team in supporting the upcoming Navy contract in Charleston, SC.
**Responsibilities**
 Job duties include but are not limited to:
* Provide software development, integration, modification, production and maintenance of signal processing models
* Work closely across software engineers to develop and test rapid prototype systems using an in a rapid prototyping environment
* Support and develop test procedures to test system functionality and generate software troubleshoot reports
* Prepare documentation and support configuration management guidelines
* Other duties as assigned
**Qualifications**
* Ten (10\) years with Masters or fourteen (14\) years with Bachelor’s degree of professional experience with research, design, and development of computer and network software or specialized utility programs which may include database maintenance within an application area.
* Individual shall have experience applying programming concepts in a professional or academic setting and notable experience with applying modern software development methodologies (e.g. agile, DEVOPS/DEVSECOPS) in a professional or academic setting.
* Proficient in the use of personal computers with the ability to use MS Word, Excel and Outlook.
* Proficiency in the use of on\-line government property databases is preferred.
 Physical Demands:
* Must be able to lift up to 20 pounds
* Must be able to stand and walk for prolonged amounts of time
* Must be able to twist, bend and squat periodically
 SECURITY CLEARANCE REQUIREMENTS: Must currently hold a security clearance at the Top Secret/SCI level. US Citizenship is a requirement for Top Secret/SCI clearance at this location.</t>
        </is>
      </c>
    </row>
    <row r="126">
      <c r="A126" t="inlineStr">
        <is>
          <t>li-4343249478</t>
        </is>
      </c>
      <c r="B126" t="inlineStr">
        <is>
          <t>Sr. Equipment Software Engineer - Manufacturing</t>
        </is>
      </c>
      <c r="C126" t="inlineStr">
        <is>
          <t>Intuitive</t>
        </is>
      </c>
      <c r="D126" t="inlineStr">
        <is>
          <t>linkedin</t>
        </is>
      </c>
      <c r="E126" t="inlineStr"/>
      <c r="F126" t="inlineStr"/>
      <c r="G126" t="inlineStr">
        <is>
          <t>Sunnyvale, CA</t>
        </is>
      </c>
      <c r="H126" t="inlineStr"/>
      <c r="I126"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**Primary Function of Position**
 The engineer in this position will play a key role on the Manufacturing Software Engineering team to enable the manufacture of new surgical robotic instruments and accessories. This engineer will develop the software and algorithms that assure each instrument’s kinematic performance and safety. The position will require close collaboration with product development teams, systems analysts, electrical engineers, mechanical engineers, manufacturing engineers, and quality engineers to build a coherent diagnostic strategy and develop software to implement the same.
**Essential Job Duties**
* Architect, design and develop software systems that control machines to streamline manufacturing process
* Builds and maintain software infrastructures that enable value extraction from the data generated
* Understand each new product’s operation and control, and develop the means to ensure their integrity in volume production
* Design, document, and qualify software for use in manufacturing new instruments and accessories
* Follow good software development practices
* Work independently to overcome roadblocks with minimum guidance
* Take ownership of manufacturing software and work with cross\-functional teams to drive projects to completion
* Support existing production software
**Qualifications**
**Required Skills and Experience**
* Passionate about technologies and love programming
* Able to map, develop, and test projects from inception to launch
* Exercises judgment in selecting methods, techniques and evaluation criteria for obtaining results
* A track record for planning, executing and delivering on projects
* Motivated to continually improve best practices
* Adaptable to dynamic requirements
* Enjoy the thrill of tackling large complex problems
* Good communication and can drive to resolution within constraints
* Excellent ability to communicate complex concepts to engineers in different functional areas
* Strong programming skill and experience (C\#/python is a plus)
* Solid understand of OOA/OOD/OOP/Design Patterns
* Detail oriented team player
* Resourceful problem\-solving machine
* Foster strong sense of team with peers through solicitation of feedback and constructive contribution to review sessions
* Demonstrated technical leadership
**Required Education And Training**
* Bachelor’s or Master’s in Engineering (Software Engineering or Computer Science preferred)
* 8\+ years of software development experience (higher degree can offset years of experience)
**Working Conditions**
* Able to work with computers and equipment over extended periods.
**Preferred Skills And Experience**
* Familiarity with web technologies like Restful API, Web services, HTML, CSS, Angular JS is a plus
* Familiarity with databases (SQL, No\-SQL, etc …)
* Experience developing robotic or electro\-mechanical systems, including control systems
* Strong analytical, time management, interpersonal, listening and communication skills
* Experience in medical device manufacturing or regulated engineering environment
* Strong industry experience in architecture and development of scalable production quality systems
* Fully understand Software Development Life Cycle (SDLC)
* Familiarity with Statistical Analysis, Six Sigma, and/or Statistical Process Control are pluses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$180,400 \- $259,600
**Base Salary Range Region 2:** 
 $153,300 \- $220,700
**Shift:** 
 Day
**Workplace Type:** 
 Onsite \- This job is fully onsite.</t>
        </is>
      </c>
    </row>
    <row r="127">
      <c r="A127" t="inlineStr">
        <is>
          <t>li-4323770473</t>
        </is>
      </c>
      <c r="B127" t="inlineStr">
        <is>
          <t>Android Software Engineer, Ad Formats</t>
        </is>
      </c>
      <c r="C127" t="inlineStr">
        <is>
          <t>Reddit, Inc.</t>
        </is>
      </c>
      <c r="D127" t="inlineStr">
        <is>
          <t>linkedin</t>
        </is>
      </c>
      <c r="E127" t="inlineStr"/>
      <c r="F127" t="inlineStr"/>
      <c r="G127" t="inlineStr">
        <is>
          <t>Chicago, IL</t>
        </is>
      </c>
      <c r="H127" t="inlineStr"/>
      <c r="I12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The
 **Brand Ad Formats team** 
 drives the development of ad formats that help advertisers maximize reach and brand impact. They focus on high\-visibility, awareness\-driven solutions that create memorable experiences for Reddit users. By delivering guaranteed placements and engaging ad interactions, they support major brand initiatives and help advertisers achieve measurable outcomes. Their work includes evolving existing formats and launching entirely new ones to keep Reddit’s ad offerings fresh and competitive.The team is working on multiple new formats including a fully customizable interactive ad format, and an ad format that uses AI to incorporate User\-Generated Content.
 The Ad Formats team is seeking a skilled
 **Android Engineer** 
 with a product\-focused mindset to join the team.
**Responsibilities**
* Build Ad experiences and create patterns for Reddit’s Android app that enhance our ads’ performance and functionality.
* Collaborate across product, design, and engineering teams to innovate and implement sophisticated solutions for complex challenges.
* Engage in the full development cycle: design, develop, QA, experiment, analyze, and deploy.
**Required Qualifications**
* Proficiency in Android engineering and languages such as Kotlin or Java, with at least 3 years of experience in software development.
* Strong software engineering fundamentals.
* A willingness to tackle the challenges of creating data\-intensive, highly responsive, and fault\-tolerant apps.
* An openness to explore innovative approaches to software development.
 Bonus Points
* Experience working on ad tech.
* Able to work full stack.
**Technologies Used On The Team Include**
* Languages: Kotlin, Java, Go, Python
* Frameworks: Thrift, gRPC
* Datastores: Postgres, DynamoDB, BigQuery
* Tools: Kubernetes, Argo, Docker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28">
      <c r="A128" t="inlineStr">
        <is>
          <t>li-4338448076</t>
        </is>
      </c>
      <c r="B128" t="inlineStr">
        <is>
          <t>Software Engineer, Embedded Linux (IP Networking)</t>
        </is>
      </c>
      <c r="C128" t="inlineStr">
        <is>
          <t>TrellisWare Technologies</t>
        </is>
      </c>
      <c r="D128" t="inlineStr">
        <is>
          <t>linkedin</t>
        </is>
      </c>
      <c r="E128" t="inlineStr"/>
      <c r="F128" t="inlineStr"/>
      <c r="G128" t="inlineStr">
        <is>
          <t>San Diego, CA</t>
        </is>
      </c>
      <c r="H128" t="inlineStr"/>
      <c r="I128" t="inlineStr">
        <is>
          <t>TrellisWare launched in 2000 with an innovative culture striving to push technological boundaries in the area of wireless communications. We are now a worldwide leader in highly advanced algorithms, waveforms, and communications systems that range from small form factor radio products to fully integrated solutions.
 At TrellisWare, we connect passion with purpose and together we make an impact\- on our careers, our company, and the world. And you can too. If you love to innovate and collaborate amid chaos and change, you belong at TrellisWare. Where the opportunity to serve is not a challenge but a gift. Where you’re never going alone.
 **Because there’s too much at stake to go solo.**
 Our Radio Products Team is seeking a hybrid
 **Software Engineer, Embedded Linux (IP Networking).** 
 You would be responsible for working on next generation self\-networking hand\-held radios for domestic and foreign defense forces. A typical day might start with you working in your personal office designing and implementing embedded Linux\-based Layer 3 solutions for the network radio product. It could move into one of our many state\-of\-the\-art labs with your teammates to bring up your design on physical hardware within a mobile wireless network. Enhancing cohesiveness and maintaining team morale is a responsibility of all our team members, as is the ambition for self\-improvement and talent development. Through this dedication to unity and professional advancement, each team member is directly impacting the successful outcome of TrellisWare's deliverables and setting the tone for our core values of delivering excellence, pushing boundaries, and empowering people.
**The Essential Duties And Responsibilities Include** 
* Design, implement, and integrate:
+ Enterprise grade IP layer protocol components for latent link wireless networks.
+ Software for an embedded Linux target (headless applications, servers).
* Generate and present strategic plans for advanced networking functionality.
* Perform feasibility studies, and performance analysis of embedded IP layer networking components.
* Interface with common Linux services and protocols.
* Document and present design alternatives using standard professional practices and corporate defined engineering processes.
* Develop relationships with team members built on trust and respect.
**Education And Work Experience Requirements Are**
* Bachelor's degree in Electrical/Computer Engineering, Computer Science or related field of study required.
* Minimum of seven years' experience with layer 3 IP network design/architecture and five years of embedded Linux software development experience.
* Expertise with C\+\+ and Python, general knowledge of C.
* Experience with Yocto Project or other Linux based build systems preferred.
* Experience with common software and IP network optimization, debugging and troubleshooting.
* Experience with Object\-oriented design, data link layer and device drivers as well as ARM based processors.
**Skills**
 To be considered for this position, you would need to meet, at a minimum, the
 **knowledge, skills, and abilities** 
 listed here:
* Enterprise level IP Network architecture.
* Layer 3 protocol implementation and integration for embedded products.
* Network routing and security protocols.
* Linux subsystems.
* C/C\+\+ and Python.
* Distributed revision control systems and common embedded Linux development tools (i.e. compilers, linkers, and debuggers).
* You can think on your feet \- you are analytical, pay attention to detail and are able to communicate your thought process both written and verbally.
* You are able, and enjoy working independently as well as in a team environment.
* Strong collaborative drive and interpersonal skills.
* Strong initiative, proactive work ethic and prioritization skills.
* Trustable judgement and analytical problem\-solving skills.
* Effective execution and decision making.
* Champion of change and promotes innovation.
* Strong written and verbal communication skills.
 The
 **physical demands** 
 described here represent those that must be met in order to successfully perform the essential functions of this job. Reasonable accommodations may be made to enable those with qualified disabilities.
* Able to frequently sit, stand, walk, use hands to fingers, handle or feel, reach within hands and arm's length, stoop, kneel, and crouch, talk and hear.
* Regularly required to sit for extended periods of time; frequently required to use office equipment such as PC, printer, telephone, etc.
* Able to regularly lift and/or move up to 10 pounds, frequently lift and/or move up to 25 pounds, and occasionally lift and/or move up to 50 pounds.
* Specific vision abilities required by this job include close vision, distance vision, color vision, peripheral vision, depth perception, and ability to adjust focus.
**Additional Requirements Are**
* U.S. Citizenship or Permanent Residency
*Note: Many of TrellisWare's positions require a security clearance or the ability to obtain one. Security clearances may only be granted to U.S. citizens. In addition, applicants who accept a conditional offer of employment may be subject to government security investigation(s) and must meet eligibility requirements for access to classified information.*
**Disclaimer \-** 
 The above statements are not intended to be an exhaustive list of all responsibilities, duties and skills required of personnel so classified. Nothing in the job description restricts the company's right to change, assign, or reassign duties and responsibilities at any time for any reason
 *.*
*TrellisWare Technologies pays competitively according to the market in an individual's geographic location, in addition to their qualifications and experience. The posted range is annually and for individuals located in the San Diego, CA area.*
 San Diego, California Pay Range
 $115,000 \- $185,000 USD
* TrellisWare Technologies, Inc. is an EEO/AA/Disability/Vets Employer.\*
 Check out the Careers page for more information about working at TrellisWare Technologies.</t>
        </is>
      </c>
    </row>
    <row r="129">
      <c r="A129" t="inlineStr">
        <is>
          <t>li-4323474244</t>
        </is>
      </c>
      <c r="B129" t="inlineStr">
        <is>
          <t>Software Engineer Graduate (Data Arch - AI/ML Infrastructure) - 2026 Start (BS/MS)</t>
        </is>
      </c>
      <c r="C129" t="inlineStr">
        <is>
          <t>TikTok</t>
        </is>
      </c>
      <c r="D129" t="inlineStr">
        <is>
          <t>linkedin</t>
        </is>
      </c>
      <c r="E129" t="inlineStr"/>
      <c r="F129" t="inlineStr"/>
      <c r="G129" t="inlineStr">
        <is>
          <t>San Jose, CA</t>
        </is>
      </c>
      <c r="H129" t="inlineStr"/>
      <c r="I129" t="inlineStr">
        <is>
          <t>**Responsibilities**
 Our Recommendation Architecture Team is responsible for building up and optimizing the architecture for our recommendation products to provide the most stable and best experience for our TikTok users. University graduates are important parts to our team with your fresh ideas and creative thoughts.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for a maximum of TWO positions and will be considered for jobs in the order you applied for. The application limit is applicable to TikTok and its affiliates' jobs globally. Applications will be reviewed on a rolling basis \- we encourage you to apply early.
**Responsibilities \- What You'll Do**
* Build and maintain high performance online services for TikTok recommendation system to support various types of products, such as For You Feed, E\-commerce, Social, etc.
* Build extremely efficient and reliable data pipelines for candidates generation, profile generation, training examples generation, realtime online training, etc;
* Build globalized large\-scale recommendation system;
* Design and develop high performance computing frameworks and storage systems.
**Qualifications**
 Minimum Qualifications:
* BS/MS degree (or expected by 2026\) in Computer Science, Machine Learning, Artificial Intelligence, or related fields.
* Research background in ML/AI, with a focus on inference optimization, model acceleration, or efficient ML systems.
* Experience in programming, included but not limited to, the following programming languages: C, C\+\+, Java or Python.
* Problem\-solving skills, self\-driven learning mindset, and effective communication.
 Preferred Qualifications
* Demonstrated ability to translate research into practical system implementations.
* Experience (academic or practical) in areas such as recommendation systems, search, distributed systems, or big data processing.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30">
      <c r="A130" t="inlineStr">
        <is>
          <t>li-4291320057</t>
        </is>
      </c>
      <c r="B130" t="inlineStr">
        <is>
          <t>Treasury Software Developer | Experienced Hire</t>
        </is>
      </c>
      <c r="C130" t="inlineStr">
        <is>
          <t>Susquehanna International Group</t>
        </is>
      </c>
      <c r="D130" t="inlineStr">
        <is>
          <t>linkedin</t>
        </is>
      </c>
      <c r="E130" t="inlineStr"/>
      <c r="F130" t="inlineStr"/>
      <c r="G130" t="inlineStr"/>
      <c r="H130" t="inlineStr"/>
      <c r="I130" t="inlineStr">
        <is>
          <t>**Overview**
 The Financial Reporting and Treasury team is responsible for a platform that provides firm\-wide treasury reporting for senior management on profit \&amp; loss, financing (margin lending, repos, stock loan), capital management, RWA, margin, haircuts, cash movements, currency exposure and regulatory reporting.
 We are looking for a software developer who can help rearchitect the real\-time reporting platform to normalize the data feeds used to produce reports, and to implement far more comprehensive and holistic scenario analysis (what\-if views) to optimize the treasury function for the business.
 You will partner with the business to understand requirements and to continuously iterate on improvements to the reporting platform.
 Ideally, the candidate has experience working directly with the Treasury department of a buy\-side trading firm.
**Susquehanna Engineers Are**
* Able to drive engagement with the business and deliver on projects in a timely fashion.
* Passionate about learning the business and applying technology solutions to the most important projects.
* Full\-stack software development skills (client, services and server\-side tiers).
**What We're Looking For**
* Bachelor's degree in Computer Science, Engineering, Mathematics or related discipline Relevant experience can be substituted for education.
* Five (5\) years of recent hands\-on experience with Python, HTML, SQL (relational databases). Oracle and/or SQL Server are a plus.
* Strong Treasury domain knowledge is required.
* Experience with web\-based GUI development platforms is a major plus.
* Experience with big\-data/data warehouse platforms is also desired, i.e. Hadoop components like HBase, Druid.
* Java and/or VBA also a plus.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If you're a recruiting agency and want to partner with us, please reach out to recruiting@sig.com . Any resume or referral submitted in the absence of a signed agreement will not be eligible for an agency fee.</t>
        </is>
      </c>
    </row>
    <row r="131">
      <c r="A131" t="inlineStr">
        <is>
          <t>li-4373284773</t>
        </is>
      </c>
      <c r="B131" t="inlineStr">
        <is>
          <t>Mobile Software Engineer - Senior</t>
        </is>
      </c>
      <c r="C131" t="inlineStr">
        <is>
          <t>Mercor</t>
        </is>
      </c>
      <c r="D131" t="inlineStr">
        <is>
          <t>linkedin</t>
        </is>
      </c>
      <c r="E131" t="inlineStr"/>
      <c r="F131" t="inlineStr"/>
      <c r="G131" t="inlineStr"/>
      <c r="H131" t="inlineStr"/>
      <c r="I131" t="inlineStr">
        <is>
          <t>**About The Job**
**Mercor** 
 connects elite creative and technical talent with leading AI research labs. Headquartered in San Francisco, our investors include
 **Benchmark** 
 ,
 **General Catalyst** 
 ,
 **Peter Thiel** 
 ,
 **Adam D'Angelo** 
 ,
 **Larry Summers** 
 , and
 **Jack Dorsey** 
 .
**Position:** 
 Client Software Engineer
**Type:** 
**Contract**
**Compensation:** 
**$100–$120/hour**
**Location:** 
**Onsite \- Seattle, open to Hybrid**
**Commitment:** 
**3 days onsite/week**
**Role Responsibilities**
* Design and develop software systems using principles of computer science and mathematical analysis.
* Evaluate and test operating systems\-level software, compilers, and network distribution software.
* Develop and maintain mobile applications for Android or iOS, ensuring high performance and responsiveness.
* Collaborate with teams to troubleshoot and resolve software issues, making system changes as needed.
* Work independently to manage time effectively and deliver high\-quality software solutions.
* Provide mentoring and feedback to support team members' growth and performance.
**Qualifications**
**Must\-Have**
* 2\+ years experience building mobile applications on Android or iOS.
* Experience with multithreading programming and mobile memory management.
* Shipped at least one large\-scale product supporting millions of active users.
* Strong experience in building maintainable and testable code bases, including API design and unit testing.
**Preferred**
* Knowledge of SQL, VisualBasic, and other computer development software.
* Familiarity with the full software development lifecycle from analysis to delivery.
**Compensation \&amp; Legal**
* Hourly contractor
* Pursuant to the California Fair Chance Act, qualified applicants will be considered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32">
      <c r="A132" t="inlineStr">
        <is>
          <t>li-4321530349</t>
        </is>
      </c>
      <c r="B132" t="inlineStr">
        <is>
          <t>Senior Level Full Stack Software Engineer</t>
        </is>
      </c>
      <c r="C132" t="inlineStr">
        <is>
          <t>Energy Job Search</t>
        </is>
      </c>
      <c r="D132" t="inlineStr">
        <is>
          <t>linkedin</t>
        </is>
      </c>
      <c r="E132" t="inlineStr"/>
      <c r="F132" t="inlineStr"/>
      <c r="G132" t="inlineStr">
        <is>
          <t>Houston, TX</t>
        </is>
      </c>
      <c r="H132" t="inlineStr"/>
      <c r="I132" t="inlineStr">
        <is>
          <t>**Title:**
 Senior Level Full Stack Software Engineer
**Belong. Connect. Grow. with KBR!**
 Around here, we define the future.
 We share one goal: to improve the world responsibly as a company of innovators, thinkers, creators, explorers, volunteers, and dreamers.
**Note:** 
 This position is
 **contingent upon contract award, customer approval, and funding availability.**
**Clearance:** 
 Ability to obtain and maintain a government background check
**Citizenship Requirement:** 
 Applicants
 **must be U.S. Citizens or Permanent Residents**
**Preferred location is Sioux Falls, SD**
**Will consider Remote**
**About The Role**
 A senior level full‑stack developer passionate about building user‑centric web apps and map‑based UIs. You thrive in collaborative environments, love solving complex problems, and want your work to make a real‑world impact in science and technology programs.
**You will have:**
* Strong hands‑on experience with React (SPA patterns, hooks, state management) and MapLibre for interactive web mapping.
* Proficiency across JavaScript/TypeScript, HTML/CSS, Python.
* Experience designing and maintaining database‑driven applications (PostgreSQL).
* Ability to build secure, performant, and accessible front ends and robust APIs/services.
* Excellent collaboration, communication, and time‑management skills.
* Bachelor's degree in a software/computing field and 8\+ years of relevant experience.
**The role**
 As a
 **Software Engineer \- Full Stack** 
 , you will design, build, and support advanced web‑based mapping and data visualization tools. You'll work on geospatial applications and data products used across environmental science, natural resource management, and other mission‑driven domains.
**What You'll Do**
* Develop interactive React applications featuring MapLibre maps (vector tiles, layers, sources, styling, controls, and performance tuning).
* Build and maintain full‑stack features using JavaScript/TypeScript, React, HTML/CSS, Python, and XML.
* Implement server‑side services/APIs and integrate with PostgreSQL.
* Apply software engineering best practices across design, testing, documentation, and security.
* Partner with teammates and stakeholders to iterate quickly and deliver high‑quality solutions.
**Preferred Experience**
* MapLibre ecosystem expertise (style JSON, sprite/glyph pipelines, vector/raster tiles, performance profiling); familiarity with Mapbox‑compatible tools.
* Framework experience with MVC frameworks.
* Requirements gathering and design analysis.
* Git‑based workflows and configuration management.
* GIS tools (commercial or open source), spatial ETL, and tile generation.
* Understanding of OGC standards (WMS, WFS, WCS, WPS) and OGC APIs.
* Knowledge of spatial data formats, projections, and reference systems.
**Who We Are \- The Impact We Make**
 At KBR, we are thinkers, creators, explorers, and problem‑solvers. Our teams support missions that protect the planet, advance scientific understanding, and deliver innovation to communities around the world. When you join us, you join a global organization committed to excellence, inclusion, and meaningful impact.
**Ready to make a difference? Apply today.**
 Bring your React and MapLibre expertise to a team that values innovation, collaboration, and purpose. Apply now and follow KBR on LinkedIn to stay informed on news and opportunities.
**Basic Compensation:**
**$118,400\-$177,600**
**The offered rate will be based on contract affordability and the selected candidate's working location, knowledge, skills, and/or experience and in consideration of internal parity.**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33">
      <c r="A133" t="inlineStr">
        <is>
          <t>li-4343393708</t>
        </is>
      </c>
      <c r="B133" t="inlineStr">
        <is>
          <t>Lead Software Engineer - Java, Observability, DevOps</t>
        </is>
      </c>
      <c r="C133" t="inlineStr">
        <is>
          <t>JPMorganChase</t>
        </is>
      </c>
      <c r="D133" t="inlineStr">
        <is>
          <t>linkedin</t>
        </is>
      </c>
      <c r="E133" t="inlineStr"/>
      <c r="F133" t="inlineStr"/>
      <c r="G133" t="inlineStr">
        <is>
          <t>Plano, TX</t>
        </is>
      </c>
      <c r="H133" t="inlineStr"/>
      <c r="I133" t="inlineStr">
        <is>
          <t>**Job Description**
 We have an opportunity to impact your career and provide an adventure where you can push the limits of what's possible.
 As a Lead Software Engineer at JPMorgan Chase within the Consumer and Community Banking technology \- Deposits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Deep proficiency in reliability, scalability, performance, security, enterprise system architecture, toil reduction, and other site reliability best practices with the ability to implement these practices within an application or platform
* Fluency in at least one programming language such as (e.g., Python, Java Spring Boot, .Net, etc.)
* Deep knowledge of software applications and technical processes with emerging depth in one or more technical disciplines
* Proficiency and experience in observability such as white and black box monitoring, SLO alerting, and telemetry collection using tools such as Grafana, Dynatrace, Prometheus, Datadog, Splunk, etc.
* Proficiency in continuous integration and continuous delivery tools (e.g., Jenkins, GitLab, Terraform, etc.)
* Experience with container and container orchestration (e.g., ECS, Kubernetes, Docker, etc.)
* Experience with troubleshooting common networking technologies and issues Ability to identify and solve problems related to complex data structures and algorithms
* Drive to self\-educate and evaluate new technology
**Preferred Qualifications, Capabilities, And Skills**
* Enthusiasm for learning new technologies, with a focus on public cloud platforms like AWS, GCP, or Azure.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34">
      <c r="A134" t="inlineStr">
        <is>
          <t>li-4338550101</t>
        </is>
      </c>
      <c r="B134" t="inlineStr">
        <is>
          <t>Senior Embedded Software Engineer, Amazon Leo Digital RF Systems</t>
        </is>
      </c>
      <c r="C134" t="inlineStr">
        <is>
          <t>Amazon</t>
        </is>
      </c>
      <c r="D134" t="inlineStr">
        <is>
          <t>linkedin</t>
        </is>
      </c>
      <c r="E134" t="inlineStr"/>
      <c r="F134" t="inlineStr"/>
      <c r="G134" t="inlineStr">
        <is>
          <t>Redmond, WA</t>
        </is>
      </c>
      <c r="H134" t="inlineStr"/>
      <c r="I134"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
**Company** 
 \- Amazon Kuiper Manufacturing Enterprises LLC
 Job ID: A3130773</t>
        </is>
      </c>
    </row>
    <row r="135">
      <c r="A135" t="inlineStr">
        <is>
          <t>li-4340769148</t>
        </is>
      </c>
      <c r="B135" t="inlineStr">
        <is>
          <t>Staff Software Engineer - Java, React - Amex Offers &amp; Digital Media</t>
        </is>
      </c>
      <c r="C135" t="inlineStr">
        <is>
          <t>American Express</t>
        </is>
      </c>
      <c r="D135" t="inlineStr">
        <is>
          <t>linkedin</t>
        </is>
      </c>
      <c r="E135" t="inlineStr"/>
      <c r="F135" t="inlineStr"/>
      <c r="G135" t="inlineStr">
        <is>
          <t>New York, NY</t>
        </is>
      </c>
      <c r="H135" t="inlineStr"/>
      <c r="I135"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Here, your voice and ideas matter, your work makes an impact, and together, you will help us define the future of American Express.
**Join Team Amex and let's lead the way together.** 
 The U.S. Consumer Services and Enterprise Digital \&amp; Data Technology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Be part of exciting and innovative initiatives and join a team of creative, curious, and passionate professionals whose mission is to become the future of American Express by staying on the cutting edge of technology and bringing innovation to life! The Brand Experience and Engagement Technology team leads the Event Marketing and AdTech technology strategy and platforms.
 This position works closely with our Digital Advertising business partners and product teams to create, develop and support critical systems and platforms for the American Express products and services that drive current and prospective customer engagement, acquisition and loyalty via a multitude of channels. We are looking for a dynamic, innovative, action\-and\-results oriented leader to lead this fast\-evolving eco system.
 The Staff Engineer will serve as a senior technical leader driving the architecture, design, and evolution of Amex’s Ads platforms. This includes designing distributed, high\-throughput ad\-serving and decisioning components, integrating with third\-party ad platforms and ad servers, and ensuring the platform can scale as Amex grows its Ads business. The role requires a hands\-on technologist with deep distributed\-systems expertise, strong architectural judgment, and the ability to influence cross\-functional engineering teams.
**Key Responsibilities include:** 
* Architecture \&amp; Platform Leadership
* Define and drive architecture for scalable, low\-latency, high\-availability advertising technology platform
* Own high\-level and detailed design for critical ad\-serving, delivery, orchestration, and data\-flow components
* Technical Execution \&amp; Engineering Excellence
* Engage in hands\-on design, prototyping, and solution delivery across distributed systems, data pipelines, and web application layers
* Establish engineering best practices in performance optimization, quality, observability, testing, and CI/CD automation
* Conduct in\-depth design reviews, architecture reviews, and code\-quality governance
**Technology Strategy \&amp; Architecture** 
* Define the technical vision and architecture for the Amex Ads platform \- spanning audience creation, targeting, delivery, optimization, and measurement
* Build high\-scale, low\-latency data systems capable of powering billions of ad decisions daily across Amex’s ecosystem
* Lead architectural design for privacy\-first data processing, real\-time decisioning, and event\-stream analytics
* Evaluate and integrate with external AdTech systems (DSPs, SSPs, CDPs, measurement partners) with a focus on security, reliability, and data integrity
**Collaboration \&amp; Cross\-Functional Leadership** 
* Partner closely with Ads product teams, business partners, data engineering, and platform engineering to translate product goals into scalable technical solutions
* Provide technical mentorship and thought leadership across engineering teams, helping unblock complex challenges and elevating overall engineering standards
* Represent Ads Technology in enterprise\-wide architecture forums and cross\-team design discussions
* System Ownership
* Ensure platform resilience, performance, and reliability for high\-throughput ad\-serving and targeting workloads
* Oversee ongoing health, quality, and optimization of services across the portfolio
**Qualifications** 
* Bachelor’s degree in Computer Science or related field; advanced degree preferred
* 12\+ years of hands\-on engineering experience, including deep involvement in architecting, building, and scaling complex distributed systems
* Direct experience in AdTech or Retail Media Networks, including one or more of the following:
* Building or integrating ad servers (display, native, email, sponsored search)
* Audience targeting, segmentation, and identity resolution
* Integrations with DSPs, SSPs, CDPs, or third\-party ad\-tech platforms
* Experience building large\-scale distributed systems using Kafka, cloud\-native services, microservices, and modern event\-driven architectures
* Expertise across modern full\-stack and backend technologies, such as JavaScript/TypeScript, React, Node.js, Java/Spring Boot, and cloud\-native patterns
* Proven ability to design platforms that meet stringent performance, latency, and reliability requirements common to advertising workloads
* Demonstrated ability to mentor engineers, influence architectural outcomes, and drive engineering quality at scale
* Demonstrated curiosity and learning agility, with a bias for rapid prototyping and continuous improvement
* Strong communication and collaboration skills with a track record of influencing across teams and technical functions
 Salary Range: $144,250\.00 to $256,250\.00 annually \+ bonus \+ equity (if applicable)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136">
      <c r="A136" t="inlineStr">
        <is>
          <t>li-4323790083</t>
        </is>
      </c>
      <c r="B136" t="inlineStr">
        <is>
          <t>Staff Software Engineer, Android</t>
        </is>
      </c>
      <c r="C136" t="inlineStr">
        <is>
          <t>Harvey</t>
        </is>
      </c>
      <c r="D136" t="inlineStr">
        <is>
          <t>linkedin</t>
        </is>
      </c>
      <c r="E136" t="inlineStr"/>
      <c r="F136" t="inlineStr"/>
      <c r="G136" t="inlineStr">
        <is>
          <t>San Francisco, CA</t>
        </is>
      </c>
      <c r="H136" t="inlineStr"/>
      <c r="I136"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an Android Engineer, you'll be a technical leader on Harvey’s mobile engineering team, building enterprise\-grade AI experiences for legal professionals on Android devices. You'll architect and implement complex mobile features, mentor other engineers, and drive technical decisions that shape Harvey's mobile platform strategy.
 This role requires deep technical expertise across Android development, AI integration, and enterprise software. You'll work across multiple product lines, collaborating with our AI research, product, and backend engineering teams. You'll be part of an in\-person team in San Francisco, solving complex problems at the intersection of AI, mobile development, and professional services.
**What You’ll Do**
* Design enterprise\-scale Android applications using Kotlin and Jetpack Compose.
* Integrate real\-time AI interactions and streaming capabilities.
* Build voice input and audio processing features for on\-the\-go professional workflows.
* Implement document handling and camera integration capabilities.
* Develop secure document viewing and annotation systems.
* Establish enterprise\-grade security and authentication protocols.
* Create scalable collaboration features with advanced permission systems.
**What You Have**
* 5\+ YoE (post\-BS/MS) in a product\-focused Android engineering role.
* Proven track record shipping fast\-growing products using Kotlin and Jetpack Compose.
* Experience building Android applications that support multiple product lines or complex enterprise workflows.
* Strong CS fundamentals and programming skills.
* Demonstrated attention to detail in building intuitive and polished mobile experiences.
**Compensation**
 $238,000 \- $290,000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37">
      <c r="A137" t="inlineStr">
        <is>
          <t>li-4338228087</t>
        </is>
      </c>
      <c r="B137" t="inlineStr">
        <is>
          <t>Senior Software Engineer, Kubernetes</t>
        </is>
      </c>
      <c r="C137" t="inlineStr">
        <is>
          <t>Anduril Industries</t>
        </is>
      </c>
      <c r="D137" t="inlineStr">
        <is>
          <t>linkedin</t>
        </is>
      </c>
      <c r="E137" t="inlineStr"/>
      <c r="F137" t="inlineStr"/>
      <c r="G137" t="inlineStr">
        <is>
          <t>Reston, VA</t>
        </is>
      </c>
      <c r="H137" t="inlineStr"/>
      <c r="I13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**About The Job**
 Anduril is seeking a senior engineer with Kubernetes, infrastructure\-as\-code, and cloud experience to build and maintain resilient infrastructure supporting deployment of mission\-critical software across multi\-cloud and on\-premises environments.
**What You'll Do**
* Design, deploy, and operate mission\-critical Kubernetes clusters that are highly available, resilient, and scalable, without relying on cloud\-managed services
* Develop and maintain tooling infrastructure to build and support deployments to the cloud and on\-prem
* Troubleshoot and remediate complex issues in Linux\-based infrastructure
* Collaborate with software development teams to optimize containerized application deployments (CI/CD)
* Monitor for and remediate security weaknesses and baseline regressions across infrastructure
* Serve as a subject matter expert for teams across Anduril looking to leverage Kubernetes and cloud infrastructure
**Required Qualifications**
* Strong engineering background from industry or school with 3 \- 7\+ years of experience with Go, Python, Java, or other common object\-oriented languages
* Strong Kubernetes is required
+ Extensive experience with SRE principles and practices in Kubernetes environments
+ Extensive experience across one or more managed Kubernetes offerings (Rancher, Anthos, etc.)
+ Experience with hardening and monitoring Kubernetes clusters
* Deep experience with architecting and securing cloud infrastructure in deployed/production environment
+ Highly proficient in multiple modern cloud providers (preferably GCP or AWS)
+ Experience with Infrastructure\-as\-Code (preferably Terraform)
* Ability to decompose abstract program goals into achievable technical objectives and strategies for measuring progress
* Experience leading and mentoring teams of engineers and working cross\-functionally across partner teams
* Possess a desire to work on critical mission software that has a real\-world impact
* Currently possesses and is able to maintain an active U.S. Top Secret SCI security clearance
**Preferred Qualifications**
* Working experience in DevOps, Security Engineering, and/or SRE roles
* AWS certifications
* Kubernetes certifications
* Willingness to travel up to 10%
 US Salary Range
 $166,000—$253,000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38">
      <c r="A138" t="inlineStr">
        <is>
          <t>li-4372333251</t>
        </is>
      </c>
      <c r="B138" t="inlineStr">
        <is>
          <t>Software Engineer - Level 2</t>
        </is>
      </c>
      <c r="C138" t="inlineStr">
        <is>
          <t>Jobs via Dice</t>
        </is>
      </c>
      <c r="D138" t="inlineStr">
        <is>
          <t>linkedin</t>
        </is>
      </c>
      <c r="E138" t="inlineStr"/>
      <c r="F138" t="inlineStr"/>
      <c r="G138" t="inlineStr">
        <is>
          <t>Colorado Springs, CO</t>
        </is>
      </c>
      <c r="H138" t="inlineStr"/>
      <c r="I138"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Generating and simulating operational level plans to explore the art of the possible, how we could defend the ultimate high ground in a future space war
 Dynamically optimizing both terrestrial and space\-based sensors to provide comprehensive space domain awareness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Software development experience with object\-oriented programming languages such as Java and JavaScript
 Experience developing software with CI/CD build tools (GitLab, Jenkins)
 Experience working on large\-scale software projects with multiple teams and stakeholders
 Familiarity with software test best practices, including unit test, integration test, and end\-to\-end test
 ship Required: No clearance required to start but must be able to obtain and maintain a TS/SCI security clearance
**Desired Skills**
 Experience with SpringBoot or Quarkus for backend Java development
 Experience with LIT for JS front\-end
 Experience with Node.js/Express for hosting UIs
 Experience with Python
 Experience with Helm charts for IaC
 Experience with software version control tools, such as GIT
 Ability to work effectively in a fast\-paced and rapidly changing environment
 Strong time management skills that enable on\-time project delivery
 Familiarity with the Space Domain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39">
      <c r="A139" t="inlineStr">
        <is>
          <t>li-4347221349</t>
        </is>
      </c>
      <c r="B139" t="inlineStr">
        <is>
          <t>Senior Software Engineer - Artifact Management</t>
        </is>
      </c>
      <c r="C139" t="inlineStr">
        <is>
          <t>CoreWeave</t>
        </is>
      </c>
      <c r="D139" t="inlineStr">
        <is>
          <t>linkedin</t>
        </is>
      </c>
      <c r="E139" t="inlineStr"/>
      <c r="F139" t="inlineStr"/>
      <c r="G139" t="inlineStr">
        <is>
          <t>New York, NY</t>
        </is>
      </c>
      <c r="H139" t="inlineStr"/>
      <c r="I13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Artifact Management team is building and operating a large\-scale distributed system that stores, serves, and updates artifacts at massive scale. We’re looking for engineers passionate about designing high\-performance, storage\-efficient systems that power critical development workflows.
 As an engineer on the team, you’ll build a platform that enables developers to securely and seamlessly publish their artifacts.
**In this role, you will**
* Design and implement distributed storage and caching solutions for artifacts
* Evaluate and explore third\-party solutions that could accelerate our vision
* Develop APIs and services for artifact publishing, retrieval, and version management
* Optimize performance, reliability, and cost efficiency across multi\-region deployments
* Work closely with build, release, and infrastructure teams to ensure seamless integration into developer workflows
* Drive observability, automation, and resilience in a high\-traffic production environment by creating dashboards, metrics and alerts.
* Partner with cross\-functional teams to implement best practices and drive migration from legacy systems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Bachelor’s degree in Computer Science, Software Engineering, or a related field.
* 4\+ years of experience in a software or infrastructure engineering industry
* Strong experience operating services in production and at scale.
* Deep experience with Go as your primary programming language.
* Experience with infrastructure\-as\-code, CI/CD systems (e.g., GitHub Actions, ArgoCD), and containerization (e.g., Docker, Kubernetes).
* Understanding of system design, scalability and efficiency.
* Extensive experience with Artifactory, Cloudsmith is a plus.
* Passionate about improving developer experience and enabling other engineers to do their best work.
**Preferred Qualifications**
* Experience integrating or enabling tools that leverage LLMs or code intelligence for developers (e.g., GitHub Copilot, Cody, custom LLM integrations)
* Experience with KubeVirt, KataContainers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40">
      <c r="A140" t="inlineStr">
        <is>
          <t>li-4338480458</t>
        </is>
      </c>
      <c r="B140" t="inlineStr">
        <is>
          <t>Senior Embedded Software Engineer, Amazon Leo Digital RF Systems</t>
        </is>
      </c>
      <c r="C140" t="inlineStr">
        <is>
          <t>Amazon</t>
        </is>
      </c>
      <c r="D140" t="inlineStr">
        <is>
          <t>linkedin</t>
        </is>
      </c>
      <c r="E140" t="inlineStr"/>
      <c r="F140" t="inlineStr"/>
      <c r="G140" t="inlineStr">
        <is>
          <t>San Diego, CA</t>
        </is>
      </c>
      <c r="H140" t="inlineStr"/>
      <c r="I140"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
**Company** 
 \- Amazon Kuiper Manufacturing Enterprises LLC
 Job ID: A3130773</t>
        </is>
      </c>
    </row>
    <row r="141">
      <c r="A141" t="inlineStr">
        <is>
          <t>li-4373291528</t>
        </is>
      </c>
      <c r="B141" t="inlineStr">
        <is>
          <t>Software Engineer</t>
        </is>
      </c>
      <c r="C141" t="inlineStr">
        <is>
          <t>Haystack</t>
        </is>
      </c>
      <c r="D141" t="inlineStr">
        <is>
          <t>linkedin</t>
        </is>
      </c>
      <c r="E141" t="inlineStr"/>
      <c r="F141" t="inlineStr"/>
      <c r="G141" t="inlineStr"/>
      <c r="H141" t="inlineStr"/>
      <c r="I141" t="inlineStr">
        <is>
          <t>**Project Software Engineer \| Remote \| $110,500 \- $149,500**
 We're working with Oceaneering on this exciting opportunity.
 Join Oceaneering, a global leader in engineered solutions, and apply your software expertise to cutting\-edge underwater systems for the US Navy and Department of Defense. This is your chance to lead critical software efforts, from concept to deployment, utilizing technologies like REACT, C\+\+, and microservices architectures.
**The Role**
* Lead and contribute to impactful software efforts throughout the entire lifecycle for unique underwater defense systems.
* Design and maintain robust software architectures, making key decisions for intricate system needs.
* Collaborate effectively with engineering leads, program managers, and external customers.
* Drive the creation, maintenance, and acceptance of project deliverables, including requirements management, software documentation, and rigorous testing.
* Contribute to innovative trade studies for hardware components and support factory, offsite, and offshore software testing.
**What You'll Need**
* BS in Computer Science, Computer Engineering, or related field with 5\+ years of practical software engineering experience.
* Proficiency in REACT, C, C\+\+, or C\# programming languages.
* Strong understanding and application of the software development lifecycle.
* Experience with microservices, containerization, and orchestration, or UI/UX design is a plus.
* Ability to obtain and maintain a US Government Department of Defense Security Clearance and US Citizenship.
**What's On Offer**
* Competitive annualized pay rate of $110,500 \- $149,500\.
* Comprehensive benefits package including Health \&amp; Wellness, Retirement Savings, Paid Time Off, and Tuition Reimbursement.
* Opportunity to work on one\-of\-a\-kind projects with significant impact on national defense.
* A hybrid work schedule with flexibility, offering a blend of remote and on\-site collaboration.
**Apply via Haystack today!**</t>
        </is>
      </c>
    </row>
    <row r="142">
      <c r="A142" t="inlineStr">
        <is>
          <t>li-4331478384</t>
        </is>
      </c>
      <c r="B142" t="inlineStr">
        <is>
          <t>Principal Software Engineer</t>
        </is>
      </c>
      <c r="C142" t="inlineStr">
        <is>
          <t>Elior</t>
        </is>
      </c>
      <c r="D142" t="inlineStr">
        <is>
          <t>linkedin</t>
        </is>
      </c>
      <c r="E142" t="inlineStr"/>
      <c r="F142" t="inlineStr"/>
      <c r="G142" t="inlineStr">
        <is>
          <t>Houston, TX</t>
        </is>
      </c>
      <c r="H142" t="inlineStr"/>
      <c r="I142" t="inlineStr">
        <is>
          <t>**Job Reference Number:** 
 35069
**Employment Type:** 
 Full\-Time
 **,** 
 Hybrid
 **Segment:** 
 Elior Corporate
**Brand:** 
 ENA Corporate
**State:** 
 Texas (US\-TX)
**Principal Software Engineer**
**Build the future of food service technology — Lead, code, and innovate.**
 We’re seeking an Principal Software Engineer to design, build, and modernize critical in\-house applications for a leading food service operations provider. This role blends hands\-on software development with technical leadership, owning application architecture while actively coding, setting development standards, and mentoring engineers to deliver scalable, secure middle\-office and B2B solutions that support business operations.
 You’ll work on high\-impact, in\-house digital applications, including:
* Front\-office (B2C and B2B) applications
* Middle\-office systems that optimize operations and drive efficiency across the business
 This role is open to candidates based in
 **Houston, TX; Pittsburgh, PA; or Minneapolis, MN.**
**What You’ll Do:**
**Strategy, Governance \&amp; Process**
* Define and implement governance frameworks, standards, and best practices for the development, deployment, and maintenance of custom applications.
* Establish SDLC (Software Development Life Cycle) and change management processes to ensure consistency and quality across projects.
* Partner with IT leadership to align custom application development with enterprise architecture, security, and compliance standards.
* Evaluate and implement tools and methodologies to improve code quality, version control, and CI/CD pipelines.
* Create and maintain documentation for technical standards, development guidelines, and application portfolios.
**Collaboration \&amp; Stakeholder Engagement**
* Work closely with business stakeholders to translate functional requirements into technical solutions.
* Collaborate with infrastructure, architecture, and security teams to ensure scalable, secure, and performant solutions.
* Serve as the technical liaison between business units and IT, bridging the gap between strategic needs and technical implementation.
* Communicate technical concepts clearly to non\-technical stakeholders, fostering alignment and understanding.
**Continuous Improvement \&amp; Innovation**
* Identify opportunities to modernize legacy systems and improve overall application performance and maintainability.
* Research and recommend emerging technologies that can enhance development efficiency and user experience.
* Champion a DevOps culture and advocate for automation, monitoring, and proactive application management.
**Technical Leadership \&amp; Hands\-On Development**
* Lead design and development of custom web and enterprise applications, including both front\-end and back\-end components.
* Write clean, maintainable, and efficient code using modern technologies and frameworks (e.g., specific tech skills we are looking for)
* Provide technical mentorship and code reviews to other developers, promoting continuous learning and adherence to standards.
* Drive solution design sessions, reviewing architecture and ensuring that implementations meet design and performance requirements.
* Lead troubleshooting and root cause analysis for complex system issues.
**What We’re Looking For:**
* Proven experience designing scalable, high\-performance applications.
* Strong skills in C\#, JavaScript/TypeScript, Angular, and Entity Framework.
* Experience with Clean Architecture, Domain\-Driven Design (DDD), Microservices, and development best practices.
* Cloud development experience (preferably Microsoft Azure) and DevOps (CI/CD).
* Solid understanding of databases (SQL Server) and object\-oriented programming.
* Ability to balance hands\-on coding with leadership and mentoring responsibilities.
* Strong problem\-solving, analytical, and communication skills.
**Qualifications:**
* Bachelor’s degree in Computer Science, Software Engineering, or related field.
* 5\+ years of professional .NET development experience.
* Experience with Azure services (AKS, Functions, App Services, Data Lake, Data Factory, Logic Apps).
* Familiarity with service\-oriented architectures and containerization.
* Front\-end development experience with Angular.
* AI/ML experience is a plus but not required.
**Why You’ll Love This Role:**
* Lead and build: Own architecture decisions while staying hands\-on with coding.
* Impact food service delivery: Develop critical middle\-office and B2B applications that enhance operational efficiency and customer experience.
* Multiple locations: Join a team in Houston, Pittsburgh, or Minneapolis.
* Innovation\-first culture: Collaborate with talented engineers on cutting\-edge solutions.
* Mentor and grow: Develop your team while advancing your own technical leadership skills.
**Preferred Certifications:**
* Microsoft Certified: Azure Developer Associate
* Certified Software Development Professional
* Certified Solutions Architect
* Certified ScrumMaster (CSM)
**✨ Ready to lead, code, and drive innovation at the forefront of food service delivery? Apply today!**
**This position does not offer visa sponsorship. Corp\-to\-Corp arrangements will not be considered.**
**About Elior North America:**
 Elior North America is an equal opportunity employer. Qualified applicants will receive consideration for employment without regard to race, color, religion, sex, national origin, sexual orientation, gender identity, disability or protected veteran status. 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row>
    <row r="143">
      <c r="A143" t="inlineStr">
        <is>
          <t>li-4319935579</t>
        </is>
      </c>
      <c r="B143" t="inlineStr">
        <is>
          <t>Software Engineer, Applied AI</t>
        </is>
      </c>
      <c r="C143" t="inlineStr">
        <is>
          <t>CHAOS Industries</t>
        </is>
      </c>
      <c r="D143" t="inlineStr">
        <is>
          <t>linkedin</t>
        </is>
      </c>
      <c r="E143" t="inlineStr"/>
      <c r="F143" t="inlineStr"/>
      <c r="G143" t="inlineStr">
        <is>
          <t>San Francisco, CA</t>
        </is>
      </c>
      <c r="H143" t="inlineStr"/>
      <c r="I143" t="inlineStr">
        <is>
          <t>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 We are seeking a highly motivated and mission\-oriented Applied AI Engineer to drive the development, integration, and deployment of AI/ML\-powered capabilities across CHAOS’ product lines.
* This individual will work in a high integrity environment with very high\-caliber team of researchers and engineers to ensure advanced AI research translates into tangible, real\-world shippable software especially in defense applications.
* You must bring a strong record of academic excellence as well as creative use of AI and Machine Learning in actual products.
* Any exposure to a highly regulated or mission\-driven sector like aerospace, defense, or critical infrastructure is a big plus.
* You will be given a lot of independence, but you need to be self\-driven and willing to learn at a very rapid pace.
* Must be willing to work with disparate teams, customers and stakeholders of various type to learn the requirements, rapidly develop prototypes and bring them eventually to production with low oversight
**Responsibilities**
* Learn: Quickly come up to speed browsing related code and documentation that already exists. Must be motivated to learn unfamiliar subjects and drive the learning needs.
* Productization: Ensure our AI models are robust, interpretable, testable, and performant under real\-world conditions—especially in adversarial, low\-power, gps\-denied or edge\-deployed environments.
* Time Management: Manage your time to split across meetings and execution but still be able to devote time for learning.
* If this role will require travel, list the percentage or frequency: 10\-20% (mostly domestic).
* Work on\-site a minimum of 2 days per week out of our San Francisco office, with 2\-4 days per week preferred.
**Minimum Requirements**
* BS/MS \+ 2\+ years of experience in professional software development
* Experience with Python, model serving infrastructure, model lifecycle management
* Experience building, testing, and supporting major systems in production
**Preferred Requirements**
* Committer to one or more opensource projects.
* Experience with AI Agents building using Lang chain and Lang graph.
* Experience with Analog or Digital RF signal processing.
* Any exposure to Drone or similar moving targets tracking.
**Why CHAOS?**
* Health Benefits: Your medical, dental and vision benefits will be 100% paid for by the company
* Additional benefits: life, FSA, HSA, 401k (\+ Company match), and more
* Our Perks: free daily lunch, ‘No meeting Fridays’, unlimited PTO, casual dress code
* Compensation Components: competitive base salaries, generous pre\-IPO stock option grants, relocation assistance \+ (coming soon!) annual bonuses
* Company Size: 150 employees and counting!
*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April 2025 we have raised $490M (including a $275M Series C at a $2B valuation) from some of the most prominent VC funds and investors including Accel, NEA, 8VC, and Valar.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$150,000 \- $170,000***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144">
      <c r="A144" t="inlineStr">
        <is>
          <t>li-4333129648</t>
        </is>
      </c>
      <c r="B144" t="inlineStr">
        <is>
          <t>Software Engineer, AI Agents</t>
        </is>
      </c>
      <c r="C144" t="inlineStr">
        <is>
          <t>Hightouch</t>
        </is>
      </c>
      <c r="D144" t="inlineStr">
        <is>
          <t>linkedin</t>
        </is>
      </c>
      <c r="E144" t="inlineStr"/>
      <c r="F144" t="inlineStr"/>
      <c r="G144" t="inlineStr"/>
      <c r="H144" t="inlineStr"/>
      <c r="I144"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looking to add a
 **product\-minded AI engineer** 
 to the team. The ideal candidate will have strong customer and product thinking, and the ability to be highly creative with LLM applications. We are looking for someone who can both rapidly prototype and architect production LLM pipelines.
 Example workstreams include:
* Quickly iterating and developing proofs of concept (POCs) to explore the maximum potential of integrating AI into data and marketing workflows
* Making key decisions about the choice of AI architecture and frameworks
* Building production data agents that can make use of a company’s data to seamlessly answer analytics and data science questions about their users and marketing efforts
* Developing a deep understanding of user workflows to create seamless AI\-assisted user experiences
 We're seeking talented, intellectually curious, and motivated individuals interested in exploring the forefront of AI. While no prior experience with LLMs and AI is required, strong technical skills, particularly in backend architecture, and product intuition are essential for understanding and executing these projects from start to finish.
 This is a senior role, but we focus on impact and potential for growth more than years of experience. The salary range for this position is $180,000 \- $320,000 USD per year, which is location independent in accordance with our remote\-first policy.
 Interview Process
 Our interview process focuses on evaluating fit for the most important dimensions of the role: product sense and creativity with LLMs, ability to architect backend systems, and alignment with Hightouch’s values. Notably, we don’t do any programming interviews as we believe they are low signal to noise and aren’t a good evaluation mechanism.
* Recruiter Screen \[30m]: Introductory call with our recruiting team to get to know each other and see if the role could be a good mutual fit.
* System Design Screen \[60m]: Designing a data processing feature end\-to\-end.
* Hiring Manager Interview \[30m]: Chat with hiring manager about past experiences and future operating preferences to assess fit on company values and operating principles.
* Agent Building Systems Interview \[75m]: Work with the interviewer to architect an agentic system at a conceptual level. The problem will be at a pretty high level \- and have both product and customer requirements as well as technical.
 We have limited inbound applications to one application per candidate. You will be auto\-rejected if you apply to multiple roles. Please only apply to the position you are most qualified for.</t>
        </is>
      </c>
    </row>
    <row r="145">
      <c r="A145" t="inlineStr">
        <is>
          <t>li-4373500480</t>
        </is>
      </c>
      <c r="B145" t="inlineStr">
        <is>
          <t>Senior Software Engineer - Applications (NYC)</t>
        </is>
      </c>
      <c r="C145" t="inlineStr">
        <is>
          <t>LinkedIn</t>
        </is>
      </c>
      <c r="D145" t="inlineStr">
        <is>
          <t>linkedin</t>
        </is>
      </c>
      <c r="E145" t="inlineStr"/>
      <c r="F145" t="inlineStr"/>
      <c r="G145" t="inlineStr">
        <is>
          <t>New York, NY</t>
        </is>
      </c>
      <c r="H145" t="inlineStr"/>
      <c r="I14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scale distributed applications, make architectural trade\-offs applying synchronous and asynchronous design patterns, write code, and deliver with speediness and quality.
* You will develop multi\-tier scalable, high\-volume performing, and reliable user\-centric applications that operate 24x7\.
* You will produce high quality software that is unit tested, code reviewed, and checked in regularly for continuous integration.
* You will provide technical leadership, driving and performing best engineering practices to initiate, plan, and execute large\-scale, cross functional, and company\-wide critical programs. Identify, leverage, and successfully evangelize opportunities to improve engineering productivity.
**Qualifications**
 Basic Qualifications
* BS (or higher, e.g., MS, or PhD) in Computer Science or related technical field involving coding (e.g., physics or mathematics), or equivalent technical experience.
* 2\+ years of industry experience.
**Preferred Qualifications**
* BS and 5\+ years of relevant work experience, MS and 4\+ years of relevant work experience, or PhD and 2\+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API Development
* Advanced Programming Skills
* Database Management
* Performance Optimization and Scalability
*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6">
      <c r="A146" t="inlineStr">
        <is>
          <t>li-4373295963</t>
        </is>
      </c>
      <c r="B146" t="inlineStr">
        <is>
          <t>Frontend Engineer</t>
        </is>
      </c>
      <c r="C146" t="inlineStr">
        <is>
          <t>GiveCard</t>
        </is>
      </c>
      <c r="D146" t="inlineStr">
        <is>
          <t>linkedin</t>
        </is>
      </c>
      <c r="E146" t="inlineStr"/>
      <c r="F146" t="inlineStr"/>
      <c r="G146" t="inlineStr"/>
      <c r="H146" t="inlineStr"/>
      <c r="I146" t="inlineStr">
        <is>
          <t>**About Us**
 GiveCard builds infrastructure to magically move money to people who need it. Last year, 1 in every 300 households in the United States received financial assistance through GiveCard — including families who lost their homes in disasters, state benefit recipients, and survivors of domestic violence.
 We’re a deeply caring, small team of Givetopians who believe that the smartest people in the world should dedicate their time to manufacturing
 *good magic* 
 . Our culture and philosophy put morality, vocation, and fulfillment at the forefront — and we have a very, very fun time doing it.
**The Role**
 We’re hiring a Frontend Engineer to help build and improve the interfaces that power GiveCard — both for the organizations distributing funds and for the people receiving them.
 This is a hands\-on individual contributor role for someone with a few years of professional frontend experience who’s excited to ship real products, learn quickly, and see their work directly impact real people. You’ll work closely with product, design, and backend engineering to build accessible, reliable, and delightful user experiences across our admin platform and cardholder\-facing web applications. We value
 **shipping meaningful improvements quickly** 
 , learning from real user feedback, and iterating — you’ll see your work in production early and often.
 We’re especially excited about candidates who care deeply about usability, accessibility, and building technology for people who are often overlooked.
 This role is Remote, but you're welcome to work from our offices in New York and San Francisco whenever convenient.
**How You’ll Impact The Company**
* Build and ship frontend features used daily by enterprises, nonprofits, governments, and individuals receiving financial assistance through GiveCard.
* Work across multiple surfaces, including customer\-facing admin tools and cardholder web applications, helping ensure a consistent and high\-quality user experience.
* Ship iteratively and pragmatically, balancing speed and quality while continuously improving the product through real\-world usage and feedback.
* Collaborate closely with designers and backend engineers to turn product ideas into polished, production\-ready features.
* Contribute to and improve our frontend codebase by writing clean, maintainable TypeScript and Vue code.
* Help uphold high standards for accessibility, usability, and performance, ensuring our products work well for all users.
* Learn GiveCard’s product and technology stack quickly and take increasing ownership of frontend areas over time.
**Requirements**
* 2–3 years of professional experience building frontend applications Experience working with Vue.js and TypeScript in production environments
* Solid understanding of modern frontend fundamentals (component architecture, state management, APIs, etc.)
* Curiosity and openness to using modern tools, including AI, to work more effectively and ship faster
* Experience building responsive, user\-friendly interfaces
* Ability to collaborate effectively with designers, product managers, and backend engineers
* Comfort working in a fast\-moving environment and learning new systems quickly
* Strong attention to detail and pride in writing high\-quality, production\-ready code
* A genuine interest in building technology that makes a positive impact
**Exceptional Candidates Will Have**
* Experience building accessible web applications, including familiarity with accessibility best practices
* Experience with the Vue Composition API and building highly organized and reusable components
* Experience thriving in environments that favor iteration, ownership, and getting working software into users’ hands quickly
* Strong intuition for usability and user\-centered design
* Experience working on complex, data\-heavy frontend applications
* Familiarity with modern frontend tooling and workflows (Vite, testing frameworks, linting, etc.)
* An allergy to assuming someone else will catch or solve issues; proactively takes initiative to identify, analyze, communicate, and drive improvements and fixes
* Curiosity and eagerness to learn new technologies and improve as an engineer
* A builder’s mindset — excitement about shipping features and seeing them used in the real world
**At GiveCard, You’ll Enjoy**
* Working alongside very smart people on technology that genuinely matters.
* A remote\-friendly work environment with a dog\-friendly office in Manhattan
* A minimum of 25 days of PTO
* 100% medical, dental, and vision insurance coverage for you and your family
* Generous parental leave
* Expected compensation of $120,000 – $140,000, based on level and experience.
 Compensation Range: $120K \- $140K</t>
        </is>
      </c>
    </row>
    <row r="147">
      <c r="A147" t="inlineStr">
        <is>
          <t>li-4373294944</t>
        </is>
      </c>
      <c r="B147" t="inlineStr">
        <is>
          <t>Frontend Engineer</t>
        </is>
      </c>
      <c r="C147" t="inlineStr">
        <is>
          <t>GiveCard</t>
        </is>
      </c>
      <c r="D147" t="inlineStr">
        <is>
          <t>linkedin</t>
        </is>
      </c>
      <c r="E147" t="inlineStr"/>
      <c r="F147" t="inlineStr"/>
      <c r="G147" t="inlineStr">
        <is>
          <t>New York, NY</t>
        </is>
      </c>
      <c r="H147" t="inlineStr"/>
      <c r="I147" t="inlineStr">
        <is>
          <t>**About Us**
 GiveCard builds infrastructure to magically move money to people who need it. Last year, 1 in every 300 households in the United States received financial assistance through GiveCard — including families who lost their homes in disasters, state benefit recipients, and survivors of domestic violence.
 We’re a deeply caring, small team of Givetopians who believe that the smartest people in the world should dedicate their time to manufacturing
 *good magic* 
 . Our culture and philosophy put morality, vocation, and fulfillment at the forefront — and we have a very, very fun time doing it.
**The Role**
 We’re hiring a Frontend Engineer to help build and improve the interfaces that power GiveCard — both for the organizations distributing funds and for the people receiving them.
 This is a hands\-on individual contributor role for someone with a few years of professional frontend experience who’s excited to ship real products, learn quickly, and see their work directly impact real people. You’ll work closely with product, design, and backend engineering to build accessible, reliable, and delightful user experiences across our admin platform and cardholder\-facing web applications. We value
 **shipping meaningful improvements quickly** 
 , learning from real user feedback, and iterating — you’ll see your work in production early and often.
 We’re especially excited about candidates who care deeply about usability, accessibility, and building technology for people who are often overlooked.
 This role is Remote, but you're welcome to work from our offices in New York and San Francisco whenever convenient.
**How You’ll Impact The Company**
* Build and ship frontend features used daily by enterprises, nonprofits, governments, and individuals receiving financial assistance through GiveCard.
* Work across multiple surfaces, including customer\-facing admin tools and cardholder web applications, helping ensure a consistent and high\-quality user experience.
* Ship iteratively and pragmatically, balancing speed and quality while continuously improving the product through real\-world usage and feedback.
* Collaborate closely with designers and backend engineers to turn product ideas into polished, production\-ready features.
* Contribute to and improve our frontend codebase by writing clean, maintainable TypeScript and Vue code.
* Help uphold high standards for accessibility, usability, and performance, ensuring our products work well for all users.
* Learn GiveCard’s product and technology stack quickly and take increasing ownership of frontend areas over time.
**Requirements**
* 2–3 years of professional experience building frontend applications Experience working with Vue.js and TypeScript in production environments
* Solid understanding of modern frontend fundamentals (component architecture, state management, APIs, etc.)
* Curiosity and openness to using modern tools, including AI, to work more effectively and ship faster
* Experience building responsive, user\-friendly interfaces
* Ability to collaborate effectively with designers, product managers, and backend engineers
* Comfort working in a fast\-moving environment and learning new systems quickly
* Strong attention to detail and pride in writing high\-quality, production\-ready code
* A genuine interest in building technology that makes a positive impact
**Exceptional Candidates Will Have**
* Experience building accessible web applications, including familiarity with accessibility best practices
* Experience with the Vue Composition API and building highly organized and reusable components
* Experience thriving in environments that favor iteration, ownership, and getting working software into users’ hands quickly
* Strong intuition for usability and user\-centered design
* Experience working on complex, data\-heavy frontend applications
* Familiarity with modern frontend tooling and workflows (Vite, testing frameworks, linting, etc.)
* An allergy to assuming someone else will catch or solve issues; proactively takes initiative to identify, analyze, communicate, and drive improvements and fixes
* Curiosity and eagerness to learn new technologies and improve as an engineer
* A builder’s mindset — excitement about shipping features and seeing them used in the real world
**At GiveCard, You’ll Enjoy**
* Working alongside very smart people on technology that genuinely matters.
* A remote\-friendly work environment with a dog\-friendly office in Manhattan
* A minimum of 25 days of PTO
* 100% medical, dental, and vision insurance coverage for you and your family
* Generous parental leave
* Expected compensation of $120,000 – $140,000, based on level and experience.
 Compensation Range: $120K \- $140K</t>
        </is>
      </c>
    </row>
    <row r="148">
      <c r="A148" t="inlineStr">
        <is>
          <t>li-4372321854</t>
        </is>
      </c>
      <c r="B148" t="inlineStr">
        <is>
          <t>Software Developer</t>
        </is>
      </c>
      <c r="C148" t="inlineStr">
        <is>
          <t>GlobalWafers America</t>
        </is>
      </c>
      <c r="D148" t="inlineStr">
        <is>
          <t>linkedin</t>
        </is>
      </c>
      <c r="E148" t="inlineStr"/>
      <c r="F148" t="inlineStr"/>
      <c r="G148" t="inlineStr">
        <is>
          <t>Will County, IL</t>
        </is>
      </c>
      <c r="H148" t="inlineStr"/>
      <c r="I148" t="inlineStr">
        <is>
          <t>GlobalWafers is a global leader in semiconductor technology, providing innovative, advanced technology solutions to leading chip manufacturers to transform lives around the world. With R\&amp;D and manufacturing facilities in the U.S., Europe and Asia, the company focuses on innovation throughout our business. We carry this commitment throughout our global sales, manufacturing, and support organizations. GlobalWafers is currently seeking a highly motivated Engineer who can support both software development and customer support to be physically located at our GlobalWafers America facility in Sherman, TX. This role combines hands\-on C\# development with end\-user support, training, and solution delivery for our help\-desk type software platform. The ideal candidate is technically strong, and excellent communicator, and comfortable interacting directly with customers. Essential Job Functions Develop, maintain, and enhance software applications using C\# and related technologies. Diagnose, troubleshoot, and resolve software issues reported by users. Provide customer support through help\-desk channels (email, phone, ticketing system). Conduct user training, product demonstrations, and presentations. Collaborate with cross\-functional teams to gather requirements and deliver solutions. Document issues, resolutions, and processes clearly. Participate in product improvement discussions based on feedback.</t>
        </is>
      </c>
    </row>
    <row r="149">
      <c r="A149" t="inlineStr">
        <is>
          <t>li-4347019310</t>
        </is>
      </c>
      <c r="B149" t="inlineStr">
        <is>
          <t>Software Engineer</t>
        </is>
      </c>
      <c r="C149" t="inlineStr">
        <is>
          <t>FanDuel</t>
        </is>
      </c>
      <c r="D149" t="inlineStr">
        <is>
          <t>linkedin</t>
        </is>
      </c>
      <c r="E149" t="inlineStr"/>
      <c r="F149" t="inlineStr"/>
      <c r="G149" t="inlineStr">
        <is>
          <t>Atlanta, GA</t>
        </is>
      </c>
      <c r="H149" t="inlineStr"/>
      <c r="I149" t="inlineStr">
        <is>
          <t>**THE POSITION**
 Our roster has an opening with your name on it
 We’re looking for passionate \&amp; experienced technologists, strong communicators, and those with a commitment to continuous improvement. The ideal candidate will have the confidence to propose pragmatic solutions to complex problems and be eager to learn from and educate others as a Software Engineer working
 for our Sportsbook domain, you are able to take defined designs and turn them into secure, stable, testable, maintainable code with minimal defects.
 You will be working FanDuel Sportsbook application, providing our customers with a best\-in\-class experience. You’ll play a pivotal part in making our platform highly usable and will write clear, scalable, and high\-quality code. You will work continuously to improve architecture and processes to improve quality and efficiency.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 You keep yourself up to date with market standards, open\-source frameworks.
* Most importantly, you are; humble, pragmatic, self\-managed, thirsty for knowledge, never satisfied and always challenging the norm. Responsible for the state of the code you both inherit and produce
**THE STATS**
 What we're looking for in our next teammate
* Degree in Computer Science, related field, or equivalent work experience.
* 2 or more years of Software Development experience in creating and maintaining mobile applications with experience in React and React Native.
* Knowledge of native application development, such as Kotlin or Swift.
* A fundamental understanding of data structures and algorithms.
* Proficient in working with GitOps Patterns
* Experience working with CI/CD pipeline tooling, preferably Jenkins or BuildKite.
* Experience working with cloud\-based infrastructure and technologies, preferably AWS.
* Knowledge of AWS with API gateway/workflow orchestration/lambda/serverless applications.
* Knowledge of infrastructure as code, preferably Terraform and AWS CloudFormation.
* Experience working with SQL databases.
* Experience with streaming technologies such as Kafka.
* Familiarity with git, GitLab, JIRA, Confluence, and OpenAPI (API documentation).
* Proficiency in translating requirements into design and developing applications.
* Understanding of containers (e.g. Docker), and orchestration (Kubernetes).
* Demonstrated abilities driving operational excellence and best practices.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50">
      <c r="A150" t="inlineStr">
        <is>
          <t>li-4373289993</t>
        </is>
      </c>
      <c r="B150" t="inlineStr">
        <is>
          <t>Software Developer, Junior</t>
        </is>
      </c>
      <c r="C150" t="inlineStr">
        <is>
          <t>Trilogy Innovations</t>
        </is>
      </c>
      <c r="D150" t="inlineStr">
        <is>
          <t>linkedin</t>
        </is>
      </c>
      <c r="E150" t="inlineStr"/>
      <c r="F150" t="inlineStr"/>
      <c r="G150" t="inlineStr">
        <is>
          <t>Bridgeport, WV</t>
        </is>
      </c>
      <c r="H150" t="inlineStr"/>
      <c r="I150" t="inlineStr">
        <is>
          <t>**About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**What You Will Do**
* Develops, creates, and modifies general computer applications software or specialized utility programs.
* Develops microservices in a cloud native environment.
* Operates an enterprise scale production system. Identifies, troubleshoots, and resolves system issues.
* Analyzes user needs and develops software solutions.
* Analyzes and designs databases within an application area, working individually or coordinating database development as part of a team.
* Applies principles and techniques of computer science, engineering, and mathematical analysis.
**High\-level objectives include, but are not limited to the following:**
* Migrate all current\-system functionality from the mainframes and operate within a cloud\-based environment (AWS GovCloud)
* Transition investigative search to Elasticsearch, providing a faster response and report creation time for law enforcement.
* Build new services to follow a microservices architecture and run within containers using the OpenShift platform.
**What You Bring**
 We require:
* Bachelor’s Degree with a minimum of 3 years of work experience or Associate’s Degree with a minimum of 5 years of experience.
* Active Tier 3 Secret clearance.
* Experience working within Agile Framework.
* Proficient with Java Object\-Oriented Programming.
* Experience with Kubernetes and containers; automating the deployment, scaling, and management of containerized applications.
* Experience with Cloud\-native architectures.
* Experience with event\-driven architectures.
* Experience with one or more of the following:
+ Apache Kafka
+ Pub/Sub (Publish, subscribe)
+ Streaming
+ Event sources
+ Running GitOps (GitLab, Git, Bitbucket, ArgoCD, Tecton, etc.) within version control tools.
+ Familiarity with Atlassian Tool Suite (Jira, Confluence, Bitbucket) for version control management.
**Nice To Have**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**Work Environment**
* Remote with occasional travel as required.
**Why Trilogy Innovations**
 At Trilogy Innovations, we believe strong teams build meaningful solutions. We deliver high quality systems and software engineering services across public and private sectors, supporting complex and mission critical environments with integrity, collaboration, and care.
 Since 2010, our talented team has partnered with organizations such as the FBI, U.S. Air Force, NASA, Department of Education, Department of Energy, DHS, SOCOM, and leading private sector clients. We are known for combining technical excellence with a thoughtful, people first approach.
 At Trilogy, you will work alongside smart, committed professionals in a supportive, learning oriented environment. We value innovation, accountability, and continuous growth, and we encourage our people to bring both expertise and humanity to the work they do.
 If you are looking to contribute to impactful work while growing your skills in a collaborative and forward\-thinking organization, Trilogy Innovations is a place where you can do just that.
*Trilogy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51">
      <c r="A151" t="inlineStr">
        <is>
          <t>li-4372330794</t>
        </is>
      </c>
      <c r="B151" t="inlineStr">
        <is>
          <t>Full Stack Engineer</t>
        </is>
      </c>
      <c r="C151" t="inlineStr">
        <is>
          <t>Youtech</t>
        </is>
      </c>
      <c r="D151" t="inlineStr">
        <is>
          <t>linkedin</t>
        </is>
      </c>
      <c r="E151" t="inlineStr"/>
      <c r="F151" t="inlineStr"/>
      <c r="G151" t="inlineStr">
        <is>
          <t>Naperville, IL</t>
        </is>
      </c>
      <c r="H151" t="inlineStr"/>
      <c r="I151" t="inlineStr">
        <is>
          <t>**Company Description** 
 Youtech is redefining the agency model to align with the modern way of doing business, offering flexibility, transparency, and client\-first solutions. Operating on a month\-to\-month contract basis, Youtech provides customized strategies always tailored to address specific client needs. Recognized as one of the largest privately held agencies in the U.S., Youtech boasts a 93% client retention rate, has earned a spot on the Inc. 5000 Fastest Growing Companies list six consecutive times, and has been featured in Forbes, Inc., Entrepreneur, and more. With three offices across the U.S., Youtech is dedicated to delivering local expertise and personalized service to its clients.
**Role Description** 
 This is a full\-time remote role for a Full Stack Engineer. The Full Stack Engineer will be responsible for developing, testing, and maintaining both front\-end and back\-end features of web applications. The role includes designing responsive user interfaces, writing clean and efficient code, integrating APIs, and optimizing performance. The position also involves collaborating with cross\-functional teams to deliver innovative and reliable software solutions that meet client requirements.
**What You'll Do** 
* Build and maintain websites, web applications, and e\-commerce storefronts across platforms like WordPress, BigCommerce, and Shopify
* Write clean, efficient code using JavaScript, PHP, HTML, CSS, and modern frameworks (React, Angular, Vue.js, Laravel)
* Work with databases (SQL, MongoDB) to build and optimize data\-driven features
* Integrate third\-party APIs and services to extend platform functionality
* Use AI\-assisted development tools as a core part of your daily workflow to write, debug, and ship code faster
* Collaborate with designers, marketers, and project managers to deliver client work on time
* Troubleshoot bugs, improve performance, and continuously learn new technologies
* Write testable, maintainable code and participate in code reviews
**What You Bring** 
* Bachelor's or Master's degree in Computer Science, or equivalent practical experience
* Solid understanding of core computer science fundamentals \- data structures, algorithms, and how the web works
* Full stack development experience (professional, internship, or strong personal/academic projects)
* Proficiency in JavaScript, HTML, CSS, PHP, and SQL
* Familiarity with at least one modern front\-end framework (React, Angular, or Vue.js)
* Experience with or willingness to quickly learn platforms like WordPress, BigCommerce, Shopify, and Laravel
* Working knowledge of databases \- relational (MySQL/SQL Server) and/or document\-based (MongoDB)
* Demonstrated use of AI coding tools in your development workflow
* Experience with version control (Git) and CI/CD workflows
* A go\-getter attitude: you're resourceful, you figure things out, and you don't wait to be told what to do
* Strong communication skills and a collaborative mindset
**Nice to Have** 
* Experience with e\-commerce development or digital marketing platforms
* Familiarity with REST APIs and third\-party integrations
* Exposure to cloud services (AWS, Google Cloud, or Azure)
* Knowledge of SEO principles or marketing analytics tools
* Contributions to open\-source projects or a strong personal portfolio/GitHub
 ﻿
**Reports To** 
 Lead Developer, COO
-</t>
        </is>
      </c>
    </row>
    <row r="152">
      <c r="A152" t="inlineStr">
        <is>
          <t>li-4333361709</t>
        </is>
      </c>
      <c r="B152" t="inlineStr">
        <is>
          <t>Software Engineer (Trading)</t>
        </is>
      </c>
      <c r="C152" t="inlineStr">
        <is>
          <t>Phantom</t>
        </is>
      </c>
      <c r="D152" t="inlineStr">
        <is>
          <t>linkedin</t>
        </is>
      </c>
      <c r="E152" t="inlineStr"/>
      <c r="F152" t="inlineStr"/>
      <c r="G152" t="inlineStr"/>
      <c r="H152" t="inlineStr"/>
      <c r="I152" t="inlineStr">
        <is>
          <t>Phantom is the modern money app used by tens of millions around the world. Our product combines everything people need to manage, spend, and grow their money in one simple, intuitive experience. Phantom brings all the control and flexibility of crypto\-powered finance, without unnecessary complexity, into mainstream consumer finance.
 By combining industry\-leading security with thoughtfully designed tools, Phantom makes powerful financial tools feel approachable and easy to use. This focus on speed, control, and user experience has fueled rapid growth, with a community of 20M\+ people, reaching \#1 in the Google Play Store finance category, and consistently ranking as a Top 50 app across all categories, alongside some of the most recognizable consumer technology platforms in the world.
**Responsibilities**
 As a Software Engineer at Phantom, you’ll play a key role in building the systems that power our trading experiences. You’ll design and implement APIs, data pipelines, and services that bridge the gap between blockchain infrastructure and the seamless, intuitive experiences our users expect.
 In this role, you’ll focus on the implementation and aggregation of new trading protocols, aggregators, and trade types, as well as experimenting with new trading surfaces and user segments. Your work will directly shape the future of how users discover, execute, and interact with digital asset trades across multiple ecosystems.
* Feature development: You will be owning features on our web platforms – currently the Phantom Extension and our website.
* New initiatives and products: You will be leading initiatives to add support for other blockchains to Phantom, and to launch new complementary products or infrastructure.
* Interfacing with users: You will be interfacing directly with end\-users and developers building on Phantom – supporting them and collecting feedback to inform the direction of the product.
* Team building: You will be working with the team to create and foster a culture of raising the bar with each new hire.
**Qualifications**
* Bachelors degree in Computer Science or related technical field or equivalent practical experience
* 5\+ years full\-time software engineering experience
* Demonstrated interest in open and community\-driven platforms
* Nice\-To\-Have: Experience working with trading systems
* English language proficiency
 Why Work with Us
 We are a team of experienced builders in the blockchain and crypto industry. Our journey began from users seeking an easy, seamless path to accessing the crypto ecosystem. This passion fueled our exponential growth, allowing us to onboard over 7M\+ active users in just over three years; with our user base growing weekly. Our dedication to a secure and seamless user experience has made us the leading wallet on Solana as well as our multi\-chain approach enhances our platform's versatility, meeting the needs of a diverse and growing user base. By staying at the forefront of technology and user expectations, we continue to innovate and set industry standards on self\-custodial crypto wallets.
 There has never been a better time to work in crypto to help shape the future of innovation with a focus around the wallet experience!
* First impressions matter: Wallets are responsible for a users first impression with crypto and onboarding new users into crypto. By ensuring that a user has a great first\-time experience with crypto, we can help supercharge the growth of the entire ecosystem.
* Make crypto easier to navigate: There is no easy way for a user to discover and navigate all that crypto has to offer. Wallets have a unique opportunity to help users not only onboard to crypto but also stay retained by exploring new things to do.
* We live in a multi\-chain world: We currently support Solana, Ethereum, Polygon and Bitcoin with more networks to come in the new future. We are focused on creating a unified, multi\-chain crypto experience for users.
**Benefits**
* Competitive salary and equity
* Comprehensive insurance (medical/dental/vision) — 100% covered
* Stipend for your ideal remote set\-up
* Flexible hours and a supportive remote environment
* Unlimited vacation: Take time when you need it (and we really mean it!)
* 401(k) retirement plan
* Monthly wellness benefit
* Weekly meal benefit
* Global off\-sites
 The target base salary for this role will range between $200,000 to $250,000 with the addition of equity and benefits. This is determined by a few factors including your skillset, prior relevant experience, quality of interviews and market factors (such as location) at the point in time of offer.
**We strongly encourage candidates of all different backgrounds to apply.** 
 We believe that our work is stronger with a variety of perspectives, and we’re eager to further diversify our company. If you have a background that you feel would make an impact at Phantom, please consider applying. We’re committed to building an inclusive, supportive place for you to do the best work of your career.
*By submitting your resume and application materials, you acknowledge and agree that Phantom may use automated tools, including AI systems, and may engage trusted third\-party service providers to process your application and ensure an efficient hiring process. Phantom does not sell your information and your materials will be handled securely and in accordance with applicable data protection laws.*</t>
        </is>
      </c>
    </row>
    <row r="153">
      <c r="A153" t="inlineStr">
        <is>
          <t>li-4252544188</t>
        </is>
      </c>
      <c r="B153" t="inlineStr">
        <is>
          <t>Software Engineer, Growth</t>
        </is>
      </c>
      <c r="C153" t="inlineStr">
        <is>
          <t>Character.AI</t>
        </is>
      </c>
      <c r="D153" t="inlineStr">
        <is>
          <t>linkedin</t>
        </is>
      </c>
      <c r="E153" t="inlineStr"/>
      <c r="F153" t="inlineStr"/>
      <c r="G153" t="inlineStr">
        <is>
          <t>Redwood City, CA</t>
        </is>
      </c>
      <c r="H153" t="inlineStr"/>
      <c r="I153" t="inlineStr">
        <is>
          <t>**About The Role And Team**
 We are scaling personalized AI to billions of users by reimagining how people discover, engage with, and return to intelligent characters. This requires blending product craftsmanship with growth experimentation and an instinct for user behavior. We’re looking for a skilled engineer who is excited to build elegant, high\-impact user experiences that drive growth. If you thrive at the intersection of design, data, and iteration—and care deeply about quality and performance—we’d love to work with you.
****What you’ll do****
* Build fast, intuitive, and visually polished user\-facing features that drive user acquisition, activation, and retention.
* Design and run growth experiments that span product surfaces—from onboarding to virality to re\-engagement loops.
* Partner closely with design and product to translate high\-level ideas into delightful and performant interfaces.
* Collaborate with data science to define success metrics, analyze experiment outcomes, and identify opportunities.
* Maintain a high bar for code quality, UI/UX polish, and performance across mobile and web platforms.
* Help shape and evolve the team’s experimentation platform and tooling to improve iteration velocity.
****Who you are****
* Experience as a Front\-End or Full\-Stack Software Engineer, ideally in consumer product environments.
* Deep understanding of Typescript, CSS, React, React Native, HTML, and modern front end design patterns and best practices.
* Comfortable working across the stack and contributing to backend services as needed—especially in Python or Golang.
* Demonstrated experience shipping user\-facing features that drove measurable growth or engagement.
* Analytical mindset with experience working alongside data teams using metrics and experimentation to inform decisions.
* Proven ability to work in a fast\-paced development environment and deliver timely results.
* Excellent communication and collaboration skills across disciplines.
**Nice to Have**
* Background in mobile\-first or AI\-powered consumer products.
* Prior exposure to zero\-to\-one product development or startup environments.
* Interest in user psychology, onboarding, and viral loops.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54">
      <c r="A154" t="inlineStr">
        <is>
          <t>li-4365742625</t>
        </is>
      </c>
      <c r="B154" t="inlineStr">
        <is>
          <t>Software Engineering</t>
        </is>
      </c>
      <c r="C154" t="inlineStr">
        <is>
          <t>Microsoft</t>
        </is>
      </c>
      <c r="D154" t="inlineStr">
        <is>
          <t>linkedin</t>
        </is>
      </c>
      <c r="E154" t="inlineStr"/>
      <c r="F154" t="inlineStr"/>
      <c r="G154" t="inlineStr">
        <is>
          <t>Redmond, WA</t>
        </is>
      </c>
      <c r="H154" t="inlineStr"/>
      <c r="I154" t="inlineStr">
        <is>
          <t>**Overview**
 Microsoft Teams is revolutionizing how the world collaborates, making work seamless and secure. Join us to shape the future of remote collaboration for hundreds of millions of users, delivering effortless connectivity anywhere. Together, we’re transforming modern work, life, and education by making communication truly borderless.
 As a Software Engineer in this role, you will design and build intelligent solutions that leverage data science and AI/ML models, while contributing to the collaboration experiences for meetings and immersive events.
**This Opportunity Will Allow You To**
* Accelerate your career growth by working on cutting\-edge AI/ML technologies.
* Develop deep technical expertise in data\-driven systems and mobile platforms.
* Gain hands\-on experience in deploying intelligent features that impact millions of users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Information Technology, Mechanical Engineering, Electrical Engineering, Aerospace Engineering, Data Science, Cybersecurity, or related field AND 2\+ years technical experience in software engineering, network engineering, service engineering, systems engineering, or industrial controls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Information Technology, Mechanical Engineering, Electrical Engineering, Aerospace Engineering, Data Science, Cybersecurity, or related field AND 3\+ years technical experience in software engineering, network engineering, service engineering, systems engineering, or industrial controls
* OR Bachelor's Degree in Computer Science, Information Technology, Mechanical Engineering, Electrical Engineering, Aerospace Engineering, Data Science, Cybersecurity, or related field AND 5\+ years technical experience in software engineering, network engineering, service engineering, systems engineering, or industrial controls
* OR equivalent experience.
* 1\+ year(s) technical experience working with large\-scale cloud or distributed systems.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5">
      <c r="A155" t="inlineStr">
        <is>
          <t>li-4311793944</t>
        </is>
      </c>
      <c r="B155" t="inlineStr">
        <is>
          <t>Sr. Full Stack Engineer I</t>
        </is>
      </c>
      <c r="C155" t="inlineStr">
        <is>
          <t>DoubleVerify</t>
        </is>
      </c>
      <c r="D155" t="inlineStr">
        <is>
          <t>linkedin</t>
        </is>
      </c>
      <c r="E155" t="inlineStr"/>
      <c r="F155" t="inlineStr"/>
      <c r="G155" t="inlineStr">
        <is>
          <t>New York, NY</t>
        </is>
      </c>
      <c r="H155" t="inlineStr"/>
      <c r="I155" t="inlineStr">
        <is>
          <t>**Senior Full Stack Engineer I** 
**Position Overview** 
 We are seeking an experienced software engineer to join our talented full\-stack billing team responsible for enabling clients to successfully activate and operate DoubleVerify’s rich suite of products. You’ll develop scalable and reliable backend services and frontend applications fueling 
 DV
 's operational processes. We are a tech company at heart, addressing complex challenges and innovating to use the best technology and practices for the task at hand on a daily basis. The team is a cross\-company focal point and is user experience oriented, and as such you’ll be closely coordinating and working with multiple development, product, and client services teams.
 This position is full\-time and located in our New York City headquarters offices offering a hybrid work model from office and remote.
**What you will do:** 
* Design and develop services that integrate with internal and external systems
* Design and develop micro\-frontend applications in React and Angular.
* Style client components using Material, CSS and
 SCSS
 .
* Document solutions to be used by partners and other development teams.
* Actively participate in code reviews and system design discussions.
* Test and optimize code developed both by you and by other team members.
* Continuously release features using automated deployment tools and framework through Infrastructure\-As\-Code (IaC).
* Work in a fast\-paced agile environment, collaborate with team members and Product Managers on a daily basis, and participate in product meetings.
* Implement application observability to enhance code integrity and support throughout the development and release processes.
**Who you are:** 
* At least 4 years of experience developing modern services and web\-based/REST API’s.
* At least 3 years of experience working with Reac
 t, Angular, or similar technologies.
* Familiarity with all aspects of
 SDLC
 ; you know what the best practices are and follow them in your work.
* Strong experience programming in .NET and working with C\#, Java, python or a similar language.
* Strong experience with databases (e.g. MongoDB,
 MySQL
 , etc.).
* Strong experience with task/build/automation running tools for
 JS
 such as Webpack, Gulp, Grunt.
* Familiarity with Infrastructure\-As\-Code (IaC) and CI/CD (e.g. Gitlab CI/CD, terraform, vault) focused on automating deployments and optimizing processes.
* Familiarity with the AdTech industry is not required, but is a big plus.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$99,000\- $178,000\. This role will also be eligible for bonus/commission (as applicable), equity, and benefits.</t>
        </is>
      </c>
    </row>
    <row r="156">
      <c r="A156" t="inlineStr">
        <is>
          <t>li-4373286883</t>
        </is>
      </c>
      <c r="B156" t="inlineStr">
        <is>
          <t>Backend Engineer</t>
        </is>
      </c>
      <c r="C156" t="inlineStr">
        <is>
          <t>Hirenza</t>
        </is>
      </c>
      <c r="D156" t="inlineStr">
        <is>
          <t>linkedin</t>
        </is>
      </c>
      <c r="E156" t="inlineStr"/>
      <c r="F156" t="inlineStr"/>
      <c r="G156" t="inlineStr"/>
      <c r="H156" t="inlineStr"/>
      <c r="I156" t="inlineStr">
        <is>
          <t>**About The Company**
 Best Buy is a leading omnichannel retailer dedicated to enriching lives through technology. With a strong presence both in physical stores and online platforms, we strive to provide innovative solutions that meet the evolving needs of our diverse customer base. Our commitment to customer satisfaction, technological innovation, and community engagement positions us as a trusted name in the retail industry. We foster a dynamic and inclusive work environment that encourages professional growth, collaboration, and a shared passion for technology and service excellence.
**About The Role**
 As a Back\-End Engineer II within our Retail Media Network Ads Engineering team, you will play a pivotal role in developing and delivering complex product features that are robust, scalable, and efficient. You will work with minimal supervision, breaking down large technical problems into manageable components, and defining clear acceptance criteria to ensure high\-quality outputs. Your responsibilities will include planning, designing, and executing the delivery of key features and capabilities that enhance our advertising platform and overall customer experience. The role requires a self\-motivated individual confident in troubleshooting complex issues across various environments, demonstrating strong technical initiative in a fast\-paced, innovative setting.
 This position is hybrid, combining on\-site work at our Richfield, Minnesota location with remote work. Specific work arrangements will be discussed during the hiring process, and candidates must be within drivable distance to the office. This flexibility aims to support work\-life balance while maintaining close collaboration with team members and stakeholders.
**Qualifications**
 Qualified candidates will possess at least two years of relevant experience in enterprise software engineering at scale, demonstrating proficiency with Java, Spring, REST web services, and similar technologies. Cloud experience, preferably with AWS or GCP, is essential, along with familiarity with databases such as Postgres and messaging technologies like Kafka. A solid understanding of system design considerations—including state management, caching, concurrency, threading, and inter\-system dependencies—is required. Experience with Test\-Driven Development (TDD) for at least one year is also necessary. Preferred candidates will have three or more years of professional experience, a relevant bachelor’s degree or equivalent, and a proven ability to build scalable, high\-performance web applications in cloud environments. Excellent collaboration skills with product managers and the ability to manage complex production issues are highly valued.
**Responsibilities**
* Design, develop, and deliver application features from conception through deployment, incorporating input from stakeholders and partners to ensure alignment with business goals.
* Build and improve internal libraries, tools, and processes to enhance development efficiency, scalability, and maintainability.
* Share best practices, mentor junior team members, and foster a culture of continuous professional growth within the engineering team.
* Collaborate with business partners to plan, design, and implement features that drive business value while proactively identifying and mitigating risks.
* Lead and participate in production support activities, including triaging incidents, resolving issues, and ensuring system reliability and performance.
* Stay informed about industry trends and emerging technologies, applying innovative solutions to strengthen technical capabilities and team effectiveness.
**Benefits**
 We are dedicated to supporting our employees both professionally and personally. Our comprehensive benefits package is designed to promote overall well\-being and provide support during key life moments. Employees enjoy competitive compensation, a generous discount on products, and access to resources for physical and mental health. We believe that a healthy, engaged workforce is essential to our success and strive to create an environment where employees can thrive, innovate, and feel valued.
 Equal Opportunity
 Best Buy is an equal opportunity employer. We celebrate diversity and are committed to creating an inclusive environment for all employees. All employment decisions are made without regard to race, color, religion, gender, gender identity or expression, sexual orientation, national origin, age, disability, or any other protected status in accordance with applicable laws. We believe that a diverse workforce enriches our company culture and drives innovation, and we are dedicated to fostering a workplace where everyone can succeed.</t>
        </is>
      </c>
    </row>
    <row r="157">
      <c r="A157" t="inlineStr">
        <is>
          <t>li-4363125141</t>
        </is>
      </c>
      <c r="B157" t="inlineStr">
        <is>
          <t>Java/Javascript Software Engineer</t>
        </is>
      </c>
      <c r="C157" t="inlineStr">
        <is>
          <t>BeaconFire Inc.</t>
        </is>
      </c>
      <c r="D157" t="inlineStr">
        <is>
          <t>linkedin</t>
        </is>
      </c>
      <c r="E157" t="inlineStr"/>
      <c r="F157" t="inlineStr"/>
      <c r="G157" t="inlineStr">
        <is>
          <t>Texas, United States</t>
        </is>
      </c>
      <c r="H157" t="inlineStr"/>
      <c r="I157"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8">
      <c r="A158" t="inlineStr">
        <is>
          <t>li-4373511094</t>
        </is>
      </c>
      <c r="B158" t="inlineStr">
        <is>
          <t>Java Full Stack Engineer</t>
        </is>
      </c>
      <c r="C158" t="inlineStr">
        <is>
          <t>Stefanini Group</t>
        </is>
      </c>
      <c r="D158" t="inlineStr">
        <is>
          <t>linkedin</t>
        </is>
      </c>
      <c r="E158" t="inlineStr"/>
      <c r="F158" t="inlineStr"/>
      <c r="G158" t="inlineStr">
        <is>
          <t>Dearborn, MI</t>
        </is>
      </c>
      <c r="H158" t="inlineStr"/>
      <c r="I158" t="inlineStr">
        <is>
          <t>**Job Description**
**Stefanini Group is hiring!**
**Stefanini is looking for a Java Full Stack Engineer, Dearborn, MI (Onsite)**
**For quick apply, please reach out Lokesh Sharma at 248\-582\-6565/lokesh.sharma@stefanini.com**
 You will be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implementing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**Experience Required**
* Must have 5\+ experience in Angular (Version.16 and above)
* Must have 5\+ experience in HTML and CSS
* Minimum 5\+ experience in Spring Boot 3 and Spring Data JPA, Spring Security
* Minimum 5\+ SQL / Oracle database experience or PostGres
* Micro services / APIGEE/ Rest API development
* Google Cloud Platform (GCP) development (Cloud Run, Pub Sub, GCS Bucket) and deployment experience
* 5\+ year experience in Java core development and OOP
**Experience Preferred**
* Agile development
* Experience in Jira, JUnit
* Development Practices such as TDD/BDD
* Well versed with design such OOP
* Code quality analysis of performing static and dynamic analysis on their own code
**Education Required**
* Bachelor's Degree
*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is>
      </c>
    </row>
    <row r="159">
      <c r="A159" t="inlineStr">
        <is>
          <t>li-4373295835</t>
        </is>
      </c>
      <c r="B159" t="inlineStr">
        <is>
          <t>Full Stack Software Engineer</t>
        </is>
      </c>
      <c r="C159" t="inlineStr">
        <is>
          <t>DRC Systems</t>
        </is>
      </c>
      <c r="D159" t="inlineStr">
        <is>
          <t>linkedin</t>
        </is>
      </c>
      <c r="E159" t="inlineStr"/>
      <c r="F159" t="inlineStr"/>
      <c r="G159" t="inlineStr">
        <is>
          <t>Sunnyvale, CA</t>
        </is>
      </c>
      <c r="H159" t="inlineStr"/>
      <c r="I159" t="inlineStr">
        <is>
          <t>**Job Title: Full Stack Software Engineer**
**Location: Sunnyvale CA**
* Looking 70% .NET and React and 30% Python
* Must be able to do final round interview onsite in Sunnyvale, CA with the client
**NON\-LOCAL CANDIDATES WILL NOT BE CONSIDERED**
 API and Integrations Developer , Full Stack
**5\+ Years of US experience**
**Top 3 Mandatory Skills**
* .NET \*\*
* React\*\*
* Python\*\*
 Seeking a Software Engineer to design and develop scalable APIs, integrations, and event\-driven services for LinkedIn's Talent Productivity Engineering team. Requires strong hands\-on experience in Python, Full\-Stack (react ,node.js) system integrations, and Azure cloud environment.Hands\-on experience with Node.js \+ Express OR Python \+ FastAPI/Flask 8\. API design, routing, middleware, security 9\. Working with JSON, REST, WebSockets 10\. State management (Redux, Zustand, Context API)
 Skills \- Flask/Fast; Bottle; web2py; Locust; Airflow2; Digital : Python; Microsoft SQL; Postgres; REST Web Services; microservices; SOAP; messaging; events,GIT; Digital : Microsoft Azure</t>
        </is>
      </c>
    </row>
    <row r="160">
      <c r="A160" t="inlineStr">
        <is>
          <t>li-4363115640</t>
        </is>
      </c>
      <c r="B160" t="inlineStr">
        <is>
          <t>Java Software Engineer</t>
        </is>
      </c>
      <c r="C160" t="inlineStr">
        <is>
          <t>BeaconFire Inc.</t>
        </is>
      </c>
      <c r="D160" t="inlineStr">
        <is>
          <t>linkedin</t>
        </is>
      </c>
      <c r="E160" t="inlineStr"/>
      <c r="F160" t="inlineStr"/>
      <c r="G160" t="inlineStr"/>
      <c r="H160" t="inlineStr"/>
      <c r="I160"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1">
      <c r="A161" t="inlineStr">
        <is>
          <t>li-4373506239</t>
        </is>
      </c>
      <c r="B161" t="inlineStr">
        <is>
          <t>Embedded software developer</t>
        </is>
      </c>
      <c r="C161" t="inlineStr">
        <is>
          <t>Canus Tech</t>
        </is>
      </c>
      <c r="D161" t="inlineStr">
        <is>
          <t>linkedin</t>
        </is>
      </c>
      <c r="E161" t="inlineStr"/>
      <c r="F161" t="inlineStr"/>
      <c r="G161" t="inlineStr">
        <is>
          <t>Peoria, IL</t>
        </is>
      </c>
      <c r="H161" t="inlineStr"/>
      <c r="I161" t="inlineStr">
        <is>
          <t>**Position's Contributions To Work Group**
* This position is for a Software Engineer to support the Precision Mining group within the Cat Robotics division. The individual hired for this position will work as part of an engineering team to design, develop, integrate and test software features on embedded electronic controls for use in Precision Mining application with hyperspectral analysis.
**Job Responsibilities Include**
* Precision mining feature development in embedded C\+\+, Linux, GitHub
* Issue resolution through triage and troubleshooting
* Agile Sprint environment
* Validation plan development
* Coordination with a global team of machine, systems, software, and validation teams
* Ability to work effectively with a culturally diverse work group
 Team Mission
 Deliver the highest quality precision mining technology products and solutions to our clients and customers on time and within budget
**Reason/motivation For Request**
* Addition
 Candidate Value Proposition
 Why Caterpillar? "Whether it be ground\-breaking products, best in class solutions or a lifelong career, you can build what matters to you at Caterpillar. With 150 locations in countries around the world, what you create at Caterpillar travels and helps people around the world. You can collaborate with the best minds in the industry, complete meaningful work and continuously grow and develop through our various opportunities. Here, you can do the work that matters."
 Why this Role?
 This role provides an opportunity to obtain embedded software experience across multiple data management designs for precision mining widely regarded as best in class in the mining industry.
 Typical Day or Week in the Role
**Typical Task Breakdown**
* Systems requirements decomposition
* Design
* Development
* Reviews
* Integration
* Test
 Interaction Level with Team
* Part of a 12 14\-person global team. Design reviews and daily stand\-ups
**Work Environment**
* Office
 Candidate Requirements
**Education \&amp; Experience Required**
* Bachelor's degree in computer science, software engineering or relevant field required.
* 2\-3 years of experience required.
* Will accept master's degree with 1\-2 years of industry experience.
 Top 3 Skills
* Strong coding in C, C\+\+, Python
* Strong software design analysis
* Capable of expressing positions without confrontation
**Additional Technical Skills**
 (Required)
* git, debuggers, and compilers
* C test and G test suites
* system\-level feature design and specification
* datalinks (CAN, Ethernet, etc.)
 (Desired)
* Robotics or autonomy
 Soft Skills
 (Required)
* Concise writing style</t>
        </is>
      </c>
    </row>
    <row r="162">
      <c r="A162" t="inlineStr">
        <is>
          <t>li-4364195176</t>
        </is>
      </c>
      <c r="B162" t="inlineStr">
        <is>
          <t>Java/Javascript Software Engineer</t>
        </is>
      </c>
      <c r="C162" t="inlineStr">
        <is>
          <t>BeaconFire Inc.</t>
        </is>
      </c>
      <c r="D162" t="inlineStr">
        <is>
          <t>linkedin</t>
        </is>
      </c>
      <c r="E162" t="inlineStr"/>
      <c r="F162" t="inlineStr"/>
      <c r="G162" t="inlineStr">
        <is>
          <t>California, United States</t>
        </is>
      </c>
      <c r="H162" t="inlineStr"/>
      <c r="I162"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3">
      <c r="A163" t="inlineStr">
        <is>
          <t>li-4176591294</t>
        </is>
      </c>
      <c r="B163" t="inlineStr">
        <is>
          <t>Software Engineer, Control Plane</t>
        </is>
      </c>
      <c r="C163" t="inlineStr">
        <is>
          <t>Hightouch</t>
        </is>
      </c>
      <c r="D163" t="inlineStr">
        <is>
          <t>linkedin</t>
        </is>
      </c>
      <c r="E163" t="inlineStr"/>
      <c r="F163" t="inlineStr"/>
      <c r="G163" t="inlineStr"/>
      <c r="H163" t="inlineStr"/>
      <c r="I163"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In the last 12\-18 months, Hightouch has been adopted by larger and larger customers and enterprises. These enterprises have both high data scale as well as complex organizations with many individuals and teams using Hightouch on a daily basis. The Control Plane team focuses on building user\-friendly but powerful tools and products for enterprises to efficiently onboard onto Hightouch and manage and scale their Hightouch deployments.
 We’re looking to add a
 **product\-minded backend engineer** 
 to the team. The ideal candidate will be comfortable diving deep into backend, distributed systems, and asynchronous workflows and think holistically about architecture, scalability, maintainability, and reliability. We are also looking for someone with strong customer and product thinking and who feels comfortable writing and engaging with product specs.
 Some of the problems we’ll be working on include:
* Roles, Permissions, and Access Control: We have a flexible and powerful access control framework that allows enterprise admins to configure the right level of permissions for different groups of users and teams within their company. As Hightouch expands our product lines, the Control Plane team will also adapt and extend our access control capabilities to support that growth.
* Change Management: When a customer’s underlying data model or data warehouse changes, this can have downstream impact on their Customer Studio schema, audiences, and other syncs and data pipelines. What tools can we build for admins to better manage these types of changes at scale?
* Data Warehouse Performance and Costs: As customers continue to adopt Hightouch within their organizations and their usage of Hightouch grows, they’ll drive more warehouse activity and compute from Hightouch. How can we help admins better understand and optimize warehouse performance and costs as a result of Hightouch activity?
 We are looking for talented, intellectually curious, and motivated individuals who are interested in tackling the problems above. This is a senior role, but we focus on impact and potential for growth more than years of experience. The salary range for this position is $180,000 \- $260,000 USD per year, which is location independent in accordance with our remote\-first policy. We also offer meaningful equity compensation in the form of ISO options, and offer early exercise and a 10 year post\-termination exercise window.
 Interview Process
 Our interview process focuses on evaluating fit for the most important dimensions of the role: product sense, ability to architect backend and distributed systems, and alignment with Hightouch’s values. Notably, we don’t do any programming interviews as we believe they are low signal to noise and aren’t a good evaluation mechanism.
* Recruiter Screen \[30m]: Introductory call with our recruiting team to get to know each other and see if the role could be a good mutual fit.
* System Design Screen \[60m]: Designing a data processing feature end\-to\-end.
* Hiring Manager Interview \[30m]: Chat with hiring manager about past experiences and future operating preferences to assess fit on company values and operating principles.
* System Design Interview \[90m]: Work with the interviewer to architect a system at a conceptual level. The problem will be at a pretty high level \- and have both product and customer requirements as well as technical.
 We have limited inbound applications to one application per candidate. You will be auto\-rejected if you apply to multiple roles. Please only apply to the position you are most qualified for.</t>
        </is>
      </c>
    </row>
    <row r="164">
      <c r="A164" t="inlineStr">
        <is>
          <t>li-4363260240</t>
        </is>
      </c>
      <c r="B164" t="inlineStr">
        <is>
          <t>Java Software Engineer</t>
        </is>
      </c>
      <c r="C164" t="inlineStr">
        <is>
          <t>BeaconFire Inc.</t>
        </is>
      </c>
      <c r="D164" t="inlineStr">
        <is>
          <t>linkedin</t>
        </is>
      </c>
      <c r="E164" t="inlineStr"/>
      <c r="F164" t="inlineStr"/>
      <c r="G164" t="inlineStr">
        <is>
          <t>Illinois, United States</t>
        </is>
      </c>
      <c r="H164" t="inlineStr"/>
      <c r="I164"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5">
      <c r="A165" t="inlineStr">
        <is>
          <t>li-4312185618</t>
        </is>
      </c>
      <c r="B165" t="inlineStr">
        <is>
          <t>Software Engineer - C#</t>
        </is>
      </c>
      <c r="C165" t="inlineStr">
        <is>
          <t>Millennium</t>
        </is>
      </c>
      <c r="D165" t="inlineStr">
        <is>
          <t>linkedin</t>
        </is>
      </c>
      <c r="E165" t="inlineStr"/>
      <c r="F165" t="inlineStr"/>
      <c r="G165" t="inlineStr">
        <is>
          <t>New York, NY</t>
        </is>
      </c>
      <c r="H165" t="inlineStr"/>
      <c r="I165" t="inlineStr">
        <is>
          <t>Join our Treasury Technology team as a Senior Developer specializing in Treasury Solutions and Financing Optimization projects. You'll build sophisticated algorithms to optimize the portfolio and help architect scalable microservices that revolutionize treasury operations using modern .NET and Angular technologies. You’ll develop mission‑critical systems used firmwide by Treasury analysts, Front Office teams, Portfolio Managers, and senior leadership. This role blends hands‑on engineering with product ownership to modernize treasury operations, enhance liquidity and risk management, and deliver robust, scalable platforms.
**Principal Responsibilities**
**Core Development**
* Design and develop advanced financing optimization platforms using C\# .NET Core and Angular
* Build robust microservices architectures for treasury optimization workflows
* Implement sophisticated optimization algorithms for financing, margin optimization, and risk management
* Develop RESTful APIs following Clean Code principles and SOLID design patterns
**System Design \&amp; Architecture
 *(Critical)***
* Design scalable, resilient systems with appropriate architectural patterns and performance considerations
* Make informed trade\-offs between performance, maintainability, and cost
* Design for change and evolution using microservices and event\-driven architectures
* Consider non\-functional requirements (security, observability, performance)
**Qualifications/Skills Required**
* Bachelor's degree in Computer Science, Engineering, or related field
* 5\+ years hands\-on experience with C\# .NET and .NET Core
* Strong proficiency in Angular for modern web application development
* Expert knowledge of microservices architecture and distributed systems
* Solid experience with SQL Server and PostgreSQL database design
* Deep understanding of SOLID principles, Clean Code theory, and design patterns
**What Makes You Stand Out**
* Exceptional learning agility and openness to new technologies
* Strong system design skills \- can break complex problems into clean boundaries
* Product \&amp; user understanding \- translate business requirements into technical specifications
* Code quality judgment \- rapid identification of code smells, security vulnerabilities, and performance bottlenecks
**Desired Qualifications**
* Background in financial services, treasury operations, or optimization algorithms
* Experience with mathematical optimization or quantitative finance
* AWS experience (beneficial but not required \- we provide training)
* Experience with Docker/Kubernetes containerization
* CI/CD experience with TeamCity and Octopus Deploy
* Test\-Driven Development (TDD) and comprehensive testing practices with xUnit and Jest
* Experience with modern development tools and AI\-assisted productivity tools
* Familiarity with collaborative development workflows and agile methodologies
* Git version control expertise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166">
      <c r="A166" t="inlineStr">
        <is>
          <t>li-4373504087</t>
        </is>
      </c>
      <c r="B166" t="inlineStr">
        <is>
          <t>Backend Engineer (API, Typescript)</t>
        </is>
      </c>
      <c r="C166" t="inlineStr">
        <is>
          <t>Wiraa</t>
        </is>
      </c>
      <c r="D166" t="inlineStr">
        <is>
          <t>linkedin</t>
        </is>
      </c>
      <c r="E166" t="inlineStr"/>
      <c r="F166" t="inlineStr"/>
      <c r="G166" t="inlineStr"/>
      <c r="H166" t="inlineStr"/>
      <c r="I166" t="inlineStr">
        <is>
          <t>**About The Company**
 Our mission at Oura is to empower every person to own their inner potential. We develop award\-winning health and wellness products that provide users with insights into their readiness, activity, and sleep quality through the innovative Oura Ring and its connected app. Since inception, we have helped millions worldwide understand and improve their health by offering daily personalized insights and practical steps to foster healthier lifestyles. As a rapidly growing company, we are committed to living our core values and empowering our team to excel both professionally and personally. Our focus extends beyond product innovation to creating an inclusive, supportive work environment that encourages growth, collaboration, and well\-being.
**About The Role**
 We are seeking a talented Backend Engineer to join our dynamic Software Engineering team in the United States. This remote position offers an exciting opportunity to contribute to our Commerce Mission, which aims to increase Oura’s brand recognition and drive product sales through online e\-commerce channels and strategic retail partnerships. In this role, you will be instrumental in developing reliable, scalable backend solutions that support our direct\-to\-consumer (D2C), business\-to\-business (B2B), and retail initiatives. You will collaborate with cross\-functional teams, including product managers, designers, and other engineers, to deliver high\-quality, secure, and performant web services. Your work will directly impact our revenue streams and customer experience, making this a pivotal role within our organization.
**Qualifications**
* 3 to 5 years of backend development experience
* Proficiency in API design and best practices
* Experience with serverless architectures, particularly AWS Lambdas
* Hands\-on experience designing, deploying, and maintaining scalable web services on AWS
* Knowledge of DevOps practices, including CI/CD pipelines, monitoring, and observability
* Understanding of security and compliance standards relevant to web platforms
* Strong problem\-solving skills and a pragmatic, delivery\-focused mindset
* Excellent collaboration and communication skills
**Responsibilities**
* Partner with product and cross\-functional teams to develop and deliver scalable, reliable backend solutions
* Design, implement, and maintain RESTful APIs and microservices using TypeScript, DynamoDB, Redis, and AWS technologies
* Ensure platform security, compliance, and best practices are adhered to in all development activities
* Support customer care teams by troubleshooting and resolving backend issues impacting user experience
* Participate in the development and maintenance of CI/CD pipelines, monitoring, and alerting systems to support operational excellence
* Contribute to technical documentation, code reviews, and testing strategies to ensure high\-quality deliverables
* Stay updated with industry trends and continuously improve backend architecture and processes
**Benefits**
* Competitive salary and equity packages
* Comprehensive health, dental, and vision insurance plans
* Mental health resources and support programs
* An Oura Ring of your own, plus employee discounts for friends and family
* 20 days of paid time off, 13 paid holidays, and 8 days of flexible wellness time off
* Paid sick leave and parental leave policies
* Remote work flexibility with optional hybrid or office\-based work at our San Francisco and San Diego locations
 Equal Opportunity
 Oura is proud to be an equal opportunity workplace. We celebrate diversity and are committed to creating an inclusive environment for all employees. We consider all qualified applicants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sexual orientation, military or veteran status, or any other characteristic protected by federal, state, or local laws. We are dedicated to providing reasonable accommodations to individuals with disabilities throughout the hiring process and employment. Join us in our mission to empower people worldwide to live healthier, happier lives while fostering a respectful and inclusive workplace environment.</t>
        </is>
      </c>
    </row>
    <row r="167">
      <c r="A167" t="inlineStr">
        <is>
          <t>li-4373298599</t>
        </is>
      </c>
      <c r="B167" t="inlineStr">
        <is>
          <t>Software Engineer</t>
        </is>
      </c>
      <c r="C167" t="inlineStr">
        <is>
          <t>Hirenza</t>
        </is>
      </c>
      <c r="D167" t="inlineStr">
        <is>
          <t>linkedin</t>
        </is>
      </c>
      <c r="E167" t="inlineStr"/>
      <c r="F167" t="inlineStr"/>
      <c r="G167" t="inlineStr"/>
      <c r="H167" t="inlineStr"/>
      <c r="I167" t="inlineStr">
        <is>
          <t>**About The Company**
 Rivian is an innovative electric vehicle manufacturer dedicated to redefining sustainable transportation. Founded with a mission to create versatile, high\-performance electric trucks and SUVs, Rivian combines cutting\-edge technology with a commitment to environmental responsibility. As a forward\-thinking company, Rivian aims to inspire a shift toward cleaner mobility solutions while delivering exceptional products that meet the needs of adventure seekers, families, and commercial clients alike. With a focus on safety, quality, and customer satisfaction, Rivian is rapidly establishing itself as a leader in the electric vehicle industry.
**About The Role**
 We are seeking a highly motivated and detail\-oriented individual to join Rivian as a \[Job Title]. In this role, you will play a vital part in supporting our mission to develop innovative electric vehicles and sustainable mobility solutions. The ideal candidate will possess a strong technical background, excellent problem\-solving skills, and a passion for advancing clean transportation technology. As part of our dynamic team, you will collaborate across various departments to ensure the successful development, testing, and deployment of Rivian’s products. This position offers a unique opportunity to contribute to groundbreaking projects that are shaping the future of transportation and making a positive impact on the environment.
**Qualifications**
 The ideal candidate should possess a bachelor’s degree in engineering, technology, or a related field, with a minimum of \[X] years of relevant experience. Strong knowledge of electric vehicle systems, battery technology, and automotive engineering is preferred. Excellent communication skills, the ability to work collaboratively in a team environment, and a proactive approach to problem\-solving are essential. Familiarity with industry standards, safety regulations, and quality assurance processes will be advantageous. Candidates should demonstrate a passion for innovation, sustainability, and continuous learning to thrive in Rivian’s fast\-paced and evolving environment.
**Responsibilities**
 In this role, your key responsibilities will include designing, developing, and testing automotive components and systems to meet Rivian’s high standards for quality and performance. You will collaborate with cross\-functional teams to integrate new technologies, troubleshoot technical issues, and optimize vehicle functionalities. Managing project timelines, documenting technical specifications, and ensuring compliance with safety and regulatory standards will be integral parts of your duties. Additionally, you will participate in ongoing research and development initiatives to improve existing products and contribute to the innovation pipeline. Providing technical support during manufacturing processes and assisting in the validation and validation testing phases are also essential responsibilities.
**Benefits**
 Rivian offers a comprehensive benefits package designed to support the health, well\-being, and professional growth of our employees. This includes competitive salary packages, health insurance plans, retirement savings options, and paid time off. Employees have access to ongoing training and development programs, fostering a culture of continuous learning. The company promotes a collaborative and inclusive work environment, encouraging innovation and diversity. Additionally, Rivian provides opportunities for career advancement, involvement in meaningful projects, and the chance to be part of a pioneering organization committed to sustainability and technological excellence.
 Equal Opportunity
 Rivian is an equal opportunity employer. We celebrate diversity and are committed to creating an inclusive environment for all employees. We do not discriminate based on race, ethnicity, gender, age, religion, disability, sexual orientation, or any other protected characteristic. We believe that a diverse team enhances our innovation and success, and we are dedicated to providing equal employment opportunities to all qualified individuals.</t>
        </is>
      </c>
    </row>
    <row r="168">
      <c r="A168" t="inlineStr">
        <is>
          <t>li-4363212299</t>
        </is>
      </c>
      <c r="B168" t="inlineStr">
        <is>
          <t>Java Software Engineer</t>
        </is>
      </c>
      <c r="C168" t="inlineStr">
        <is>
          <t>BeaconFire Inc.</t>
        </is>
      </c>
      <c r="D168" t="inlineStr">
        <is>
          <t>linkedin</t>
        </is>
      </c>
      <c r="E168" t="inlineStr"/>
      <c r="F168" t="inlineStr"/>
      <c r="G168" t="inlineStr">
        <is>
          <t>Utah, United States</t>
        </is>
      </c>
      <c r="H168" t="inlineStr"/>
      <c r="I16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9">
      <c r="A169" t="inlineStr">
        <is>
          <t>li-4373287995</t>
        </is>
      </c>
      <c r="B169" t="inlineStr">
        <is>
          <t>Senior Software Engineer</t>
        </is>
      </c>
      <c r="C169" t="inlineStr">
        <is>
          <t>Inherent Technologies</t>
        </is>
      </c>
      <c r="D169" t="inlineStr">
        <is>
          <t>linkedin</t>
        </is>
      </c>
      <c r="E169" t="inlineStr"/>
      <c r="F169" t="inlineStr"/>
      <c r="G169" t="inlineStr">
        <is>
          <t>Sunnyvale, CA</t>
        </is>
      </c>
      <c r="H169" t="inlineStr"/>
      <c r="I169" t="inlineStr">
        <is>
          <t>**Position: Senior Software Engineer**
**Location: Sunnyvale, CA\*\*\*Day 1 Onsite\*\*\***
 Senior Software Engineer (Java Microservices \+ React \+ Kubernetes)
**Experience In**
 Building n\-tier, highly scalable, fault\-tolerant, and reactive microservices using Java, Scala, Go, Apache Camel, Spring/Spring Boot, Apache Tomcat, JBoss, and RESTful architecture.
 Designing and developing cutting\-edge, next\-generation reactive microservices deployed within Kubernetes ecosystems on public cloud platforms such as Google Cloud Platform (GCP) and Microsoft Azure.
 Architecting cloud\-native, distributed, high\-performance, scalable, and resilient systems.
 Applying expert\-level knowledge of Java and Spring Boot, with experience working across distributed systems and cross\-functional teams.
 Developing solutions with a strong focus on testability and high test coverage, utilizing tools such as Mockito and JUnit.
 Implementing microservices architecture best practices, including multithreading, networking, and performance tuning.
 Following a disciplined engineering approach, including code reviews, testing, documentation, and clean code structure within team environments.
 Designing and architecting applications using SQL and NoSQL databases, including Oracle, Cassandra, and Azure Cosmos DB.
 Leveraging industry research and innovation to build next\-generation systems that enhance the overall technology ecosystem.
 Front\-End \&amp; UI Development
 Developing applications using ReactJS, React Hooks, Next.js, JavaScript (ES6\+), TypeScript, HTML, and CSS.
 Building responsive, cross\-browser compatible, and high\-performance web and mobile applications with maximum code reusability and efficiency.
 Creating reusable, component\-based front\-end modules and user interfaces.
 Utilizing state management and architectural tools such as Flux, Flow, Redux, and similar frameworks.
 Demonstrating strong understanding of React fundamentals, including Virtual DOM, component lifecycle, and state management.
 Designing functional, technical, and user interface solutions aligned with defined requirements.
 Cloud \&amp; Containerization
 Deploying and managing applications in Azure, GCP, or other cloud platforms.
 Containerizing and orchestrating applications using Docker and Kubernetes.
**Desirable Skills**
 Skills: Digital : ReactJS\~Advanced Java Concepts
 Experience Required: 6\-8</t>
        </is>
      </c>
    </row>
    <row r="170">
      <c r="A170" t="inlineStr">
        <is>
          <t>li-4332968496</t>
        </is>
      </c>
      <c r="B170" t="inlineStr">
        <is>
          <t>Senior System Software Engineer, Robotics Simulation</t>
        </is>
      </c>
      <c r="C170" t="inlineStr">
        <is>
          <t>NVIDIA</t>
        </is>
      </c>
      <c r="D170" t="inlineStr">
        <is>
          <t>linkedin</t>
        </is>
      </c>
      <c r="E170" t="inlineStr"/>
      <c r="F170" t="inlineStr"/>
      <c r="G170" t="inlineStr">
        <is>
          <t>Santa Clara, CA</t>
        </is>
      </c>
      <c r="H170" t="inlineStr"/>
      <c r="I170" t="inlineStr">
        <is>
          <t>We are now looking for a Senior System Software Engineer for our Robotics Simulation Team!
 NVIDIA Isaac Sim ™ is a cutting\-edge robotics simulation platform that empowers researchers and engineers to accelerate the development and deployment of intelligent robots. Leveraging the power of NVIDIA's AI and GPU technologies, Isaac Sim offers a realistic and scalable environment for training, validating, and optimizing robots for real\-world scenarios.
**What You’ll Be Doing**
* Building and integrating tools to configure, simulate, and test robots
* Maintain and optimize the existing simulation stack for scalable robot and sensor simulation
* Integrate APIs to support large scale simulator deployments on distributed systems
* Develop microservices, using ZMQ, DDS, RPC, RESTful and other network level communication APIs
**What We Need To See**
* BS, MS, PhD (or equivalent experience) in Computer Science, Simulation, or related field
* 3\+ years of experience in systems software engineering
* Excellent C, C\+\+, and Python programming skills
* Flexibility to adapt quickly to varying roles \&amp; responsibilities
* Experience with physics simulation, robotics or motion planning \&amp; controls
* Excellent interpersonal skills and ability to work optimally with multi\-functional teams, principles, and architects across organizational boundaries and geographies
**Ways To Stand Out From The Crowd**
* Experience with Isaac Sim, Omniverse, USD, MJCF, URDF, CAD formats
* Background with physical robots, reinforcement learning, synthetic data generation
* Experience with UI/UX for user and developer facing tools
* Background with shipping and supporting software products
* Experience with system level optimization using multi\-threading, asynchronous programming, concurrency and parallelism
 NVIDIA is widely considered to be one of the technology industry's most desirable employers. We have some of the most forward\-thinking and hardworking people in the world working with us. Do you want to help build a state of the art, next generation simulation platform for the robotics industry? If so, we welcome you to apply. Tell us why you think you might be a great fit for our team, and we'd love to tell you more about what we do.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JR1995554</t>
        </is>
      </c>
    </row>
    <row r="171">
      <c r="A171" t="inlineStr">
        <is>
          <t>li-4373287694</t>
        </is>
      </c>
      <c r="B171" t="inlineStr">
        <is>
          <t>Software Engineer (Java, Python)</t>
        </is>
      </c>
      <c r="C171" t="inlineStr">
        <is>
          <t>Wiraa</t>
        </is>
      </c>
      <c r="D171" t="inlineStr">
        <is>
          <t>linkedin</t>
        </is>
      </c>
      <c r="E171" t="inlineStr"/>
      <c r="F171" t="inlineStr"/>
      <c r="G171" t="inlineStr"/>
      <c r="H171" t="inlineStr"/>
      <c r="I171" t="inlineStr">
        <is>
          <t>**About The Company**
 Harness is a leading technology company specializing in AI\-powered software delivery platforms. Founded by renowned technologist and entrepreneur Jyoti Bansal, the company's mission is to revolutionize the software development lifecycle by integrating artificial intelligence and automation into deployment, testing, security, and compliance workflows. With substantial venture funding totaling approximately $240 million in Series E and a valuation of $5\.5 billion, Harness is backed by top\-tier investors including Goldman Sachs, Menlo Ventures, IVP, Google Ventures, J.P. Morgan, Capital One Ventures, Citi Ventures, ServiceNow, and Splunk Ventures. The company's innovative platform encompasses a broad suite of products such as CI/CD, feature flags, cloud cost management, service reliability, chaos engineering, and observability tools, enabling organizations worldwide to accelerate their release cycles and improve DevOps efficiency. Harness powers millions of deployments, billions of API calls, and significant cloud cost savings for clients like United Airlines and Choice Hotels, demonstrating its industry leadership and impact. With a global presence spanning over 25 countries, Harness is committed to shaping the future of AI\-driven software delivery and continuously expanding its technological capabilities.
**About The Role**
 We are seeking a highly experienced Staff Software Engineer to join our dynamic engineering team. In this role, you will leverage your deep expertise in distributed systems, microservices architecture, and cloud\-native backend engineering to build scalable, reliable, and high\-performance systems. Your primary focus will be on designing and developing fault\-tolerant backend services capable of handling millions of requests per second, ensuring operational excellence through incident management, performance optimization, and automation. You will work closely with cross\-functional teams to implement best practices in system reliability, security, and observability, contributing to the continuous improvement of our platform. This position offers an opportunity to influence the technical direction of Harness’s core infrastructure, mentor junior engineers, and drive innovation in a fast\-paced, collaborative environment. The ideal candidate will possess strong leadership qualities, a passion for scalable architecture, and a commitment to operational excellence, all while working remotely within the United States.
**Qualifications**
* 10\-14 years of professional experience in backend platform engineering, distributed systems, and microservices architecture
* Proficiency in programming languages such as Go, Java, or Python, with a focus on multithreading and concurrency
* Hands\-on experience with Kubernetes and service meshes like Istio or Linkerd
* Deep understanding of cloud infrastructure providers such as AWS, GCP, or Azure
* Experience with gRPC, REST APIs, and GraphQL, including performance tuning
* Strong knowledge of CI/CD pipelines and infrastructure automation tools like Terraform or Pulumi
* Proven track record of managing production incidents and implementing operational best practices
* Excellent debugging, problem\-solving, and analytical skills in complex distributed environments
* Experience with observability tools such as Prometheus, OpenTelemetry, Grafana, or Datadog
* Knowledge of security standards including SOC2, ISO 27001, and PCI DSS
* Effective leadership and mentorship abilities with excellent communication skills
**Responsibilities**
* Design and architect scalable, fault\-tolerant backend systems capable of handling high request volumes
* Develop microservices using Go, Java, or Python, ensuring high availability and resilience
* Deploy and manage applications on cloud platforms like AWS, GCP, or Azure using Kubernetes clusters
* Implement event\-driven architectures utilizing Kafka, Pulsar, or RabbitMQ for distributed messaging
* Establish and maintain operational excellence through incident response, SLAs, SLIs, and SLOs
* Lead post\-incident reviews, root cause analysis, and drive system improvements
* Define and implement observability strategies including logging, monitoring, and distributed tracing
* Optimize system performance related to latency, throughput, and resource utilization
* Enhance database and storage solutions for SQL and NoSQL environments, ensuring efficiency and security
* Implement security best practices for APIs, authentication, and authorization, maintaining compliance standards
* Mentor engineering team members, conduct code reviews, and promote best practices in platform engineering
* Collaborate with cross\-functional teams to align platform capabilities with overall business objectives
**Benefits**
* Opportunity to work on transformative products with a global impact
* End\-to\-end ownership of projects and technical initiatives
* Competitive salary aligned with experience and expertise
* Comprehensive healthcare benefits covering medical, dental, and vision
* Flexible work schedule supporting work\-life balance
* Quarterly team\-building events and social activities
* Paid Time Off and parental leave policies
* Monthly internet reimbursement to support remote work
* Engagement in a forward\-thinking, innovative company shaping the future of AI\-driven software delivery
 Equal Opportunity
 Harness is an equal opportunity employer. We celebrate diversity and are committed to creating an inclusive environment for all employees. All qualified applicants will receive consideration for employment without regard to race, color, religion, sex, gender identity, sexual orientation, national origin, age, disability, or any other protected status. We encourage candidates from all backgrounds to apply and join our mission to transform software delivery through AI and automation.</t>
        </is>
      </c>
    </row>
    <row r="172">
      <c r="A172" t="inlineStr">
        <is>
          <t>li-4364528629</t>
        </is>
      </c>
      <c r="B172" t="inlineStr">
        <is>
          <t>Senior Front-End Software Engineer</t>
        </is>
      </c>
      <c r="C172" t="inlineStr">
        <is>
          <t>Tenna</t>
        </is>
      </c>
      <c r="D172" t="inlineStr">
        <is>
          <t>linkedin</t>
        </is>
      </c>
      <c r="E172" t="inlineStr"/>
      <c r="F172" t="inlineStr"/>
      <c r="G172" t="inlineStr"/>
      <c r="H172" t="inlineStr"/>
      <c r="I172" t="inlineStr">
        <is>
          <t>**Position Description** 
 Tenna is searching for a Senior Front\-end Engineer to design and deliver polished, high\-impact features that elevate the user experience across our rapidly evolving product suite. As a Senior Front\-end Engineer, you’ll play a critical role in building intuitive, performant, and scalable interfaces that support complex workflows for construction professionals. You’ll collaborate closely with a tightly\-knit, forward\-thinking team across design, product, and back\-end engineering to transform vision into high\-quality, tangible product outcomes. Your work will involve writing modern, clean, and maintainable front\-end code, while leveraging best practices in performance, accessibility, and design systems to advance Tenna’s mission of connecting construction assets, people, and data.
**Why Tenna?** 
 At Tenna, we believe the best is right in front of all of us, and that each day holds more potential than the one before. We believe that every new discovery can lead to something better than we thought possible. When we boil it down, the top five qualities that define the Tenna Team are quality\-obsessed, gritty, continuous learners, collaborative problem solvers, and just plain awesome. Sound like you?
 Join us
 as we empower our customers to control their mixed assets anytime, anywhere, on one comprehensive platform. Apply now!
**Responsibilities** 
* Consistently write bug\-free, well\-tested, and maintainable code, taking full ownership of the quality and reliability of your contributions using React, TypeScript, JavaScript, and Node.js.
* Design, develop, and maintain robust, scalable front\-end features within a fast\-paced, collaborative environment.
* Build prototypes and translate product requirements into elegant, user\-friendly solutions with a strong emphasis on UX and responsive design.
* Optimize application performance through refactoring, tuning, and usability improvements, using data to guide technical decisions.
* Support the rollout of new features and enhancements, leveraging insights from user behavior, system monitoring, and product feedback.
* Collaborate with QA to ensure cohesive, high\-quality, and usable solutions are delivered across the product lifecycle.
* Evaluate, test, and recommend new technologies and tools to improve the scalability, performance, and maintainability of our solutions.
* Serve as a key participant in our agile development process, contributing to sprint planning, standups, retrospectives, and continuous delivery.
* Produce excellent documentation to support maintainability, onboarding, and internal knowledge sharing.
* Implement and maintain unit tests and participate in code reviews to ensure quality and consistency across the codebase.
* Collaborate across engineering, product, and design teams to deliver end\-to\-end functionality aligned with business goals and user needs.
* Stay informed of modern frameworks, libraries, and development practices, contributing to ongoing improvements in tooling and workflows.
* Support and maintain software functionality, including contributing to internal documentation and shared resources.
* Manage Git\-based workflows, including branching strategies and merge conflict resolution, supporting effective collaboration.
* Participate in CI/CD pipelines and deployment processes, ensuring smooth, reliable releases across environments.
**Qualifications** 
* 8\+ years of hands\-on software development experience, with a strong focus on building and maintaining scalable, user\-centric web applications.
* Proven ability to design and deliver polished, high\-impact front\-end solutions using React, JavaScript, Typescript, and Node.js in production environments.
* Strong foundation in front\-end architecture, with expertise in building reusable components, optimizing performance, and implementing responsive, accessible user interfaces.
* Demonstrated skill in building end\-to\-end features, from prototyping through production deployment, with a strong UX and product mindset.
* Solid experience in performance tuning, refactoring, unit testing, and front\-end automation.
* Comfortable analyzing and reacting to system\-level feedback, user behavior, and performance metrics to guide iterative development.
* Deep commitment to writing clean, maintainable, and well\-documented code, with a collaborative approach to code reviews and cross\-functional teamwork.
* Hands\-on experience with Git for version control and collaborating within multi\-developer teams.
* Familiarity with modern CI/CD practices and toolchains for front\-end and full\-stack deployment workflows.
* Solid experience working within Amazon Web Services (AWS), particularly with services like EC2, S3, VPC, Elasticsearch, and Kinesis.
* Demonstrated ability to solve complex technical and business problems across diverse and evolving software architectures.
* Proven success working both independently and collaboratively on mission\-critical initiatives in fast\-paced environments.
* Bachelor’s or Master’s degree in Computer Science or a related field, or equivalent industry experience.
* Engineers with experience in C\#, .NET, or Python are encouraged to apply, provided they demonstrate a strong willingness to transition into and develop expertise within Tenna’s JavaScript/
 Node.js\-centric
 technology stack.
* Strong interest in continuous learning, with a proactive approach to evaluating and adopting new technologies, libraries, and frameworks.
**Benefits, Perks, \&amp; Additional Information:** 
* Full\-time opportunity.
* Location: Remote \- nationwide.
* Travel is required, 8 \- 10%.
* Competitive compensation package.
* Robust, low\-cost benefit packages offered.
* Benefit coverage begins the first date of employment.
* Paid Time Off and Volunteer Time Off offered.
* 401k match offered.
* Dependent Care offered.
* Employee referral bonuses.</t>
        </is>
      </c>
    </row>
    <row r="173">
      <c r="A173" t="inlineStr">
        <is>
          <t>li-4372319841</t>
        </is>
      </c>
      <c r="B173" t="inlineStr">
        <is>
          <t>Software Engineer - Remote</t>
        </is>
      </c>
      <c r="C173" t="inlineStr">
        <is>
          <t>RemoteHunter</t>
        </is>
      </c>
      <c r="D173" t="inlineStr">
        <is>
          <t>linkedin</t>
        </is>
      </c>
      <c r="E173" t="inlineStr"/>
      <c r="F173" t="inlineStr"/>
      <c r="G173" t="inlineStr"/>
      <c r="H173" t="inlineStr"/>
      <c r="I173" t="inlineStr">
        <is>
          <t>About the Opportunity:
 The Radiation Oncology Systems Unit within the Clinical Systems Domain is seeking a Software Engineer to join the Custom Development IT team. This team collaborates with medical physicists and IT professionals to deliver secure, scalable solutions for an Enterprise Radiation Oncology Department supporting both Photon and Proton clinics.
 Responsibilities:
 • Design, develop, implement, and maintain custom system software
 • Create middleware to integrate measurement hardware, software interfaces, TPS scripting, and data flow
 • Develop one\-off code solutions to optimize and automate unique clinical processes
 • Operate in a fast\-paced Agile environment, managing multiple initiatives and reprioritizing as needed
 Requirements:
 • Bachelor''s degree in computer science/engineering or related field; or associate’s degree with 2 additional years of relevant experience
 • Strong understanding of software development concepts and object\-oriented programming
 • Experience in web programming, specifically with C\# and .NET
 • Front\-end development skills and experience in Agile software development processes
 • Experience with Java, JavaScript, and TypeScript web app development is a plus
 • Familiarity with DICOM standards preferred
 • Ability and willingness to learn additional programming languages as needed
 • Experience with large databases, MS SQL, and SQL query optimization
 • Knowledge of client application models, web\-based application models, and web APIs
 • Experience with complex system integration including file\-based and API\-based integrations
 • Familiarity with agile scrum and secure coding practices
 • Knowledge of cloud app development and technologies is preferable
 Benefits \&amp; Perks:
 • Benefits eligible
 • 100% remote work
 Compensation:
 • $95,534\.40 \- $140,462\.40 per year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4">
      <c r="A174" t="inlineStr">
        <is>
          <t>li-4373294943</t>
        </is>
      </c>
      <c r="B174" t="inlineStr">
        <is>
          <t>Staff Backend Engineer</t>
        </is>
      </c>
      <c r="C174" t="inlineStr">
        <is>
          <t>GiveCard</t>
        </is>
      </c>
      <c r="D174" t="inlineStr">
        <is>
          <t>linkedin</t>
        </is>
      </c>
      <c r="E174" t="inlineStr"/>
      <c r="F174" t="inlineStr"/>
      <c r="G174" t="inlineStr"/>
      <c r="H174" t="inlineStr"/>
      <c r="I174" t="inlineStr">
        <is>
          <t>**About Us**
 GiveCard builds infrastructure to magically move money to people who need it. Last year, 1 in every 300 households in the United States received financial assistance through GiveCard — including families who lost their homes in disasters, state benefit recipients, and survivors of domestic violence.
 We’re a deeply caring, small team of Givetopians who believe that the smartest people in the world should dedicate their time to manufacturing
 *good magic* 
 . Our culture and philosophy put morality, vocation, and fulfillment at the forefront — and we have a very, very fun time doing it.
**The Role**
 We’re hiring a Staff Backend Engineer to take deep ownership of the most critical financial systems at GiveCard. This is a hands\-on individual contributor role for someone who loves writing hard backend code, designing durable systems that move real money, and building infrastructure that must be correct, auditable, and resilient at scale.
 You’ll work deeply in our ledgering, payments, and workflow orchestration systems, shaping how money moves through GiveCard from end to end. While this role does not involve formal people management, you’ll act as a de facto technical lead for the backend team — setting technical direction, mentoring other engineers, and owning foundational systems that the rest of the company depends on.
 This is a high\-autonomy role in a fast\-moving, mission\-driven environment, with real responsibility and real impact on millions of lives.
 This role is Remote, but you're welcome to work from our offices in New York and San Francisco whenever convenient.
**How You’ll Impact The Company**
* Own and evolve GiveCard’s most critical backend systems, including our core ledgering, payment orchestration, and task execution infrastructure. These systems must be correct, auditable, and safe in the face of partial failure — and you’ll help define how we build and scale them.
* Lead our highest\-complexity technical work. When the company needs to ship something foundational — a new financial workflow, a high\-stakes integration, or a major refactor of core infrastructure — you’ll be someone we rely on to design it well and see it through.
* Raise the technical bar across the backend team by setting best practices for system design, code quality, documentation, and engineering judgment. You’ll be a role model for how we build and ship high\-quality software.
* Act as a strategic technical partner in shaping GiveCard’s architecture and product direction. Whether it’s a 0\-to\-1 initiative or a long\-term infrastructure investment, you’ll have a strong voice in deciding what we build — and you’ll be hands\-on in making it real.
* Mentor and up\-level other engineers through thoughtful feedback, design reviews, and collaborative problem\-solving.
**Requirements**
* 8\+ years of experience architecting, building, shipping, and maintaining backend software at scale
* Experience acting as a technical leader or Staff\-level individual contributor, including mentoring engineers, leading technical design discussions, and owning large systems end\-to\-end
* Strong backend engineering experience in one or more production languages (Go, Java, Ruby, etc), with a willingness to work primarily in Go
* Experience designing and operating complex systems, with strong comfort working with Postgres and relational data models
* Ability to ramp up quickly in a new product ecosystem and contribute meaningfully to large, high\-impact projects
* Experience working in startup or high\-autonomy environments, and comfort operating effectively amid ambiguity
* Excellent written and verbal communication skills across technical and non\-technical audiences
* Ability to give and receive high\-quality feedback in technical specs, code reviews, and team discussions
* A strong desire to use your work to make a positive impact in the world
**Exceptional Candidates Will Have**
* Experience building financial systems, payment infrastructure, core ledgers, or banking platforms
* Comfort designing systems that require correctness, idempotency, reconciliation, and auditability
* Experience operating backend systems under high load and real\-world failure conditions
* Comfort making infrastructure and DevOps decisions using AWS, Terraform, and modern cloud tooling
* Excellent judgment when trading off speed, robustness, and long\-term scalability
* The ability to communicate and collaborate effectively across a wide range of seniority levels
* A strong sense of ownership and an impact\-driven mindset
* Passion for mentoring and helping other engineers grow
* Curiosity and excitement when working with new technologies or tackling novel, difficult problems
**At GiveCard, You’ll Enjoy**
* Working alongside very smart people on technology that genuinely matters.
* A remote\-friendly work environment with a dog\-friendly office in Manhattan
* A minimum of 25 days of PTO
* 100% medical, dental, and vision insurance coverage for you and your family
* Generous parental leave
* Expected compensation of $210,000 – $240,000, based on level and experience.
 Compensation Range: $210K \- $240K</t>
        </is>
      </c>
    </row>
    <row r="175">
      <c r="A175" t="inlineStr">
        <is>
          <t>li-4372321692</t>
        </is>
      </c>
      <c r="B175" t="inlineStr">
        <is>
          <t>Software Engineer</t>
        </is>
      </c>
      <c r="C175" t="inlineStr">
        <is>
          <t>RemoteHunter</t>
        </is>
      </c>
      <c r="D175" t="inlineStr">
        <is>
          <t>linkedin</t>
        </is>
      </c>
      <c r="E175" t="inlineStr"/>
      <c r="F175" t="inlineStr"/>
      <c r="G175" t="inlineStr"/>
      <c r="H175" t="inlineStr"/>
      <c r="I175"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6">
      <c r="A176" t="inlineStr">
        <is>
          <t>li-4372320729</t>
        </is>
      </c>
      <c r="B176" t="inlineStr">
        <is>
          <t>Senior Software Engineer</t>
        </is>
      </c>
      <c r="C176" t="inlineStr">
        <is>
          <t>CorSource</t>
        </is>
      </c>
      <c r="D176" t="inlineStr">
        <is>
          <t>linkedin</t>
        </is>
      </c>
      <c r="E176" t="inlineStr"/>
      <c r="F176" t="inlineStr"/>
      <c r="G176" t="inlineStr">
        <is>
          <t>Newberg, OR</t>
        </is>
      </c>
      <c r="H176" t="inlineStr"/>
      <c r="I176" t="inlineStr">
        <is>
          <t>**Senior Software / Firmware Engineer (Full\-Stack)** 
 We’re looking for
 **Senior\-level Software/Firmware Engineers** 
 to join a highly collaborative, product\-focused engineering team. This team builds and enhances
 **cloud and mobile applications** 
 that manage in\-office dental equipment usage, deliver operational insights, and support real\-time messaging for clinicians and service teams.
 This role is ideal for someone with a
 **product engineering mindset** 
 who enjoys working across the full stack. From embedded/firmware and backend services to modern front\-end applications, and who thrives in
 **pair programming and test\-driven development (TDD)** 
 environments.
**What You’ll Do** 
* Design, develop, test, and maintain
 **software and firmware systems** 
 across embedded, cloud, and application layers
* Apply strong software engineering principles to
 **analyze, troubleshoot, and resolve** 
 issues across prototypes, production systems, and field failures
* Collaborate closely with peers and project leads to conduct
 **design reviews** 
 , document decisions, and drive high\-quality solutions
* Develop and execute
 **unit, integration, and verification tests** 
 , and review/test peer code
* Contribute to product value by studying competitive solutions, customer workflows, and real\-world usage patterns
* Create and maintain high\-quality technical documentation (requirements, flowcharts, sequence diagrams, etc.)
* Work in a
 **highly collaborative Agile environment** 
 , including pair programming, co\-coding, and continuous feedback
* Support CI/CD pipelines and contribute to DevOps and DevSecOps practices
**Required Skills \&amp; Experience** 
* Senior\-level experience in
 **software or firmware engineering**
* Strong development experience with:
* **C / C\+\+**
* **Python**
* **TypeScript**
* **React** 
 (or similar modern front\-end framework)
* Experience working with
 **Linux and/or Real\-Time Operating Systems (RTOS)**
* Solid understanding of the
 **software development lifecycle (SDLC)**
* Experience working in
 **Agile teams**
* Comfortable working independently
 *and* 
 collaboratively in team\-oriented environments
* Strong written and verbal communication skills
* Experience with
 **software configuration management** 
 and version control
**Preferred / Nice\-to\-Have Skills** 
* Experience with
 **cloud platforms** 
 and distributed systems
* Familiarity with
 **Clojure** 
 and/or
 **Terraform**
* Experience in a
 **DevOps / DevSecOps environment**
* Hands\-on experience with
 **CI/CD pipelines**
* Background in
 **product engineering** 
 or regulated product development
* Experience working in
 **TDD environments** 
 with heavy pair programming</t>
        </is>
      </c>
    </row>
    <row r="177">
      <c r="A177" t="inlineStr">
        <is>
          <t>li-4337629351</t>
        </is>
      </c>
      <c r="B177" t="inlineStr">
        <is>
          <t>Software Engineer, Spectacles Full Stack, Level 4</t>
        </is>
      </c>
      <c r="C177" t="inlineStr">
        <is>
          <t>Snap Inc.</t>
        </is>
      </c>
      <c r="D177" t="inlineStr">
        <is>
          <t>linkedin</t>
        </is>
      </c>
      <c r="E177" t="inlineStr"/>
      <c r="F177" t="inlineStr"/>
      <c r="G177" t="inlineStr">
        <is>
          <t>Bellevue, WA</t>
        </is>
      </c>
      <c r="H177" t="inlineStr"/>
      <c r="I17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Spectacles team at Snap Inc!
 What you’ll do:
* Design, implement, and operate features across Spectacles device, mobile app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Knowledge, Skills \&amp; Abilities:
* Knowledge of software development in web frontend and backend
* You understand the operational aspects of your system and may participate in incident or hotfix investigation and resolution
* Strong communication and collaboration skills
* Proficiency in utilizing AI\-powered tools to enhance productivity, automate tasks, and analyze data. Ability to critically evaluate AI outputs for accuracy and relevance.
 Minimum Qualifications:
* Bachelor's Degree in a relevant technical field such as computer science or equivalent years of practical work experience
* 3\+ years of experience with consumer\-facing software development
* 2\+ years of experience in using TypeScript and Node.js to develop web frontend and backend
 Preferred Qualifications:
* Experience with building UX optimized for AR/VR devices
* Experience with modern web front\-end technologies (e.g. Next.js, Tailwind CSS, shadcn/ui)
* Experience with SQL, NoSQL and vector databases (e.g. PostgreSQL, DynamoDB, Pinecone)
* Experience with payment service providers (e.g. Stripe, PayPal, Adyen)
* Capable of integrating AI into daily workflows to improve efficiency and decision\-making. Ability to quickly adapt to new AI technologies and methodologies.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78">
      <c r="A178" t="inlineStr">
        <is>
          <t>li-4372318898</t>
        </is>
      </c>
      <c r="B178" t="inlineStr">
        <is>
          <t>Software Engineer</t>
        </is>
      </c>
      <c r="C178" t="inlineStr">
        <is>
          <t>FetchJobs.co</t>
        </is>
      </c>
      <c r="D178" t="inlineStr">
        <is>
          <t>linkedin</t>
        </is>
      </c>
      <c r="E178" t="inlineStr"/>
      <c r="F178" t="inlineStr"/>
      <c r="G178" t="inlineStr"/>
      <c r="H178" t="inlineStr"/>
      <c r="I178" t="inlineStr">
        <is>
          <t>**About The Company**
 L3Harris Technologies is a global leader in defense and aerospace solutions, committed to delivering innovative technology and end\-to\-end systems that support national security and military operations worldwide. With a focus on cutting\-edge research and development, L3Harris provides mission\-critical solutions across space, air, land, sea, and cyber domains. Our dedicated team of professionals is passionate about making a difference, driven by a shared commitment to excellence, integrity, and community engagement. We foster an inclusive environment that encourages professional growth, collaboration, and diversity, ensuring our employees are empowered to achieve their full potential in a dynamic and challenging industry.
**About The Role**
 We are seeking experienced engineers to join our team in Waco, Texas, as part of our upcoming engineering hiring event. The ideal candidates will possess a minimum of three years of relevant experience and be eligible to obtain a Department of Defense (DOD) Secret Security Clearance, which requires U.S. citizenship. This event is tailored for seasoned professionals and not intended for recent or new college graduates. As a vital contributor to our engineering projects, you will be involved in designing, developing, testing, and supporting advanced defense systems that meet the critical needs of our national security clients. This role offers an excellent opportunity to work on innovative projects within a collaborative environment that values technical expertise, problem\-solving skills, and a commitment to excellence.
**Qualifications**
* Minimum of 3 years of relevant engineering experience in aerospace, electrical, systems, mechanical, or related fields.
* Proven experience in designing, analyzing, and testing complex systems or components.
* Eligibility to obtain a DOD Secret Security Clearance; U.S. citizenship is required.
* Bachelor's degree in Engineering, Science, or a related technical discipline; advanced degrees are a plus.
* Strong problem\-solving skills and the ability to work effectively in a team environment.
* Excellent communication skills, both written and verbal.
* Experience with industry standards, safety protocols, and quality assurance processes.
**Responsibilities**
* Design, develop, and analyze aerospace and defense systems, ensuring they meet performance, safety, and reliability standards.
* Collaborate with cross\-functional teams to integrate systems and troubleshoot technical issues.
* Conduct detailed system testing and validation to ensure compliance with specifications.
* Prepare technical documentation, reports, and presentations for internal and external stakeholders.
* Participate in design reviews, project planning, and risk assessments to support project milestones.
* Maintain awareness of emerging technologies and industry trends to continuously improve system performance and innovation.
* Support security clearance processes by providing necessary documentation and cooperating with background investigations.
**Benefits**
 L3Harris offers a comprehensive benefits package designed to support our employees' health, well\-being, and professional development. Employees enjoy competitive salaries, health insurance plans including medical, dental, and vision coverage, and retirement savings options. We also provide paid time off, holidays, flexible work arrangements where applicable, and opportunities for career advancement through training and development programs. Our commitment to work\-life balance and employee satisfaction is reflected in our supportive work environment and recognition programs. Additionally, employees have access to various employee resource groups and community engagement initiatives, fostering a sense of belonging and purpose within the organization.
 Equal Opportunity
 L3Harris Technologies is an Equal Opportunity Employer. We are committed to creating a diverse and inclusive workplace where all employees and applicants are treated with respect and dignity. We do not discriminate based on race, color, religion, age, national origin, ethnicity, gender, gender identity, sexual orientation, marital status, veteran status, disability, genetic information, citizenship status, or any other characteristic protected by law. We promote equal employment opportunities and provide a work environment free from unlawful discrimination and harassment. All employment decisions are made based on qualifications, merit, and business needs. We also maintain a drug\-free workplace and conduct pre\-employment substance abuse testing and background checks where permitted by law. We encourage qualified individuals from all backgrounds to apply and join our team in making a difference through technology and innovation.</t>
        </is>
      </c>
    </row>
    <row r="179">
      <c r="A179" t="inlineStr">
        <is>
          <t>li-4364509442</t>
        </is>
      </c>
      <c r="B179" t="inlineStr">
        <is>
          <t>Software Developer - Java/Python - $105,000 + Comps - Florida</t>
        </is>
      </c>
      <c r="C179" t="inlineStr">
        <is>
          <t>Hunter Bond</t>
        </is>
      </c>
      <c r="D179" t="inlineStr">
        <is>
          <t>linkedin</t>
        </is>
      </c>
      <c r="E179" t="inlineStr"/>
      <c r="F179" t="inlineStr"/>
      <c r="G179" t="inlineStr">
        <is>
          <t>Florida, United States</t>
        </is>
      </c>
      <c r="H179" t="inlineStr"/>
      <c r="I179" t="inlineStr">
        <is>
          <t>**Role:** 
 Software Developer (Mid\-Level)
**Where:** 
 Florida
**Salary:** 
 Competitive \+ Compensation Package
**Type:** 
 On\-Site
**Summary** 
 On behalf of a highly regarded fintech organisation, we are partnering to find an experienced Software Developer to join their front\-office engineering team in Florida. This role is suited to an engineer with a strong foundation in building production systems who is looking to take on greater ownership while working on high\-impact, revenue\-facing technology in a fast\-moving environment.
**What we’re looking for** 
* Bachelor’s degree in Computer Science or a related technical discipline
* **2–5 years** 
 of commercial software development experience, ideally using
 **Python and/or Java**
* Background working on complex, performance\-sensitive systems within fintech, finance, or similar domains
**What you’ll do** 
* Design, build, and enhance scalable applications used directly by front\-office stakeholders
* Partner closely with traders, product teams, and fellow engineers to deliver robust solutions
* Contribute to technical decisions, improve system reliability, and uphold high engineering standards
 If this opportunity sounds like a good fit, please apply or get in touch for a confidential discussion.</t>
        </is>
      </c>
    </row>
    <row r="180">
      <c r="A180" t="inlineStr">
        <is>
          <t>li-4373297928</t>
        </is>
      </c>
      <c r="B180" t="inlineStr">
        <is>
          <t>Software Developer, Senior</t>
        </is>
      </c>
      <c r="C180" t="inlineStr">
        <is>
          <t>Trilogy Innovations</t>
        </is>
      </c>
      <c r="D180" t="inlineStr">
        <is>
          <t>linkedin</t>
        </is>
      </c>
      <c r="E180" t="inlineStr"/>
      <c r="F180" t="inlineStr"/>
      <c r="G180" t="inlineStr">
        <is>
          <t>Bridgeport, WV</t>
        </is>
      </c>
      <c r="H180" t="inlineStr"/>
      <c r="I180" t="inlineStr">
        <is>
          <t>**About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seeking experienced Senior Software Developers to join our team in support of a high\-impact federal modernization initiative. This is a fully remote opportunity to work on large\-scale, mission\-critical IT systems that serve real users at a national level.
 You’ll collaborate with a talented, distributed engineering team and play a key role in shaping the future of complex government technology environments. If you enjoy solving challenging technical problems, contributing to long\-term transformation efforts, and working in a fast\-growing organization, this role offers both stability and meaningful impact.
**On\-Call Expectations**
 To support critical system needs, this role participates in a rotating on\-call schedule one week out of every four. During your on\-call week, you’ll be part of a responsive support team that helps ensure system reliability and continuity.
* Acknowledge on\-call contacts (phone, text, or email) within 15 minutes
* Remain within reasonable access to your secure work laptop while on call
* Log in and begin assessing or troubleshooting requests within 60 minutes of notification
 The on\-call rotation is structured to provide balance while ensuring our federal partners receive timely, dependable support when it matters most.
**What You Will Do**
* Develop, create, and modify general computer applications software or specialized utility programs.
* Migrate and modernize all current\-system functionality from legacy mainframe systems into cloud\-native microservices operating within AWS GovCloud.
* Participate in the operation and support of an enterprise\-scale production system, including identifying, troubleshooting, and resolving system issues in collaboration with the ART.
* Analyze user needs and develop software solutions.
* Analyze and design databases within an application area, working individually or coordinating database development as part of a team.
* Apply principles and techniques of computer science, engineering, and mathematical analysis.
* Migrate and modernize all current\-system functionality from legacy mainframe systems into cloud\-native microservices operating within AWS GovCloud.
**What You Bring**
 We require:
* Bachelor’s Degree with a minimum of 8 years of work experience or Associate's Degree with a minimum of 12 years of experience.
* Active Tier 3 Secret clearance.
* Experience working within an Agile framework, actively contributing to sprint planning, backlog refinement, and Cl/CD Pipeline.
* 5\+ years' experience with Java Object\-Oriented Programming.
* 5\+ years' experience with Kubernetes and containers; automating the deployment, scaling, and management of containerized applications.
* Experience designing, building, and operating cloud\-native architectures within secure, regulated environments.
* Experience designing and supporting event\-driven architectures with an emphasis on reliability, scalability, and fault tolerance.
* 5\+ years of hands\-on experience with three or more of the following:
* Apache Kafka
* Pub/Sub (Publish, subscribe)
* Streaming
* Event sources
* Running GitOps (GitLab, Git, Bitbucket, ArgoCD, Tecton, etc.) within version control tools.
* Atlassian Tool Suite (Jira, Confluence, Bitbucket) for version control management.
* Ability for on\-call support. These positions can expect to be on the on\-call list one (1\) week out of every four (4\) weeks.
**Must Have Skills**
* Proficient with Java Object\-Oriented Programming
* Experience with Cloud\-native architectures
+ Event\-driven architectures; streaming (preferred).
* Experience with Kubernetes; automating the deployment, scaling, and management of containerized applications
* Experience running GitOps (GitLab, Bitbucket, ArgoCD, Tecton, etc.)
* Experience with large scale systems
**Nice To Have Skills**
* Experience with Apache Kafka
+ Pub/Sub (Publish, subscribe).
+ Streaming experience
+ Event sourcing
* Experience with OpenTelemetry
* Experience with AWS
* Experience with Atlassian Tool Suite (Jira, Confluence, Bitbucket) is a plus.
**Additional Preferred Qualifications**
* Provide technical leadership for the development team, including: collaboration with the System Architects to implement architectural decisions that ensure alignment with ART standards, patterns, and security requirements.
* Actively mentor developers, including: support for junior and mid\-level developers in solutioning and design decisions, promotion ofbes.t practices in code development, testing, and documentation.
* Demonstrate a positive, collaborative attitude and a commitment to team success
* Takes pride in delivering high\-quality, reliable software that supports a mission\-critical system
* Shows ownership and accountability for assigned work and shared team outcomes
* Engages constructively in Agile ceremonies and technical discussions
* Maintains a strong work ethic, professionalism, and respect for teammates, stakeholders, and mission priorities
* Adapts to change and approaches challenges with a solution\-oriented mindset
**High\-level objects include, but are not limited to the following:**
* Migrate all current\-system functionality from the mainframes and operate within a cloud\-based environment (AWS GovCloud)
* Incorporate modern name search capabilities.
* Expand image handling to accept larger files and support additional file formats, such as PDF.
* Transition investigative search to Elasticsearch, providing a faster response and report creation time for law enforcement.
* Build new services to follow a microservices architecture and run within containers using the OpenShift platform.
* Transition database functionality from IBM DB2 to the appropriate cloud data store.
* Update NIEM schemas and IEPDs to allow agencies to use updated functionality and speed up the dot\-delimited message format retirement.
**Work Environment**
* Remote with occasional travel as required.
**Why Trilogy Innovations**
 At Trilogy Innovations, we believe strong teams build meaningful solutions. We deliver high quality systems and software engineering services across public and private sectors, supporting complex and mission critical environments with integrity, collaboration, and care.
 Since 2010, our talented team has partnered with organizations such as the FBI, U.S. Air Force, NASA, Department of Education, Department of Energy, DHS, SOCOM, and leading private sector clients. We are known for combining technical excellence with a thoughtful, people first approach.
 At Trilogy, you will work alongside smart, committed professionals in a supportive, learning oriented environment. We value innovation, accountability, and continuous growth, and we encourage our people to bring both expertise and humanity to the work they do.
 If you are looking to contribute to impactful work while growing your skills in a collaborative and forward\-thinking organization, Trilogy Innovations is a place where you can do just that.
*Trilogy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81">
      <c r="A181" t="inlineStr">
        <is>
          <t>li-4373293954</t>
        </is>
      </c>
      <c r="B181" t="inlineStr">
        <is>
          <t>Senior Full Stack Engineer ( Python and Node. js/ TypeScript)</t>
        </is>
      </c>
      <c r="C181" t="inlineStr">
        <is>
          <t>Grid Dynamics</t>
        </is>
      </c>
      <c r="D181" t="inlineStr">
        <is>
          <t>linkedin</t>
        </is>
      </c>
      <c r="E181" t="inlineStr"/>
      <c r="F181" t="inlineStr"/>
      <c r="G181" t="inlineStr">
        <is>
          <t>Sunnyvale, CA</t>
        </is>
      </c>
      <c r="H181" t="inlineStr"/>
      <c r="I181"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182">
      <c r="A182" t="inlineStr">
        <is>
          <t>li-4354162410</t>
        </is>
      </c>
      <c r="B182" t="inlineStr">
        <is>
          <t>Senior Software Engineer, Data Platform</t>
        </is>
      </c>
      <c r="C182" t="inlineStr">
        <is>
          <t>MissionWired</t>
        </is>
      </c>
      <c r="D182" t="inlineStr">
        <is>
          <t>linkedin</t>
        </is>
      </c>
      <c r="E182" t="inlineStr"/>
      <c r="F182" t="inlineStr"/>
      <c r="G182" t="inlineStr"/>
      <c r="H182" t="inlineStr"/>
      <c r="I182" t="inlineStr">
        <is>
          <t>At MissionWired, we help our partners create revolutionary fundraising strategies that advance their mission, change our country, and have a positive impact on the world.
 We help our partners tell big, ambitious stories that invite their supporters into communities to raise mission\-changing revenue. Our results are unrivaled, having converted more than $4\.5 billion in donations to the world’s most trusted philanthropies and groundbreaking campaigns. We do it over email and SMS, in the mail, across social media, everywhere. We don’t think in terms of channels; we’re single\-minded in pursuit of your success.
 We’re innovative, progress\-obsessed, do\-gooders who care deeply about social change and continuing to push the limits on what we can accomplish together. We’ve brought strategies to life for nonprofit organizations working around the world, including Sandy Hook Promise, Human Rights Watch, The Humane Society of the U.S., Save the Children, and Friends of the Earth. Over the years, we have worked with various progressive political organizations and believe that each election cycle is an opportunity for us to support organizations across the country and elect Democrats to legislative bodies up and down the ballot.
 We’re an equal\-opportunity employer and take seriously our commitment to equality and equity. Our efforts to be inclusive and create opportunity don’t end when someone joins us – they begin. We’ve set our sights on changing the world through our work and with our clients, and representation is at the foundation of what we do. We know that diversity of thought and background makes us stronger. That’s why we’re committed to building and maintaining a diverse community.
 Every new team member broadens our perspective and allows us to think bigger. We’ll be at our best when people from underrepresented communities and people with a range of perspectives and lived experiences want to come, stay, and push the boundaries of what’s possible.
 Overview: We are looking for an experienced software engineer to own, maintain, and evolve our production data and machine learning platform. This role is responsible for the reliability, architecture, and scalability of the pipelines and systems that power our core data products, which transform millions of data points into unparalleled opportunities – supporting everything from electing Democrats to combating climate change throughout the world. With us, you’ll put your skills to use for disruptive innovation that powers social good.
 You’ll join a product team that is deeply devoted to inclusion, particularly in the following three areas:
 Process: We create a context in which everyone is empowered to contribute.
 Machine Learning: We are committed to using the power of data to support important causes.
 Philanthropy: We empower diverse groups of individuals to participate in giving.
 With us, you’ll put your skills to use for innovation that powers social good. We want your ideas and your leadership. Join us. Let’s go!
**You will be responsible for:**
* Joining each and every one of your colleagues in creating an inclusive workspace;
* Owning, maintaining, and supporting the reliability, architecture, and evolution of our production machine learning and delivery platform;
* Designing, operating, and improving large scale Databricks/Spark pipelines and workflows
* Partner with our data scientists to productionize new data and ML\-powered products;
* Leading improvements on the software integration layers between data pipelines and product workflows;
* Growing the team via mentorship and leadership, reviewing technical documents, improving code quality, and improving team performance and processes;
* Acting as a senior technical owner in debugging complex production issues and improving system observability;
* Collaborating with cross\-functional teams to support their data infrastructure needs.
**Must\-have qualifications:**
* Extensive hands\-on software engineering experience, with a strong track record of delivering production data pipelines or platforms in a mission critical environment
* Strong experience with Python in production systems
* Experience building and operating Databricks (or Spark) based pipelines
* Experience with SQL;
* Experience with at least one major cloud infrastructure provider (GCP, AWS, Azure)
* Experience with supporting business\-critical systems with on\-call ownership
* Passion, energy, and excitement for progressive and philanthropic causes and all things digital.
**Nice\-to\-have qualifications:**
* 5\+ years of professional experience;
* Experience building data\-intensive applications and warehouses with Databricks;
* Experience with integrating production level applications with AWS;
* Experience supporting ML training or inference pipelines;
* Experience working with cross\-functional teams in a dynamic environment.
 This position is included in a union\-represented collective bargaining unit, and specific employment terms and conditions are subject to collective bargaining.
**Salary**
 Salary range for this role is $107,000 to $120,000 per year, depending on experience.
**Location**
 We are currently working remotely with no return to office date. Applicants may reside in the following states: AZ, CA, CO, CT, DC, DE, FL, GA, IL, IN, KY, LA, MA, ME, MD, MI, MN, MO, NE, NC, NJ, NY, OR, PA, SC, TN, TX, VA, and WA. Due to FL legislation, MissionWired is required to participate in e\-verify .
**Benefits**
 100% employer\-paid premiums for platinum\-level medical plan on a national health care network
 100% employer\-paid life insurance and short term disability
 50% employer\-paid vision and dental insurance
 401(k) with 3% employer contribution
 17 vacation days in addition to 12 paid holidays, sick days, bereavement leave, and a volunteer day off.
 Paid parental leave at 100% of your salary
 Financial support for reproductive and transgender care
 Flexible telecommute and remote work policies
 Company issued Mac products for home offices
 Cell phone service reimbursement, meal and ride\-share reimbursement, and other perks available
* Supporting your team on some nights and weekends as we approach high\-volume times such as elections may be required.
*If you feel you can do the job and are excited about this opportunity but are not sure if you meet all the qualifications, consider applying anyway. We’d love to hear from you!*</t>
        </is>
      </c>
    </row>
    <row r="183">
      <c r="A183" t="inlineStr">
        <is>
          <t>li-4338550189</t>
        </is>
      </c>
      <c r="B183" t="inlineStr">
        <is>
          <t>Senior Software Engineer, PyTorch - Deep Learning</t>
        </is>
      </c>
      <c r="C183" t="inlineStr">
        <is>
          <t>NVIDIA</t>
        </is>
      </c>
      <c r="D183" t="inlineStr">
        <is>
          <t>linkedin</t>
        </is>
      </c>
      <c r="E183" t="inlineStr"/>
      <c r="F183" t="inlineStr"/>
      <c r="G183" t="inlineStr">
        <is>
          <t>Santa Clara, CA</t>
        </is>
      </c>
      <c r="H183" t="inlineStr"/>
      <c r="I183" t="inlineStr">
        <is>
          <t>We are now looking for a Senior Deep Learning Software Engineer, PyTorch.
 NVIDIA is hiring software engineers to design and build tools used by AI engineers across the world to design, develop, and deploy AI applications scalable across thousands of GPUs. This position will embed you in an ambitious and diverse team that influences all areas of NVIDIA's AI platform as well as directly contributes to PyTorch, a premiere deep learning framework. In this role you will work with multiple teams at NVIDIA across fields, as well as collaborate internationally with the PyTorch community to develop the best AI platform in the world.
**What You Will Be Doing**
* Design and build PyTorch components that run efficiently on supercomputers with 1000s\-100ks of GPUs.
* Collaborate with NVIDIA’s hardware and software teams to improve the overall GPU performance in PyTorch.
* Design, build and support production AI solutions used by enterprise customers and partners.
* Work with internal applied researchers to improve their AI tools.
**What We Need To See**
* BS in Computer Science or Engineering (or equivalent experience).
* 3\+ years professional experience in deep learning.
* Proficient with C\+\+ programming.
* Strong understanding of systems software and interfaces.
* Demonstrated experience with Thread and Distributed Parallel Programming
* Demonstrated background developing large software projects.
* Strong verbal and written communication skills
**Ways To Stand Out From The Crowd**
* Contributions and participation in the open source community.
* Familiarity with deep learning compilers.
* Familiarity with deep learning modeling trends.
* Background with CUDA Programming as well as Python.
* Demonstrated experience working with multi\-disciplinary teams.
 With highly competitive salaries and a comprehensive benefits package, NVIDIA is widely considered to be one of the technology industry's most desirable employers. We have some of the most forward\-thinking and talented people in the world working with us and our engineering teams are growing fast in some of the hottest state of the art fields: Deep Learning, Artificial Intelligence, and Autonomous Vehicles. If you're a creative and motivated software engineer with a real passion for building fast software solutions, with a passion to impact AI development worldwide,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JR2008549</t>
        </is>
      </c>
    </row>
    <row r="184">
      <c r="A184" t="inlineStr">
        <is>
          <t>li-4338338750</t>
        </is>
      </c>
      <c r="B184" t="inlineStr">
        <is>
          <t>Software Engineer, Full Stack, Spectacles Cloud, Level 4</t>
        </is>
      </c>
      <c r="C184" t="inlineStr">
        <is>
          <t>Snap Inc.</t>
        </is>
      </c>
      <c r="D184" t="inlineStr">
        <is>
          <t>linkedin</t>
        </is>
      </c>
      <c r="E184" t="inlineStr"/>
      <c r="F184" t="inlineStr"/>
      <c r="G184" t="inlineStr">
        <is>
          <t>Los Angeles, CA</t>
        </is>
      </c>
      <c r="H184" t="inlineStr"/>
      <c r="I18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Full Stack Software Engineer to join the Spectacles team at Snap Inc!
 What you’ll do:
* Design, implement, and operate features across Spectacles device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 Plan for roadmap, direct work for others, and lead by example by crafting high quality deliverables
 Knowledge, Skills \&amp; Abilities:
* Deep knowledge of software development in web frontend and scalable backend systems, including distributed services and microservices architecture.
* Proven ability to debug, troubleshoot, and operate mission\-critical cloud\-based systems in a production environment.
* Experience in delivering top quality, performant and scalable code with extensive unit / functional testing
* Excellent verbal and written communication skills, with high attention to detail
 Minimum Qualifications:
* Bachelor's Degree in a relevant technical field such as computer science or equivalent years of practical work experience
* 3\+ years of experience with consumer\-facing backend software development
* 1\+ years of experience in using TypeScript and Node.js to develop web frontend and backend
* Experience with relational, NoSQL, or vector databases (e.g., PostgreSQL, DynamoDB, Pinecone) in a production environment.
 Preferred Qualifications:
* Direct experience with building and deploying low\-latency, real\-time backend services to support AR/VR devices, specifically on major cloud providers (e.g., AWS, GCP).
* Experience with SQL, NoSQL and vector databases (e.g. PostgreSQL, DynamoDB, Pinecone)
* Experience with modern web front\-end technologies (e.g., Next.js, Tailwind CSS, shadcn/ui)
* Deep understanding of database optimization, indexing, and high\-availability patterns for data at scale.
* In\-depth experience with Backend\-as\-a\-Service (BaaS) platforms like Supabase or Firebase for rapid prototyping and production\-scale deployment.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85">
      <c r="A185" t="inlineStr">
        <is>
          <t>li-4338428780</t>
        </is>
      </c>
      <c r="B185" t="inlineStr">
        <is>
          <t>Senior Software Engineer</t>
        </is>
      </c>
      <c r="C185" t="inlineStr">
        <is>
          <t>ICE</t>
        </is>
      </c>
      <c r="D185" t="inlineStr">
        <is>
          <t>linkedin</t>
        </is>
      </c>
      <c r="E185" t="inlineStr"/>
      <c r="F185" t="inlineStr"/>
      <c r="G185" t="inlineStr">
        <is>
          <t>Atlanta, GA</t>
        </is>
      </c>
      <c r="H185" t="inlineStr"/>
      <c r="I185" t="inlineStr">
        <is>
          <t>**Overview**
**Job Purpose**
 ICE Mortgage Technology is the leading cloud\-based platform provider for the mortgage finance industry. ICE Mortgage Technology solutions enable lenders to originate more loans, reduce origination costs, and reduce the time to close, all while ensuring the highest levels of compliance, quality and efficiency.
 In this Senior Software Engineer role, you will be working in a dynamic development team while collaborating with other developers, product management and customer support teams. You will have an opportunity to participate in designing and developing services utilized across product lines. All our products are deployed in public (AWS) and/or private cloud environments.
**Responsibilities**
* Develop software solutions by studying information needs; conferring with users; studying systems flow, data usage and work processes; investigating problem areas; following the software development lifecycle
* Run planning meetings and facilitate accurate estimation of tasks
* Develops models of business functionality through prototyping. Participates in design and code review and code management.
* Interact with Product Management to understand and gather business requirements.
* Interact with other Teams to resolve dependencies.
* Assessing the efficiency of technologies, instruments, and equipment.
* Use project’s best practices and coding standards.
* Remove the technical impediments.
* Conduct project risk identification and mitigation action planning with the Engineering Manager.
* Assist with the planning and execution of the projects.
* Create technical designs and documentation.
**Knowledge And Experience**
* 5\+ years of direct experience with modern web stacks, design, development and deployment of high\-volume web applications and APIs.
* Working knowledge of relational database design and management.
* History of building resilient, stateless, scalable, distributed and observable systems.
* Experience in building services (REST) with high focus on performance.
* Expertise with microservices and knowledge of modern cloud services (AWS).
* Practical perspective on software engineering discipline, focus on learning and delivering, and passion for high quality.
* “You build it – You own it” mentality is a must. Sense of ownership is paramount to achieving success.
* Great energy and enthusiasm with a positive, collaborative working style, clear communication and writing skills.
**Technology Stack**
* Java 8\+/Spring Boot
* Reactive programming
* RESTful microservices
* SQL/PostgreSQL
* Apache Kafka
* AWS
* Docker
* Kubernetes
* Terraform
 Intercontinental Exchange, Inc. is an Equal Opportunity Employer. All qualified applicants will receive consideration for employment without regard to legally protected characteristics.</t>
        </is>
      </c>
    </row>
    <row r="186">
      <c r="A186" t="inlineStr">
        <is>
          <t>li-4372337554</t>
        </is>
      </c>
      <c r="B186" t="inlineStr">
        <is>
          <t>Senior Fullstack Engineer</t>
        </is>
      </c>
      <c r="C186" t="inlineStr">
        <is>
          <t>RemoteHunter</t>
        </is>
      </c>
      <c r="D186" t="inlineStr">
        <is>
          <t>linkedin</t>
        </is>
      </c>
      <c r="E186" t="inlineStr"/>
      <c r="F186" t="inlineStr"/>
      <c r="G186" t="inlineStr"/>
      <c r="H186" t="inlineStr"/>
      <c r="I186" t="inlineStr">
        <is>
          <t>About the Opportunity:
 This team strives to support individuals, families, and communities with their mental health needs through high\-quality mental healthcare services. The Sr. Full Stack Engineer will deliver scalable software solutions across web and backend layers, collaborating with product managers, designers, and engineers to create intuitive and reliable user experiences and service\-oriented capabilities.
 Responsibilities:
 • Develop and maintain scalable, high\-quality software solutions across the full stack (Node.js, TypeScript, React, microservices, cloud infrastructure).
 • Mentor and support junior engineers through code reviews and pair programming.
 • Take ownership of feature development, technical design, and implementation while collaborating with cross\-functional stakeholders.
 • Write clean, maintainable, and well\-tested code ensuring reliability, performance, and security.
 • Architect and implement backend services and APIs, integrating with external and internal systems following microservice best practices.
 • Develop modern, responsive web applications to enhance user experience.
 • Troubleshoot and resolve issues proactively to minimize downtime and ensure system reliability.
 • Collaborate with product managers and designers to translate requirements into technical implementations aligned with business goals.
 • Participate in technical discussions, code reviews, and architectural decisions to promote engineering excellence.
 • Stay current on emerging technologies and industry trends to continuously improve skills and apply best practices.
 Requirements:
 • 5\+ years of full stack development experience with strong proficiency in Node.js, TypeScript, React, and microservice architectures.
 • Experience with React workflows using Redux or Flux.
 • Strong front\-end development skills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with minimal supervision.
 • Strong problem\-solving skills to troubleshoot complex stack issues.
 • Experience with DevOps practices including CI/CD pipelines, logging, and monitoring solutions.
 • Collaborative mindset with excellent communication skills.
 Nice to Have:
 • Experience with GraphQL, WebSockets, and event\-driven architecture.
 • Familiarity with Kubernetes, Terraform, or Infrastructure as Code tools.
 • Background in building highly available, scalable, and secure applications.
 • Prior experience in healthcare, behavioral health, or regulated industry environments.
 Benefits \&amp; Perks:
 • Medical, dental, and vision insurance.
 • Accidental death and dismemberment insurance, short and long\-term disability, and life insurance.
 • 401k retirement savings with employer match.
 • Paid parental leave.
 • Paid time off and holiday pay.
 • Employee Assistance Program.
 Compensation:
 • $120,000 to $130,000 annually.
 • Competitive bonus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7">
      <c r="A187" t="inlineStr">
        <is>
          <t>li-4324171809</t>
        </is>
      </c>
      <c r="B187" t="inlineStr">
        <is>
          <t>Software Engineer, Business Technology</t>
        </is>
      </c>
      <c r="C187" t="inlineStr">
        <is>
          <t>Anthropic</t>
        </is>
      </c>
      <c r="D187" t="inlineStr">
        <is>
          <t>linkedin</t>
        </is>
      </c>
      <c r="E187" t="inlineStr"/>
      <c r="F187" t="inlineStr"/>
      <c r="G187" t="inlineStr">
        <is>
          <t>Friendly, MD</t>
        </is>
      </c>
      <c r="H187" t="inlineStr"/>
      <c r="I18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engineer to build internal tools that enable and increase productivity for our employees, especially tools for security, authorization and automation. You'll collaborate closely with internal users to understand needs and create efficient solutions, often augmenting the tools with Claude for a greater experience and impact. On the Business Technology team, we are passionate about delighting and enabling our users through thoughtful and easy\-to\-use everyday solutions.
 At Anthropic, we're building towards an ambitious mission of ensuring AI systems are safe and beneficial to humanity. Our team plays a crucial role in this mission by enabling our teams to work efficiently and securely at scale.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5\+ years experience building production, full\-stack software with a focus on usability
* Have experience building and maintaining scalable internal applications and platforms
* Excel at modern web development (React, TypeScript, Node.js, Python, Go)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Have experience with Identity and Access Management tools
* Coach and mentor other engineers
* Have experience anticipating changing business needs to create technical roadmaps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88">
      <c r="A188" t="inlineStr">
        <is>
          <t>li-4332968881</t>
        </is>
      </c>
      <c r="B188" t="inlineStr">
        <is>
          <t>Software Engineer - Software-Defined Vehicle</t>
        </is>
      </c>
      <c r="C188" t="inlineStr">
        <is>
          <t>Valeo</t>
        </is>
      </c>
      <c r="D188" t="inlineStr">
        <is>
          <t>linkedin</t>
        </is>
      </c>
      <c r="E188" t="inlineStr"/>
      <c r="F188" t="inlineStr"/>
      <c r="G188" t="inlineStr">
        <is>
          <t>Auburn Hills, MI</t>
        </is>
      </c>
      <c r="H188" t="inlineStr"/>
      <c r="I188" t="inlineStr">
        <is>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**Ready to tackle the challenges of the vehicle of the future? Join the technological revolution of automotive electrification and e\-mobility at Valeo!**
**About the Role** 
 \~
 The SDV Advanced Engineer – Powertrain Innovation Champion leads the transformation of electrified powertrain systems toward Software\-Defined Vehicle (SDV) architectures, driving innovation and strategic alignment within the global Power Division. This role redefines how powertrain software is designed, deployed, and evolved—bridging embedded engineering excellence with visionary SDV strategy. You will work on inverters, DC/DC converters, e\-axles, energy\-management systems and thermal management systems, shaping them into modular, configurable, software\-defined platforms that deliver digital value. As part of a global SDV strategy network, you will collaborate across divisions, influence the Power Division’s SDV roadmap, and present new ideas to leadership. The role emphasizes innovation, global alignment, and SDV vision leadership rather than customer integration or program delivery.
**Responsibilities Also Include\~
 SDV Strategy \&amp; Innovation\~**
* Develop and execute Power Division’s SDV roadmap, aligned with global R\&amp;D strategy.
* Propose innovative architectures and concepts—e.g., virtualized energy control, feature\-on\-demand, power orchestration.
* Present prototypes and new technologies to Division and Global SDV leadership.
* Evaluate emerging SDV technologies (Adaptive AUTOSAR, POSIX,..) for powertrain applications.
**Advanced Powertrain Software Development**
* Design and implement embedded software for electrified systems using an SDV\-ready approach.
* Support modularization of legacy software and develop reusable service APIs.
* Prototype energy\-management and diagnostics algorithms via model\-based design and
* simulation.
* Contribute to internal libraries, CI/CD integration, and software reusability initiatives.
**Global Collaboration \&amp; Leadership**
* Collaborate with global Power and SDV teams to align architecture and best practices.
* Represent the North America region in global workshops, innovation clusters, and SDV forums.
* Share proofs of concept and lessons learned to scale innovation globally.
**Innovation \&amp; External Representation**
* Represent the Power Division at tech events, conferences, and innovation summits.
* Lead or contribute to hackathons, demo sessions, and internal innovation days.
* Scout and assess new technologies and research trends accelerating SDV adoption.
**What You Should Have\~**
* Bachelor’s in Electrical, Computer, or Software Engineering or related field is required. Master’s is preferred.
* Power Electronics. 3–5 years of experience in automotive software development, preferably in Powertrain or
* Proficiency in C/C\+\+, model\-based design (MATLAB/Simulink), and software validation.
* Knowledge of AUTOSAR Classic / Adaptive, QNX, Linux, or RTOS.
* Understanding of Ethernet, SOME/IP communication stacks.
* Familiarity with SDV alliances and tools (e.g., Eclipse SDV, COVESA). Familiarity with service\-oriented communication, OTA frameworks, and virtualization.
* Familiarity with Automotive Cybersecurity.
* Strong analytical and problem\-solving mindset.
* Excellent communication and presentation abilities.
* Proactive in exploring emerging technologies and digital transformation.
* Collaborative, globally minded team player.
* Familiarity with North American OEM requirements and compliance standards.
* Prior participation in industry conferences, hackathons, or technical publications.
**Join us!**
 Thanks to its strategy focused on innovation, Valeo aims at reducing CO² emissions and developing intuitive driving to propose greener, safer, and smarter mobility. The fantastic (r)evolution towards the vehicle of the future provides amazing career opportunities and challenging jobs!
**Diversity by nature**
 At Valeo, innovation is driven by the diversity, authenticity and energy of its talent. Are you looking for new technological and human adventures? Join Valeo and its more than 100\.000 employees across the globe! More information about Valeo \~ https\~//www.valeo.com
**Position\~**
 R\&amp;D Engineer
**Département\~**
 Software Development
**Schedule\~**
 Temps plein
**Employee Status\~**
 CDI
**Type de contrat\~**
 Contrat permanent
**Job Posting Date\~**
 2025\-10\-30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is>
      </c>
    </row>
    <row r="189">
      <c r="A189" t="inlineStr">
        <is>
          <t>li-4373518007</t>
        </is>
      </c>
      <c r="B189" t="inlineStr">
        <is>
          <t>Quantum Applications Software Engineer - REMOTE</t>
        </is>
      </c>
      <c r="C189" t="inlineStr">
        <is>
          <t>Jobgether</t>
        </is>
      </c>
      <c r="D189" t="inlineStr">
        <is>
          <t>linkedin</t>
        </is>
      </c>
      <c r="E189" t="inlineStr"/>
      <c r="F189" t="inlineStr"/>
      <c r="G189" t="inlineStr">
        <is>
          <t>Michigan, United States</t>
        </is>
      </c>
      <c r="H189" t="inlineStr"/>
      <c r="I189" t="inlineStr">
        <is>
          <t>This position is posted by Jobgether on behalf of a partner company. We are currently looking for a Quantum Applications Software Developer \- REMOTE. This role will focus on designing, developing, and deploying software tools that are crucial for advancing quantum applications. As a part of this innovative team, you will work on projects that push the boundaries of quantum computing technology and collaborate with industry leaders to create impactful solutions. The position offers the opportunity to engage in critical research and development within a rapidly evolving field, making real contributions to solving some of the world's most pressing challenges. Your work will directly influence the successful integration of quantum algorithms in practical applications, providing essential insights into the future of quantum computing.
**Accountabilities**
* Lead the design, development, and deployment of quantum applications software tools.
* Maintain and upgrade a high\-quality codebase supported by fast simulation infrastructure.
* Collaborate with internal and external partners to design and analyze quantum algorithms.
* Assist in full system analysis for evaluating and optimizing resource requirements.
* Support the optimization of quantum algorithms at various levels.
**Requirements**
* Graduate degree in Physics, Math, or Computer Science or equivalent required.
* Practical experience in quantum computing and programming quantum applications.
* 5\+ years of professional experience in programming and releasing production code.
* Experience with quantum algorithms or compiling in fault tolerant regimes preferred.
* Familiarity with deploying code in distributed environments and cloud application development.
* Strong analytical problem\-solving skills.
* Proven ability to work independently and in team settings.
* Experience in a high\-throughput, rapid\-delivery environment.
**Benefits**
* Competitive salary with equity options.
* Flexible work hours and remote working arrangements.
* Opportunities for professional development and growth.
* Collaborative and innovative work environment.
* Participation in groundbreaking projects in quantum technology.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0">
      <c r="A190" t="inlineStr">
        <is>
          <t>li-4373506352</t>
        </is>
      </c>
      <c r="B190" t="inlineStr">
        <is>
          <t>Lead Quantum Software Engineer - REMOTE</t>
        </is>
      </c>
      <c r="C190" t="inlineStr">
        <is>
          <t>Jobgether</t>
        </is>
      </c>
      <c r="D190" t="inlineStr">
        <is>
          <t>linkedin</t>
        </is>
      </c>
      <c r="E190" t="inlineStr"/>
      <c r="F190" t="inlineStr"/>
      <c r="G190" t="inlineStr">
        <is>
          <t>Virginia, United States</t>
        </is>
      </c>
      <c r="H190" t="inlineStr"/>
      <c r="I190" t="inlineStr">
        <is>
          <t>This position is posted by Jobgether on behalf of a partner company. We are currently looking for a Quantum Applications Software Developer \- REMOTE. This role will focus on designing, developing, and deploying software tools that are crucial for advancing quantum applications. As a part of this innovative team, you will work on projects that push the boundaries of quantum computing technology and collaborate with industry leaders to create impactful solutions. The position offers the opportunity to engage in critical research and development within a rapidly evolving field, making real contributions to solving some of the world's most pressing challenges. Your work will directly influence the successful integration of quantum algorithms in practical applications, providing essential insights into the future of quantum computing.
**Accountabilities**
* Lead the design, development, and deployment of quantum applications software tools.
* Maintain and upgrade a high\-quality codebase supported by fast simulation infrastructure.
* Collaborate with internal and external partners to design and analyze quantum algorithms.
* Assist in full system analysis for evaluating and optimizing resource requirements.
* Support the optimization of quantum algorithms at various levels.
**Requirements**
* Graduate degree in Physics, Math, or Computer Science or equivalent required.
* Practical experience in quantum computing and programming quantum applications.
* 5\+ years of professional experience in programming and releasing production code.
* Experience with quantum algorithms or compiling in fault tolerant regimes preferred.
* Familiarity with deploying code in distributed environments and cloud application development.
* Strong analytical problem\-solving skills.
* Proven ability to work independently and in team settings.
* Experience in a high\-throughput, rapid\-delivery environment.
**Benefits**
* Competitive salary with equity options.
* Flexible work hours and remote working arrangements.
* Opportunities for professional development and growth.
* Collaborative and innovative work environment.
* Participation in groundbreaking projects in quantum technology.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1">
      <c r="A191" t="inlineStr">
        <is>
          <t>li-4349338022</t>
        </is>
      </c>
      <c r="B191" t="inlineStr">
        <is>
          <t>Senior Software Engineer - Performance Tooling</t>
        </is>
      </c>
      <c r="C191" t="inlineStr">
        <is>
          <t>Microsoft</t>
        </is>
      </c>
      <c r="D191" t="inlineStr">
        <is>
          <t>linkedin</t>
        </is>
      </c>
      <c r="E191" t="inlineStr"/>
      <c r="F191" t="inlineStr"/>
      <c r="G191" t="inlineStr">
        <is>
          <t>Redmond, WA</t>
        </is>
      </c>
      <c r="H191" t="inlineStr"/>
      <c r="I191" t="inlineStr">
        <is>
          <t>**Overview**
 The Artificial Intelligence (AI) Frameworks team at Microsoft develops AI software that enables running AI models everywhere, from world’s fastest AI supercomputers, to servers, desktops, mobile phones, internet of things (IoT) devices and internet browsers. We collaborate with our hardware teams and partners, both internal and external, and operate at the intersection of AI algorithmic innovation, purpose\-built AI hardware, systems, and software. We are a team of highly capable and motivated people that pride themselves on a collaborative and inclusive culture.
 We own inference performance of OpenAI and other state of the art large language model (LLM) models and work directly with OpenAI on the models hosted on the Azure OpenAI service serving some of the largest workloads on the planet with trillions of inferences per day in major Microsoft products, including Office, Windows, Bing, SQL Server, and Dynamics.
 As a Senior Software Engineer on the team, you will have the opportunity to work on multiple levels of the AI software stack, including the fundamental abstractions, programming models, compilers, runtimes, libraries and application programming interfaces (APIs) to enable large scale training and inferencing of models. You will benchmark OpenAI and other LLM models for performance on graphics processing units (GPUs) and Microsoft hardware, debug and optimize performance, monitor performance and enable these models to be deployed in the shortest amount of time and the least amount of hardware possible helping achieve Microsoft Azure's capex goals.
 This is a hands\-on technical role requiring software design and development skills. We’re looking for someone who has a demonstrated history of solving technical problems and is motivated to tackle the hardest problems in building a full end\-to\-end AI stack. An entrepreneurial approach and ability to take initiative and move fast are essential.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Identify and drive improvements to end\-to\-end inference performance of OpenAI and other state of the art LLMs
* Measure, benchmark performance on Nvidia/AMD GPU's and first party Microsoft silicon
* Optimize and monitor performance of LLMs and build software tooling to enable insights into performance opportunities ranging from the model level to the systems and silicon level, help reduce the footprint of the computing fleet and achieve Azure AI capex goals
* Enable fast time to market of LLMs/models and their deployments at scale by building software tools that afford velocity in porting models on new Nvidia, AMD GPUs and Maia silicon
* Design, implement, and test functions or components for our AI/deep neural networks (DNN)/LLM frameworks and tools
* Speeding up/reducing complexity of key components/pipelines to improve performance and/or efficiency of our systems
* Communicate and collaborate with our partners both internal and external
* Embody Microsoft's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+ 4\+ years’ practical experience working on high performance applications and performance debugging and optimization on CPU's/GPU's
+ Experience in DNN/LLM inference and experience in one or more DL frameworks such as PyTorch, Tensorflow, or ONNX Runtime and familiarity with CUDA, ROCm, Triton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Technical background and solid foundation in software engineering principles, computer architecture, GPU architecture, hardware neural net acceleration
* Experience in end\-to\-end performance analysis and optimization of state of the art LLMs, HPC applications including proficiency using GPU profiling tools Cross\-team collaboration skills and the desire to collaborate in a team of researchers and developers
* Ability to independently lead projects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2">
      <c r="A192" t="inlineStr">
        <is>
          <t>li-4372337627</t>
        </is>
      </c>
      <c r="B192" t="inlineStr">
        <is>
          <t>Software Engineer in Test</t>
        </is>
      </c>
      <c r="C192" t="inlineStr">
        <is>
          <t>RemoteHunter</t>
        </is>
      </c>
      <c r="D192" t="inlineStr">
        <is>
          <t>linkedin</t>
        </is>
      </c>
      <c r="E192" t="inlineStr"/>
      <c r="F192" t="inlineStr"/>
      <c r="G192" t="inlineStr"/>
      <c r="H192" t="inlineStr"/>
      <c r="I192" t="inlineStr">
        <is>
          <t>About the Opportunity:
 This role is for a Software Engineer in Test focused on ensuring the quality, reliability, and performance of a cloud\-hosted, agent\-based platform. The position blends test engineering fundamentals with modern AI\-driven approaches to validate complex, distributed systems through manual and automated testing. The role involves collaboration with engineering, product, and support teams and may include work on AI\-enabled features with a requirement for curiosity and willingness to learn about AI and LLM\-based systems.
 Responsibilities:
 • Participate in testing throughout the software development life cycle
 • Collaborate on refining product feature requirements
 • Research, document, and report on identified bugs
 • Troubleshoot customer\-facing issues, including possible follow\-up with customers
 • Build test environments for testing purposes
 • Use scripting languages such as TypeScript, Python, and PowerShell to support testing
 • Create and expand automated test suites in Playwright or Pester
 • Participate in code reviews
 • Maintain a strong working knowledge of relevant products
 • Work within an Agile team environment
 • Continuously improve testing culture and processes
 • Create and maintain testing documentation and test cases
 • Research and recommend tools and strategies to enhance testing
 • Update and improve integration of testing into CI/CD pipelines
 • Mentor junior team members on coding and fixing broken tests
 Requirements:
 • 3\+ years of experience in QA, SDET, or Test Automation roles
 • Strong experience with TypeScript and Playwright
 • Experience testing modern web applications including UI and API
 • Comfortable working in CI environments such as GitHub Actions
 • Ability to write clear, maintainable, and purposeful test code and test cases
 • Willingness to perform manual testing when automation is not suitable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using LLMs (OpenAI, Anthropic, etc.)
 • Ability to balance mocked UI/API tests with LLM red teaming evaluation using tools like Promptfoo
 • Familiarity with prompt engineering concepts
 • Awareness of AI security risks such as prompt injection, data leakage, and unsafe outputs
 • Curiosity about AI system failures and detection methods
 Benefits \&amp; Perks:
 • 4\-Day Work Week
 • Equity
 • Managers who support professional development
 • 100% premium coverage for medical, dental, and vision for employees and dependents
 • 100% premium coverage for Short Term Disability, Long Term Disability, Life, and AD\&amp;D insurance
 • Company match of the first 6% of employee deferrals
 • Flexible paid time off policy
 • Health Savings Account (HSA) and wellness incentives
 • Quarterly company values award, nominated by team members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3">
      <c r="A193" t="inlineStr">
        <is>
          <t>li-4373506347</t>
        </is>
      </c>
      <c r="B193" t="inlineStr">
        <is>
          <t>Senior Quantum Software Engineer - REMOTE</t>
        </is>
      </c>
      <c r="C193" t="inlineStr">
        <is>
          <t>Jobgether</t>
        </is>
      </c>
      <c r="D193" t="inlineStr">
        <is>
          <t>linkedin</t>
        </is>
      </c>
      <c r="E193" t="inlineStr"/>
      <c r="F193" t="inlineStr"/>
      <c r="G193" t="inlineStr">
        <is>
          <t>Florida, United States</t>
        </is>
      </c>
      <c r="H193" t="inlineStr"/>
      <c r="I193" t="inlineStr">
        <is>
          <t>This position is posted by Jobgether on behalf of a partner company. We are currently looking for a Quantum Applications Software Developer \- REMOTE. This role will focus on designing, developing, and deploying software tools that are crucial for advancing quantum applications. As a part of this innovative team, you will work on projects that push the boundaries of quantum computing technology and collaborate with industry leaders to create impactful solutions. The position offers the opportunity to engage in critical research and development within a rapidly evolving field, making real contributions to solving some of the world's most pressing challenges. Your work will directly influence the successful integration of quantum algorithms in practical applications, providing essential insights into the future of quantum computing.
**Accountabilities**
* Lead the design, development, and deployment of quantum applications software tools.
* Maintain and upgrade a high\-quality codebase supported by fast simulation infrastructure.
* Collaborate with internal and external partners to design and analyze quantum algorithms.
* Assist in full system analysis for evaluating and optimizing resource requirements.
* Support the optimization of quantum algorithms at various levels.
**Requirements**
* Graduate degree in Physics, Math, or Computer Science or equivalent required.
* Practical experience in quantum computing and programming quantum applications.
* 5\+ years of professional experience in programming and releasing production code.
* Experience with quantum algorithms or compiling in fault tolerant regimes preferred.
* Familiarity with deploying code in distributed environments and cloud application development.
* Strong analytical problem\-solving skills.
* Proven ability to work independently and in team settings.
* Experience in a high\-throughput, rapid\-delivery environment.
**Benefits**
* Competitive salary with equity options.
* Flexible work hours and remote working arrangements.
* Opportunities for professional development and growth.
* Collaborative and innovative work environment.
* Participation in groundbreaking projects in quantum technology.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4">
      <c r="A194" t="inlineStr">
        <is>
          <t>li-4361992207</t>
        </is>
      </c>
      <c r="B194" t="inlineStr">
        <is>
          <t>Senior/Staff Embedded Software Engineer, Robotics Devices</t>
        </is>
      </c>
      <c r="C194" t="inlineStr">
        <is>
          <t>RoboForce</t>
        </is>
      </c>
      <c r="D194" t="inlineStr">
        <is>
          <t>linkedin</t>
        </is>
      </c>
      <c r="E194" t="inlineStr"/>
      <c r="F194" t="inlineStr"/>
      <c r="G194" t="inlineStr">
        <is>
          <t>Milpitas, CA</t>
        </is>
      </c>
      <c r="H194" t="inlineStr"/>
      <c r="I194" t="inlineStr">
        <is>
          <t>**Why RoboForce** 
 RoboForce is an AI robotics company developing Physical AI–powered Robo\-Labor for dull, dirty, and dangerous work. The company’s robots are engineered for demanding industrial environments, with a focus on real\-world deployment and scalability.
 We are seeking a
 **Senior/Staff Embedded Software Engineer, Robotic Devices** 
 to architect and develop the embedded systems that interface directly with our robot’s physical hardware. In this role, you will work across embedded Linux, RTOS, and microcontroller platforms to design device drivers, middleware, and on\-device software for sensors, actuators, and robotic subsystems. You will span vendor selection, low\-level programming, system integration, and performance debugging—ensuring reliable operation at the boundary between software and the physical world.
**Responsibilities** 
* **Embedded Systems Architecture:** 
 Lead the design, development, and deployment of embedded software stacks for robotic devices across embedded Linux, RTOS, and microcontroller\-based platforms.
* **Device \&amp; Sensor Integration:** 
 Architect and implement software solutions for a wide range of sensors and devices, including vendor evaluation, on\-device programming, communication protocols, and driver/middleware development.
* **Performance \&amp; Reliability Engineering:** 
 Perform in\-depth performance analysis and hardware/software debugging to ensure real\-time behavior, robustness, and reliability under demanding operating conditions.
* **Hardware–Software Co\-Design:** 
 Apply a deep understanding of the physics of physical devices to inform system design, control interfaces, and performance tradeoffs.
* **Technical Leadership:** 
 Contribute to long\-term technical roadmap planning, mentor junior and senior engineers, and uphold high standards through rigorous code reviews and best practices.
**Requirements** 
* **Education:** 
 Bachelor’s degree or higher in a STEM field.
* **Experience:** 
 5\+ years of experience building and shipping production\-quality software, with a focus on embedded or systems\-level development.
* **Programming Expertise:** 
 Strong proficiency in modern
 **C\+\+** 
 and
 **Python** 
 , with experience developing performance\-critical and hardware\-adjacent software.
* **Systems Engineering:** 
 Experience working with large, complex systems and building tooling to support development, testing, and deployment.
* **Hardware Literacy:** 
 Experience reviewing schematics and collaborating closely with hardware teams.
* **Quality \&amp; Testability:** 
 Strong commitment to software quality, including designing systems for testability, reliability, and long\-term maintainability.
* **Requires 5 days/week in\-office collaboration with the teams.**
**Bonus Qualifications** 
* **Robotics Frameworks:** 
 Experience with ROS\-based robotics development.
* **Sensor Systems:** 
 Hands\-on experience with camera, LiDAR, or radar integration.
* **Signal Processing \&amp; Control:** 
 Background in DSP, sensor calibration, and/or motor controller development.</t>
        </is>
      </c>
    </row>
    <row r="195">
      <c r="A195" t="inlineStr">
        <is>
          <t>li-4319954233</t>
        </is>
      </c>
      <c r="B195" t="inlineStr">
        <is>
          <t>Sr/Staff Infrastructure Software Engineer (Remote - US)</t>
        </is>
      </c>
      <c r="C195" t="inlineStr">
        <is>
          <t>BNSF Railway</t>
        </is>
      </c>
      <c r="D195" t="inlineStr">
        <is>
          <t>linkedin</t>
        </is>
      </c>
      <c r="E195" t="inlineStr"/>
      <c r="F195" t="inlineStr"/>
      <c r="G195" t="inlineStr"/>
      <c r="H195" t="inlineStr"/>
      <c r="I195"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**Benefits**
 learn more about BNSF and our Benefits
**Job Location:** 
 Remote US
**Anticipated Start Date:** 
 01/01/2026
 The US base salary range for this full\-time position is provided below:
**Salary Range:** 
 $165,000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**infrastructure:** 
 build rail’s first hybrid cloud to enable millions of freight transactions a day with an open\-source stack that delivers the lowest unit cost of technology.
**Key Responsibilities May Include**
 This is a full stack infrastructure engineering role, involving backend services, APIs, and developer\-facing services for our physical/digital infrastructure and platforms. A modern platform that brings together virtual machines, containers, storage, data services, networking, observability, and developer experience, all managed as software.
**Develop and operate** 
 cloud\-native systems and services using GitOps workflows
**Build and operate** 
 IaaS (compute, storage, and networking), PaaS (DBs, messages, API, and serverless), identity/access, observability/alerting/remediation, and developer services
**Collaborate** 
 with internal application teams to improve platform usability and feedback
**Help design and run** 
 systems that scale across our data centers, edge devices, and public cloud environments powering always on services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6\+ years of proficiency with modern programming languages used in infrastructure (e.g. Go, Python, and Java)
* 5\+ years of experience with IaaS, PaaS, Service Mesh, block/object storage, and Linux
* 3\+ years experience with streaming data services and SQL/NoSQL/Graph DBs
* Experience with CI/CD pipelines, Git workflows, and DevOps practices
* Interest in open\-source infrastructure and developer platforms
* Experience with observability stacks (e.g., Prometheus, Grafana, OpenTelemetry)
* Experience with secure coding practices and infrastructure security principles
* Experience with secrets management and identity and access control
* Proven ability to independently deliver features that improve developer workflows or platform capabilities
* Experience collaborating across teams and mentoring junior engineers.
* Familiarity with designing scalable systems and contributing to architectural decisions.
* Experience participating in design reviews, incident retrospectives, or RFC processes
* Demonstrated ability to learn new technical concepts and to adapt to new technologies quickly
* Strong communication and collaboration skills
**Preferred Qualifications**
* Bachelor’s degree or higher in computer science or a related field
* Engineering experience with a public IaaS company (AWS, Digital Ocean, GCP, CoreWeave,etc.)
* Experience running infrastructure platforms in production such as OpenStack, Ceph, Kubernetes, DBaaS, service mesh, and API gateways
* Github commits to open\-source infrastructure and developer platforms projects
* Experience with edge systems and hybrid environments
* Experience with developer tooling as a builder and/or user
* Proficiency with container\-based development
* Interest in sustainable infrastructure and cost/resource awareness
* Familiarity with frameworks like React, Angular, Node.js, Spring Boot
* 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
 SF: MO \| \[\[mfield5]] \| bnsf tech \| REMOTE, US \| 76131</t>
        </is>
      </c>
    </row>
    <row r="196">
      <c r="A196" t="inlineStr">
        <is>
          <t>li-4343349509</t>
        </is>
      </c>
      <c r="B196" t="inlineStr">
        <is>
          <t>Principal Software Engineer</t>
        </is>
      </c>
      <c r="C196" t="inlineStr">
        <is>
          <t>Microsoft</t>
        </is>
      </c>
      <c r="D196" t="inlineStr">
        <is>
          <t>linkedin</t>
        </is>
      </c>
      <c r="E196" t="inlineStr"/>
      <c r="F196" t="inlineStr"/>
      <c r="G196" t="inlineStr">
        <is>
          <t>Redmond, WA</t>
        </is>
      </c>
      <c r="H196" t="inlineStr"/>
      <c r="I19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Purview team is responsible for a broad suite of data governance, data security, compliance, privacy, and risk management solutions across Microsoft 365, Azure, and multi\-cloud environments. We are looking to hire a Principal Software Engineer for the Purview team, you will help ensure the software, tools, and code meets the highest standards for scale and security.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and of course security.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You will partner with stakeholders to determine user requirements for a feature and consider a variety of feedback channels to incorporate insights into future designs or solution fixes.
* You will collaborate with others to create a clear and articulated plan for testing, assuring quality of solutions, while applying knowledge of debugging tools, logs, telemetry, and other methods to proactively flag issues.
* You will learn about customer scaling requirements and the application of best practices for meeting scaling needs and performance expectations, while ensuring the correct processes are followed to achieve a high degree of security, privacy, safety, and accessibility.
* You will look for opportunities to raise the security bar as you apply Microsoft’s security policies and best practices.
* You will drive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**Qualifications**
**Qualifications \- Required:**
 Bachelor's Degree in Computer Science or related technical field AND 6\+ years technical engineering experience with coding in languages including, but not limited to, C, C\+\+, C\#, Java, JavaScript, or Python OR equivalent experience.
**Preferred**
 10\+ years of experience designing, building, and operating scalable, highly available cloud services or distributed systems on platforms such as Azure, AWS, GCP, or comparable cloud environments, with production ownership and CI/CD pipeline integration.
 6\+ years of experience designing, developing, or maintaining secure software systems, with applied knowledge of authentication, data protection, access control, and secure coding practices
**Qualifications \-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\#MSFTSecurity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7">
      <c r="A197" t="inlineStr">
        <is>
          <t>li-4320212566</t>
        </is>
      </c>
      <c r="B197" t="inlineStr">
        <is>
          <t>Lead/Staff Full Stack Engineer, AI Platform &amp; Agents (US/Canada Hybrid/Remote)</t>
        </is>
      </c>
      <c r="C197" t="inlineStr">
        <is>
          <t>Wolters Kluwer</t>
        </is>
      </c>
      <c r="D197" t="inlineStr">
        <is>
          <t>linkedin</t>
        </is>
      </c>
      <c r="E197" t="inlineStr"/>
      <c r="F197" t="inlineStr"/>
      <c r="G197" t="inlineStr">
        <is>
          <t>Chicago, IL</t>
        </is>
      </c>
      <c r="H197" t="inlineStr"/>
      <c r="I197" t="inlineStr">
        <is>
          <t>Build the GenAI platform that powers critical decisions in healthcare, legal, tax, and compliance industries. Your work will directly shape the future of these fields, enabling faster, safer, and more impactful decision\-making at a global scale.
* Location: : US/Canada, Hybrid or Remote
* Work Hours: Must have 9–11 AM CST overlap
* Candidates within commuting distance of a Wolters Kluwer office will be considered for hybrid employment, with 2 days per week onsite.
* Candidates not within commuting distance will be considered for remote employment.
**About This Role**
 Our team is building a central GenAI Platform to empower hundreds of product teams across the organization with scalable capabilities for rapid development, validation, and deployment of AI agents. We also drive the development of the most impactful AI agents, ensuring faster delivery and greater impact across multiple domains. With over 20 agents already launched and many more in progress, our work accelerates innovation and improves outcomes in critical industries.
 You'll join a 100\-engineer remote\-first team within a larger organization that combines the stability of an established company with the agility of a startup. In this high\-autonomy, high\-impact role, you'll take problems from concept to production. You'll design and ship full\-stack systems, shape platform capabilities to empower hundreds of product teams, and directly contribute to the development of the most impactful AI agents.
**Flagship Agent: UpToDate Expert AI**
 In Health, we’re launching
 **UpToDate Expert AI** 
 —a medical research and clinical reasoning agent that transforms the world’s most widely used point‑of‑care knowledge resource into a real‑time medical assistant. Millions of physicians will rely on it to accelerate differential diagnosis, refine treatment decisions, and reduce cognitive load—while maintaining rigorous safety, privacy, and guideline fidelity. Improvements you ship (latency, reliability, hallucination reduction) will translate directly into faster, higher\-quality patient care at global scale.
**Tech stack**
 You don’t need to know all of these on day one, but you should be ready to learn quickly.
* TypeScript, Node.js, React, Python, LangChain/LangGraph, MCP/A2A, Rust
* AWS (primary), Azure, GCP; Docker, Terraform, GitHub Actions
* DocumentDB, DynamoDB, OpenSearch, Azure AI Search
* Azure OpenAI, AWS Anthropic, Google Gemini
* GitHub, Confluence, Slack
**What You’ll Do**
* Design and implement full‑stack applications, AI agents, and platform components that enable rapid GenAI agent development, validation, and deployment.
* Build developer tooling, CI/CD, and observability for safe, fast iteration (evals, canaries, rollout/rollback, cost and quality telemetry).
* Apply secure SDLC and privacy‑by‑design practices (threat modeling, least privilege).
* Collaborate with product, UX, and domain experts to deliver customer‑focused solutions with measurable outcomes.
* Apply current LLM patterns (RAG, retrieval, routing, tool\-use, evals) to deliver measurable customer value—faster, more reliable AI systems; reduced time\-to\-decision; improved trust/safety metrics; and lower cost per query.
* Lead by example through writing high\-quality, maintainable code that demonstrates engineering craftsmanship.
**Team context**
* Org and Sub\-teams: Central GenAI Platform within Wolters Kluwer, driving innovation across businesses by creating re\-usable platform services and components. Sub\-teams are fewer than 10 engineers, focused on platform services or customer\-facing agents.
* Culture and Reporting: We value a "manager of one" mindset, where outcomes matter more than optics. Authority is earned through demonstrated impact, not tenure or title. You’ll report directly to the VP of Engineering, AI Platform.
* Team Size and Impact: Our globally distributed team of :100 engineers combines the stability of an established company with the agility of a startup. We are moving fast, and there are many areas where you can have a big impact.
* Work setup: Remote\-first in US or EU, with hybrid options near major offices. Collaboration requires 9–11 AM CST overlap. Occasional travel for team onsites/offsites as needed.
**Minimum Qualifications**
* 5\+ years of professional software engineering experience.
* Strong full‑stack development skills and cloud experience (AWS/Azure/GCP).
* Expert in at least one, and proficient across the others:
+ AI Agent development and evaluation
+ Backend development
+ Frontend development
+ Cloud services (AWS/Azure/GCP)
+ CI/CD and Infrastructure as Code
+ Site Reliability Engineering (SRE)
+ Quality engineering / testing strategy
+ Secure SDLC and privacy by design
* Proven track record delivering secure, reliable, cloud‑native systems to production.
* Excellent problem‑solving, ownership, and cross‑functional communication.
**Nice to have**
* Proven ability to deliver software products independently or as part of a small, fast\-paced team.
* Experience of taking AI agents from concept to production, including safety evaluations, iterative testing (e.g., A/B testing), and continuous improvement.
* Experience with LangChain/LangGraph and MCP; vector/RAG systems; OpenSearch.
* Worked on traditional ML tasks like training, deployment, and monitoring.
* Understand how LLMs work, their failure modes, and techniques like fine\-tuning and model adaptation.
* Familiarity with regulatory frameworks such as SOC2, HIPAA, etc.
**To apply:**
 Please submit your
 **resume** 
 along with a
 **brief cover letter** 
 that includes a
 **“Statement of Exceptional Work.”** 
 In your cover letter, highlight one of your most impactful projects by addressing the following:
* Your role and the problem space you were working in
* The technical and product challenges you faced, and how you addressed them
* The measurable impact of your work (e.g., metrics, outcomes, improvements)
 This will help us better understand your approach to solving complex problems and the value you bring to the team.
**Please do not include any proprietary or confidential information** 
 in your submission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$97,400\.00 \- $174,050\.00 USD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98">
      <c r="A198" t="inlineStr">
        <is>
          <t>li-4354360524</t>
        </is>
      </c>
      <c r="B198" t="inlineStr">
        <is>
          <t>Principal Software Engineer</t>
        </is>
      </c>
      <c r="C198" t="inlineStr">
        <is>
          <t>Microsoft</t>
        </is>
      </c>
      <c r="D198" t="inlineStr">
        <is>
          <t>linkedin</t>
        </is>
      </c>
      <c r="E198" t="inlineStr"/>
      <c r="F198" t="inlineStr"/>
      <c r="G198" t="inlineStr">
        <is>
          <t>Redmond, WA</t>
        </is>
      </c>
      <c r="H198" t="inlineStr"/>
      <c r="I198" t="inlineStr">
        <is>
          <t>**Overview**
 Microsoft Azure Edge \+ Platform (E\+P) is a globally distributed team of engineers, architects, program managers, product managers, business program managers, business administrators, user experience researchers and designers who are responsible for the platform for Microsoft and for delivering Microsoft’s edge vision. We create the most reliable and trustworthy OS and platform services to empower Microsoft and our customers to achieve more. We unlock the next wave of opportunity at the edge through an at\-scale ecosystem driving widespread adoption of our Microsoft cloud services.
 A Principal Engineer in Digital Operations serves as a senior technical leader responsible for architecting and implementing advanced solutions enabling customers to optimize operational processes. This role combines deep expertise in systems design, cloud infrastructure, and IoT integration with strategic oversight of data\-driven workflows to ensure scalability, security, and efficiency. The Principal Engineer drives innovation by defining technical standards, mentoring engineering teams, and collaborating with cross\-functional stakeholders to deliver robust, automated solutions that enhance asset performance and operational resilience. Success in this position requires a blend of technical vision, hands\-on problem\-solving, and leadership to align cutting\-edge technologies with business objective
**Responsibilities**
* Technical Leadership: Architect and deliver distributed systems that are secure, scalable, and resilient. Lead technical strategy and execution across multiple teams and services.
* AI\-Driven Transformation: Champion the integration of AI into engineering workflows, including on\-call support, test generation, and developer productivity tooling.
* Cross\-Team Collaboration: Partner with PMs, architects, and other engineering leaders to define and deliver end\-to\-end solutions. Drive alignment across horizontal and vertical teams.
* Mentorship and Culture: Model engineering excellence and inclusive practices. Mentor senior engineers and contribute to a culture of continuous learning and innovation.
* Customer Impact: Define and track success metrics that reflect customer value. Ensure services meet or exceed SLAs and deliver tangible improvements to customer experience.
* Strategic Influence: Contribute to long\-term technical vision and roadmap planning. Influence organizational structure and investment decisions to accelerate innovation
**Qualifications**
**Required Qualifications:**
* Bachelor's Degree in Computer Science or related technical field AND 6\+ years technical engineering experience with coding in languages including, but not limited to, C, C\+\+, C\#, Java, JavaScript, or Python.
+ OR equivalent experience.
* 4\+ years experience collaborating with partner teams to meet the engineering goals in a unified manner.
* 4\+ years experience coding, debugging, algorithm design and problem\-solving skills.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Understanding of Azure cloud
* Experience building Distributed Systems with reliable guarantees OR building Front End User Experiences.
* Solve problems by always leading with passion and empathy for customers.
* Have a desire to work collaboratively, solve problems with groups, find win/win solutions and celebrate successes.
* Enthusiasm, integrity, self\-discipline, results\-orientation in a fast\-paced environment.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9">
      <c r="A199" t="inlineStr">
        <is>
          <t>li-4347121474</t>
        </is>
      </c>
      <c r="B199" t="inlineStr">
        <is>
          <t>Senior Software Engineer, Box-Office</t>
        </is>
      </c>
      <c r="C199" t="inlineStr">
        <is>
          <t>CoreWeave</t>
        </is>
      </c>
      <c r="D199" t="inlineStr">
        <is>
          <t>linkedin</t>
        </is>
      </c>
      <c r="E199" t="inlineStr"/>
      <c r="F199" t="inlineStr"/>
      <c r="G199" t="inlineStr">
        <is>
          <t>Livingston, NJ</t>
        </is>
      </c>
      <c r="H199" t="inlineStr"/>
      <c r="I19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Fleet Engineering Team is responsible for the automated provisioning and management of CoreWeave’s ever\-expanding fleet of hardware nodes and node\-types. Playing a central role in CoreWeave’s growth strategy, this team is engaged in streamlining and coordinating the domains of node provisioning, hardware RMA, datacenter operations, and platform services into a cohesive, zero\-touch, and high\-reliability engine of fleet management.
**About The Role**
 We are seeking a Senior Full\-Stack Engineer to join the Box\-Office Team to help us build, run and refine our automation reliability, efficiency, scalability and user experience. This individual will join a team of mixed\-skill engineers focused on all aspects of hardware lifecycle management. As a member of the Box\-Office Team, you would have the opportunity to:
* Develop applications, user experiences, reporting automations, API endpoints, and other fleet management tooling and UIs.
* Assess and improve existing User Interfaces, adding new features and simplifying the user experience.
* Resolve integration challenges between our infrastructure and our vendors’ APIs, focusing on making the interactions plain to understand and robust.
* Design and implement solutions to fascinating problems at scale for multi\-site deployment and management of CoreWeave’s global hardware fleet, including interfaces for managing the deployment and maintenance of said fleet.
* Create test plans, deployment automation, dashboards, alerts, and insights into our fleet operations as well as participate in the Fleet Provisioning Automation on\-call rotation.
* Grow, change, invest in your teammates, be invested\-in, share your ideas, listen to others, be curious, have fun, and, above all, be yourself.
**Who You Are**
 We believe in investing in our people, and value candidates who can bring their own diversified experiences to our teams – even if you aren't a 100% skill or experience match. Here are some qualities we’ve found compatible with our team. If a portion of this resonates with you, we’d love to talk.
* You have 5 or more years experience in a software or infrastructure engineering industry.
* You have experience designing and implementing container\-based microservices and integrating open\-source tools to customize solutions.
* You believe in the value of automation and will champion practices that drive reliability and prioritize the CoreWeave customer experience.
* You have a good end to end understanding of what a UI needs to be successful, and how to build it to high quality standards in a reasonable time frame. You can explain trade offs of build versus import and are able to choose the best path.
* Proficiency in React, Typescript, and Golang.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0">
      <c r="A200" t="inlineStr">
        <is>
          <t>li-4347181389</t>
        </is>
      </c>
      <c r="B200" t="inlineStr">
        <is>
          <t>Senior Software Engineer II, Inference</t>
        </is>
      </c>
      <c r="C200" t="inlineStr">
        <is>
          <t>CoreWeave</t>
        </is>
      </c>
      <c r="D200" t="inlineStr">
        <is>
          <t>linkedin</t>
        </is>
      </c>
      <c r="E200" t="inlineStr"/>
      <c r="F200" t="inlineStr"/>
      <c r="G200" t="inlineStr">
        <is>
          <t>Sunnyvale, CA</t>
        </is>
      </c>
      <c r="H200" t="inlineStr"/>
      <c r="I20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Senior engineers are area owners who lead designs, raise engineering standards, and deliver measurable improvements to latency, throughput, and reliability across multiple services. You’ll partner with product, orchestration, and hardware teams to evolve our Kubernetes\-native inference platform and meet strict P99 SLAs at scale.
**About The Role**
* Lead design reviews and drive architecture within the team; decompose multi\-service work into clear milestones.
* Define and own SLIs/SLOs; ensure post\-incident actions land and reliability improves release\-over\-release.
* Implement advanced optimizations (e.g., micro\-batch schedulers, speculative decoding, KV\-cache reuse) and quantify impact.
* Strengthen incident posture: capacity planning, autoscaling policy, graceful degradation, rollback/traffic\-shift strategies.
* Mentor IC1/IC2 engineers; review cross\-team designs and elevate coding/testing standards.
* Own an area spanning multiple services and teams (e.g., request routing \&amp; adaptive scheduling, cost\-per\-token analytics, GPU resource isolation).
**Who You Are**
* \~5–8 years industry experience building distributed systems or cloud services.
* Strong coding in Python or Go (C\+\+ a plus) and deep familiarity with networked systems and performance.
* Hands\-on experience with Kubernetes at production scale, CI/CD, and observability stacks (Prometheus, Grafana, OpenTelemetry).
* Practical knowledge of inference internals: batching, caching, mixed precision (BF16/FP8\), streaming token delivery.
* Proven track record improving tail latency (P95/P99\) and service reliability through metrics\-driven work.
**Preferred**
* Contributions to inference frameworks (vLLM, Triton, TensorRT\-LLM, Ray Serve, TorchServe).
* Experience with CUDA kernels, NCCL/SHARP, RDMA/NUMA, or GPU interconnect topologies.
* Leading multi\-team initiatives or partnering with customers on mission\-critical launches.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1">
      <c r="A201" t="inlineStr">
        <is>
          <t>li-4372339679</t>
        </is>
      </c>
      <c r="B201" t="inlineStr">
        <is>
          <t>Principal Software Engineer</t>
        </is>
      </c>
      <c r="C201" t="inlineStr">
        <is>
          <t>Astrion</t>
        </is>
      </c>
      <c r="D201" t="inlineStr">
        <is>
          <t>linkedin</t>
        </is>
      </c>
      <c r="E201" t="inlineStr"/>
      <c r="F201" t="inlineStr"/>
      <c r="G201" t="inlineStr">
        <is>
          <t>Bedford, MA</t>
        </is>
      </c>
      <c r="H201" t="inlineStr"/>
      <c r="I201" t="inlineStr">
        <is>
          <t>**Overview**
**Principal Software Engineer**
**LOCATION:** 
 Hanscom AFB, Bedford MA
**Salary Range:** 
 $160\-$170,000 annually
**JOB STATUS:** 
 Full\-time
**CLEARANCE:** 
 Top Secret/SCI
**CERTIFICATION:** 
 n/a
**TRAVEL:** 
 Limited, as needed
 Astrion as an exciting opportunity for a
 **Principal** 
**Software Engineer** 
 located at
 **Hanscom AFB** 
 in
 **Bedford Massachusetts**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**Required Qualifications / Skills**
* Clearance: Must have and be able to maintain a Top Secret Level Clearance with current SCI eligibility
* Citizenship: Must be a US citizen
**Preferred Qualifications / Skills**
* Education: Bachelor's or Master's Degree in a related field
* Years of experience: 20\+ years of experience with 12\+ years of experience in the DoD
*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 Familiarity with Electronic Warfare and/or Air Combat operations, including live aircrew training, tactics development, and range infrastructure systems (desired).
* Experience developing networked protocols in Windows and Linux environments (desired).
**Responsibilities**
 Duties include, but not limited to:
* General Software Engineering and Development
+ Assess feasibility through analysis, problem definition, and solution evaluation.
+ Document and demonstrate solutions using diagrams, code, and documentation.
+ Improve operations by analyzing systems and recommending procedural changes.
+ Acquire and license software by coordinating with vendors and testing products.
+ Analyze and summarize development and service issues to inform stakeholders.
+ Support mission goals by completing engineering tasks as required.
+ Perform SQA to ensure software meets defined quality standards.
+ Collaborate in Agile teams to design, code, test, and review software and scripts.
+ Contribute to build, deployment, and documentation tasks as needed.
* Design and Architecture
+ Support all phases of the acquisition lifecycle through engineering activities and documentation (e.g., AoA, SEP, CDR).
+ Conduct system architecture analysis, including feasibility studies and state\-of\-the\-art assessments.
+ Develop and document system architectures, identify gaps, and recommend solutions using traditional or MBSE approaches.
+ Maintain system architecture and interoperability requirements.
+ Define operational requirements and interactions to support system development.
+ Translate user needs into system\-level requirements using DoD acquisition practices.
+ Analyze training systems and simulators, and evaluate their designs.
* Acquisition Support
+ Apply DoD acquisition and sustainment engineering processes across product life cycles.
+ Prepare/review specifications and apply modeling/simulation to optimize performance.
+ Develop and integrate milestone documentation and reports per DoD/AF policies.
+ Review contractor drawings for compliance with specifications and standards.
* Technical Management
+ Support all system engineering activities: requirements, design, verification, risk, interfaces, and configuration management.
+ Share lessons learned and best practices while respecting proprietary constraints.
+ Conduct market research, trade studies, and system evaluations to guide decisions.
+ Analyze performance, cost, reliability, and risk to support technical recommendations.
+ Develop and execute test plans and evaluate test results for acquisition support.
+ Support logistics, maintenance, configuration, and supply chain efforts, including alternate sourcing for obsolescence issues.
 Hanscom Campaign</t>
        </is>
      </c>
    </row>
    <row r="202">
      <c r="A202" t="inlineStr">
        <is>
          <t>li-4347141532</t>
        </is>
      </c>
      <c r="B202" t="inlineStr">
        <is>
          <t>Senior Software Engineer - Artifact Management</t>
        </is>
      </c>
      <c r="C202" t="inlineStr">
        <is>
          <t>CoreWeave</t>
        </is>
      </c>
      <c r="D202" t="inlineStr">
        <is>
          <t>linkedin</t>
        </is>
      </c>
      <c r="E202" t="inlineStr"/>
      <c r="F202" t="inlineStr"/>
      <c r="G202" t="inlineStr">
        <is>
          <t>Sunnyvale, CA</t>
        </is>
      </c>
      <c r="H202" t="inlineStr"/>
      <c r="I20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Artifact Management team is building and operating a large\-scale distributed system that stores, serves, and updates artifacts at massive scale. We’re looking for engineers passionate about designing high\-performance, storage\-efficient systems that power critical development workflows.
 As an engineer on the team, you’ll build a platform that enables developers to securely and seamlessly publish their artifacts.
**In this role, you will**
* Design and implement distributed storage and caching solutions for artifacts
* Evaluate and explore third\-party solutions that could accelerate our vision
* Develop APIs and services for artifact publishing, retrieval, and version management
* Optimize performance, reliability, and cost efficiency across multi\-region deployments
* Work closely with build, release, and infrastructure teams to ensure seamless integration into developer workflows
* Drive observability, automation, and resilience in a high\-traffic production environment by creating dashboards, metrics and alerts.
* Partner with cross\-functional teams to implement best practices and drive migration from legacy systems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Bachelor’s degree in Computer Science, Software Engineering, or a related field.
* 4\+ years of experience in a software or infrastructure engineering industry
* Strong experience operating services in production and at scale.
* Deep experience with Go as your primary programming language.
* Experience with infrastructure\-as\-code, CI/CD systems (e.g., GitHub Actions, ArgoCD), and containerization (e.g., Docker, Kubernetes).
* Understanding of system design, scalability and efficiency.
* Extensive experience with Artifactory, Cloudsmith is a plus.
* Passionate about improving developer experience and enabling other engineers to do their best work.
**Preferred Qualifications**
* Experience integrating or enabling tools that leverage LLMs or code intelligence for developers (e.g., GitHub Copilot, Cody, custom LLM integrations)
* Experience with KubeVirt, KataContainers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3">
      <c r="A203" t="inlineStr">
        <is>
          <t>li-4372341627</t>
        </is>
      </c>
      <c r="B203" t="inlineStr">
        <is>
          <t>Principal Software Engineer, Network Switch SDK</t>
        </is>
      </c>
      <c r="C203" t="inlineStr">
        <is>
          <t>Eridu</t>
        </is>
      </c>
      <c r="D203" t="inlineStr">
        <is>
          <t>linkedin</t>
        </is>
      </c>
      <c r="E203" t="inlineStr"/>
      <c r="F203" t="inlineStr"/>
      <c r="G203" t="inlineStr"/>
      <c r="H203" t="inlineStr"/>
      <c r="I203" t="inlineStr">
        <is>
          <t>**About Eridu** 
 Eridu is a Silicon Valley\-based hardware startup pioneering infrastructure solutions that accelerate training and inference for large\-scale AI models. Today’s AI performance is frequently limited by system\-level bottlenecks. Eridu delivers multiple industry\-first innovations across semiconductors, software, and systems to unlock greater GPU utilization, reduce capital and power costs, and maximize data center efficiency. The company’s solutions and value proposition have been validated by several leading hyperscalers.
 The company is led by a veteran team of Silicon Valley executives and engineers with decades of experience in state\-of\-the\-art semiconductors, optics, software, and systems, including serial entrepreneur Drew Perkins, co\-founder of Infinera (NASDAQ: INFN), Lightera (acq. by Ciena), Gainspeed (acq. by Nokia) and Mojo Vision (World’s leading micro\-LED company and developer of the first augmented reality contact lens).
**Position Overview** 
 We are looking for a Principal Engineer to lead the design and development of Software Development Kit (SDK), the critical abstraction layer between the hardware and software ecosystems. You will work across Silicon, System and NOS teams to ensure our high\-performance switch ASIC are performant and production ready.
**Responsibilities** 
* Own the SDK architecture for our ASICs, HW abstraction layers, API models, and feature programming workflows.
* Design and implement key software interfaces to support dataplane operations like L2/L3 forwarding, ACLs, QOS, buffer management and telemetry.
* Work closely with ASIC architects to translate chip specifications and datapath designs into software\-programmable abstractions.
* Enable control plane integration with SONiC stack via OCP SAI or custom APIs.
* Lead bring\-up efforts for new silicon, working with firmware and hardware teams to validate functionality in simulation, emulation, and production systems.
* Define and enforce best practices for modular SDK design, automated testing, CI/CD pipelines and benchmarking frameworks
* Mentor junior engineers and influence software direction across the switch software stack.
**Qualifications** 
* Bachelor’s in Computer Science/ECE with 10\+ years of experience or Masters in CS/ECE with 5\+ years of experience.
* Expertise in L2 and L3 Ethernet switching and routing protocols.
* Coding expertise in Programming languages such as C/C\+\+/Python.
* Switch/router embedded system software development experience.
* Experience in SDK development for Ethernet switch silicon.
* Experience in the following:
* L2 switching/forwarding areas such as LAG, VLAN, xSTP, LLDP, DC fabric switching, etc.
* L3 unicast/multicast routing protocols such as RIP, OSPF, IGMP, BGP, ISIS, etc.
* ACL, QoS, Policers, TCAM, etc.
* 10\+ years of hands\-on experience building firmware and software abstractions for networking ASICs, SoCs and embedded platforms.
* Strong command of C/C\+\+ in Linux\-based environments, familiarity with compiler toolchains and tools for profiling network latency and system performance.
* Experience with modern NOS like SONiC and familiarity with simulation environments and behavioral models such as BMv2 and proprietary RTL based ASIC simulations.
**Why Join Us?** 
 At Eridu, you’ll have the opportunity to shape the future of AI infrastructure, working with a world\-class team on groundbreaking technology that pushes the boundaries of AI performance. Your contributions will directly impact the next generation of AI networking solutions, transforming data center capabilities.
 The starting base salary for the selected candidate will be established based on their relevant skills, experience, qualifications, work location, market trends, and the compensation of employees in comparable roles.</t>
        </is>
      </c>
    </row>
    <row r="204">
      <c r="A204" t="inlineStr">
        <is>
          <t>li-4371113150</t>
        </is>
      </c>
      <c r="B204" t="inlineStr">
        <is>
          <t>Principal Software Engineer (Cloud Application Development)</t>
        </is>
      </c>
      <c r="C204" t="inlineStr">
        <is>
          <t>Jobs via Dice</t>
        </is>
      </c>
      <c r="D204" t="inlineStr">
        <is>
          <t>linkedin</t>
        </is>
      </c>
      <c r="E204" t="inlineStr"/>
      <c r="F204" t="inlineStr"/>
      <c r="G204" t="inlineStr">
        <is>
          <t>Santa Clara, CA</t>
        </is>
      </c>
      <c r="H204" t="inlineStr"/>
      <c r="I204"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Engineering \- Our engineering team is at the core of our products and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******Job Summary******
 As a Principal Software Engineer within the Engineering team, you will drive the technical leadership and end\-to\-end delivery of next\-generation cloud security solutions. You will collaborate with cross\-functional teams to design, implement, and troubleshoot high\-scale distributed systems, playing a pivotal role in shaping the future of our network security architecture. This role offers the opportunity to innovate at the intersection of cloud technology and cybersecurity, delivering impactful security\-as\-a\-service offerings that protect our digital way of life.
****Key Responsibilities****
* Provide technical leadership for the end\-to\-end delivery of solutions, ensuring alignment with cross\-functional product management and quality assurance teams.
* Design, implement, and troubleshoot robust next\-generation cloud security solutions to address complex network security challenges.
* Drive the development of scalable cloud security architecture through hands\-on coding and strategic architectural planning.
* Manage the full product development lifecycle, from definition and design through implementation, testing, and deployment.
* Collaborate proactively with Product Management, SRE, and Quality Engineering to deliver high\-quality security\-as\-a\-service offerings to market.
* Simplify complex technical issues to improve end\-customer outcomes by working closely with customer support teams.
* Foster a culture of innovation, intellectual curiosity, and problem\-solving within the engineering organization.
****Qualifications****
****Required Qualifications****
* Bachelor's degree in Computer Science or equivalent field with 7\+ years of relevant software engineering experience.
* Minimum of 5 years of hands\-on programming experience in Go or Java, with additional proficiency in Python or C highly valued.
* Proven experience designing and developing high\-performance, high\-scale distributed software applications in a cloud environment.
* Strong technical proficiency with cloud technologies such as message queue(Kafka/PubSub/Redis), Data Storage(SQL/Bigtable/Redis/Mongo/BigQuery).
* Demonstrated expertise in backend development, including REST APIs, databases, and serverless computing for distributed cloud applications.
******Preferred Qualifications******
* Experience with container orchestration platforms, specifically Docker and Kubernetes.
* Comprehensive understanding of public cloud design considerations, including microservice architectures, global network infrastructure, and load balancing.
* Working knowledge of TCP/IP networking protocols and principles.
* Prior experience working with Google Cloud Platform (Google Cloud Platform) or Amazon Web Services (AWS).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05">
      <c r="A205" t="inlineStr">
        <is>
          <t>li-4365689288</t>
        </is>
      </c>
      <c r="B205" t="inlineStr">
        <is>
          <t>Senior Software Engineer, Back End (Global Payment Network)</t>
        </is>
      </c>
      <c r="C205" t="inlineStr">
        <is>
          <t>Capital One</t>
        </is>
      </c>
      <c r="D205" t="inlineStr">
        <is>
          <t>linkedin</t>
        </is>
      </c>
      <c r="E205" t="inlineStr"/>
      <c r="F205" t="inlineStr"/>
      <c r="G205" t="inlineStr">
        <is>
          <t>McLean, VA</t>
        </is>
      </c>
      <c r="H205" t="inlineStr"/>
      <c r="I20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3\+ years of experience with Testing Automation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6">
      <c r="A206" t="inlineStr">
        <is>
          <t>li-4365691213</t>
        </is>
      </c>
      <c r="B206" t="inlineStr">
        <is>
          <t>Senior Software Engineer, Full Stack</t>
        </is>
      </c>
      <c r="C206" t="inlineStr">
        <is>
          <t>Capital One</t>
        </is>
      </c>
      <c r="D206" t="inlineStr">
        <is>
          <t>linkedin</t>
        </is>
      </c>
      <c r="E206" t="inlineStr"/>
      <c r="F206" t="inlineStr"/>
      <c r="G206" t="inlineStr">
        <is>
          <t>Plano, TX</t>
        </is>
      </c>
      <c r="H206" t="inlineStr"/>
      <c r="I20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Angular, Java, TypeScript, SQL or Python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7">
      <c r="A207" t="inlineStr">
        <is>
          <t>li-4365678604</t>
        </is>
      </c>
      <c r="B207" t="inlineStr">
        <is>
          <t>Senior Software Engineer, Back End (Global Payment Network)</t>
        </is>
      </c>
      <c r="C207" t="inlineStr">
        <is>
          <t>Capital One</t>
        </is>
      </c>
      <c r="D207" t="inlineStr">
        <is>
          <t>linkedin</t>
        </is>
      </c>
      <c r="E207" t="inlineStr"/>
      <c r="F207" t="inlineStr"/>
      <c r="G207" t="inlineStr">
        <is>
          <t>Chicago, IL</t>
        </is>
      </c>
      <c r="H207" t="inlineStr"/>
      <c r="I20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 3\+ years of experience with Testing Automation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8">
      <c r="A208" t="inlineStr">
        <is>
          <t>li-4373507662</t>
        </is>
      </c>
      <c r="B208" t="inlineStr">
        <is>
          <t>Software Engineer</t>
        </is>
      </c>
      <c r="C208" t="inlineStr">
        <is>
          <t>Maior</t>
        </is>
      </c>
      <c r="D208" t="inlineStr">
        <is>
          <t>linkedin</t>
        </is>
      </c>
      <c r="E208">
        <f>HYPERLINK("https://www.linkedin.com/jobs/view/4373507662", "https://www.linkedin.com/jobs/view/4373507662")</f>
        <v/>
      </c>
      <c r="F208" t="inlineStr"/>
      <c r="G208" t="inlineStr">
        <is>
          <t>New York, NY</t>
        </is>
      </c>
      <c r="H208" t="inlineStr"/>
      <c r="I208" t="inlineStr">
        <is>
          <t>**Who We Are** 
 Maior is an early\-stage fintech lender providing working capital solutions to small businesses. The company is led by seasoned operators with a track record of building best\-in\-class risk intelligence for SMBs, combining AI\-powered underwriting with deep, hands\-on credit experience. Maior is backed by sophisticated investment partners who prioritize analytical rigor, disciplined growth, and long\-term value creation.
 Small businesses are the backbone of the American economy. They account for 43\.5% of GDP, employ nearly 59 million people, and have created roughly 70% of net new jobs since 2019\. Yet access to credit remains uneven: roughly 60% of small businesses seek new credit annually, and nearly half are denied the growth capital they need.
 Maior exists to close this gap by delivering faster access, more accurate risk assessment, and fairer pricing. As the platform matures, we are selectively pursuing acquisitions and partnerships with other lenders and specialty finance platforms where a disciplined approach to underwriting, operations, and capital allocation can unlock meaningful value.
**Who you are** 
 You are a (Staff) Software Engineer who wants to build real systems that matter in a setting where quality, judgment, clarity, and precision are non\-negotiable. You are comfortable wrangling ambiguity, being challenged directly, and defending technical decisions with clear rationale and evidence. You are not looking for a narrowly scoped role or a ticket queue. You want ownership, accountability, influence, and growth.  
 You:
* Are structured, and precise in how you think and build, defaulting to first principles, data, and explicit tradeoffs
* Take ownership end to end and follow through, with strong attention to detail
* Communicate clearly and credibly with both technical and non\-technical stakeholders
* Build trust quickly through high\-quality work, sound judgment, and proactive followthrough
* Move with urgency without sacrificing quality
* Learn fast and actively seek critique to improve your designs and code
* Build and leverage relationships to drive alignment instead of relying on processes
**What you’ll do** 
 From day one, you will work across the company interacting with engineering, data, risk, and ops. Responsibilities will evolve, but will include:
* Designing and building core backend services that power risk management and customer experience.
* Owning critical systems end to end, including architecture, data models, APIs, and operational reliability
* Translating messy real\-world requirements from credit, operations, and data science into robust, production\-ready software
* Partnering with data science and risk teams to productionize models, decision logic, and monitoring frameworks
* Making and defending architectural decisions, including tradeoffs around performance, scalability, correctness, and speed of iteration
* Integrating and managing vendor solutions, balancing our autonomy, speed, and capabilities
* Identifying and addressing technical risk, failure modes, and edge cases before they become production issues
**How we work** 
 We are direct, high standards, growth oriented, low ego, and deeply detail\-oriented. You should expect:
* Frequent review and critique of designs, assumptions, and implementation choices
* Deep questioning on failure modes, data integrity, and downside scenarios
* A bias toward clarity and explicit reasoning over cleverness
* Strong preference for simple, auditable systems over fragile abstractions
* Close collaboration across engineering, risk, and operations rather than siloed execution
* A bias towards risk management and sustainability to control our own destiny.
**What we are looking for** 
* Strong backend or full\-stack engineering background with experience owning production systems
* Comfort working with complex data flows, business logic, and external integrations
* Proven ability to design systems that are correct, observable, and maintainable under real\-world constraints
* Excellent communication skills with an emphasis on clarity over polish
* Impeccable integrity, and a bias toward long\-term quality
* Sound judgement and adherence to regulatory compliance
* Experience in fintech, credit, or data\-heavy systems is helpful but not required
**Why this role** 
* Substantial equity participation aligned to long\-term impact and value creation
* Direct ownership of core systems, enabling real world capital allocation decisions
* Meaningful influence on architecture, engineering standards, and technical direction
* Close collaboration with experienced fintech operators and investors
* A seat at the table as Maior builds its technical foundation for the next phase of growth</t>
        </is>
      </c>
    </row>
    <row r="209">
      <c r="A209" t="inlineStr">
        <is>
          <t>li-4373517826</t>
        </is>
      </c>
      <c r="B209" t="inlineStr">
        <is>
          <t>Software Engineer - Early Career (USA)</t>
        </is>
      </c>
      <c r="C209" t="inlineStr">
        <is>
          <t>Lensa</t>
        </is>
      </c>
      <c r="D209" t="inlineStr">
        <is>
          <t>linkedin</t>
        </is>
      </c>
      <c r="E209">
        <f>HYPERLINK("https://www.linkedin.com/jobs/view/4373517826", "https://www.linkedin.com/jobs/view/4373517826")</f>
        <v/>
      </c>
      <c r="F209" t="inlineStr"/>
      <c r="G209" t="inlineStr">
        <is>
          <t>New York, NY</t>
        </is>
      </c>
      <c r="H209" t="inlineStr"/>
      <c r="I20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10">
      <c r="A210" t="inlineStr">
        <is>
          <t>li-4373517467</t>
        </is>
      </c>
      <c r="B210" t="inlineStr">
        <is>
          <t>Software Engineer</t>
        </is>
      </c>
      <c r="C210" t="inlineStr">
        <is>
          <t>Realtor.com</t>
        </is>
      </c>
      <c r="D210" t="inlineStr">
        <is>
          <t>linkedin</t>
        </is>
      </c>
      <c r="E210">
        <f>HYPERLINK("https://www.linkedin.com/jobs/view/4373517467", "https://www.linkedin.com/jobs/view/4373517467")</f>
        <v/>
      </c>
      <c r="F210" t="inlineStr"/>
      <c r="G210" t="inlineStr">
        <is>
          <t>Austin, TX</t>
        </is>
      </c>
      <c r="H210" t="inlineStr"/>
      <c r="I210"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The Client Tech Team. At Realtor, our technology team participates in the research and development of scalable applications, identifying new technologies and trends to enhance our products and business. We build innovative solutions to help customers in their buying, renting, and selling journeys by connecting them with real estate agents and partners. We provide real estate agents and teams with best\-in\-class tools to manage their listings and grow their businesses. Join us to push the boundaries of what’s possible and learn from world\-class talent that promotes a culture of experimentation and learning.
 We believe in leveraging the best tools to solve problems faster. You will be expected to utilize AI coding assistants and LLMs proficiently to accelerate development velocity, generate boilerplate, and troubleshoot complex debugging scenarios. Beyond simple usage, this role requires critical judgment to verify AI\-generated outputs for security, performance, and accuracy. You should be comfortable integrating AI tooling into your daily workflow to eliminate repetitive tasks, allowing you to focus on high\-impact architectural and strategic engineering challenges.
**Three reasons to apply:** 
* ****Your code will matter on day one \-****
 You won’t be working on side projects or throwaway features. Your work will ship to products used by real estate agents and consumers across the country.
* ****You’ll level up fast with real mentorship \-****
 You’ll learn from Staff and Senior Engineers who care about clean code, thoughtful design, and helping you grow \- not just closing tickets.
* ****You’ll build real systems, not just features \-****
 From APIs and backend services to dashboards and lead delivery systems, you’ll work on modern, scalable technology that solves real business problems.
**Potential Teams you will get to work on:** 
* ​​
 **Seller Services \-** 
 Build the core systems that help real estate agents do their daily work. You’ll contribute to agent dashboards, lead delivery, and tools that help agents manage listings, clients, and grow their business \- all with support from experienced engineers.
* ****Branding \&amp; Promotions \-****
 Help build products that allow agents to promote their listings and reach more sellers. You’ll work on customer\-facing features, backend services, and experiments around pricing and packaging that directly support revenue and customer success.
* ****Lead Services****
 creates technology that helps people connect with real estate professionals as they search for a home. As a junior engineer, you’ll work on features that improve how customers are matched with the right partners, helping drive business goals while learning and growing your technical skills.
* ****Agent Branding****
 \- Build systems to help agents differentiate themselves from the crowd.  You'll contribute to portals that allow our clients to configure their brand, report on their branding performance, and provide insights on how to improve their branding presence.  Additionally, you will contribute to the systems that expose our clients' brand across realtor.com.
**What you’ll do** 
* Participate in system architecture and design revie
* Develop solutions that are of high quality, scalable, and reliable
* Work collaboratively in squads composed of Product Managers, Designers, Analysts, and Engineers.
* Investigate and prototype technologies that can be leveraged to introduce innovations
* Be self\-directed, take initiative, and drive towards solutions with guidance
**What you’ll bring** 
* Bachelor’s degree in Computer Science or equivalent experience
* 2\+ years of experience in software development
* Experience in software development and a strong willingness to learn our technology stack, including: Python (FastAPI, Pydantic, NumPy, Pandas), React, Node.js, and GraphQL
* Experience working with relational or non\-relational databases.
* Experience with AI, Machine Learning, and AWS knowledge preferred
* Experience delivering high value to customers quickly and frequently, with regular feedback and support
* Experience evaluating trade\-offs between design approaches
* Software engineering best practices (e.g., testing, code reviews, documentation).
* Experience in developing scalable systems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11">
      <c r="A211" t="inlineStr">
        <is>
          <t>li-4372333933</t>
        </is>
      </c>
      <c r="B211" t="inlineStr">
        <is>
          <t>Senior Software Engineer</t>
        </is>
      </c>
      <c r="C211" t="inlineStr">
        <is>
          <t>Wealthbox</t>
        </is>
      </c>
      <c r="D211" t="inlineStr">
        <is>
          <t>linkedin</t>
        </is>
      </c>
      <c r="E211">
        <f>HYPERLINK("https://www.linkedin.com/jobs/view/4372333933", "https://www.linkedin.com/jobs/view/4372333933")</f>
        <v/>
      </c>
      <c r="F211" t="inlineStr"/>
      <c r="G211" t="inlineStr"/>
      <c r="H211" t="inlineStr"/>
      <c r="I211"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212">
      <c r="A212" t="inlineStr">
        <is>
          <t>li-4373524086</t>
        </is>
      </c>
      <c r="B212" t="inlineStr">
        <is>
          <t>Senior Software Engineer, Generalist</t>
        </is>
      </c>
      <c r="C212" t="inlineStr">
        <is>
          <t>Anza</t>
        </is>
      </c>
      <c r="D212" t="inlineStr">
        <is>
          <t>linkedin</t>
        </is>
      </c>
      <c r="E212">
        <f>HYPERLINK("https://www.linkedin.com/jobs/view/4373524086", "https://www.linkedin.com/jobs/view/4373524086")</f>
        <v/>
      </c>
      <c r="F212" t="inlineStr"/>
      <c r="G212" t="inlineStr">
        <is>
          <t>New York, NY</t>
        </is>
      </c>
      <c r="H212" t="inlineStr"/>
      <c r="I212" t="inlineStr">
        <is>
          <t>Senior Software Engineer, Generalist \- Anza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**The Role**
 As a Senior Software Engineer, you will play a critical role in fortifying Anza's Agave client and the broader Solana network. This involves analyzing and debugging existing code, working with vertical subject\-matter experts to understand goals, and designing and benchmarking new solutions to meet performance and reliability requirements. Your work will directly contribute to the robustness and reliability of our blockchain infrastructure, ensuring it remains secure against emerging threats and scalable to accommodate future growth.
**Responsibilities**
* Develop, maintain, and enhance our technical infrastructure, focusing on the Agave client within the Solana ecosystem
* Design and implement testing frameworks and methodologies that simulate adversarial attacks, identifying vulnerabilities before they can be exploited
* Gather and analyze metrics to identify performance bottlenecks
* Work with subject matter experts to understand code component performance requirements and goals, both present and future
* Design, implement, and benchmark solutions to improve performance and reliability
* Collaborate with cross\-functional teams to architect solutions that prioritize reliability, scalability, security, and optimal performance of the Solana network
* Contribute to the entire software development lifecycle, from concept and design to deployment, ensuring smooth transitions between development, staging, and production environments
* Craft detailed documentation and architecture designs to foster consistent standards and knowledge sharing across teams
**Requirements**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consensus algorithms, distributed systems, and blockchain technology is highly desirable
* Problem\-Solving Skills: Ability to analyze complex systems, identify potential issues, and develop effective, flexible solutions
* Security Mindset: Knowledge of common security threats and best practices in securing consensus processes
* Growth Mindset: Actively consuming research papers, designing, and investigating new solutions
* Performance Optimization: Experience with performance profiling and optimization techniques
* Collaboration and Communication: Excellent teamwork and communication skills, with the ability to work effectively in a collaborative environment
**Preferred Qualifications**
* Familiarity with Linux, systems automation tools, and systems architecture
* Understanding of networking, architecture, and principles underlying distributed systems
* A knack for designing secure protocols, software, and algorithms that minimize trust requirements
* Self\-driven, research oriented, and the ability to learn independently
* Active participation in Bitcoin/Ethereum/Blockchain projects or the open\-source community is highly desirable
**Benefits**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
 The salary range for US\-based candidates will be determined throughout the interview process depending on experience, skill, and location. Candidates should anticipate an annual base salary (not including incentive compensation or other benefits) of $180,000 USD to $300,000 USD.</t>
        </is>
      </c>
    </row>
    <row r="213">
      <c r="A213" t="inlineStr">
        <is>
          <t>li-4373539019</t>
        </is>
      </c>
      <c r="B213" t="inlineStr">
        <is>
          <t>Senior Full Stack Engineer - Autonomous Vehicles</t>
        </is>
      </c>
      <c r="C213" t="inlineStr">
        <is>
          <t>NVIDIA</t>
        </is>
      </c>
      <c r="D213" t="inlineStr">
        <is>
          <t>linkedin</t>
        </is>
      </c>
      <c r="E213">
        <f>HYPERLINK("https://www.linkedin.com/jobs/view/4373539019", "https://www.linkedin.com/jobs/view/4373539019")</f>
        <v/>
      </c>
      <c r="F213" t="inlineStr"/>
      <c r="G213" t="inlineStr">
        <is>
          <t>Santa Clara, CA</t>
        </is>
      </c>
      <c r="H213" t="inlineStr"/>
      <c r="I213" t="inlineStr">
        <is>
          <t>We are looking for a highly motivated Full\-stack applications engineer to join a team laser focused on building globally scaled HD mapping solutions. We provide survey level HD Mapping and Localization services for the NVIDIA DRIVE® platform. We are looking for senior software engineers with a strong passion in the self\-driving car industry and experiences in mapping, and 3D data visualization!
**What You Will Be Doing**
* Design, develop, and maintain modern , scalable and efficient tools to visualize and edit HD maps using React, TypeScript, and modern JavaScript frameworks
* Collaborate with product designers and backend engineers to build clean, efficient, and user\-friendly features.
* Process the mapping data into formats that can be consumed by downstream customers, such as NDS/OpenDrive.
* Participate in code reviews, architecture discussions, and continuous improvements to the development process.
* Contribute to build automation, deployment pipelines, and DevOps tools as needed
**What We Need To See**
* Bachelor's or Master's degree in Computer Science, Software Engineering, Robotics, GIS or a related field (or equivalent experience)
* Solid understanding of REST web services and API integration
* 8\+ years of proven experience in software development for mapping, GIS, simulation or related fields, with a focus on 3D visualization tooling skills for HD maps.
* Strong proficiency in programming languages such as C\+\+, Javascript, React, TypeScript. Java
* Strong debugging, performance profiling, and problem\-solving skills
* Knowledge of GitLab CI/CD pipelines or similar automation tools
**Ways To Stand Out From The Crowd**
* In\-depth knowledge of Computer Graphics, Computational Geometry, GPU rendering techniques, libraries, and frameworks, such as OpenGL, WebGL, or Unity3D.
* Solid background in mathematics, working knowledge of computer graphics and computational geometry.
* Working experience with one or more HD map formats: NDS, OpenDrive, Apollo, LaneLet, OSM.
* Experience with Golang for backend or service development
* Understanding of containerization (Docker) and orchestration (Kubernetes) as well as familiarity with Bazel or similar build systems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JR2013355</t>
        </is>
      </c>
    </row>
    <row r="214">
      <c r="A214" t="inlineStr">
        <is>
          <t>li-4373537038</t>
        </is>
      </c>
      <c r="B214" t="inlineStr">
        <is>
          <t>Senior Full Stack Engineer - Autonomous Vehicles</t>
        </is>
      </c>
      <c r="C214" t="inlineStr">
        <is>
          <t>NVIDIA</t>
        </is>
      </c>
      <c r="D214" t="inlineStr">
        <is>
          <t>linkedin</t>
        </is>
      </c>
      <c r="E214">
        <f>HYPERLINK("https://www.linkedin.com/jobs/view/4373537038", "https://www.linkedin.com/jobs/view/4373537038")</f>
        <v/>
      </c>
      <c r="F214" t="inlineStr"/>
      <c r="G214" t="inlineStr">
        <is>
          <t>Santa Clara, CA</t>
        </is>
      </c>
      <c r="H214" t="inlineStr"/>
      <c r="I214" t="inlineStr">
        <is>
          <t>We are looking for a highly motivated Full\-stack applications engineer to join a team laser focused on building globally scaled HD mapping solutions. We provide survey level HD Mapping and Localization services for the NVIDIA DRIVE® platform. We are looking for senior software engineers with a strong passion in the self\-driving car industry and experiences in mapping, and 3D data visualization!
**What You Will Be Doing**
* Design, develop, and maintain modern , scalable and efficient tools to visualize and edit HD maps using React, TypeScript, and modern JavaScript frameworks
* Collaborate with product designers and backend engineers to build clean, efficient, and user\-friendly features.
* Process the mapping data into formats that can be consumed by downstream customers, such as NDS/OpenDrive.
* Participate in code reviews, architecture discussions, and continuous improvements to the development process.
* Contribute to build automation, deployment pipelines, and DevOps tools as needed
**What We Need To See**
* Bachelor's or Master's degree in Computer Science, Software Engineering, Robotics, GIS or a related field (or equivalent experience)
* Solid understanding of REST web services and API integration
* 8\+ years of proven experience in software development for mapping, GIS, simulation or related fields, with a focus on 3D visualization tooling skills for HD maps.
* Strong proficiency in programming languages such as C\+\+, Javascript, React, TypeScript. Java
* Strong debugging, performance profiling, and problem\-solving skills
* Knowledge of GitLab CI/CD pipelines or similar automation tools
**Ways To Stand Out From The Crowd**
* In\-depth knowledge of Computer Graphics, Computational Geometry, GPU rendering techniques, libraries, and frameworks, such as OpenGL, WebGL, or Unity3D.
* Solid background in mathematics, working knowledge of computer graphics and computational geometry.
* Working experience with one or more HD map formats: NDS, OpenDrive, Apollo, LaneLet, OSM.
* Experience with Golang for backend or service development
* Understanding of containerization (Docker) and orchestration (Kubernetes) as well as familiarity with Bazel or similar build systems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JR2013355</t>
        </is>
      </c>
    </row>
    <row r="215">
      <c r="A215" t="inlineStr">
        <is>
          <t>li-4373530207</t>
        </is>
      </c>
      <c r="B215" t="inlineStr">
        <is>
          <t>Founding Senior Software Engineer</t>
        </is>
      </c>
      <c r="C215" t="inlineStr">
        <is>
          <t>Hyperscale</t>
        </is>
      </c>
      <c r="D215" t="inlineStr">
        <is>
          <t>linkedin</t>
        </is>
      </c>
      <c r="E215">
        <f>HYPERLINK("https://www.linkedin.com/jobs/view/4373530207", "https://www.linkedin.com/jobs/view/4373530207")</f>
        <v/>
      </c>
      <c r="F215">
        <f>HYPERLINK("https://jobs.ashbyhq.com/hyperscale/c3e22e86-19f6-4b0f-a4b2-0e733224e155/application?utm_source=AKvkpRKeRq&amp;urlHash=U28g", "https://jobs.ashbyhq.com/hyperscale/c3e22e86-19f6-4b0f-a4b2-0e733224e155/application?utm_source=AKvkpRKeRq&amp;urlHash=U28g")</f>
        <v/>
      </c>
      <c r="G215" t="inlineStr">
        <is>
          <t>San Francisco, CA</t>
        </is>
      </c>
      <c r="H215" t="inlineStr"/>
      <c r="I215" t="inlineStr">
        <is>
          <t>**About Hyperscale**
****Founding Senior Software Engineer (SF In\-Person Preferred)****
 Hyperscale is building the AI\-native intelligence layer for physical operations \- starting with trucking carriers. We're a team of ex\-Samsara engineers and fleet operators automating the highest\-volume office workflows (driver support, load coordination, scheduling) with agentic AI that actually moves the needle. Our products are deployed with some of the largest fleets in the US, autonomously handling \~70% of inbound calls with strong customer satisfaction. We're a small team, moving fast, backed by top investors and advisors.
**The Role**
 We're hiring a Founding Senior Software Engineer who will help build the core product infrastructure that powers Hyperscale's agentic AI platform. You'll work directly with the founders and across the stack \- from backend systems to real\-time voice interfaces to customer\-facing features.
**You'll be working on cutting\-edge applied AI challenges:** 
 building production agentic systems that autonomously handle complex, multi\-step workflows in real\-world operations. This means solving hard problems in agent orchestration, real\-time decision\-making, tool use, and human\-AI interaction patterns \- not just integrating LLM APIs, but architecting the intelligence layer that makes autonomous operations reliable at scale.
 This is a broad, hands\-on role where you'll own significant parts of the product and have the opportunity to shape our engineering culture from day one. If you like building from zero, shipping fast, and solving hard problems close to real customer impact, this role is for you.
**What You'll Do**
**Engineering across the stack**
* Build and own core product features end\-to\-end, from data models to user interfaces (including conversational/agentic UX)
* Design scalable backend systems that power our AI agents in production environments, including agent orchestration, memory systems, and tool execution pipelines
* Work on real\-time communication infrastructure handling thousands of customer interactions
* Ship features that directly impact customer outcomes and business metrics
**Infrastructure and reliability**
* Build robust, observable systems that handle enterprise\-scale workloads with autonomous agents in the loop
* Own deployment pipelines, monitoring, and incident response
* Make pragmatic technical decisions that balance velocity with quality and maintainability
* Establish engineering practices and patterns that will scale with the team
**Cross\-functional collaboration**
* Work closely with founders, customers, and go\-to\-market teams to understand requirements and iterate quickly
* Translate customer problems into elegant technical solutions, including designing agentic workflows and interaction patterns
* Participate in technical discussions and architecture decisions
* Help evaluate and integrate new technologies and tools across the rapidly evolving AI landscape
**Team and culture building**
* Set the bar for code quality, system design, and engineering excellence
* Mentor and collaborate with engineers as the team grows
* Shape our engineering culture, processes, and technical standards
* Contribute to hiring and building out the engineering team
**Who You Are**
* 5\+ years of software engineering experience, with demonstrated ability to build and ship full\-stack applications
* Strong fundamentals in backend systems, databases, APIs, and web applications
* Comfortable working across the stack and learning new technologies quickly
* Track record of owning complex features or systems from design through deployment
* Experience building production systems at scale with attention to reliability and performance
* Strong judgment about technical tradeoffs and when to optimize for speed vs. robustness
* Excellent communicator who can explain technical concepts to non\-technical stakeholders
**Nice to Have**
* Experience with real\-time communication systems, voice applications, or telephony
* Background in AI/ML product development, agentic systems, or integrating LLMs into production systems
* Prior work in logistics, operations, or enterprise SaaS
* Experience at an early\-stage startup or as a founding engineer
* Open source contributions or side projects that demonstrate your craft
**Location**
 San Francisco preferred (in\-person). We move quickly and value tight feedback loops across product, engineering, and customers.
**Why Hyperscale**
* Real product in production with major US fleets
* Clear ROI and strong metrics already working in the wild
* Work on the frontier of practical AI engineering \- agentic systems, real\-time voice, and enterprise infrastructure
* Define the technical foundation for a category\-defining product
* Build the engineering team and culture from day one, with a path to technical leadership as we scale
* Backed by top VCs and growing quickly \- doubling the team in the first half of the year
**To apply:** 
 Send a note with your LinkedIn/GitHub and 1\-2 examples of work you're proud of (a system you built, an open source project, a technical writeup, or anything that shows how you think and build).</t>
        </is>
      </c>
    </row>
    <row r="216">
      <c r="A216" t="inlineStr">
        <is>
          <t>li-4373511888</t>
        </is>
      </c>
      <c r="B216" t="inlineStr">
        <is>
          <t>Software Engineer I</t>
        </is>
      </c>
      <c r="C216" t="inlineStr">
        <is>
          <t>Lensa</t>
        </is>
      </c>
      <c r="D216" t="inlineStr">
        <is>
          <t>linkedin</t>
        </is>
      </c>
      <c r="E216">
        <f>HYPERLINK("https://www.linkedin.com/jobs/view/4373511888", "https://www.linkedin.com/jobs/view/4373511888")</f>
        <v/>
      </c>
      <c r="F216">
        <f>HYPERLINK("https://lensa.com/cgw/9dfe5628370c45cdbb7f2cd782004f61tjo1?jpsi=directemployers&amp;publisher_preference=easier_apply&amp;utm_campaign=Computer%20Occupations&amp;utm_medium=slot&amp;utm_source=linkedin&amp;utm_term=jse&amp;urlHash=yktw", "https://lensa.com/cgw/9dfe5628370c45cdbb7f2cd782004f61tjo1?jpsi=directemployers&amp;publisher_preference=easier_apply&amp;utm_campaign=Computer%20Occupations&amp;utm_medium=slot&amp;utm_source=linkedin&amp;utm_term=jse&amp;urlHash=yktw")</f>
        <v/>
      </c>
      <c r="G216" t="inlineStr">
        <is>
          <t>Irvine, CA</t>
        </is>
      </c>
      <c r="H216" t="inlineStr"/>
      <c r="I21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1\+ years of non\-internship professional software development experience
* Experience programming with at least one software programming language
**Preferred Qualifications**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217">
      <c r="A217" t="inlineStr">
        <is>
          <t>li-4364586330</t>
        </is>
      </c>
      <c r="B217" t="inlineStr">
        <is>
          <t>Entry Level AI Software Engineer</t>
        </is>
      </c>
      <c r="C217" t="inlineStr">
        <is>
          <t>Gret AI</t>
        </is>
      </c>
      <c r="D217" t="inlineStr">
        <is>
          <t>linkedin</t>
        </is>
      </c>
      <c r="E217">
        <f>HYPERLINK("https://www.linkedin.com/jobs/view/4364586330", "https://www.linkedin.com/jobs/view/4364586330")</f>
        <v/>
      </c>
      <c r="F217" t="inlineStr"/>
      <c r="G217" t="inlineStr">
        <is>
          <t>San Francisco, CA</t>
        </is>
      </c>
      <c r="H217" t="inlineStr"/>
      <c r="I217" t="inlineStr">
        <is>
          <t>**About Gret AI** 
 Gret AI is building an AI\-native execution system for modern businesses.
 Most companies don’t fail because of bad ideas, they fail because humans are forced to manually execute operations across fragmented software. We’re replacing that manual execution layer with Filix, our AI operator that executes actions directly inside business systems.
 We’re early, product\-driven, and engineering\-led. No vanity features. No hype demos. We care about systems, correctness, and leverage.
 If you want to work on real AI infrastructure, not dashboards pretending to be AI, keep reading.
**The Role** 
 We’re looking for an Entry\-Level AI Software Engineer who wants to work close to the core of an AI execution system.
 This is not a research role and not a chatbot\-tuning role. You’ll be building production systems where AI interacts with real data, real users, and real consequences.
 You’ll work directly with the founding team and ship from week one.
**What You’ll Work On** 
* Building and extending AI\-driven execution workflows (not just inference)
* Writing backend services that allow AI to create, modify, and reason over system state
* Designing clean APIs between AI logic and core application services
* Working with structured data (CRM entities, notes, actions, permissions)
* Improving reliability, validation, and guardrails around AI actions
* Learning how to take AI features from prototype to production
 This role is about making AI do things, not just talk.
**What We’re Looking For** 
 You don’t need to know everything. You do need the right mindset.
**Required** 
* Solid programming fundamentals (Python or TypeScript preferred)
* Comfort working with backend systems and APIs
* Basic understanding of how modern AI systems work (LLMs, prompts, function calling, etc.)
* Willingness to read code, debug issues, and ask good questions
* Ability to reason clearly about data, state, and edge cases
**Nice to Have** 
* Experience with backend frameworks (FastAPI, NestJS, Express, etc.)
* Familiarity with databases and schemas (Postgres, SQL)
* Some exposure to AI tooling (OpenAI API, LangChain, LangGraph, etc.)
* Experience building side projects or shipping real software
**Compensation \&amp; Benefits** 
* Salary: $90,000 – $120,000 base (depending on experience)
* Equity: Meaningful early\-stage equity package
* Health, dental, and vision insurance
* Paid time off
* Daily lunch or meal stipend (on\-site)
* Learning budget for books, courses, or tools
* Work Setup: On\-site in San Francisco, close collaboration with founders</t>
        </is>
      </c>
    </row>
    <row r="218">
      <c r="A218" t="inlineStr">
        <is>
          <t>li-4373524087</t>
        </is>
      </c>
      <c r="B218" t="inlineStr">
        <is>
          <t>Senior Software Engineer, Generalist</t>
        </is>
      </c>
      <c r="C218" t="inlineStr">
        <is>
          <t>Anza</t>
        </is>
      </c>
      <c r="D218" t="inlineStr">
        <is>
          <t>linkedin</t>
        </is>
      </c>
      <c r="E218">
        <f>HYPERLINK("https://www.linkedin.com/jobs/view/4373524087", "https://www.linkedin.com/jobs/view/4373524087")</f>
        <v/>
      </c>
      <c r="F218" t="inlineStr"/>
      <c r="G218" t="inlineStr">
        <is>
          <t>San Francisco, CA</t>
        </is>
      </c>
      <c r="H218" t="inlineStr"/>
      <c r="I218" t="inlineStr">
        <is>
          <t>Senior Software Engineer, Generalist \- Anza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**The Role**
 As a Senior Software Engineer, you will play a critical role in fortifying Anza's Agave client and the broader Solana network. This involves analyzing and debugging existing code, working with vertical subject\-matter experts to understand goals, and designing and benchmarking new solutions to meet performance and reliability requirements. Your work will directly contribute to the robustness and reliability of our blockchain infrastructure, ensuring it remains secure against emerging threats and scalable to accommodate future growth.
**Responsibilities**
* Develop, maintain, and enhance our technical infrastructure, focusing on the Agave client within the Solana ecosystem
* Design and implement testing frameworks and methodologies that simulate adversarial attacks, identifying vulnerabilities before they can be exploited
* Gather and analyze metrics to identify performance bottlenecks
* Work with subject matter experts to understand code component performance requirements and goals, both present and future
* Design, implement, and benchmark solutions to improve performance and reliability
* Collaborate with cross\-functional teams to architect solutions that prioritize reliability, scalability, security, and optimal performance of the Solana network
* Contribute to the entire software development lifecycle, from concept and design to deployment, ensuring smooth transitions between development, staging, and production environments
* Craft detailed documentation and architecture designs to foster consistent standards and knowledge sharing across teams
**Requirements**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consensus algorithms, distributed systems, and blockchain technology is highly desirable
* Problem\-Solving Skills: Ability to analyze complex systems, identify potential issues, and develop effective, flexible solutions
* Security Mindset: Knowledge of common security threats and best practices in securing consensus processes
* Growth Mindset: Actively consuming research papers, designing, and investigating new solutions
* Performance Optimization: Experience with performance profiling and optimization techniques
* Collaboration and Communication: Excellent teamwork and communication skills, with the ability to work effectively in a collaborative environment
**Preferred Qualifications**
* Familiarity with Linux, systems automation tools, and systems architecture
* Understanding of networking, architecture, and principles underlying distributed systems
* A knack for designing secure protocols, software, and algorithms that minimize trust requirements
* Self\-driven, research oriented, and the ability to learn independently
* Active participation in Bitcoin/Ethereum/Blockchain projects or the open\-source community is highly desirable
**Benefits**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
 The salary range for US\-based candidates will be determined throughout the interview process depending on experience, skill, and location. Candidates should anticipate an annual base salary (not including incentive compensation or other benefits) of $180,000 USD to $300,000 USD.</t>
        </is>
      </c>
    </row>
    <row r="219">
      <c r="A219" t="inlineStr">
        <is>
          <t>li-4373505881</t>
        </is>
      </c>
      <c r="B219" t="inlineStr">
        <is>
          <t>Junior Software Engineer</t>
        </is>
      </c>
      <c r="C219" t="inlineStr">
        <is>
          <t>Jack &amp; Jill</t>
        </is>
      </c>
      <c r="D219" t="inlineStr">
        <is>
          <t>linkedin</t>
        </is>
      </c>
      <c r="E219">
        <f>HYPERLINK("https://www.linkedin.com/jobs/view/4373505881", "https://www.linkedin.com/jobs/view/4373505881")</f>
        <v/>
      </c>
      <c r="F219" t="inlineStr"/>
      <c r="G219" t="inlineStr">
        <is>
          <t>San Francisco, CA</t>
        </is>
      </c>
      <c r="H219" t="inlineStr"/>
      <c r="I219" t="inlineStr">
        <is>
          <t>This is a job that Jill, our AI Recruiter, is recruiting for on behalf of one of our customers.
 She will pick the best candidates from Jack's network
 The next step is to speak to Jack.
 Junior Software Engineer
**Salary:** 
 $300k \+ 0\.1% Equity
**Company Description:** 
 Fast\-growing AI research startup
**Job Description:** 
 Join an elite engineering team building reinforcement learning environments designed to train the next generation of AI models. You will develop sophisticated simulations that enable AI to perform complex real\-world tasks, directly supporting the world's leading AI labs. This is a rare opportunity to enter the high\-stakes world of AI safety and capability at the ground floor.
**Location:** 
 San Francisco, USA
**Why this role is remarkable:** 
* Exceptional compensation package of $300k for an entry\-level software engineering position.
* Work at the cutting edge of reinforcement learning by building the infrastructure used by top\-tier AI labs.
* Join a well\-funded, high\-talent density team focused on the mission\-critical goal of full economic automation.
**What you will do:** 
* Design and implement complex RL environments in Python to simulate real\-world workflows.
* Collaborate with world\-class researchers to refine model training data and simulation fidelity.
* Scale and optimize infrastructure to meet the demands of enterprise\-level AI laboratory clients.
**The ideal candidate:** 
* Strong proficiency in Python and solid fundamentals in computer science and software architecture.
* Recent university graduate or professional with 0\-2 years of software engineering experience.
* Highly motivated individual eager to learn; no prior machine learning or AI experience is required.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20">
      <c r="A220" t="inlineStr">
        <is>
          <t>li-4373516775</t>
        </is>
      </c>
      <c r="B220" t="inlineStr">
        <is>
          <t>Junior Software Engineer</t>
        </is>
      </c>
      <c r="C220" t="inlineStr">
        <is>
          <t>Lensa</t>
        </is>
      </c>
      <c r="D220" t="inlineStr">
        <is>
          <t>linkedin</t>
        </is>
      </c>
      <c r="E220">
        <f>HYPERLINK("https://www.linkedin.com/jobs/view/4373516775", "https://www.linkedin.com/jobs/view/4373516775")</f>
        <v/>
      </c>
      <c r="F220" t="inlineStr"/>
      <c r="G220" t="inlineStr">
        <is>
          <t>El Segundo, CA</t>
        </is>
      </c>
      <c r="H220" t="inlineStr"/>
      <c r="I22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Junior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221">
      <c r="A221" t="inlineStr">
        <is>
          <t>li-4373517756</t>
        </is>
      </c>
      <c r="B221" t="inlineStr">
        <is>
          <t>Entry Level Software Developer</t>
        </is>
      </c>
      <c r="C221" t="inlineStr">
        <is>
          <t>Lensa</t>
        </is>
      </c>
      <c r="D221" t="inlineStr">
        <is>
          <t>linkedin</t>
        </is>
      </c>
      <c r="E221">
        <f>HYPERLINK("https://www.linkedin.com/jobs/view/4373517756", "https://www.linkedin.com/jobs/view/4373517756")</f>
        <v/>
      </c>
      <c r="F221" t="inlineStr"/>
      <c r="G221" t="inlineStr">
        <is>
          <t>New York, NY</t>
        </is>
      </c>
      <c r="H221" t="inlineStr"/>
      <c r="I22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222">
      <c r="A222" t="inlineStr">
        <is>
          <t>li-4373509717</t>
        </is>
      </c>
      <c r="B222" t="inlineStr">
        <is>
          <t>Software Engineer</t>
        </is>
      </c>
      <c r="C222" t="inlineStr">
        <is>
          <t>Jack &amp; Jill</t>
        </is>
      </c>
      <c r="D222" t="inlineStr">
        <is>
          <t>linkedin</t>
        </is>
      </c>
      <c r="E222">
        <f>HYPERLINK("https://www.linkedin.com/jobs/view/4373509717", "https://www.linkedin.com/jobs/view/4373509717")</f>
        <v/>
      </c>
      <c r="F222" t="inlineStr"/>
      <c r="G222" t="inlineStr">
        <is>
          <t>San Francisco, CA</t>
        </is>
      </c>
      <c r="H222" t="inlineStr"/>
      <c r="I222" t="inlineStr">
        <is>
          <t>This is a job that Jill, our AI Recruiter, is recruiting for on behalf of one of our customers.
 She will pick the best candidates from Jack's network
 The next step is to speak to Jack.
 Software Engineer (Frontend / Backend / Fullstack)
**Company Description:** 
 Well\-funded education technology platform
**Job Description:** 
 Join a high\-impact engineering team building a global platform for visual content creation and collaboration used by millions. You will own features across the stack, from crafting delightful user interfaces to solving complex concurrency and scaling challenges. This role focuses on delivering high\-performance, creative software that inspires curiosity and community for a massive worldwide audience.
**Location:** 
 San Francisco, USA
**Why this role is remarkable:** 
* Work on a product with immense global reach where your code directly impacts tens of millions of users across 200 countries.
* Join a fiscally responsible, venture\-backed company that prioritizes deep engineering flow, minimal meetings, and high\-quality code.
* Benefit from a unique, amenity\-rich workspace designed to support diverse creative hobbies and interests beyond just software development.
**What you will do:** 
* Design and implement end\-to\-end features using a modern stack including Ruby on Rails, VueJS, and React Native.
* Optimize web application performance by reducing payloads and improving network resilience for a global user base.
* Build delightful, high\-fidelity user experiences through micro\-interactions, animations, and intuitive UI components.
**The ideal candidate:** 
* Demonstrates a proven track record of writing clean, maintainable, and high\-quality code across the full application stack.
* Thrives in a fast\-paced environment that values creative problem\-solving under technical constraints and shipping frequently.
* Possesses a strong sense of product ownership and an interest in solving complex internationalization and data scale problems.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23">
      <c r="A223" t="inlineStr">
        <is>
          <t>li-4373517763</t>
        </is>
      </c>
      <c r="B223" t="inlineStr">
        <is>
          <t>Entry Level Software Developer</t>
        </is>
      </c>
      <c r="C223" t="inlineStr">
        <is>
          <t>Lensa</t>
        </is>
      </c>
      <c r="D223" t="inlineStr">
        <is>
          <t>linkedin</t>
        </is>
      </c>
      <c r="E223">
        <f>HYPERLINK("https://www.linkedin.com/jobs/view/4373517763", "https://www.linkedin.com/jobs/view/4373517763")</f>
        <v/>
      </c>
      <c r="F223">
        <f>HYPERLINK("https://lensa.com/cgw/5bcfc525ae9d48668ee9c8e475bef484tjo1?jpsi=directemployers&amp;publisher_preference=easier_apply&amp;utm_campaign=Computer%20Occupations&amp;utm_medium=slot&amp;utm_source=linkedin&amp;utm_term=jse&amp;urlHash=a2pt", "https://lensa.com/cgw/5bcfc525ae9d48668ee9c8e475bef484tjo1?jpsi=directemployers&amp;publisher_preference=easier_apply&amp;utm_campaign=Computer%20Occupations&amp;utm_medium=slot&amp;utm_source=linkedin&amp;utm_term=jse&amp;urlHash=a2pt")</f>
        <v/>
      </c>
      <c r="G223" t="inlineStr">
        <is>
          <t>Dallas, TX</t>
        </is>
      </c>
      <c r="H223" t="inlineStr"/>
      <c r="I22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224">
      <c r="A224" t="inlineStr">
        <is>
          <t>li-4373518724</t>
        </is>
      </c>
      <c r="B224" t="inlineStr">
        <is>
          <t>Software Engineer - Early Career (USA)</t>
        </is>
      </c>
      <c r="C224" t="inlineStr">
        <is>
          <t>Lensa</t>
        </is>
      </c>
      <c r="D224" t="inlineStr">
        <is>
          <t>linkedin</t>
        </is>
      </c>
      <c r="E224">
        <f>HYPERLINK("https://www.linkedin.com/jobs/view/4373518724", "https://www.linkedin.com/jobs/view/4373518724")</f>
        <v/>
      </c>
      <c r="F224">
        <f>HYPERLINK("https://lensa.com/cgw/8d68d59e14ce4ace981f7e1e20acbe7ftjo1?jpsi=directemployers&amp;publisher_preference=easier_apply&amp;utm_campaign=Computer%20Occupations&amp;utm_medium=slot&amp;utm_source=linkedin&amp;utm_term=jse&amp;urlHash=k6oJ", "https://lensa.com/cgw/8d68d59e14ce4ace981f7e1e20acbe7ftjo1?jpsi=directemployers&amp;publisher_preference=easier_apply&amp;utm_campaign=Computer%20Occupations&amp;utm_medium=slot&amp;utm_source=linkedin&amp;utm_term=jse&amp;urlHash=k6oJ")</f>
        <v/>
      </c>
      <c r="G224" t="inlineStr">
        <is>
          <t>Stamford, CT</t>
        </is>
      </c>
      <c r="H224" t="inlineStr"/>
      <c r="I22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25">
      <c r="A225" t="inlineStr">
        <is>
          <t>li-4373539008</t>
        </is>
      </c>
      <c r="B225" t="inlineStr">
        <is>
          <t>System Software Engineer, Distributed Systems</t>
        </is>
      </c>
      <c r="C225" t="inlineStr">
        <is>
          <t>NVIDIA</t>
        </is>
      </c>
      <c r="D225" t="inlineStr">
        <is>
          <t>linkedin</t>
        </is>
      </c>
      <c r="E225">
        <f>HYPERLINK("https://www.linkedin.com/jobs/view/4373539008", "https://www.linkedin.com/jobs/view/4373539008")</f>
        <v/>
      </c>
      <c r="F225">
        <f>HYPERLINK("https://nvidia.wd5.myworkdayjobs.com/NVIDIAExternalCareerSite/job/US-CA-Santa-Clara/System-Software-Engineer\u002d\u002dDistributed-Systems_JR2013472?source=jobboardlinkedin&amp;urlHash=TQOD", "https://nvidia.wd5.myworkdayjobs.com/NVIDIAExternalCareerSite/job/US-CA-Santa-Clara/System-Software-Engineer\u002d\u002dDistributed-Systems_JR2013472?source=jobboardlinkedin&amp;urlHash=TQOD")</f>
        <v/>
      </c>
      <c r="G225" t="inlineStr">
        <is>
          <t>Santa Clara, CA</t>
        </is>
      </c>
      <c r="H225" t="inlineStr"/>
      <c r="I225"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The VLSI Productivity and Infrastructure team supports 1000\+ chip design engineers by building tools and platforms that supercharge their everyday work. Our mission: make chip designers faster. We build and operate long shelf\-life systems spanning build automation, observability, analytics, automated error detection/remediation, and codebase modernization—with a strong commitment to stability. Our core workflow infrastructure runs as userspace software on bare\-metal Linux hosts (no sudo, no containers). We coordinate shared state and artifacts via NFS, launch long\-running, compute\-heavy workflows on IBM LSF, and provide adjacent services for APIs and observability. This is a high\-ownership environment where you'll often be the expert on what you build. We are looking for a pragmatic and versatile systems engineer who enjoys working near the metal and building tools that empower other engineers. This is a generalist role with an emphasis on distributed systems and operational excellence in a “below containers” world: coordination, reliability, performance, and safe evolution of legacy systems (including incremental modernization of large codebases into Go). This isn't a CI/CD pipeline configuration role; you will be writing the userspace software that manages state, concurrency, and reliability at scale.
**What You Will Be Doing**
* Design, build, and deliver core components of our next\-generation productivity platforms
* Develop reliable userspace infrastructure for long\-running engineering workflows at scale on bare\-metal Linux hosts
* Build state coordination over NFS (atomicity, idempotency/dedup, partial\-write recovery, without privileged ops)
* Build and improve orchestration around IBM LSF (submission/tracking, retries/cancel, log capture, fairness/backpressure)
* Convert legacy codebases into modern powerhouses using incremental migration techniques (e.g., Perl to Go), with stage gates, parity strategies, and strong observability
* Debug and improve performance and reliability across Linux and Kubernetes, including operational tooling
* Collaborate with engineering users to turn ambiguous workflows into durable production systems
**What We Need To See**
* B.S. CS/EE (or equivalent experience)
* 5\+ years developing and operating production software in Go and/or Python, ideally in large codebases
* Strong Linux fundamentals: processes, filesystems, permissions, synchronization/locks, concurrency, and debugging
* Solid distributed\-systems thinking: failures, retries/timeouts, backoff, idempotency, and operational rigor
* Experience building long\-runtime automation or services on shared compute clusters (batch schedulers, build systems)
* Ability to translate ambitious, high\-level goals into a safe delivery plan (instrumentation, staged rollout, measurable outcomes)
**Ways To Stand Out From The Crowd**
* Hands\-on experience with shared filesystems at scale (NFS), or coordination patterns on eventually\-consistent storage
* Experience with batch job scheduling, shared compute fleets, or build systems
* Track record of incremental modernization (tests, shadow runs, canaries, rollback plans)
* Experience partitioning/optimizing metadata\-heavy systems and reducing I/O or R/W hot spots
* Strong incident/debug tactics: clear root\-cause analysis, remediation, and guardrails as well as rapid comprehension and ownership of unfamiliar codebases in any language (including LLM\-generated code) to implement high\-leverage changes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JR2013472</t>
        </is>
      </c>
    </row>
    <row r="226">
      <c r="A226" t="inlineStr">
        <is>
          <t>li-4373530230</t>
        </is>
      </c>
      <c r="B226" t="inlineStr">
        <is>
          <t>Senior Data Backend Engineer</t>
        </is>
      </c>
      <c r="C226" t="inlineStr">
        <is>
          <t>NVIDIA</t>
        </is>
      </c>
      <c r="D226" t="inlineStr">
        <is>
          <t>linkedin</t>
        </is>
      </c>
      <c r="E226">
        <f>HYPERLINK("https://www.linkedin.com/jobs/view/4373530230", "https://www.linkedin.com/jobs/view/4373530230")</f>
        <v/>
      </c>
      <c r="F226">
        <f>HYPERLINK("https://nvidia.wd5.myworkdayjobs.com/NVIDIAExternalCareerSite/job/US-OR-Remote/Senior-Data-Backend-Engineer_JR2012985?source=jobboardlinkedin&amp;urlHash=qwRq", "https://nvidia.wd5.myworkdayjobs.com/NVIDIAExternalCareerSite/job/US-OR-Remote/Senior-Data-Backend-Engineer_JR2012985?source=jobboardlinkedin&amp;urlHash=qwRq")</f>
        <v/>
      </c>
      <c r="G226" t="inlineStr">
        <is>
          <t>Portland, OR</t>
        </is>
      </c>
      <c r="H226" t="inlineStr"/>
      <c r="I226" t="inlineStr">
        <is>
          <t>NVIDIA is a global leader in high\-speed computer vision, artificial intelligence (AI), and deep learning. Our team develops data engineering solutions that empower AI developers in autonomous vehicle (AV) domains to innovate quickly and effectively at scale. Are you ready to take on a senior technical role in building high\-performance AI data pipelines? We seek an exceptional individual to design and optimize microservices and data pipelines to process massive volumes of AV data and enable seamless data mining and AI training. The ideal candidate will bring expertise in big data processing and distributed computing to create efficient solutions and overarching architectures for challenges such as video data curation, behavioral search, and AI dataset management.
**What You'll Be Doing**
* Scope and build tools, microservices, workflows, and distributed applications to accelerate data mining and AI training.
* Design and implement solutions for streaming, resilience, logging, security, authentication, workflow orchestration, and data management.
* Deploy AI models.
* Design and develop Retrieval\-Augmented Generation (RAG) workflows enabling hybrid and agentic patterns.
* Analyze and operationalize complex distributed systems for speed\-of\-light performance.
**What We Need To See**
* Master’s degree in Computer Science \| Electrical Engineering (or equivalent experience).
* 8\+ years of experience developing high\-performance, scalable software systems.
* Strong programming skills in Python or Golang
* Proficiency in key technologies like Kubernetes, Helm, Hive, Parquet, SQL, vector databases, e.g., Milvus.
* Strong architectural skills with a proactive, problem\-solving mentality.
* Experience in data mining \| AI development
* Experience building ETL pipelines and working with big data engines.
* Exceptional collaboration skills to work with system software and AI expert teams.
* Eagerness to learn and adopt new technologies such as NVIDIA RAPIDS.
**Ways To Stand Out From The Crowd**
* Prior experience with large\-scale real\-time streaming, augmented reality, or data curation.
* Prior background with Spark.
* Exposure to the latest advances in AI, including Large Language Models, Vision\-Language Models, and Retrieval\-Augmented Generation (RAGs).
* Innovative results, including patents, publications, or open source contributions.
 Your base salary will be determined based on your location, experience, and the pay of employees in similar positions. The base salary range is 184,000 USD \- 287,500 USD.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JR2012985</t>
        </is>
      </c>
    </row>
    <row r="227">
      <c r="A227" t="inlineStr">
        <is>
          <t>li-4373531210</t>
        </is>
      </c>
      <c r="B227" t="inlineStr">
        <is>
          <t>Senior Software Engineer, Map Tooling - Autonomous Vehicles</t>
        </is>
      </c>
      <c r="C227" t="inlineStr">
        <is>
          <t>NVIDIA</t>
        </is>
      </c>
      <c r="D227" t="inlineStr">
        <is>
          <t>linkedin</t>
        </is>
      </c>
      <c r="E227">
        <f>HYPERLINK("https://www.linkedin.com/jobs/view/4373531210", "https://www.linkedin.com/jobs/view/4373531210")</f>
        <v/>
      </c>
      <c r="F227" t="inlineStr"/>
      <c r="G227" t="inlineStr">
        <is>
          <t>Santa Clara, CA</t>
        </is>
      </c>
      <c r="H227" t="inlineStr"/>
      <c r="I227" t="inlineStr">
        <is>
          <t>We are looking for a Senior Software Engineer for our Autonomous Vehicle efforts within the Mapping application and engineering team. The team has a variety of responsibilities, including developing visualization tools for map data, implementing distributed pipelines for large scale data processing, applying advanced deep learning models and math algorithms to automatically produce the highest quality maps for self\-driving cars.
 We operate in a fast\-paced and highly agile fashion and seek the best engineers passionate about solving problems with a strong background in software development and system design. Are you interested in building future technologies to create and serve HD/SD maps to millions of self\-driving cars across the globe? If so, join us!
**What You'll Be Doing**
* Work on web applications to fulfill the requirements of our engineering team and customers, implement new functionalities and write solid tests.
* Web frontend development. Implement 2D/3D visualization/editing of vector and raster map data.
* Backend development. Implement the endpoints responsible to power data to your app, benchmark/optimize data loading strategy, make sure a fluent user experience.
* Collaborating with other engineering teams within Nvidia mapping including algorithms, client and validation. Supporting operations of mapping services.
**What We Need To See**
* BS/BA degree in Computer Science or Electrical Engineering, related technical field or equivalent experience
* 8\+ Web development experience and fluency in Javascript/Typescript.
* Working knowledge in interactive data visualization technology, including but not limited to Computer Graphics, OpenGL, webGL.
* Good understanding of Linux, networking and service deployment.
* Creative, autonomous. Good analytical and problem\-solving skills.
* Good communication and analytical skills with ability to work with multiple teams and priorities
**Ways To Stand Out From The Crowd**
* Prior knowledge/experience in the autonomous driving mapping industry.
* Familiarity with React (hooks, routing, state management) or similar frontend frameworks
* Knowledge of GLSL shader programming for custom visual effects
* Experience with rendering graphics on web standards (canvas, SVG or WebGL)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JR2012779</t>
        </is>
      </c>
    </row>
    <row r="228">
      <c r="A228" t="inlineStr">
        <is>
          <t>li-4373508993</t>
        </is>
      </c>
      <c r="B228" t="inlineStr">
        <is>
          <t>Software Engineer - Early Career</t>
        </is>
      </c>
      <c r="C228" t="inlineStr">
        <is>
          <t>Lensa</t>
        </is>
      </c>
      <c r="D228" t="inlineStr">
        <is>
          <t>linkedin</t>
        </is>
      </c>
      <c r="E228">
        <f>HYPERLINK("https://www.linkedin.com/jobs/view/4373508993", "https://www.linkedin.com/jobs/view/4373508993")</f>
        <v/>
      </c>
      <c r="F228" t="inlineStr"/>
      <c r="G228" t="inlineStr">
        <is>
          <t>King of Prussia, PA</t>
        </is>
      </c>
      <c r="H228" t="inlineStr"/>
      <c r="I22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King of Prussia, Pennsylvania is seeking a full\-time Software Engineer to join our team. This Software Engineer will work in a team environment utilizing software methodologies and processes.
 Must be a US Citizen. This position will require obtaining a government security clearance.
**Basic Qualifications**
 Experience in at least one of these skills or computer language areas: C, C\+\+, C\#, Python, Java, XML, Windows, .NET, and LINUX/UNIX, system software and scripting development, Java programming, web development, System analysis, System design, Software Design, Software Development and Implementation, Software Test.
 Bachelor's degree in Computer Science or related discipline
**Desired Skills**
 Knowledge of basic software practices such as coding standards, unit testing and configuration management, database and System administration.
 Good communication skills.
 Strong team player.
 Familiarity with Agile Development Process a plus.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229">
      <c r="A229" t="inlineStr">
        <is>
          <t>li-4373540001</t>
        </is>
      </c>
      <c r="B229" t="inlineStr">
        <is>
          <t>Senior Data Backend Engineer</t>
        </is>
      </c>
      <c r="C229" t="inlineStr">
        <is>
          <t>NVIDIA</t>
        </is>
      </c>
      <c r="D229" t="inlineStr">
        <is>
          <t>linkedin</t>
        </is>
      </c>
      <c r="E229">
        <f>HYPERLINK("https://www.linkedin.com/jobs/view/4373540001", "https://www.linkedin.com/jobs/view/4373540001")</f>
        <v/>
      </c>
      <c r="F229" t="inlineStr"/>
      <c r="G229" t="inlineStr">
        <is>
          <t>Oregon, United States</t>
        </is>
      </c>
      <c r="H229" t="inlineStr"/>
      <c r="I229" t="inlineStr">
        <is>
          <t>NVIDIA is a global leader in high\-speed computer vision, artificial intelligence (AI), and deep learning. Our team develops data engineering solutions that empower AI developers in autonomous vehicle (AV) domains to innovate quickly and effectively at scale. Are you ready to take on a senior technical role in building high\-performance AI data pipelines? We seek an exceptional individual to design and optimize microservices and data pipelines to process massive volumes of AV data and enable seamless data mining and AI training. The ideal candidate will bring expertise in big data processing and distributed computing to create efficient solutions and overarching architectures for challenges such as video data curation, behavioral search, and AI dataset management.
**What You'll Be Doing**
* Scope and build tools, microservices, workflows, and distributed applications to accelerate data mining and AI training.
* Design and implement solutions for streaming, resilience, logging, security, authentication, workflow orchestration, and data management.
* Deploy AI models.
* Design and develop Retrieval\-Augmented Generation (RAG) workflows enabling hybrid and agentic patterns.
* Analyze and operationalize complex distributed systems for speed\-of\-light performance.
**What We Need To See**
* Master’s degree in Computer Science \| Electrical Engineering (or equivalent experience).
* 8\+ years of experience developing high\-performance, scalable software systems.
* Strong programming skills in Python or Golang
* Proficiency in key technologies like Kubernetes, Helm, Hive, Parquet, SQL, vector databases, e.g., Milvus.
* Strong architectural skills with a proactive, problem\-solving mentality.
* Experience in data mining \| AI development
* Experience building ETL pipelines and working with big data engines.
* Exceptional collaboration skills to work with system software and AI expert teams.
* Eagerness to learn and adopt new technologies such as NVIDIA RAPIDS.
**Ways To Stand Out From The Crowd**
* Prior experience with large\-scale real\-time streaming, augmented reality, or data curation.
* Prior background with Spark.
* Exposure to the latest advances in AI, including Large Language Models, Vision\-Language Models, and Retrieval\-Augmented Generation (RAGs).
* Innovative results, including patents, publications, or open source contributions.
 Your base salary will be determined based on your location, experience, and the pay of employees in similar positions. The base salary range is 184,000 USD \- 287,500 USD.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JR2012985</t>
        </is>
      </c>
    </row>
    <row r="230">
      <c r="A230" t="inlineStr">
        <is>
          <t>li-4373523366</t>
        </is>
      </c>
      <c r="B230" t="inlineStr">
        <is>
          <t>Entry Level Software Engineer</t>
        </is>
      </c>
      <c r="C230" t="inlineStr">
        <is>
          <t>Lensa</t>
        </is>
      </c>
      <c r="D230" t="inlineStr">
        <is>
          <t>linkedin</t>
        </is>
      </c>
      <c r="E230">
        <f>HYPERLINK("https://www.linkedin.com/jobs/view/4373523366", "https://www.linkedin.com/jobs/view/4373523366")</f>
        <v/>
      </c>
      <c r="F230" t="inlineStr"/>
      <c r="G230" t="inlineStr">
        <is>
          <t>Greenlawn, NY</t>
        </is>
      </c>
      <c r="H230" t="inlineStr"/>
      <c r="I2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BAE Systems USA. Clicking "Apply Now" or "Read more" on Lensa redirects you to the job board/employer site. Any information collected there is subject to their terms and privacy notice.
**Job Description**
 Do you want to design and write software that really matters and be a part of a cause greater than yourself? Then, help us protect those that protect us by developing Next Generation Electronic Systems Products and Solutions. We need your talent, motivation, and vision to join our Long Island team. We are actively seeking an Entry Level Software Engineer with a range of skills and a passion for learning new things who can apply their skills to developing high\-quality, real\-time embedded software for fielded electronics platforms. BAE Systems in Greenlawn, NY has recently been awarded new programs and is currently undergoing an exciting period of growth.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Because this role involves a combination of collaborative/in\-person and independent work, it will take the form of a hybrid work format, with time split between working onsite and remotely.
**Required Education, Experience, \&amp; Skills**
* Bachelor's Degree in Computer Science, Electrical Engineering, Computer Engineering, or other scientific degree with strong software content.
* Strong problem\-solving skills that translate to working, maintainable software.
* Able to obtain a Secret clearance.
**Preferred Education, Experience, \&amp; Skills**
* Demonstrated proficiency in a high level software language such as Java, C , C, or Python
* Coursework or other experience in embedded software development.
* Working knowledge of software tools such as Jira, BitBucket, debuggers, containers, etc.
* Experience with Agile Development and DevSecOps
* Experience developing on Windows/Linux Operating Systems
* Experience using git or another version control system
* Familiarity with Unit Testing frameworks
* Active Secret Clearance
**Pay Information**
 Full\-Time Salary Range: $69439 \- $118047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**Entry Level Software Engineer**
**119273BR**
 EEO Career Site Equal Opportunity Employer. Minorities . females . veterans . individuals with disabilities . sexual orientation . gender identity . gender expression
 If you have questions about this posting, please contact support@lensa.com</t>
        </is>
      </c>
    </row>
    <row r="231">
      <c r="A231" t="inlineStr">
        <is>
          <t>li-4373287694</t>
        </is>
      </c>
      <c r="B231" t="inlineStr">
        <is>
          <t>Software Engineer (Java, Python)</t>
        </is>
      </c>
      <c r="C231" t="inlineStr">
        <is>
          <t>Wiraa</t>
        </is>
      </c>
      <c r="D231" t="inlineStr">
        <is>
          <t>linkedin</t>
        </is>
      </c>
      <c r="E231">
        <f>HYPERLINK("https://www.linkedin.com/jobs/view/4373287694", "https://www.linkedin.com/jobs/view/4373287694")</f>
        <v/>
      </c>
      <c r="F231">
        <f>HYPERLINK("https://www.wiraa.com/job-description/usF9F4152EF90B3CA943CED4394111EC7C?source=Linkedin&amp;urlHash=C6Db", "https://www.wiraa.com/job-description/usF9F4152EF90B3CA943CED4394111EC7C?source=Linkedin&amp;urlHash=C6Db")</f>
        <v/>
      </c>
      <c r="G231" t="inlineStr"/>
      <c r="H231" t="inlineStr"/>
      <c r="I231" t="inlineStr">
        <is>
          <t>**About The Company**
 Harness is a leading technology company specializing in AI\-powered software delivery platforms. Founded by renowned technologist and entrepreneur Jyoti Bansal, the company's mission is to revolutionize the software development lifecycle by integrating artificial intelligence and automation into deployment, testing, security, and compliance workflows. With substantial venture funding totaling approximately $240 million in Series E and a valuation of $5\.5 billion, Harness is backed by top\-tier investors including Goldman Sachs, Menlo Ventures, IVP, Google Ventures, J.P. Morgan, Capital One Ventures, Citi Ventures, ServiceNow, and Splunk Ventures. The company's innovative platform encompasses a broad suite of products such as CI/CD, feature flags, cloud cost management, service reliability, chaos engineering, and observability tools, enabling organizations worldwide to accelerate their release cycles and improve DevOps efficiency. Harness powers millions of deployments, billions of API calls, and significant cloud cost savings for clients like United Airlines and Choice Hotels, demonstrating its industry leadership and impact. With a global presence spanning over 25 countries, Harness is committed to shaping the future of AI\-driven software delivery and continuously expanding its technological capabilities.
**About The Role**
 We are seeking a highly experienced Staff Software Engineer to join our dynamic engineering team. In this role, you will leverage your deep expertise in distributed systems, microservices architecture, and cloud\-native backend engineering to build scalable, reliable, and high\-performance systems. Your primary focus will be on designing and developing fault\-tolerant backend services capable of handling millions of requests per second, ensuring operational excellence through incident management, performance optimization, and automation. You will work closely with cross\-functional teams to implement best practices in system reliability, security, and observability, contributing to the continuous improvement of our platform. This position offers an opportunity to influence the technical direction of Harness’s core infrastructure, mentor junior engineers, and drive innovation in a fast\-paced, collaborative environment. The ideal candidate will possess strong leadership qualities, a passion for scalable architecture, and a commitment to operational excellence, all while working remotely within the United States.
**Qualifications**
* 10\-14 years of professional experience in backend platform engineering, distributed systems, and microservices architecture
* Proficiency in programming languages such as Go, Java, or Python, with a focus on multithreading and concurrency
* Hands\-on experience with Kubernetes and service meshes like Istio or Linkerd
* Deep understanding of cloud infrastructure providers such as AWS, GCP, or Azure
* Experience with gRPC, REST APIs, and GraphQL, including performance tuning
* Strong knowledge of CI/CD pipelines and infrastructure automation tools like Terraform or Pulumi
* Proven track record of managing production incidents and implementing operational best practices
* Excellent debugging, problem\-solving, and analytical skills in complex distributed environments
* Experience with observability tools such as Prometheus, OpenTelemetry, Grafana, or Datadog
* Knowledge of security standards including SOC2, ISO 27001, and PCI DSS
* Effective leadership and mentorship abilities with excellent communication skills
**Responsibilities**
* Design and architect scalable, fault\-tolerant backend systems capable of handling high request volumes
* Develop microservices using Go, Java, or Python, ensuring high availability and resilience
* Deploy and manage applications on cloud platforms like AWS, GCP, or Azure using Kubernetes clusters
* Implement event\-driven architectures utilizing Kafka, Pulsar, or RabbitMQ for distributed messaging
* Establish and maintain operational excellence through incident response, SLAs, SLIs, and SLOs
* Lead post\-incident reviews, root cause analysis, and drive system improvements
* Define and implement observability strategies including logging, monitoring, and distributed tracing
* Optimize system performance related to latency, throughput, and resource utilization
* Enhance database and storage solutions for SQL and NoSQL environments, ensuring efficiency and security
* Implement security best practices for APIs, authentication, and authorization, maintaining compliance standards
* Mentor engineering team members, conduct code reviews, and promote best practices in platform engineering
* Collaborate with cross\-functional teams to align platform capabilities with overall business objectives
**Benefits**
* Opportunity to work on transformative products with a global impact
* End\-to\-end ownership of projects and technical initiatives
* Competitive salary aligned with experience and expertise
* Comprehensive healthcare benefits covering medical, dental, and vision
* Flexible work schedule supporting work\-life balance
* Quarterly team\-building events and social activities
* Paid Time Off and parental leave policies
* Monthly internet reimbursement to support remote work
* Engagement in a forward\-thinking, innovative company shaping the future of AI\-driven software delivery
 Equal Opportunity
 Harness is an equal opportunity employer. We celebrate diversity and are committed to creating an inclusive environment for all employees. All qualified applicants will receive consideration for employment without regard to race, color, religion, sex, gender identity, sexual orientation, national origin, age, disability, or any other protected status. We encourage candidates from all backgrounds to apply and join our mission to transform software delivery through AI and automation.</t>
        </is>
      </c>
    </row>
    <row r="232">
      <c r="A232" t="inlineStr">
        <is>
          <t>li-4372357018</t>
        </is>
      </c>
      <c r="B232" t="inlineStr">
        <is>
          <t>Senior Software Engineer (C#/.NET + SQL Server) | Remote US, 25-14061</t>
        </is>
      </c>
      <c r="C232" t="inlineStr">
        <is>
          <t>TeamBradley, Inc.</t>
        </is>
      </c>
      <c r="D232" t="inlineStr">
        <is>
          <t>linkedin</t>
        </is>
      </c>
      <c r="E232">
        <f>HYPERLINK("https://www.linkedin.com/jobs/view/4372357018", "https://www.linkedin.com/jobs/view/4372357018")</f>
        <v/>
      </c>
      <c r="F232" t="inlineStr"/>
      <c r="G232" t="inlineStr"/>
      <c r="H232" t="inlineStr"/>
      <c r="I232" t="inlineStr">
        <is>
          <t>**Short Scoop: Regarding This Exceptional Opportunity:** 
 Our client develops a commercial, multi\-customer data platform for the financial services industry. They are seeking a senior full\-stack engineer (backend heavy) who thinks at an architectural level but prefers building — someone energized by writing clean, durable software products built for scale and long\-term reuse.
 This role is deeply hands\-on in C\#/.NET and SQL Server. You will design and build reusable connectors and core platform components that must work reliably across many customer environments.
 This is not a customization role. It is product\-focused engineering where scalability, performance, and clarity matter. The team values thoughtful design, clean abstractions, and engineers who understand a problem fully before writing the first line of code.
**Location: Remote. Must reside in the US** 
**Status: US Citizen or Green Card holder** 
 (US only; excluding CA and NY)
**Why this role stands out** 
**Why This Role Stands Out** 
* Build scalable, reusable software deployed across complex multi\-customer environments
* True end\-to\-end ownership from architecture through long\-term optimization
* Engineering culture that values deliberate design over reactive coding
* Remote, high\-performing team built on accountability, trust, and technical rigor
**Compensation range** 
 :
 **$140,000 – $170,000** 
**The key to the health and well\-being of all employees is knowing you have insurance that takes care of you and your family.** 
 This company knows and understands that.
 **Benefits:** 
 medical, dental, vision, and a 401k
**What You’ll Be Doing** 
* **Shape platform architecture and personally implement the solutions you design**
* **Write clean, production\-grade code across core engine components and connectors**
* **Deliver scalable, durable software built for multi\-customer reuse**
* Collaborate closely on architecture, approach, and delivery
* Debug production issues across pipelines, integrations, and application components
* Tune SQL Server performance end\-to\-end
* Troubleshoot complex issues and refine solutions with strong engineering judgment
* Own delivery from requirements through rollout and iteration
**About You** 
* Be able to do the job as described.
* **7\+ years of** 
 professional software engineering experience building production systems
* **You are an entrepreneurial spirit and love crafting software with purpose**
* Experience developing commercial, customer\-facing software products with scalability and reuse in mind.
* You are strong with C\#/.NET production engineering chops – it is where you live and it is what you do.
* You’ve been a Senior Developer – you understand complex problems, and that drives you.
* Advanced T\-SQL \+real world SQL Server internals/performance troubleshooting
* Background in dimensional modeling (Kimball experience preferred) within production environments
* Organized thinker who communicates clearly technical decisions (no “shotgun details”)
* Proud builder mindset: you care about clean, durable solutions
* Comfortable partnering directly with customers
**How To Apply:** 
 We’d love to see your resume, but we don’t need it to have a conversation. It is as easy as one, two, three! Send an email directly to me, teambradley123 (at) gmail (dot) com and tell me why you’re interested. Message me here on LinkedIn. If you do have your resume ready to go, apply now on this site.
**Setting Expectations:** 
 We’d love to help every single person who is interested and applies to this role. Unfortunately, too many people apply who don’t appear capable of doing the job. We apologize in advance, but we will not be able to respond directly to all submissions.
**Sponsorship is not an option for this role.** 
**This client is an Equal Opportunity Employer** 
**This is A REMOTE ROLE!** 
**TBI Id No: 25\-14061, Senior Software Engineer (C\#/.NET \+ SQL Server)**</t>
        </is>
      </c>
    </row>
    <row r="233">
      <c r="A233" t="inlineStr">
        <is>
          <t>li-4373520769</t>
        </is>
      </c>
      <c r="B233" t="inlineStr">
        <is>
          <t>Senior Data Backend Engineer</t>
        </is>
      </c>
      <c r="C233" t="inlineStr">
        <is>
          <t>NVIDIA</t>
        </is>
      </c>
      <c r="D233" t="inlineStr">
        <is>
          <t>linkedin</t>
        </is>
      </c>
      <c r="E233">
        <f>HYPERLINK("https://www.linkedin.com/jobs/view/4373520769", "https://www.linkedin.com/jobs/view/4373520769")</f>
        <v/>
      </c>
      <c r="F233" t="inlineStr"/>
      <c r="G233" t="inlineStr">
        <is>
          <t>Colorado, United States</t>
        </is>
      </c>
      <c r="H233" t="inlineStr"/>
      <c r="I233" t="inlineStr">
        <is>
          <t>NVIDIA is a global leader in high\-speed computer vision, artificial intelligence (AI), and deep learning. Our team develops data engineering solutions that empower AI developers in autonomous vehicle (AV) domains to innovate quickly and effectively at scale. Are you ready to take on a senior technical role in building high\-performance AI data pipelines? We seek an exceptional individual to design and optimize microservices and data pipelines to process massive volumes of AV data and enable seamless data mining and AI training. The ideal candidate will bring expertise in big data processing and distributed computing to create efficient solutions and overarching architectures for challenges such as video data curation, behavioral search, and AI dataset management.
**What You'll Be Doing**
* Scope and build tools, microservices, workflows, and distributed applications to accelerate data mining and AI training.
* Design and implement solutions for streaming, resilience, logging, security, authentication, workflow orchestration, and data management.
* Deploy AI models.
* Design and develop Retrieval\-Augmented Generation (RAG) workflows enabling hybrid and agentic patterns.
* Analyze and operationalize complex distributed systems for speed\-of\-light performance.
**What We Need To See**
* Master’s degree in Computer Science \| Electrical Engineering (or equivalent experience).
* 8\+ years of experience developing high\-performance, scalable software systems.
* Strong programming skills in Python or Golang
* Proficiency in key technologies like Kubernetes, Helm, Hive, Parquet, SQL, vector databases, e.g., Milvus.
* Strong architectural skills with a proactive, problem\-solving mentality.
* Experience in data mining \| AI development
* Experience building ETL pipelines and working with big data engines.
* Exceptional collaboration skills to work with system software and AI expert teams.
* Eagerness to learn and adopt new technologies such as NVIDIA RAPIDS.
**Ways To Stand Out From The Crowd**
* Prior experience with large\-scale real\-time streaming, augmented reality, or data curation.
* Prior background with Spark.
* Exposure to the latest advances in AI, including Large Language Models, Vision\-Language Models, and Retrieval\-Augmented Generation (RAGs).
* Innovative results, including patents, publications, or open source contributions.
 Your base salary will be determined based on your location, experience, and the pay of employees in similar positions. The base salary range is 184,000 USD \- 287,500 USD.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JR2012985</t>
        </is>
      </c>
    </row>
    <row r="234">
      <c r="A234" t="inlineStr">
        <is>
          <t>li-4373504087</t>
        </is>
      </c>
      <c r="B234" t="inlineStr">
        <is>
          <t>Backend Engineer (API, Typescript)</t>
        </is>
      </c>
      <c r="C234" t="inlineStr">
        <is>
          <t>Wiraa</t>
        </is>
      </c>
      <c r="D234" t="inlineStr">
        <is>
          <t>linkedin</t>
        </is>
      </c>
      <c r="E234">
        <f>HYPERLINK("https://www.linkedin.com/jobs/view/4373504087", "https://www.linkedin.com/jobs/view/4373504087")</f>
        <v/>
      </c>
      <c r="F234">
        <f>HYPERLINK("https://www.wiraa.com/job-description/us814D916187F28BE540F5109047C831BD?source=Linkedin&amp;urlHash=ASny", "https://www.wiraa.com/job-description/us814D916187F28BE540F5109047C831BD?source=Linkedin&amp;urlHash=ASny")</f>
        <v/>
      </c>
      <c r="G234" t="inlineStr"/>
      <c r="H234" t="inlineStr"/>
      <c r="I234" t="inlineStr">
        <is>
          <t>**About The Company**
 Our mission at Oura is to empower every person to own their inner potential. We develop award\-winning health and wellness products that provide users with insights into their readiness, activity, and sleep quality through the innovative Oura Ring and its connected app. Since inception, we have helped millions worldwide understand and improve their health by offering daily personalized insights and practical steps to foster healthier lifestyles. As a rapidly growing company, we are committed to living our core values and empowering our team to excel both professionally and personally. Our focus extends beyond product innovation to creating an inclusive, supportive work environment that encourages growth, collaboration, and well\-being.
**About The Role**
 We are seeking a talented Backend Engineer to join our dynamic Software Engineering team in the United States. This remote position offers an exciting opportunity to contribute to our Commerce Mission, which aims to increase Oura’s brand recognition and drive product sales through online e\-commerce channels and strategic retail partnerships. In this role, you will be instrumental in developing reliable, scalable backend solutions that support our direct\-to\-consumer (D2C), business\-to\-business (B2B), and retail initiatives. You will collaborate with cross\-functional teams, including product managers, designers, and other engineers, to deliver high\-quality, secure, and performant web services. Your work will directly impact our revenue streams and customer experience, making this a pivotal role within our organization.
**Qualifications**
* 3 to 5 years of backend development experience
* Proficiency in API design and best practices
* Experience with serverless architectures, particularly AWS Lambdas
* Hands\-on experience designing, deploying, and maintaining scalable web services on AWS
* Knowledge of DevOps practices, including CI/CD pipelines, monitoring, and observability
* Understanding of security and compliance standards relevant to web platforms
* Strong problem\-solving skills and a pragmatic, delivery\-focused mindset
* Excellent collaboration and communication skills
**Responsibilities**
* Partner with product and cross\-functional teams to develop and deliver scalable, reliable backend solutions
* Design, implement, and maintain RESTful APIs and microservices using TypeScript, DynamoDB, Redis, and AWS technologies
* Ensure platform security, compliance, and best practices are adhered to in all development activities
* Support customer care teams by troubleshooting and resolving backend issues impacting user experience
* Participate in the development and maintenance of CI/CD pipelines, monitoring, and alerting systems to support operational excellence
* Contribute to technical documentation, code reviews, and testing strategies to ensure high\-quality deliverables
* Stay updated with industry trends and continuously improve backend architecture and processes
**Benefits**
* Competitive salary and equity packages
* Comprehensive health, dental, and vision insurance plans
* Mental health resources and support programs
* An Oura Ring of your own, plus employee discounts for friends and family
* 20 days of paid time off, 13 paid holidays, and 8 days of flexible wellness time off
* Paid sick leave and parental leave policies
* Remote work flexibility with optional hybrid or office\-based work at our San Francisco and San Diego locations
 Equal Opportunity
 Oura is proud to be an equal opportunity workplace. We celebrate diversity and are committed to creating an inclusive environment for all employees. We consider all qualified applicants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sexual orientation, military or veteran status, or any other characteristic protected by federal, state, or local laws. We are dedicated to providing reasonable accommodations to individuals with disabilities throughout the hiring process and employment. Join us in our mission to empower people worldwide to live healthier, happier lives while fostering a respectful and inclusive workplace environment.</t>
        </is>
      </c>
    </row>
    <row r="235">
      <c r="A235" t="inlineStr">
        <is>
          <t>li-4373501998</t>
        </is>
      </c>
      <c r="B235" t="inlineStr">
        <is>
          <t>Sr. Software Engineer | Up to $120/hr</t>
        </is>
      </c>
      <c r="C235" t="inlineStr">
        <is>
          <t>Mercor</t>
        </is>
      </c>
      <c r="D235" t="inlineStr">
        <is>
          <t>linkedin</t>
        </is>
      </c>
      <c r="E235">
        <f>HYPERLINK("https://www.linkedin.com/jobs/view/4373501998", "https://www.linkedin.com/jobs/view/4373501998")</f>
        <v/>
      </c>
      <c r="F235" t="inlineStr"/>
      <c r="G235" t="inlineStr"/>
      <c r="H235" t="inlineStr"/>
      <c r="I235"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III
**Type:** 
**Temporary**
**Compensation:** 
**$100–$120/hour**
**Location:** 
**US – Washington – Redmond (remote work options may be available for candidates located in the United States, depending on team needs and assignment requirements)**
**Role Responsibilities**
* Design, implement, test, and maintain software features and services aligned to project objectives.
* Write clean, maintainable, well\-documented code and contribute to code reviews.
* Troubleshoot, debug, and resolve production and non\-production issues as needed.
* Collaborate with product, design, data, and infrastructure partners to deliver scoped outcomes.
* Participate in on\-call or operational support processes if required for the assignment.
* Follow security, privacy, and engineering best practices applicable to the work.
**Qualifications**
**Must\-Have**
* Bachelor’s degree in Computer Science, Engineering, or a related field, or equivalent practical experience.
* Experience developing software in one or more general\-purpose programming languages (e.g., C\+\+, Java, Python, Go).
* Experience with data structures, algorithms, and software design principles.
* Experience with version control (e.g., Git) and modern development workflows (e.g., CI/CD).
* Ability to work effectively in a distributed team environment and communicate technical concepts clearly.
* Must be authorized to work in the United States for the duration of the assignment.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36">
      <c r="A236" t="inlineStr">
        <is>
          <t>li-4373517757</t>
        </is>
      </c>
      <c r="B236" t="inlineStr">
        <is>
          <t>Remote Software Engineer II-iOS</t>
        </is>
      </c>
      <c r="C236" t="inlineStr">
        <is>
          <t>Lensa</t>
        </is>
      </c>
      <c r="D236" t="inlineStr">
        <is>
          <t>linkedin</t>
        </is>
      </c>
      <c r="E236">
        <f>HYPERLINK("https://www.linkedin.com/jobs/view/4373517757", "https://www.linkedin.com/jobs/view/4373517757")</f>
        <v/>
      </c>
      <c r="F236">
        <f>HYPERLINK("https://lensa.com/cgw/d35fd8d9353a4979b8f29cc05fe45a9atjo1?jpsi=directemployers&amp;publisher_preference=easier_apply&amp;utm_campaign=Computer%20Occupations&amp;utm_medium=slot&amp;utm_source=linkedin&amp;utm_term=jse&amp;urlHash=To5a", "https://lensa.com/cgw/d35fd8d9353a4979b8f29cc05fe45a9atjo1?jpsi=directemployers&amp;publisher_preference=easier_apply&amp;utm_campaign=Computer%20Occupations&amp;utm_medium=slot&amp;utm_source=linkedin&amp;utm_term=jse&amp;urlHash=To5a")</f>
        <v/>
      </c>
      <c r="G236" t="inlineStr">
        <is>
          <t>Chicago, IL</t>
        </is>
      </c>
      <c r="H236" t="inlineStr"/>
      <c r="I2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McDonald's Corporation. Clicking "Apply Now" or "Read more" on Lensa redirects you to the job board/employer site. Any information collected there is subject to their terms and privacy notice.
**Job Description**
 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(https://medium.com/mcdonalds\-technical\-blog)  to learn how technology and our global team are directly enabling the Accelerating the Arches strategy.
 Duties
 Global Technology forging the way
 Leading the digitization of our business is the Technology organization made up of innovation specialists who build industry defining tech using the latest innovations and platforms, like AI and edge computing to deliver on the next set of groundbreaking opportunities for the business. We take on technology innovation challenges at an incredible scale, and work across global teams who are always hungry for a challenge! This provides access to compelling career paths for technologists. It’s bonus points when you get to see your family and friends use the tech you build at their favorite McD restaurant.
 Supply to all aspects of the agile development life cycle including design, development, documentation, testing and operations.
* Contribute to all aspects of the agile development life cycle including design, development, documentation, testing and operations.
* As a software development engineer on a team, you will play a pivotal role in shaping the definition, vision, design, road map and development of product features from beginning to end.
* Design, implement, test, deploy and maintain innovative software solutions to transform service performance, durability, cost, and security.
* Use software engineering best practices to ensure a high standard of quality for all team deliverables.
* Work in an agile, startup\-like development environment, where you are always working on the most important priorities.
**Qualifications**
* 2\+ years of non\-internship professional software development experience.
* Extensive programming experience with Swift, Objective\-C, and iOS platform technologies and APIs.
* Bachelor’s Degree in Computer Science or related field or equivalent years of experience.
* Solid knowledge of Computer Science fundamentals (object\-oriented design, data structures and algorithm.
* Strong verbal and written communication skills.
* Solution\-oriented attitude and ability to solve tough problems in a collaborative, cross\-functional, and fast\-paced environment.
* Demonstrated leadership abilities in an engineering environment in driving operational excellence and best practices.
* Highly quantitative with great judgment and passion for building a great customer experience.
* Uncompromising attention to detail and drive to continuously improve the product.
* Ability to take a project from scoping requirements to launch to delivery.
**Compensation**
 Bonus Eligible: Yes
 Long \- Term Incentive: No
 Benefits Eligible: Yes
 Salary Range
 The expected salary range for this role is $98,140\-$138,625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
 Requsition ID: 1921
 If you have questions about this posting, please contact support@lensa.com</t>
        </is>
      </c>
    </row>
    <row r="237">
      <c r="A237" t="inlineStr">
        <is>
          <t>li-4372329965</t>
        </is>
      </c>
      <c r="B237" t="inlineStr">
        <is>
          <t>Senior Software Engineer</t>
        </is>
      </c>
      <c r="C237" t="inlineStr">
        <is>
          <t>FutureTech Recruitment</t>
        </is>
      </c>
      <c r="D237" t="inlineStr">
        <is>
          <t>linkedin</t>
        </is>
      </c>
      <c r="E237">
        <f>HYPERLINK("https://www.linkedin.com/jobs/view/4372329965", "https://www.linkedin.com/jobs/view/4372329965")</f>
        <v/>
      </c>
      <c r="F237" t="inlineStr"/>
      <c r="G237" t="inlineStr">
        <is>
          <t>San Francisco, CA</t>
        </is>
      </c>
      <c r="H237" t="inlineStr"/>
      <c r="I237" t="inlineStr">
        <is>
          <t>**Senior Software Engineer** 
**San Francisco or New York (In\-Office 5 Days/Week)** 
**Base $250–330k \+ Equity** 
 FutureTech Recruitment is partnered with a category\-defining conversational AI platform empowering global brands to deliver concierge\-level customer experiences through intelligent AI agents across chat, email, and voice.
 Since emerging from stealth, the company has scaled rapidly, partnering with leading consumer and enterprise brands. After raising over $200M from top\-tier investors, they’re building one of the most advanced AI agent platforms in the market.
 They’re hiring a Senior Software Engineer to design and build the core systems powering real\-time conversational AI at scale.
**Responsibilities** 
* Design and build production systems that power real\-time AI agent interactions
* Develop streaming, orchestration, and execution infrastructure for intelligent agents
* Improve system reliability, performance, and latency across complex distributed systems
* Collaborate closely with research to bring models into production
* Partner with product and design to deliver intuitive, high\-impact user\-facing features
* Build tools for testing, observability, debugging, and continuous improvement
**Requirements:** 
* 6\+ years of experience building production systems at high\-growth tech companies
* Proven experience driving architecture for new products or major features
* Strong debugging skills across complex technical stacks
* Proficiency in Python for backend development
* Experience with TypeScript for full\-stack systems
* Comfortable with asynchronous programming and distributed systems
* Strong communication skills and ability to thrive in fast\-paced environments
 If you’re excited about building real\-time AI systems operating at massive scale inside one of the fastest\-growing conversational AI companies, click Apply Now!</t>
        </is>
      </c>
    </row>
    <row r="238">
      <c r="A238" t="inlineStr">
        <is>
          <t>li-4371306539</t>
        </is>
      </c>
      <c r="B238" t="inlineStr">
        <is>
          <t>Senior Software Engineer - Back-End Java (Vault Services)</t>
        </is>
      </c>
      <c r="C238" t="inlineStr">
        <is>
          <t>Collectors</t>
        </is>
      </c>
      <c r="D238" t="inlineStr">
        <is>
          <t>linkedin</t>
        </is>
      </c>
      <c r="E238">
        <f>HYPERLINK("https://www.linkedin.com/jobs/view/4371306539", "https://www.linkedin.com/jobs/view/4371306539")</f>
        <v/>
      </c>
      <c r="F238" t="inlineStr"/>
      <c r="G238" t="inlineStr">
        <is>
          <t>Jersey City, NJ</t>
        </is>
      </c>
      <c r="H238" t="inlineStr"/>
      <c r="I238" t="inlineStr">
        <is>
          <t>Collectors is the leading creator of innovative technology that provides value\-added services for collectors worldwide. We grade, authenticate, vault, and sell millions of record\-setting collectibles, all while modernizing and digitalizing the process to further our mission of helping collectors pursue their passions. We’re always on the lookout for talented people to join our growing team.
 Our services span collectible trading cards, autographs, comic books, coins, video games, event tickets, and memorabilia. Our subsidiaries include PSA, PCGS, Beckett, SGC, and Card Ladder.
 Since our founding in 1986, we have graded and authenticated millions of items. We employ more than 3000 people across our headquarters in Santa Ana, California and offices in New Jersey, Texas, Florida, Japan, Shanghai, Hong Kong, Canada, Mexico, Germany, and France.
 We’re looking for back\-end software engineers to build robust \&amp; scalable backend applications that power delightful experiences for our collectors. You will be on the forefront of powering our digital transformation and have a wide impact. You will help evolve legacy applications and elevate our backend architecture to provide a platform upon which we can build innovative and value\-added services for both external and internal customers.
 You’ll report to a Director of Software Engineering and work from our Jersey City office. Remote or hybrid candidates will also be considered. We believe that there is significant value in in\-person collaboration. If you live within a 1 hour commuting distance to one of our offices, you will be required to be onsite most of the time. This will be discussed further as part of the recruiting process.
**What You’ll Do**
* Participate across the entire software development lifecycle, taking features from concept to production release
* Communicate with Product and other stakeholders to develop business requirements
* Collaboratively create solutions with other teams
* Troubleshoot software issues and debug a large codebase
* Develop and execute unit and integration tests
* Contribute to technical documentation to increase maintainability of software assets
**Who You Are**
* 5\+ years of software engineering industry experience building backend software, with exposure to microservices, event\-driven architectures, and REST APIs, or Java EE.
* 3\+ years experience/strong proficiency with Java; Spring Boot experience is preferred.
* Strong fundamentals working with databases \- relational \&amp; NoSQL.
* Exposure to building applications in the cloud (we use AWS) and experience with CloudFormation/Terraform/Pulumi
* Experience with containerization, orchestration, infrastructure (e.g., Docker, Kubernetes, ECS)
* Solid understanding of object\-oriented programming and design patterns.
* Possess strong technical, analytical, troubleshooting, and communication skills with the ability to visualize and document processes
* Understanding of how to create modular and extensible APIs
* Proficient at using appropriate security, testing, documentation, and/or monitoring best practices
* Familiar with Agile/Scrum methodologies
**Salary Range**
*The salary range for this position is $135,549 \- $220,067\. Actual compensation on this range varies based on a variety of non\-discriminatory factors, including location, job level, experience, and skill set. This role may be eligible for bonuses, commissions, or other forms of compensation, please ask your recruiter for details.*
**Reasons To Join Us**
* Health Insurance: All full\-time employees are eligible to enroll in Medical, Dental, and Vision
* Additional Benefits: Full\-time employees are eligible for fertility, commuter, and educational assistance benefits
* 401(K) Matching Plan: We are proud to offer a competitive 401k matching plan to our employees to support their future financial goals
* Vacation: All salaried employees are eligible for flexible time\-off
* Holiday Pay: All regular, full\-time employees are eligible for ten company paid holidays
* Employee Discounts: Employees receive discounts on select grading services for approved submissions
* Flexible Hours: Many of our teams offer flexible schedules with varying shifts and will work with you to accommodate your needs
* Fun Working Environment: Our team members are invited to participate in celebrations, holiday events, and team building activities
**Candidates must be authorized to work in the United States.**
**Qualified applications with arrest or conviction records will be considered for employment in accordance with the Los Angeles County Fair Chance Ordinance for Employers and the California Fair Chance Act.**
 Collectors uses e\-Verify to validate your ability to work legally in the United States.
 We are aware that there are instances where individuals are receiving job offers that fraudulently allege to be from Collectors or one of our business units. This type of fraud can be carried out through false websites, through fake e\-mails claiming to be from the company or through social media. We never ask for personal information such as your bank account, Social Security numbers or National IDs, nor do we send or request payments for the purchase of business\-related equipment. If you suspect fraud, please reach out to jobs@collectors.com.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believe that a team that represents a variety of backgrounds, perspectives, and skills will better service the diverse community of collectors we support.*
*If you require an accommodation to apply or interview with us due to a disability or special need, please email* 
*people@collectors.com* 
*.*
*U.S. residents: for disclosures relating to personal information we collect during the employment application and recruitment process, please see our* 
*Privacy Notice for U.S. Applicants* 
*.*
*If you are based in California, you can read information for California residents* 
*here* 
*.*</t>
        </is>
      </c>
    </row>
    <row r="239">
      <c r="A239" t="inlineStr">
        <is>
          <t>li-4293081844</t>
        </is>
      </c>
      <c r="B239" t="inlineStr">
        <is>
          <t>System Software Engineer</t>
        </is>
      </c>
      <c r="C239" t="inlineStr">
        <is>
          <t>Broadcom</t>
        </is>
      </c>
      <c r="D239" t="inlineStr">
        <is>
          <t>linkedin</t>
        </is>
      </c>
      <c r="E239">
        <f>HYPERLINK("https://www.linkedin.com/jobs/view/4293081844", "https://www.linkedin.com/jobs/view/4293081844")</f>
        <v/>
      </c>
      <c r="F239" t="inlineStr"/>
      <c r="G239" t="inlineStr">
        <is>
          <t>San Jose, CA</t>
        </is>
      </c>
      <c r="H239" t="inlineStr"/>
      <c r="I239"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RDMA protocol features for the Ethernet NIC. You will work cross functionally with marketing, architects, silicon development and the QA teams to design, implement, document and test high quality software, drivers and the firmware components.
 Responsibilities:
* Design and development of the RDMA protocol features for the Ethernet NIC products, preferably in QoS and congestion control domains.
* Work closely with the architecture teams, silicon design teams and other software / firmware teams to architect, design and implement scalable and high performance applications.
* Author and contribution in software design, development, validation, and documentation to deliver high quality, high performance and functionally excellent products.
* Work with the QA team to define high quality test cases, review the test plans and provide support through the release development cycle.
* Work closely with the customer support engineers on any customer field issues and provide timely resolutions.
 Requirements:
* BS/MS in Computer Science, Electronics \&amp; Communications or equivalent with minimum 12\+ years of experience.
* Significant experience in RDMA protocol, QoS, Packet Classifications, Linux Systems programming, Linux kernel, Linux Network Drivers, Linux Kernel Networking, Virtual Switching and Data center Networking, Firmware development.
* A good understanding of the RDMA protocol is a must have. Hands\-on experience with RDMA is highly desired.
* Experience in writing test scripts to verify NIC behavior is highly desired.
* Deep knowledge of Linux kernel and Linux kernel networking is an added advantage.
* Experience analyzing and tuning performance for a variety of HPC workloads.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R023643</t>
        </is>
      </c>
    </row>
    <row r="240">
      <c r="A240" t="inlineStr">
        <is>
          <t>li-4373525474</t>
        </is>
      </c>
      <c r="B240" t="inlineStr">
        <is>
          <t>Staff Software Engineer</t>
        </is>
      </c>
      <c r="C240" t="inlineStr">
        <is>
          <t>Sydecar</t>
        </is>
      </c>
      <c r="D240" t="inlineStr">
        <is>
          <t>linkedin</t>
        </is>
      </c>
      <c r="E240">
        <f>HYPERLINK("https://www.linkedin.com/jobs/view/4373525474", "https://www.linkedin.com/jobs/view/4373525474")</f>
        <v/>
      </c>
      <c r="F240" t="inlineStr"/>
      <c r="G240" t="inlineStr">
        <is>
          <t>San Francisco, CA</t>
        </is>
      </c>
      <c r="H240" t="inlineStr"/>
      <c r="I240" t="inlineStr">
        <is>
          <t>**About Us**
 Sydecar is on a mission to transform the world of private markets. Our goal is to make these markets more accessible, transparent, and liquid, and we're achieving this by revolutionizing the way investment vehicles are created and executed.
 At Sydecar, we're not just a platform; we're a trusted partner in venture capital. We're dedicated to simplifying and standardizing the private investing experience, empowering capital allocators to discover and support visionary entrepreneurs who are shaping the future.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
 Join us at Sydecar, as we lead the charge in revolutionizing private investing.
**Locations:** 
 San Francisco (Hybrid – 2 days per week in office)
**About Our Engineering Teams**
 We’re hiring across multiple teams and are excited to match engineers with roles that align with their interests and strengths. Whether you’re full stack, front end–focused, or more backend–oriented, we have opportunities that fit your skill set and where you want to grow.
 Our Tech Stack
* Frontend: TypeScript and React in a mono\-repo structure
* Backend: TypeScript, using NestJS and Prisma
* Database: PostgreSQL
* Testing \&amp; Code Quality: Jest and linted/auto\-formatted with ESLint/Prettier
* Design: Wireframes and prototypes crafted in Figma
* Infrastructure: Maintained as Infrastructure as Code (IaC) using Terraform
**What You Will Do**
 As a Staff Software Engineer, you are the archetype for the engineering organization. You are comfortable leading large project teams or working on complex projects few others in the organization can take on. You leverage business and organizational awareness to outline quarter\-long technology strategies and drive implementation across the organization, elevating the quality, functionality, and potential of Sydecar's core product. You are a Product engineer first, helping our core applications team improve the experience for deal organizers and investors, who combine to close hundreds of millions of dollars in venture funding annually.
* Lead large/complex projects.
* Outline technology strategies with a 1\-2 quarter time horizon.
* Cultivate the growth of talented full stack engineers through mentorship.
* Help shape the product and design roadmaps.
* Drive end\-to\-end the architectural decisions, scalability planning, and long\-term strategic vision for these key components.
* Collaborate across functions with Product and Design, Legal, Compliance, and Customer Experience and other engineering leaders to deliver cohesive, platform\-wide solutions.
**What We’re Looking For**
* 8\+ years of professional experience as a software engineer, with a proven track record of technical leadership and driving org\-wide impact.
* Expertise in building large\-scale, high\-reliability, distributed backend systems, ideally in the fintech or payments space.
* Strong proficiency in JavaScript/TypeScript is highly preferred.
* Experience managing the complete project lifecycle, transforming intricate ideas and ambiguous requirements into successful launches independently.
* Deep expertise in system architecture, data modeling, and building core services with clean interfaces.
* Product sense and a passion for advocating for the customer, with experience building robust systems that directly impact business\-critical flows.
* Outstanding capacity to convey intricate technical concepts clearly and precisely, both in writing and verbally, to diverse functional teams.
* Ability to work independently and take ownership of projects, while also thriving in a team environment, often guiding the work of several other engineers across multiple projects.
* Ability to implement and influence engineering best practices.
**Sydecar’s values**
***Our values are important to the way we live and work at Sydecar. They guide our priorities, behaviors and interactions.***
**Be Committed**
 As a team, we rise to meet challenges and recognize that we become stronger and develop character when facing adversity.
**Be Excellent**
 We measure our success not just by what we achieve, but by how we achieve it—through integrity, creativity, elegance, and a commitment to continuous improvement. Excellence is not just doing things well—it's looking for ways to do them better.
**Be Humble**
 Humility is our key to personal and professional growth. We appreciate that great ideas can come from anywhere, regardless of seniority, pedigree, or experience. We care more about collective outcomes than who gets credit or who does what. We try to not let our ego cloud our judgment.
**Win Together**
 Winning is no accident. It is the result of collective hard work, perseverance, sacrifice, and most of all, loving what we do. Winning requires that we give extra—sometimes winning calls for late nights or extra effort, and we show up for clients and each other with urgency and heart. While excellence is a journey, winning is a destination.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
 Compensation Range: $225K \- $255K</t>
        </is>
      </c>
    </row>
    <row r="241">
      <c r="A241" t="inlineStr">
        <is>
          <t>li-4373518760</t>
        </is>
      </c>
      <c r="B241" t="inlineStr">
        <is>
          <t>Senior Software Developer in Test (Remote Opportunity)</t>
        </is>
      </c>
      <c r="C241" t="inlineStr">
        <is>
          <t>Lensa</t>
        </is>
      </c>
      <c r="D241" t="inlineStr">
        <is>
          <t>linkedin</t>
        </is>
      </c>
      <c r="E241">
        <f>HYPERLINK("https://www.linkedin.com/jobs/view/4373518760", "https://www.linkedin.com/jobs/view/4373518760")</f>
        <v/>
      </c>
      <c r="F241">
        <f>HYPERLINK("https://lensa.com/cgw/7aedd1791b904a3db12bc124ad07eec2tjo1?jpsi=directemployers&amp;publisher_preference=easier_apply&amp;utm_campaign=Computer%20Occupations&amp;utm_medium=slot&amp;utm_source=linkedin&amp;utm_term=jse&amp;urlHash=ITKs", "https://lensa.com/cgw/7aedd1791b904a3db12bc124ad07eec2tjo1?jpsi=directemployers&amp;publisher_preference=easier_apply&amp;utm_campaign=Computer%20Occupations&amp;utm_medium=slot&amp;utm_source=linkedin&amp;utm_term=jse&amp;urlHash=ITKs")</f>
        <v/>
      </c>
      <c r="G241" t="inlineStr">
        <is>
          <t>Chicago, IL</t>
        </is>
      </c>
      <c r="H241" t="inlineStr"/>
      <c r="I2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Hyatt. Clicking "Apply Now" or "Read more" on Lensa redirects you to the job board/employer site. Any information collected there is subject to their terms and privacy notice.
**Description**
**The Opportunity**
 Hyatt seeks an enthusiastic Sr. SDET to join our Quality Department, where you’ll join a team of 14 field professionals who love what they do. In this role, you will be collaborating closely with the broader Engineering and Quality Assurance teams, where you’ll be instrumental in continuing to make Hyatt a leading hospitality company. You will be part of a team that is passionate about our purpose, committed to nurturing curiosity and new skills, and building connections with colleagues, customers, and guests across the organization.
**Who We Are**
 At Hyatt, we believe in the power of belonging and creating a culture of care, where our colleagues become family. Since 1957, our colleagues and our guests have been at the heart of our business and helped Hyatt become one of the best and fastest\-growing hospitality brands in the world. Our transformative growth and the addition of new hotels, brands, and business lines canopen the door for exciting career and growth opportunities for our colleagues.
 As we continue to grow, we never lose sight of what’s most important: People. We turn trips into journeys, encounters into experiences, and jobs into careers.
**Why Now?**
 This is an exciting time to be at Hyatt. We are growing rapidly and are looking for passionate changemakers to be a part of our journey. The hospitality industry is resilient and continues to offer dynamic opportunities for upward mobility, and Hyatt is no exception.
**How We Care For Our People**
 What sets us apart is our purpose—to care for people so they can be their best. Every business decision is made through the lens of our purpose, and it informs how we have and will continue to support each other as members of the Hyatt family.Our care for our colleagues is the key to our success. We’re proud to have earned a place on Fortune’s prestigious
 *100 Best Companies to Work For®* 
 list for the last ten years. This recognition is a testament to the tremendous way our Hyatt family continues to come together to care for one another, our commitment to a culture of inclusivity, empathy and respect, and making sure everyone feels like they belong.
 We’re proud to offer exceptional corporate benefits which include:
* Annual allotment of free hotel stays at Hyatt hotels globally
* Flexible work schedule
* Work\-life benefits including wellbeing initiatives such as a complimentary Headspace subscription, and a discount at the on\-site fitness center
* A global family assistance policy with paid time off following the birth or adoption of a child as well as financial assistance for adoption
* Paid Time Off, Medical, Dental, Vision, 401K with company match
**Who You Are**
 As our ideal candidate, you understand the power and purpose of our culture of care and embody our core values of Empathy, Inclusion, Integrity, Experimentation, Respect, and Wellbeing. You enjoy working with others, are results\-driven, and are looking for a variety of opportunities to develop personally and professionally.
**The Role**
* Work closely with product, design, and development team members to understand business requirements and to communicate problem impacts/risks
* Create and execute test plans and scripts that accurately and reliably assess application quality
* Analyze test results to discover and report defects, following best practices as defined by the team
* Develop, maintain, and enhance automation tests and framework libraries to verify the functionality and reliability of our software (Java, Groovy, Kotlin)
* Conduct regular code reviews to ensure that object\-oriented design best practices are followed at all times. Automation code should be easy to extend and support
* Be knowledgeable in the features for which the team is responsible; in collaboration with peers, develop quality assurance measures and testing standards
* Communicate test progress, test results, and quality of application changes
* Set standards in and coach other QAs in the test environment, data setup, and management
* Apply a thorough understanding of relevant technology to deliver robust test suites. (web technologies, REST APIs, web services, physical devices, Java, XML, JS, CSS, and HTML)
* Create and maintain CI/CD pipelines for automated testing (Jenkins, Azure, etc.)
* Use creativity and initiative to improve product test reliability, coverage, and accuracy
* Demonstrate a commitment to Hyatt's core values
**Qualifications**
**Experience and Qualifications**
* 5 years of direct experience as an SDET for major application integration and/or major application product release
* Experience working collaboratively with peers and coaching more junior team members
* Proficiency in analyzing business requirements and creating relevant plans and scripts that provide thorough test coverage
* Proficiency in documenting defects with a high level of detail and accuracy, following standards as defined by the team
* Excellent written and oral communication, active listening, and interpersonal skills
* Proficiency in version control systems like Git
* Proficiency in Java, XML, JS, CSS, and HTML
* Proficiency in testing APIs/services (REST and SOAP) using SoapUI, Postman, or equivalent tools
* Proficiency in cross\-browser, cross\-platform web and mobile testing with BrowserStack or equivalent tools
* Deep expertise in Java and/or Groovy, test automation frameworks, Selenium/Appium
* Proficiency in searching system logs and troubleshooting potential defects. (Splunk or similar tools)
* Direct hands\-on experience with ad hoc query programs, automated testing tools, and reporting software
* Proficiency in the preparation/maintenance of test data and test scripts
* Strong knowledge of software testing best practices and methodologies
* Direct hands\-on experience with continuous integration and deployment tools like Jenkins
**Preferred Skills**
* Thorough understanding of Agile/Scrum development process
* Demonstrable skills in writing JUnit or TestNG tests
**Education**
* BS in Computer Science or equivalent combination of technical education and work experience
 The position responsibilities outlined above are in no way to be construed as all\-encompassing. Other duties, responsibilities, and qualifications may be required and/or assigned as necessary.
**We Welcome You**
 Research shows that individuals tend to apply to jobs only if they meet all the listed job qualifications. Unsure if you check every box, but feeling inspired to enhance your career? Apply. We’d love to consider your unique experiences and how you could make Hyatt even better.
*The salary range for this position is $98,600 \- $124,000\. The final pay rate/salary offered to the successful candidate will depend on experience, skill level and other qualifications for the role, as well as the location of the performance of work. Pay for the successful candidate will meet local requirements, including the local minimum wage rate.*
*We value our relationships with recruitment partners and require that agencies contact us first before submitting any candidates. Hyatt will not be responsible for any fees and obligations associated with unsolicited submissions unless a formal agreement is in place.*
**Primary Location:** 
 US\-IL\-Chicago
**Organization:** 
 Hyatt Corporate Office
**Pay Basis:** 
 Yearly
**Job Level:** 
 Full\-time
**Job:** 
 Digital
**Req ID:** 
 CHI015133
 Hyatt is an equal employment opportunity and affirmative action employer. We do not discriminate on the basis of race, color, gender, gender identity, sexual orientation, marital status, pregnancy, national origin, ancestry, age, religion, disability, veteran status, genetic information, citizenship status or any other group protected by law.
 If you have questions about this posting, please contact support@lensa.com</t>
        </is>
      </c>
    </row>
    <row r="242">
      <c r="A242" t="inlineStr">
        <is>
          <t>li-4373518911</t>
        </is>
      </c>
      <c r="B242" t="inlineStr">
        <is>
          <t>Senior Software Engineer, Networking</t>
        </is>
      </c>
      <c r="C242" t="inlineStr">
        <is>
          <t>NVIDIA</t>
        </is>
      </c>
      <c r="D242" t="inlineStr">
        <is>
          <t>linkedin</t>
        </is>
      </c>
      <c r="E242">
        <f>HYPERLINK("https://www.linkedin.com/jobs/view/4373518911", "https://www.linkedin.com/jobs/view/4373518911")</f>
        <v/>
      </c>
      <c r="F242" t="inlineStr"/>
      <c r="G242" t="inlineStr">
        <is>
          <t>Austin, TX</t>
        </is>
      </c>
      <c r="H242" t="inlineStr"/>
      <c r="I242" t="inlineStr">
        <is>
          <t>NVIDIA is looking for an experienced SW Engineer with desire and ability to contribute and lead cutting edge Network Management Systems of most powerful super\-computers in the world. Our team is growing, and we are looking for hardworking and self\-motivated engineers to lead building of advanced, high scale SDN management solutions. You will be part of a dynamic team, working with amazing people. This crucial role will give you a rare opportunity to craft and deliver a new class of Data Center NMX product line.
**What You'll Be Doing**
* The team develops infrastructure for controlling, monitoring and gathering telemetry from production environments, running on the world’s largest supercomputers and datacenters.
* You will take leading role in software development and will serve as the primary technical point of contact for R\&amp;D and Field teams to resolve immediate infrastructure and integration blockers
* The work environment is dynamic and challenging; we are innovating and inventing software products at the forefront of technology in terms of performance, scalability, and features.
**What We Need To See**
* B.Sc. or equivalent experience in computer science / software engineering.
* 6 years’ experience in Programming in Python and C/C\+\+.
* 3 years’ experience in Linux environment and tools.
* Deep knowledge of Networking Protocols including InfiniBand and Ethernet.
* Expert knowledge in computer architecture and operating systems.
* Excellent English verbal and written communication skills
**Ways To Stand Out From The Crowd**
* You have positive attitude and work well with others.
* Demonstrated use of creative ideas, providing solutions to challenging problems.
 NVIDIA has continuously reinvented itself over two decades. NVIDIA’s invention of the GPU in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This is our life’s work — to amplify human imagination and intelligence.
 With highly competitive salaries and a comprehensive benefits package, NVIDIA is widely considered to be one of the technology world’s most desirable employers. We have some of the most brilliant and talented people in the world working for us and, due to extraordinary growth, our elite engineering teams are growing fast. If you're a creative and autonomous manager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JR2011770</t>
        </is>
      </c>
    </row>
    <row r="243">
      <c r="A243" t="inlineStr">
        <is>
          <t>li-4372343560</t>
        </is>
      </c>
      <c r="B243" t="inlineStr">
        <is>
          <t>Software Developer -(C++)</t>
        </is>
      </c>
      <c r="C243" t="inlineStr">
        <is>
          <t>hackajob</t>
        </is>
      </c>
      <c r="D243" t="inlineStr">
        <is>
          <t>linkedin</t>
        </is>
      </c>
      <c r="E243">
        <f>HYPERLINK("https://www.linkedin.com/jobs/view/4372343560", "https://www.linkedin.com/jobs/view/4372343560")</f>
        <v/>
      </c>
      <c r="F243" t="inlineStr"/>
      <c r="G243" t="inlineStr">
        <is>
          <t>Philadelphia, PA</t>
        </is>
      </c>
      <c r="H243" t="inlineStr"/>
      <c r="I243"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planning and designing new software and web applications. Completes programming and implements, tests and debugs defined software components.
**Job Description**
* Junior C\+\+ Developer who is responsible for planning and designing new software, development, analyzing, architect and enhancement of embedded software using RDK\-V on Xfinity Set top boxes and TV Platforms.
* Collaborate with project stakeholders to identify product and technical requirements. Coordinates the documentation of all development activity and work with vendors as the need arises for integration.
* Integrates knowledge of business and functional priorities.
* Pro\-actively lead the software development for sprint releases.
* Review test specifications with QA for the new features in RDK and identify the test gaps. Owning end to end feature development to pass QA and release management process. Track the performance of the release and features via telemetry dashboards.
* Acts as a key contributor and in a complex and crucial environment.
* The ideal candidate will have experience building and maintaining APIs for embedded platforms.
**Qualifications**
* Minimum 1 – 2 years of programming experience in C\+\+.
* Experience developing and maintaining APIs
* Experience in design and development of embedded systems code that require multitasking and multi\-threaded systems using IPC mechanisms.
* Experience with development on set top boxes and TV platforms
* Experience in Build tools (Yocto, Makefile), JIRA (user story and bug tracking), Git/Gerrit (code checkin, reviews)
* Experience with open source projects would be a plus.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 Programming Language; Software Development; Java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244">
      <c r="A244" t="inlineStr">
        <is>
          <t>li-4373506977</t>
        </is>
      </c>
      <c r="B244" t="inlineStr">
        <is>
          <t>[Remote] Principal Software Engineer - Agent Toolkits &amp; Cloud Infrastructure, Healthcare AI</t>
        </is>
      </c>
      <c r="C244" t="inlineStr">
        <is>
          <t>Lensa</t>
        </is>
      </c>
      <c r="D244" t="inlineStr">
        <is>
          <t>linkedin</t>
        </is>
      </c>
      <c r="E244">
        <f>HYPERLINK("https://www.linkedin.com/jobs/view/4373506977", "https://www.linkedin.com/jobs/view/4373506977")</f>
        <v/>
      </c>
      <c r="F244" t="inlineStr"/>
      <c r="G244" t="inlineStr">
        <is>
          <t>Annapolis, MD</t>
        </is>
      </c>
      <c r="H244" t="inlineStr"/>
      <c r="I24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**Responsibilities**
 Responsibilities
* Develop and maintain robust software toolkits in Python and Java to support applied scientists in building, testing, and deploying machine learning models and agents.
* Design, implement, and optimize cloud\-based services for running applied science models, with an emphasis on scalability, reliability, and security in Oracle Cloud Infrastructure (OCI).
* Collaborate closely with scientists and engineers to deliver user\-friendly APIs, libraries, and documentation enabling effective model experimentation and deployment.
* Build and support asynchronous communication patterns (user\-agent, agent\-agent and multimodal) using message queues and data streaming systems.
* Use and extend containerization practices with Docker; deploy and orchestrate services via Kubernetes.
* Produce well\-structured sample code and reference implementations—including basic integration with LLM APIs—demonstrating toolkit best practices.
* Apply strong knowledge of algorithms, data structures, concurrent programming, and distributed systems fundamentals (including asyncio and threading) in the development of performant and maintainable software.
* Incorporate feedback, write comprehensive documentation, and contribute to code reviews to continuously improve quality and usability.
* Monitor and instrument solutions for performance, debugging, and reliability in production environments.
* Stay current with the latest software engineering and AI toolchain practices, advocating for adoption where appropriate.
**Qualifications**
* 8\-12 years of relevant software development experience, with a focus on backend and AI first applications.
* BS/MS in Computer Science or a related field, or equivalent practical experience.
* Proficiency in both Python and Java, with experience developing and maintaining production software in both languages.
* Solid foundations in software engineering—especially concurrent and distributed systems, data structures, and algorithms.
* Professional experience with asynchronous communications (e.g., message queues, pub/sub, data streaming platforms such as Kafka or OCI Streaming).
* Hands\-on experience with Docker and deploying containerized applications in Kubernetes environments (strongly preferred).
* Experience developing enabling tools, frameworks, or APIs for applied scientists, data scientists, or machine learning practitioners (highly desirable).
* Working knowledge of AI/LLM APIs and best practices, with the ability to create sample and reference code for scientific users.
* Familiarity with Oracle Cloud Infrastructure, or other cloud platforms, with a willingness to specialize in OCI.
* Strong communication skills; able to collaborate in a distributed and asynchronous team environment.
* Track record of documentation, mentorship, or technical leadership is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245">
      <c r="A245" t="inlineStr">
        <is>
          <t>li-4372347415</t>
        </is>
      </c>
      <c r="B245" t="inlineStr">
        <is>
          <t>Sr Lead Software Engineer - Cloud Architecture</t>
        </is>
      </c>
      <c r="C245" t="inlineStr">
        <is>
          <t>hackajob</t>
        </is>
      </c>
      <c r="D245" t="inlineStr">
        <is>
          <t>linkedin</t>
        </is>
      </c>
      <c r="E245">
        <f>HYPERLINK("https://www.linkedin.com/jobs/view/4372347415", "https://www.linkedin.com/jobs/view/4372347415")</f>
        <v/>
      </c>
      <c r="F245">
        <f>HYPERLINK("https://www.hackajob.com/job/449d5529-c940-11f0-9e38-0a05e249917d-sr-lead-software-engineer-cloud-architecture?utm_source=LinkedIn&amp;utm_medium=JobAds&amp;utm_term=Automated&amp;utm_campaign=jp-morgan-sr-lead-software-engineer-cloud-architecture&amp;job_name=sr-lead-software-engineer-cloud-architecture&amp;company=jp-morgan&amp;workplace_type=on-site&amp;city=new-york&amp;country=united-states&amp;urlHash=yc7n", "https://www.hackajob.com/job/449d5529-c940-11f0-9e38-0a05e249917d-sr-lead-software-engineer-cloud-architecture?utm_source=LinkedIn&amp;utm_medium=JobAds&amp;utm_term=Automated&amp;utm_campaign=jp-morgan-sr-lead-software-engineer-cloud-architecture&amp;job_name=sr-lead-software-engineer-cloud-architecture&amp;company=jp-morgan&amp;workplace_type=on-site&amp;city=new-york&amp;country=united-states&amp;urlHash=yc7n")</f>
        <v/>
      </c>
      <c r="G245" t="inlineStr">
        <is>
          <t>New York, NY</t>
        </is>
      </c>
      <c r="H245" t="inlineStr"/>
      <c r="I245" t="inlineStr">
        <is>
          <t>***hackajob** 
 is collaborating with
 **J.P. Morgan** 
 to connect them with exceptional tech professionals for this role.*
**Job Description**
 We have an opportunity to impact your career and provide an adventure where you can push the limits of what's possible.
**Job Summary**
 As the Senior Lead Software Engineer at JPMorgan Chase within the Wholesale Credit Risk team, you will play a pivotal role in our Core Architecture/Engineering team. This position offers you the opportunity to lead the design, coding, and architecture of scalable hybrid cloud solutions, working closely with development leads and senior stakeholders to promote technical excellence and innovation.
**Job Responsibilities**
* Architect, design, and implement scalable hybrid cloud solutions for transactional, analytics and RAD workloads.
* Write and review high\-quality code, ensuring adherence to best practices and standards.
* Collaborate with development leads and cross\-functional teams to deliver robust solutions.
* Conduct code reviews and provide constructive feedback to drive technical excellence.
* Present technical concepts and project updates to senior stakeholders.
* Prioritize tasks effectively, balancing urgent needs with strategic progress.
* Mentor and support team members, fostering a collaborative and helpful environment.
**Required Qualifications, Capabilities And Skills**
* Formal training or certification on hybrid cloud architecture concepts and 5\+ years applied experience.
* Proven experience in hybrid cloud architecture (AWS, Azure, GCP, or private cloud).
* Strong coding skills in languages such as Java, Python, React or similar.
* Deep understanding of distributed systems, data pipelines, and analytics platforms.
* Experience with CI/CD, DevOps, and modern software engineering practices.
* Excellent interpersonal and presentation skills.
* Demonstrated ability to work with development leads and senior stakeholders.
**Preferred Qualifications, Capabilities And Skills**
* Action\-oriented, decisive, drives results systematically.
* Skilled at assessing risk and making decisions with a holistic, big\-picture perspective.
* Demonstrates a can\-do attitude and leads by example.
* Detail\-oriented, able to distinguish between important and urgent tasks.
* Prioritizes helpfulness, mentorship, and team development.
* Acts with integrity.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46">
      <c r="A246" t="inlineStr">
        <is>
          <t>li-4364772830</t>
        </is>
      </c>
      <c r="B246" t="inlineStr">
        <is>
          <t>Senior Software Engineer FSP</t>
        </is>
      </c>
      <c r="C246" t="inlineStr">
        <is>
          <t>HRUCKUS</t>
        </is>
      </c>
      <c r="D246" t="inlineStr">
        <is>
          <t>linkedin</t>
        </is>
      </c>
      <c r="E246">
        <f>HYPERLINK("https://www.linkedin.com/jobs/view/4364772830", "https://www.linkedin.com/jobs/view/4364772830")</f>
        <v/>
      </c>
      <c r="F246">
        <f>HYPERLINK("https://hruckus.com/wp-content/plugins/bullhorn-career-portal/oscp/index.html#/jobs/1849&amp;urlHash=DQFr", "https://hruckus.com/wp-content/plugins/bullhorn-career-portal/oscp/index.html#/jobs/1849&amp;urlHash=DQFr")</f>
        <v/>
      </c>
      <c r="G246" t="inlineStr">
        <is>
          <t>Columbia, MD</t>
        </is>
      </c>
      <c r="H246" t="inlineStr"/>
      <c r="I246" t="inlineStr">
        <is>
          <t>**Veteran\-Owned Firm Seeking a Senior Software Engineer with TS/SCI with a Full Scope Polygraph for an Onsite Role in Columbia, MD.**
 My name is Stephen Hrutka. I lead a Veteran\-Owned management consulting firm in Washington, DC. We specialize in Technical and Cleared Recruiting for the Department of Defense (DoD), the Intelligence Community (IC), and other advanced defense agencies.
 At HRUCKUS, we support fellow Veteran\-Owned businesses by helping them recruit for positions across organizations such as the VA, SBA, HHS, DARPA, and other leading\-edge R\&amp;D\-focused defense agencies.
 We seek to fill a Senior Software Engineer role in Columbia, MD.
**The ideal candidate is a Columbia, MD resident with an active TS/SCI with Full Scope Polygraph clearance, at least 14\+ years of software engineering experience. Experience in front\-end development and/or UI testing is required, with familiarity in React, Java, and/or C\+\+ considered a plus.**
 If you’re interested, I'll gladly provide more details about the role and discuss your qualifications further.
 Thanks,
 Stephen M Hrutka
 Principal Consultant
 HRUCKUS LLC
**Executive Summary:** 
 HRUCKUS is looking for an experienced Senior Software Engineer to support the National Security Sector's (NSS) Cyber \&amp; Analytics Business Area (CABA), focusing on Security Engineering, Computer Network Operations (CNO), Mission Software, Analytical Methods and Modeling, Signals Intelligence (SIGINT), and Cryptographic Key Management.
**Position Responsibilities**
* Test front\-end user interfaces to ensure functionality and usability.
* Write and maintain automated test scripts for UI verification using tools such as Robot Framework (Python).
* Design and code new automated test scripts or modify existing ones to add new features.
* Debug existing automated test scripts and correct defects.
* Collaborate with developers to design, implement, and validate features in React and related front\-end libraries.
* Support integration of UI components with back\-end services written in Java and/or C\+\+.
* Participate in Agile development teams, contributing to sprint planning, code reviews, and daily stand\-ups.
* Document test cases, results, and processes to support ongoing quality assurance.
* Explore and apply other front\-end automation tools as appropriate to improve efficiency.
**Required Skills**
* Must have an active TS/SCI with Full Scope Polygraph clearance.
* Bachelor's degree in Computer Science or related discipline from an accredited college or university is required. Four (4\) years of additional SWE experience on projects with similar software processes may be substituted for a bachelor's degree. Masters Degrees may count toward experience requirements
* 14\+ years of software engineering experience
**Desired Skills**
* Experience with front\-end development and/or UI testing.
* Familiarity with React, Java, and/or C\+\+.
* Ability to write test scripts in Python (Robot Framework experience strongly preferred).
* Hands\-on experience with Robot Framework for UI automation.
* Exposure to other front\-end automation tools (e.g., Selenium, Cypress).
* Knowledge of modern web technologies: JavaScript, TypeScript, HTML, CSS.
* Experience working in Agile development environments.
**Details**
* Job Title: Senior Software Engineer
* Location: Columbia, MD 21045
* Work Arrangement: Full Time, Onsite
* Clearance Requirement: Active TS/SCI with Full Scope Polygraph
* Compensation: $131,000 to $237,000 per year.
* Please note: Additional factors considered in extending an offer include (but are not limited to) responsibilities of the job, education, experience, knowledge, skills, and abilities, as well as internal equity, alignment with market data, applicable bargaining agreement (if any), or other law.
* We offer competitive benefits, including: Paid Time Off, 11 Paid Holidays, 401K with a 6% company match and immediate vesting, Flexible Schedules, Discounted Stock Purchase Plans, Technical Upskilling, Education and Training Support and Parental Paid Leave</t>
        </is>
      </c>
    </row>
    <row r="247">
      <c r="A247" t="inlineStr">
        <is>
          <t>li-4372350435</t>
        </is>
      </c>
      <c r="B247" t="inlineStr">
        <is>
          <t>Senior Pega Software Engineer I</t>
        </is>
      </c>
      <c r="C247" t="inlineStr">
        <is>
          <t>hackajob</t>
        </is>
      </c>
      <c r="D247" t="inlineStr">
        <is>
          <t>linkedin</t>
        </is>
      </c>
      <c r="E247">
        <f>HYPERLINK("https://www.linkedin.com/jobs/view/4372350435", "https://www.linkedin.com/jobs/view/4372350435")</f>
        <v/>
      </c>
      <c r="F247" t="inlineStr"/>
      <c r="G247" t="inlineStr">
        <is>
          <t>Sunrise, FL</t>
        </is>
      </c>
      <c r="H247" t="inlineStr"/>
      <c r="I247"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Case Management platform to service our customers. If you’re interested in a career creating breakthrough software and making an impact on an audience of millions, look no further.
* Hands\-on engineer with expertise in developing complex, large scale enterprise applications using BPM software like Camunda, PEGA, Activiti, Appian.
* Extensive experience in object oriented design, full stack web development and building REST APIs in Java.
* Responsible for technical aspects of software engineering including design, developing prototypes, and coding assignments
* Establish and accepts responsibility for engineering practices across teams.
* Collaborates with leadership across teams to define solutions, technical implementation to drive software maturity and practices.
* Promote, empower, and practice servant\-leadership.
* Nurture an environment of continuous engineering improvement through mentoring, feedback, and metrics.
* Drives the team’s technical improvements and roadmap.
* Takes accountability for the technical maturity of the team.
* Nurture an environment of continuous engineering improvement through mentoring, feedback, and metrics.
* Maintain excellent documentation for the software design and architecture.
* Review Product features and ensure it in line with platform architecture and standards.
* Collaborating with architects, product owners, delivery managers, engineers and other scrum teams to deliver a quality product.
* Encouraging innovation, implementation of cutting\-edge technologies, inclusion, outside\-of\-the\-box thinking, teamwork, self\-organization, and diversity.
****Minimum Qualifications****
* 7\+ years of work experience developing large scale applications.
* Experience delivering advanced solutions for a high\-volume, multi\-tiered, distributed web application.
* Experience with various architectures: Domain Driven Design, Microservices, Cloud Native and Event Driven Architecture.
* Strong proficiency in building component\-based applications with modern frontend frameworks, such as React, Vue, or Angular.
* Experience with testing: Unit Testing, Test Driven Development, Integration Testing, Load Testing, Test Automation.
* Experienced in utilizing Grafana, Jaeger, Splunk to monitor and troubleshooting application systems.
* Experience in using NOSQL databases and distributed messaging systems like Kafka etc.
* Experience supporting and working with cross\-functional teams in a dynamic environment.
* Demonstrated willingness to learn new technologies.
 Compliance Language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t>
        </is>
      </c>
    </row>
    <row r="248">
      <c r="A248" t="inlineStr">
        <is>
          <t>li-4373528179</t>
        </is>
      </c>
      <c r="B248" t="inlineStr">
        <is>
          <t>[Remote] Principal Software Engineer - Agent Toolkits &amp; Cloud Infrastructure, Healthcare AI</t>
        </is>
      </c>
      <c r="C248" t="inlineStr">
        <is>
          <t>Lensa</t>
        </is>
      </c>
      <c r="D248" t="inlineStr">
        <is>
          <t>linkedin</t>
        </is>
      </c>
      <c r="E248">
        <f>HYPERLINK("https://www.linkedin.com/jobs/view/4373528179", "https://www.linkedin.com/jobs/view/4373528179")</f>
        <v/>
      </c>
      <c r="F248" t="inlineStr"/>
      <c r="G248" t="inlineStr">
        <is>
          <t>Washington, DC</t>
        </is>
      </c>
      <c r="H248" t="inlineStr"/>
      <c r="I24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**Responsibilities**
 Responsibilities
* Develop and maintain robust software toolkits in Python and Java to support applied scientists in building, testing, and deploying machine learning models and agents.
* Design, implement, and optimize cloud\-based services for running applied science models, with an emphasis on scalability, reliability, and security in Oracle Cloud Infrastructure (OCI).
* Collaborate closely with scientists and engineers to deliver user\-friendly APIs, libraries, and documentation enabling effective model experimentation and deployment.
* Build and support asynchronous communication patterns (user\-agent, agent\-agent and multimodal) using message queues and data streaming systems.
* Use and extend containerization practices with Docker; deploy and orchestrate services via Kubernetes.
* Produce well\-structured sample code and reference implementations\-including basic integration with LLM APIs\-demonstrating toolkit best practices.
* Apply strong knowledge of algorithms, data structures, concurrent programming, and distributed systems fundamentals (including asyncio and threading) in the development of performant and maintainable software.
* Incorporate feedback, write comprehensive documentation, and contribute to code reviews to continuously improve quality and usability.
* Monitor and instrument solutions for performance, debugging, and reliability in production environments.
* Stay current with the latest software engineering and AI toolchain practices, advocating for adoption where appropriate.
**Qualifications**
* 8\-12 years of relevant software development experience, with a focus on backend and AI first applications.
* BS/MS in Computer Science or a related field, or equivalent practical experience.
* Proficiency in both Python and Java, with experience developing and maintaining production software in both languages.
* Solid foundations in software engineering\-especially concurrent and distributed systems, data structures, and algorithms.
* Professional experience with asynchronous communications (e.g., message queues, pub/sub, data streaming platforms such as Kafka or OCI Streaming).
* Hands\-on experience with Docker and deploying containerized applications in Kubernetes environments (strongly preferred).
* Experience developing enabling tools, frameworks, or APIs for applied scientists, data scientists, or machine learning practitioners (highly desirable).
* Working knowledge of AI/LLM APIs and best practices, with the ability to create sample and reference code for scientific users.
* Familiarity with Oracle Cloud Infrastructure, or other cloud platforms, with a willingness to specialize in OCI.
* Strong communication skills; able to collaborate in a distributed and asynchronous team environment.
* Track record of documentation, mentorship, or technical leadership is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249">
      <c r="A249" t="inlineStr">
        <is>
          <t>li-4372351459</t>
        </is>
      </c>
      <c r="B249" t="inlineStr">
        <is>
          <t>Lead Software Engineer - Java / React</t>
        </is>
      </c>
      <c r="C249" t="inlineStr">
        <is>
          <t>hackajob</t>
        </is>
      </c>
      <c r="D249" t="inlineStr">
        <is>
          <t>linkedin</t>
        </is>
      </c>
      <c r="E249">
        <f>HYPERLINK("https://www.linkedin.com/jobs/view/4372351459", "https://www.linkedin.com/jobs/view/4372351459")</f>
        <v/>
      </c>
      <c r="F249">
        <f>HYPERLINK("https://www.hackajob.com/job/d5c5709f-d823-11f0-9e38-0a05e249917d-lead-software-engineer-java-react?utm_source=LinkedIn&amp;utm_medium=JobAds&amp;utm_term=Automated&amp;utm_campaign=jp-morgan-lead-software-engineer-java-react&amp;job_name=lead-software-engineer-java-react&amp;company=jp-morgan&amp;workplace_type=on-site&amp;city=jersey-city&amp;country=united-states&amp;urlHash=3X5j", "https://www.hackajob.com/job/d5c5709f-d823-11f0-9e38-0a05e249917d-lead-software-engineer-java-react?utm_source=LinkedIn&amp;utm_medium=JobAds&amp;utm_term=Automated&amp;utm_campaign=jp-morgan-lead-software-engineer-java-react&amp;job_name=lead-software-engineer-java-react&amp;company=jp-morgan&amp;workplace_type=on-site&amp;city=jersey-city&amp;country=united-states&amp;urlHash=3X5j")</f>
        <v/>
      </c>
      <c r="G249" t="inlineStr">
        <is>
          <t>Jersey City, NJ</t>
        </is>
      </c>
      <c r="H249" t="inlineStr"/>
      <c r="I249"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JPMorganChase within the Commercial \&amp; Investment Bank \- Global Derivatives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working experience in Java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Mongo and Marklogic database knowledge along with Oracle.
* ReactJS and Java Script
* Kubernetes
* FX Payments domain functional knowledge.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50">
      <c r="A250" t="inlineStr">
        <is>
          <t>li-4372361133</t>
        </is>
      </c>
      <c r="B250" t="inlineStr">
        <is>
          <t>Software Engineer</t>
        </is>
      </c>
      <c r="C250" t="inlineStr">
        <is>
          <t>Jobs via Dice</t>
        </is>
      </c>
      <c r="D250" t="inlineStr">
        <is>
          <t>linkedin</t>
        </is>
      </c>
      <c r="E250">
        <f>HYPERLINK("https://www.linkedin.com/jobs/view/4372361133", "https://www.linkedin.com/jobs/view/4372361133")</f>
        <v/>
      </c>
      <c r="F250">
        <f>HYPERLINK("https://click.appcast.io/t/GJW8waBlPV_rLicRLzMjLv3RzU0eLWGSgZniWNRwttQ=&amp;urlHash=W2hg", "https://click.appcast.io/t/GJW8waBlPV_rLicRLzMjLv3RzU0eLWGSgZniWNRwttQ=&amp;urlHash=W2hg")</f>
        <v/>
      </c>
      <c r="G250" t="inlineStr">
        <is>
          <t>California, United States</t>
        </is>
      </c>
      <c r="H250" t="inlineStr"/>
      <c r="I250"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You will join a Research and Development (R\&amp;D) team that will give you the opportunity to make a global impact. One that protects our way of life in the digital age by preventing successful cyber attacks. A team looking for engineers who are passionate about technology, have an interest in cyber security, and also want to make a positive difference in the world that we live in. The projects our engineers are assigned will give real hands\-on experience working on our products from our Strata, Prisma and Cortex organizations.
 Your Impact
 Collaborate with cross\-functional teams to design, develop, and deploy software solutions with agility and rapid iteration.
 Use and experiment with AI\-assisted development tools (e.g., Cursor, Claude Code, internal agents) to boost productivity and improve code quality.
 Help define and evolve new engineering practices that leverage AI for code generation, testing, documentation, refactoring, and operations.
 Write clean, maintainable code and participate in peer reviews and team design discussions.
 Contribute to the automation of development, deployment, and monitoring processes as part of a DevOps culture.
 Continuously learn and apply new AI technologies, frameworks, and techniques that can enhance developer workflows.
 Participate in team retrospectives and help drive improvements in team velocity and product quality.
**Qualifications**
 1\-3 years of hands\-on software engineering experience in a collaborative, agile environment.
 Proficiency in one or more modern programming languages (e.g., Python, JavaScript/TypeScript, Java, Go, or similar).
 Basic understanding of software development lifecycles (e.g., agile, DevOps) and version control tools like Git.
 Enthusiasm for using AI tools to assist in development tasks and a growth mindset around learning and experimentation.
 Strong problem\-solving and communication skills; a willingness to ask questions and work openly with others.
 A bias toward action and a desire to work in a fast\-moving, forward\-looking team.
 Preferred (Not Required) Qualifications:
 Exposure to large language models (LLMs) or AI/ML APIs, even through personal projects.
 Familiarity with cloud environments (Google Cloud Platform, AWS or Azure) and containerized development (e.g., Docker, Kubernetes).
 Experience with modern developer tools such as CI/CD pipelines, observability platforms, and infrastructure\-as\-code
**Qualifications (Additional Job Description)**
 Your Experience
 We are seeking creative thinkers and team players with strong analytical and problem\-solving abilities ,excellent communication and collaboration skills, and a high degree of curiosity and learning agility. You should exemplify strong initiative and the ability to work independently with limited direction , and be able to work cross\-functionally with other engineers, researchers and Product Managers. An understanding of the fundamentals of Computer Science and an interest in Cybersecurity are essential.
 Education \&amp; Role\-Specific Requirements:
 We're looking for highly motivated and skilled new bachelors graduates to join our 2025 cohort. We welcome applicants who have recently earned their degree between May/June 2023 and July 2025\.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$90,000\.00 \- $147,500\.00/yr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51">
      <c r="A251" t="inlineStr">
        <is>
          <t>li-4373533188</t>
        </is>
      </c>
      <c r="B251" t="inlineStr">
        <is>
          <t>Real-Time Embedded Software Engineer</t>
        </is>
      </c>
      <c r="C251" t="inlineStr">
        <is>
          <t>Software Engineering Institute | Carnegie Mellon University</t>
        </is>
      </c>
      <c r="D251" t="inlineStr">
        <is>
          <t>linkedin</t>
        </is>
      </c>
      <c r="E251">
        <f>HYPERLINK("https://www.linkedin.com/jobs/view/4373533188", "https://www.linkedin.com/jobs/view/4373533188")</f>
        <v/>
      </c>
      <c r="F251">
        <f>HYPERLINK("https://cmu.wd5.myworkdayjobs.com/SEI/job/Pittsburgh-PA/Real-Time-Embedded-Software-Engineer_2023156-1&amp;urlHash=fhd1", "https://cmu.wd5.myworkdayjobs.com/SEI/job/Pittsburgh-PA/Real-Time-Embedded-Software-Engineer_2023156-1&amp;urlHash=fhd1")</f>
        <v/>
      </c>
      <c r="G251" t="inlineStr">
        <is>
          <t>Pittsburgh, PA</t>
        </is>
      </c>
      <c r="H251" t="inlineStr"/>
      <c r="I251" t="inlineStr">
        <is>
          <t>SEI advances software engineering principles and practices and serves as a national resource in software engineering and computer security. The SEI works closely with academia, defense and government organizations, and industry to continually improve software\-intensive systems. We deliver innovative technologies and solutions, collaborate on research in cybersecurity and artificial intelligence systems, and transition maturing technologies into practice.
 Joining the SEI means becoming part of a world\-class organization at the forefront of software engineering innovation. Our work has a profound impact on software systems across both government and industry. You'll collaborate with leading experts and work with cutting\-edge technologies to tackle some of the nation's most complex and critical challenges.
 Position Summary:
 SEI is seeking enthusiastic experienced real\-time embedded engineers to work on safety\-critical embedded software. You will work closely with a variety of software and hardware systems including bare\-metal embedded systems, RTOSes, FPGAs, and embedded Linux. You will have opportunities to develop tools, techniques, and processes to solve some of the most difficult software problems that our government faces.
 Who you are:
* You have a BS in Computer Science, Electrical Engineering, or related disciple with eight (8\) years of experience; OR MS in the same fields with five (5\) years of experience; OR a PhD in the same fields with two (2\) years of experience.
* You’ve worked in a collaborative team environment as a software developer, software engineer, verification engineer, or related field.
* You have proficiency in one or more of the following: C, C\+\+, VHDL, Verilog, Python, C\#.
* You’ve built, analyzed, debugged, and/or tested bare\-metal systems and are familiar with a CMSIS/HAL/specific peripheral driver.
* You have experience in one or more of the following: Java, Go, Rust, Ada, MATLAB
* You have experience with FPGAs and/or heterogenous computing boards that require communication and synchronization between specialized hardware/chips.
* You have exposure with modern RTOSes, e.g. VxWorks or Integrity, and developed and analyzed embedded software.
* You have worked with common embedded interfaces and protocols: I2C, CAN, SPI, RS\-232, RS\-422, etc.
* You’ve developed embedded software and performance tests and have experience interpreting the results.
* You have an understanding of the Department of War (DoW) Systems Engineering lifecycle.
* You have strong communication skills and the ability to convey difficult engineering or technical challenges to stakeholders.
* You are willing to work 100% of your week onsite at either the SEI or customer facility.
* You can pass a background check and obtain and maintain an active Department of War (DoW) security clearance.
* You have a willingness to travel (25%) outside of your office location to other SEI offices, sponsor sites, conferences, and offsite meetings.
 What you’ll do:
* Understand complex, inter\-dependent systems that hit multiple abstraction levels for embedded systems, interacting across a number of system interfaces.
* Design and develop embedded software tools and capabilities to analyze, test, and evaluate existing software.
* Apply systems engineering knowledge to identify and communicate weaknesses and flawed implementations of embedded functionality tracing from requirements.
* Utilize static analysis, dynamic testing, and complexity analysis tools to uncover software weaknesses, security vulnerabilities, and instances of poor engineering judgment, guiding a high\-impact, safety\-critical system toward robustness, reliability, and engineering soundness.
* Conduct research, experimentation, and present knowledge\-sharing initiatives to enhance software development processes, demonstrate analytical capabilities, and foster a comprehensive understanding of system\-of\-systems (SoS) integration and performance.
 What we offer you
 Our benefits philosophy encompasses three driving priorities: choice, control, and well\-being. Through Carnegie Mellon University, SEI offers a wide range of competitive employee benefits, including comprehensive health insurance, tuition benefits, generous time off, and a robust retirement savings policy to name a few.
* Join a world\-class organization that has a significant impact on software.
* Work with cutting edge technologies and experts to solve tough problems for the government and the nation.
* Publish your research, attend or present at prestigious events, and enjoy annual professional development opportunities.
* Get an 8% monthly contribution for your retirement plan without having to contribute to it yourself.
* Get tuition benefits to attend classes at Carnegie Mellon University for you and your dependent children.
* Get access to university resources, including campus fitness facilities, mindfulness programs, childcare, free transportation on the Port Authority Transit System, and more.
* Enjoy paid parental and military leave.
* Work in the heart of Oakland, a few blocks from Carnegie Mellon University and the University of Pittsburgh.
* Qualify for relocation assistance and so much more.
**Location**
 Pittsburgh, PA
**Job Function**
 Software/Applications Development/Engineering
**Position Type**
 Staff – Regular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row>
    <row r="252">
      <c r="A252" t="inlineStr">
        <is>
          <t>li-4325310815</t>
        </is>
      </c>
      <c r="B252" t="inlineStr">
        <is>
          <t>Staff Software Engineer, Full-Stack (PCGS CX)</t>
        </is>
      </c>
      <c r="C252" t="inlineStr">
        <is>
          <t>Collectors</t>
        </is>
      </c>
      <c r="D252" t="inlineStr">
        <is>
          <t>linkedin</t>
        </is>
      </c>
      <c r="E252">
        <f>HYPERLINK("https://www.linkedin.com/jobs/view/4325310815", "https://www.linkedin.com/jobs/view/4325310815")</f>
        <v/>
      </c>
      <c r="F252" t="inlineStr"/>
      <c r="G252" t="inlineStr">
        <is>
          <t>California, United States</t>
        </is>
      </c>
      <c r="H252" t="inlineStr"/>
      <c r="I252" t="inlineStr">
        <is>
          <t>Collectors is the leading creator of innovative technology that provides value\-added services for collectors worldwide. We grade, authenticate, vault, and sell millions of record\-setting collectibles, all while modernizing and digitalizing the process to further our mission of helping collectors pursue their passions. We’re always on the lookout for talented people to join our growing team.
 Our services span collectible coins, trading cards, Funko Pops!, video games, event tickets, autographs, and memorabilia. Our subsidiaries include PSA, PCGS, SGC, and Card Ladder.
 Since our founding in 1986, we have graded and authenticated millions of items. We employ more than 1,900 people across our headquarters in Santa Ana and offices in Jersey City, Tokyo, Shanghai, Hong Kong, Toronto, Guadalajara, Dallas, and Paris.
 We are looking for a
 **Staff Software Engineer, Full\-Stack** 
 to provide architectural leadership and hands\-on expertise across our PCGS customer experiences platform. Your primary responsibility will be designing, building, and scaling the systems that power how customers interact with PCGS; from submission flows to core coin and banknote data capabilities that unlock new Marketplace features. As a Staff Engineer, you will apply your full\-stack expertise to maintain, enhance, and optimize these customer\-facing applications and services, focusing on reliability, performance, and usability while tackling complex technical debt and high\-impact issues.
 Beyond hands\-on development, you will be expected to drive architectural decisions, shape the long\-term technical strategy for PCGS customer experiences, and mentor the team. You are a strong executor who can move critical work forward while also continuously learning, experimenting, and improving how we build. This role is crucial for strategic change, leading complex initiatives that evolve our customer journeys, integrate new capabilities, and guide the modernization of our platform. You will focus on improving and extending the customer experiences that power our PCGS business, helping ensure our technology and experiences are world\-class for the next generation of collectors.
**What You’ll Do**
* Participate across the entire software development lifecycle, taking features from concept to production release
* Maintain and extend the current tech stack, centered on a Svelte frontend and Python microservices, while gradually modernizing and supporting legacy systems in .NET C\#.
* Communicate with Product and other stakeholders to develop business requirements
* Collaboratively create solutions with other teams
* Troubleshoot software issues and debug a large codebase
* Develop and execute unit and integration tests
* Contribute to technical documentation to increase maintainability of software assets
**Who You Are**
* 7\+ years of software engineering industry experience building backend software, with exposure to microservices
* Experience using Python for production\-grade applications
* Experience using strongly typed languages (C\#, Java, etc) is a plus
* Experience architecting systems (service\-oriented, event\-driven, distributed systems, cloud) as well as hands\-on development experience
* Experience with client\-side frameworks, such as Vue.js, React, or Svelte. Svelte experience preferred.
* Data modeling and database design expertise; Postgres and/or SQL Server is a plus
* Experience configuring and using DevOps tooling such as Kubernetes, Helm, Terraform, AWS stack
* Experience working cross\-functionally with Product partners
* Possess strong technical, analytical, troubleshooting, and communication skills with the ability to visualize and document processes
* Proficient at using appropriate security, documentation, and/or monitoring best practices
*Candidates must be authorized to work in the United States.*
****Salary Range:****
 The salary range for this position is $209,186 \- $258,903\. Actual compensation on this range varies based on a variety of non\-discriminatory factors, including location, job level, prior experience, and skill set.
**Reasons To Join Us**
* Health Insurance: All employees are eligible to enroll in Medical, Dental, and Vision
* 401(K) Matching Plan: We are proud to offer a competitive 401k matching plan to our employees to support their future financial goals
* Vacation: We offer a flexible vacation policy for our employees
* Holiday Pay: All employees are eligible for nine company paid holidays
* Employee Discounts: Employees receive discounts on select grading services for approved submissions
* Flexible Hours: Many of our teams offer flexible schedules with varying shifts and will work with you to accommodate your needs
* Fun Working Environment: Our team members are invited to participate in celebrations, holiday events, and team building activities
* Additional Benefits: Full\-time employees are eligible for fertility, commuter, and educational assistance benefits.
 Collectors uses e\-Verify to validate your ability to work legally in the United States.
 We are aware that there are instances where individuals are receiving job offers that fraudulently allege to be from Collectors or one of our business units. This type of fraud can be carried out through false websites, through fake e\-mails claiming to be from the company or through social media. We never ask for personal information such as your bank account, Social Security numbers or National IDs, nor do we send or request payments for the purchase of business\-related equipment. If you suspect fraud, please reach out to jobs@collectors.com.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believe that a team that represents a variety of backgrounds, perspectives, and skills will better service the diverse community of collectors we support.*
*If you require an accommodation to apply or interview with us due to a disability or special need, please email* 
*people@collectors.com* 
*.*
*U.S. residents: for disclosures relating to personal information we collect during the employment application and recruitment process, please see our* 
*Privacy Notice for U.S. Applicants* 
*.*
*If you are based in California, you can read information for California residents* 
*here* 
*.*</t>
        </is>
      </c>
    </row>
    <row r="253">
      <c r="A253" t="inlineStr">
        <is>
          <t>li-4372358155</t>
        </is>
      </c>
      <c r="B253" t="inlineStr">
        <is>
          <t>Technical Support Software Engineer</t>
        </is>
      </c>
      <c r="C253" t="inlineStr">
        <is>
          <t>Jobs via Dice</t>
        </is>
      </c>
      <c r="D253" t="inlineStr">
        <is>
          <t>linkedin</t>
        </is>
      </c>
      <c r="E253">
        <f>HYPERLINK("https://www.linkedin.com/jobs/view/4372358155", "https://www.linkedin.com/jobs/view/4372358155")</f>
        <v/>
      </c>
      <c r="F253" t="inlineStr"/>
      <c r="G253" t="inlineStr">
        <is>
          <t>Oklahoma City, OK</t>
        </is>
      </c>
      <c r="H253" t="inlineStr"/>
      <c r="I253" t="inlineStr">
        <is>
          <t>The Leidos Civil NISC IV program is hiring for a Technical Support Software Engineer to support the Federal Aviation Administration (FAA) in Oklahoma City, OK. The candidate will be working with a team of computer/electronics engineering professionals redesigning/upgrading Engineering applications This position will be responsible for supporting and beginner development of the system software interfaces.
**Primary Responsibilities:**
* Provide technical support for Java/J2EE\-based web applications in production and staging environments.
* Troubleshoot application, server, and database issues by analyzing logs, stack traces, and monitoring tools.
* Perform root cause analysis (RCA) for recurring issues and implement preventive solutions.
* Monitor application performance and system health using tools
* Collaborate with development and DevOps teams to deploy patches, hotfixes, and configuration changes.
* Support database\-related issues by writing basic Oracle queries for troubleshooting and data validation.
* Primarily participate in beginning phases of development of application software to include architecture, design, implementation, debug, validation, and verification with a web application / Oracle back\-end
* Primarily manage lifecycle to include requirements, system design, and test
* Primarily produce software code that interfaces directly with hardware.
* Primarily debug and troubleshoot commands in object\-oriented programming.
* Primarily analyze and translate requirements into system architecture that interfaces with hardware.
**Basic Qualifications:**
* Bachelor's degree and 5\+ years of experience. However, additional years of experience may be considered in lieu of a degree.
* Basic understanding of radar systems principles (RF fundamentals, signal processing, antennas, propagation).
* Knowledge of electronic troubleshooting techniques using tools such as multimeters, oscilloscopes, and spectrum analyzers.
* Familiarity with embedded systems, hardware/software integration, or control systems.
* Basic understanding of networking concepts (TCP/IP, Ethernet, serial communication) for system connectivity troubleshooting.
* Experience supporting technical systems in field or lab environments.
* Ability to diagnose and resolve hardware and software issues methodically.
* Preliminary skills in JAVA/J2EE, utilizing Spring MVC, Spring Security, JavaServer Faces, Eclipse/Hibernate/JPA, Oracle PL/SQL, Secure RESTful APIs/Services.
* Some experience in developing GUI applications.
* Agile \&amp; DevOps methodologies and tools.
* JIRA/Confluence/GitLab/Liquibase
* Application containers, Payara/WebLogic
* Must be able to obtain and maintain a public trust interim clearance.
**Preferred Qualifications:**
* JQuery/Angular/React experience
* Experience with web\-based application development.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54">
      <c r="A254" t="inlineStr">
        <is>
          <t>li-4372349225</t>
        </is>
      </c>
      <c r="B254" t="inlineStr">
        <is>
          <t>Software Engineer Sr - Top Secret Clearance Required to Start</t>
        </is>
      </c>
      <c r="C254" t="inlineStr">
        <is>
          <t>Jobs via Dice</t>
        </is>
      </c>
      <c r="D254" t="inlineStr">
        <is>
          <t>linkedin</t>
        </is>
      </c>
      <c r="E254">
        <f>HYPERLINK("https://www.linkedin.com/jobs/view/4372349225", "https://www.linkedin.com/jobs/view/4372349225")</f>
        <v/>
      </c>
      <c r="F254">
        <f>HYPERLINK("https://click.appcast.io/t/pbobgbEgze2R4IuZQKSo7YRhU-X6DoI8GFni06Im_Hs=&amp;urlHash=gezL", "https://click.appcast.io/t/pbobgbEgze2R4IuZQKSo7YRhU-X6DoI8GFni06Im_Hs=&amp;urlHash=gezL")</f>
        <v/>
      </c>
      <c r="G254" t="inlineStr">
        <is>
          <t>King of Prussia, PA</t>
        </is>
      </c>
      <c r="H254" t="inlineStr"/>
      <c r="I254"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This position is contingent upon the program award expected in early 2026\.\*\*\*
 Within the Victor Portfolio of Space Security, we are seeking a highly skilled, motivated, and experienced Software Engineer to join our dynamic team. This exciting position will fill a critical need in the new and emerging area of protecting space assets. As part of an Agile team, you will have the opportunity to work on a variety of tasks in various areas across the mission and collaborate with the development teams, contractors, customers, and subject matter experts.
 As a key member of the software development team, you will be part of the entire engineering life\-cycle, and apply your Software Engineering background to develop web applications in an open architecture infrastructure. If you are looking for a new position in a fast\-paced team environment, where every day brings a new challenge, and want to support a critical space security mission, then this is the place for you.
 In this position you will
 Collaborate with an exceptional team of Software Engineers implementing solutions and developing new features for a command and control application.
 Serve as a software developer on an Agile team tasked with developing cutting edge web applications within multiple classification domains
 Participate in daily scrums, software sprint/release planning, demos, and retrospectives.
 Develop \&amp; demonstrate software capabilities to both internal and external partners.
 Successful Applicants will demonstrate effective communication skills, desire challenges and be willing to engage in frequent internal interactions with peers, teammates, and customers.
 Selected applicants must meet eligibility requirements for access to classified information, and must maintain the required security throughout the course of employment.
**Basic Qualifications**
 Experienced in software development using programming and scripting languages such as Java, JavaScript, C\#, Python, etc.
 Experience working in an Agile development environment, including tools such as Jira and Confluence
 ship is required to obtain a government security clearance
 Active Top Secret Clearance
 Ability to obtain and maintain SCI clearances
**Desired Skills**
 Experience in application containerization (e.g. Docker, Kubernetes, Helm, etc.) in a cloud environment (AWS/Azure/Openstack/Openshift)
 Experience with frameworks such as .NET Core, Angular, etc.
 Experience with GitLab CI/CD \- Deployment pipelines, automated build, and/or configuration tools
 Experience with databases (PostgreSQL \&amp; Redis)
 Strong knowledge of modern technology frameworks, cloud platforms (AWS, Azure, Google Cloud Platform), microservices, APIs, DevOps, and data architecture.
 Experienced with Horizon software application providing command and control services for satellites, antennas, and ground hardware assets.
 Experience with modern engineering practices such as Cross\-Functional Agile teams and Capability\-based planning
 Active TS/SCI security clearance
 Bachelor's degree in a related discipline, such as Computer Science, Software Engineering or other engineering disciplines or equivalent experience, with 9 or more years of professional experience; or 7 years of professional experience with a related Master's degree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55">
      <c r="A255" t="inlineStr">
        <is>
          <t>li-4372365039</t>
        </is>
      </c>
      <c r="B255" t="inlineStr">
        <is>
          <t>Sr Staff Software Engineer (Malware Research - Antivirus Systems)</t>
        </is>
      </c>
      <c r="C255" t="inlineStr">
        <is>
          <t>Jobs via Dice</t>
        </is>
      </c>
      <c r="D255" t="inlineStr">
        <is>
          <t>linkedin</t>
        </is>
      </c>
      <c r="E255">
        <f>HYPERLINK("https://www.linkedin.com/jobs/view/4372365039", "https://www.linkedin.com/jobs/view/4372365039")</f>
        <v/>
      </c>
      <c r="F255" t="inlineStr"/>
      <c r="G255" t="inlineStr">
        <is>
          <t>Santa Clara, CA</t>
        </is>
      </c>
      <c r="H255" t="inlineStr"/>
      <c r="I255"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Research Software Engineer (Antivirus Systems), we are looking for a motivated, intelligent, hardworking and creative individual to join our team that develops the content to power the Palo Alto Networks' Next Generation Firewall. You will work with the best security team in the industry, who invented the well\-known cloud\-based security platform WildFire. You will be responsible for a highly automated, 24/7 anti\-virus signature generation and delivery system. You will have a deep understanding of the signature generation logic as well as create new detection features.
****Your Impact****
* Develop new features for the automated anti\-virus signature generation and delivery system
* Research and implement signature algorithms for new file formats
* Identify limitations/issues in existing signature algorithms and improve them
* Research on and publish about innovations \&amp; emerging security trends
**Qualifications**
**Your Experience**
* BS/MS in Computer Science or Computer Engineering or equivalent military experience required
* 6 to 8\+ years of relevant experience preferred
* Experience with Python/Golang programming language
* Strong core Computer Engineering skills such as databases, operating systems, algorithms
* Working knowledge and interest in learning common file formats (PE, Office, PDF etc)
* Experience with malware analysis
* Understanding of networking and core Internet protocols (TCP/IP, HTTP, FTP, SMTP)
* Experience with a data pipeline based system with several moving components in a distributed cloud environment
* Experience with developing in a public cloud environment such as Google Cloud Platform, AWS
* Troubleshooting and virtualization experience in Linux
* Strong problem solving abilities
* Excellent interpersonal and teamwork skills
* Knowledge/experience with tools such as Docker, Elastic\-Search, Kafka, RabbitMQ, MySQL, SQLite, Redis is a big plus
* Experience in implementing security solutions using AI is highly desirable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$139,600\.00 \- $225,775\.00/yr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256">
      <c r="A256" t="inlineStr">
        <is>
          <t>li-4372354166</t>
        </is>
      </c>
      <c r="B256" t="inlineStr">
        <is>
          <t>Cyber Security Software Engineer</t>
        </is>
      </c>
      <c r="C256" t="inlineStr">
        <is>
          <t>Jobs via Dice</t>
        </is>
      </c>
      <c r="D256" t="inlineStr">
        <is>
          <t>linkedin</t>
        </is>
      </c>
      <c r="E256">
        <f>HYPERLINK("https://www.linkedin.com/jobs/view/4372354166", "https://www.linkedin.com/jobs/view/4372354166")</f>
        <v/>
      </c>
      <c r="F256">
        <f>HYPERLINK("https://click.appcast.io/t/eM8hJJZiyw5d3ddXpEzN24SgUoPWZcrckJXWaK49TUg=&amp;urlHash=wHmp", "https://click.appcast.io/t/eM8hJJZiyw5d3ddXpEzN24SgUoPWZcrckJXWaK49TUg=&amp;urlHash=wHmp")</f>
        <v/>
      </c>
      <c r="G256" t="inlineStr">
        <is>
          <t>Fort Worth, TX</t>
        </is>
      </c>
      <c r="H256" t="inlineStr"/>
      <c r="I256" t="inlineStr">
        <is>
          <t>**Job Description**
 The Cyber Secure Software (CSS) team is seeking a Cyber Software Engineer to join our Application Security team. The AppSec team is responsible for scanning and assessing code for security vulnerabilities, building threat models, and developing tools and automation to better secure our software products. As a Cyber Software Engineer, you will play a key role in developing innovative cybersecurity solutions and tools to address complex cyber threats.
 The IronGuard team offers unparalleled opportunities for growth and visibility. Joining us is an opportunity you won't want to miss!
 Key Responsibilities
 Collaborate with cross\-functional teams to design, develop, and test cybersecurity solutions
 Conduct comprehensive assessments of code to identify security vulnerabilities and potential attack vectors
 Work with Software Development teams to integrate static and dynamic analysis capabilities into their pipelines
 Design, implement, and integrate tools to automate security assessments of software products
 Develop and maintain full spectrum cyber solutions, including vulnerability research, reverse engineering, penetration testing, and low\-level firmware development
 Apply system knowledge to conduct research and evaluate potential vulnerabilities, and develop new capabilities to exploit and/or mitigate vulnerabilities
**What's In It For You:**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**Basic Qualifications**
 Bachelor's degree in Computer Science, Cybersecurity, or related field
 Experience in software development, cybersecurity, or related field
 Knowledge of programming languages such as C, C\+\+, Java, Python, etc.
 Familiarity with cybersecurity frameworks, regulations, and standards
**Desired Skills**
 Embedded software development experience (C, C\+\+, Rust, etc.)
 Front\-end development experience (React, JavaScript, etc.)
 Scripting/CI experience (Gitlab, Jenkins, Python, bash, etc.)
 Containerization tool experience (Podman, k8s, etc.)
 Database experience (SQL, Postgres, Microsoft SQL, etc.)
 Experience with Linux OS and Windows OS
 General knowledge of secure coding principles, cryptographic protocols, and threat modeling techniques
 Exposure to cybersecurity tools and technologies such as vulnerability scanners, penetration testing, and incident response
 Strong written and verbal communication skills
 Adaptability and proficiency in collaborating across diverse teams
 Excellent interpersonal skills
 Organizational skills
 Proactive self\-starter with the ability to learn rapidly and work independently
 F\-35 Embedded Software Development Experience
 Active Security Clearance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$86,100 \- $151,800\.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$99,000 \- $171,580\.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2026-02-16T03:04:07Z</dcterms:created>
  <dcterms:modified xsi:type="dcterms:W3CDTF">2026-02-16T03:04:07Z</dcterms:modified>
</cp:coreProperties>
</file>