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in-bff177c966db34fa</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in-a52dc5f313307908</t>
        </is>
      </c>
      <c r="B3" t="inlineStr">
        <is>
          <t>Sr. Applied Scientist, Amazon Ads</t>
        </is>
      </c>
      <c r="C3" t="inlineStr">
        <is>
          <t>Amazon.com</t>
        </is>
      </c>
      <c r="D3" t="inlineStr">
        <is>
          <t>indeed</t>
        </is>
      </c>
      <c r="E3" t="inlineStr"/>
      <c r="F3" t="inlineStr"/>
      <c r="G3" t="inlineStr">
        <is>
          <t>Palo Alto, CA,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in-a13eb60b3d18f361</t>
        </is>
      </c>
      <c r="B4" t="inlineStr">
        <is>
          <t>Sr. Applied Scientist, Amazon Ads</t>
        </is>
      </c>
      <c r="C4" t="inlineStr">
        <is>
          <t>Amazon.com</t>
        </is>
      </c>
      <c r="D4" t="inlineStr">
        <is>
          <t>indeed</t>
        </is>
      </c>
      <c r="E4" t="inlineStr"/>
      <c r="F4" t="inlineStr"/>
      <c r="G4" t="inlineStr">
        <is>
          <t>Boulder, CO,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in-195592dc26bd756b</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in-1ff75ff61d855f64</t>
        </is>
      </c>
      <c r="B6" t="inlineStr">
        <is>
          <t>Sr. Applied Scientist, Amazon Ads</t>
        </is>
      </c>
      <c r="C6" t="inlineStr">
        <is>
          <t>Amazon.com</t>
        </is>
      </c>
      <c r="D6" t="inlineStr">
        <is>
          <t>indeed</t>
        </is>
      </c>
      <c r="E6" t="inlineStr"/>
      <c r="F6" t="inlineStr"/>
      <c r="G6" t="inlineStr">
        <is>
          <t>Santa Monica,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in-1a6a0e6d8b3a292d</t>
        </is>
      </c>
      <c r="B7" t="inlineStr">
        <is>
          <t>Sr. Applied Scientist, Amazon Ads</t>
        </is>
      </c>
      <c r="C7" t="inlineStr">
        <is>
          <t>Amazon.com</t>
        </is>
      </c>
      <c r="D7" t="inlineStr">
        <is>
          <t>indeed</t>
        </is>
      </c>
      <c r="E7" t="inlineStr"/>
      <c r="F7" t="inlineStr"/>
      <c r="G7" t="inlineStr">
        <is>
          <t>Tukwila, WA,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in-2953c928a7af8413</t>
        </is>
      </c>
      <c r="B8" t="inlineStr">
        <is>
          <t>Sr. Applied Scientist, Amazon Ads</t>
        </is>
      </c>
      <c r="C8" t="inlineStr">
        <is>
          <t>Amazon.com</t>
        </is>
      </c>
      <c r="D8" t="inlineStr">
        <is>
          <t>indeed</t>
        </is>
      </c>
      <c r="E8" t="inlineStr"/>
      <c r="F8" t="inlineStr"/>
      <c r="G8" t="inlineStr">
        <is>
          <t>Sunnyvale,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in-a0ea8db3e116a541</t>
        </is>
      </c>
      <c r="B9" t="inlineStr">
        <is>
          <t>Sr. Applied Scientist, Amazon Ads</t>
        </is>
      </c>
      <c r="C9" t="inlineStr">
        <is>
          <t>Amazon.com</t>
        </is>
      </c>
      <c r="D9" t="inlineStr">
        <is>
          <t>indeed</t>
        </is>
      </c>
      <c r="E9" t="inlineStr"/>
      <c r="F9" t="inlineStr"/>
      <c r="G9" t="inlineStr">
        <is>
          <t>New York, NY,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in-c7cf527ab60a9b38</t>
        </is>
      </c>
      <c r="B10" t="inlineStr">
        <is>
          <t>Sr. Applied Scientist, Amazon Ads</t>
        </is>
      </c>
      <c r="C10" t="inlineStr">
        <is>
          <t>Amazon.com</t>
        </is>
      </c>
      <c r="D10" t="inlineStr">
        <is>
          <t>indeed</t>
        </is>
      </c>
      <c r="E10" t="inlineStr"/>
      <c r="F10" t="inlineStr"/>
      <c r="G10" t="inlineStr">
        <is>
          <t>Seattle, WA,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in-b7ea565d2d2cb7d4</t>
        </is>
      </c>
      <c r="B11" t="inlineStr">
        <is>
          <t>Sr. Applied Scientist, Amazon Ads</t>
        </is>
      </c>
      <c r="C11" t="inlineStr">
        <is>
          <t>Amazon.com</t>
        </is>
      </c>
      <c r="D11" t="inlineStr">
        <is>
          <t>indeed</t>
        </is>
      </c>
      <c r="E11" t="inlineStr"/>
      <c r="F11" t="inlineStr"/>
      <c r="G11" t="inlineStr">
        <is>
          <t>Corvallis, OR,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in-713cab7a89dac84d</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in-d0ffe2c1e24d708e</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in-e399d6a6fbaeca10</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in-978298be40088cec</t>
        </is>
      </c>
      <c r="B15" t="inlineStr">
        <is>
          <t>Applied Scientist II, Prime Video - Personalization and Discovery Science</t>
        </is>
      </c>
      <c r="C15" t="inlineStr">
        <is>
          <t>Amazon.com</t>
        </is>
      </c>
      <c r="D15" t="inlineStr">
        <is>
          <t>indeed</t>
        </is>
      </c>
      <c r="E15" t="inlineStr"/>
      <c r="F15" t="inlineStr"/>
      <c r="G15" t="inlineStr">
        <is>
          <t>Sunnyvale, CA,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in-325739e3c6eab474</t>
        </is>
      </c>
      <c r="B16" t="inlineStr">
        <is>
          <t>Applied Scientist II, Prime Video - Personalization and Discovery Science</t>
        </is>
      </c>
      <c r="C16" t="inlineStr">
        <is>
          <t>Amazon.com</t>
        </is>
      </c>
      <c r="D16" t="inlineStr">
        <is>
          <t>indeed</t>
        </is>
      </c>
      <c r="E16" t="inlineStr"/>
      <c r="F16" t="inlineStr"/>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in-7aa908b24873a15d</t>
        </is>
      </c>
      <c r="B17" t="inlineStr">
        <is>
          <t>Applied Scientist II,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in-f85a1999e0d05b3b</t>
        </is>
      </c>
      <c r="B18" t="inlineStr">
        <is>
          <t>Sr. Applied Scientist,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in-44a9ab74efd2a08c</t>
        </is>
      </c>
      <c r="B19" t="inlineStr">
        <is>
          <t>Sr. Applied Scientist,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in-7ee37055719935bc</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in-7d0b8cb3ac4fa3d9</t>
        </is>
      </c>
      <c r="B21" t="inlineStr">
        <is>
          <t>Applied Scientist II, Physics Simulation, Amazon Industrial Robotics</t>
        </is>
      </c>
      <c r="C21" t="inlineStr">
        <is>
          <t>Amazon.com</t>
        </is>
      </c>
      <c r="D21" t="inlineStr">
        <is>
          <t>indeed</t>
        </is>
      </c>
      <c r="E21" t="inlineStr"/>
      <c r="F21" t="inlineStr"/>
      <c r="G21" t="inlineStr">
        <is>
          <t>Reading, MA, US</t>
        </is>
      </c>
      <c r="H21" s="1" t="n">
        <v>46057</v>
      </c>
      <c r="I2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2">
      <c r="A22" t="inlineStr">
        <is>
          <t>in-9b40cc7f610bf2cb</t>
        </is>
      </c>
      <c r="B22" t="inlineStr">
        <is>
          <t>Applied Scientist II, Physics Simulation, Amazon Industrial Robotics</t>
        </is>
      </c>
      <c r="C22" t="inlineStr">
        <is>
          <t>Amazon.com</t>
        </is>
      </c>
      <c r="D22" t="inlineStr">
        <is>
          <t>indeed</t>
        </is>
      </c>
      <c r="E22" t="inlineStr"/>
      <c r="F22" t="inlineStr"/>
      <c r="G22" t="inlineStr">
        <is>
          <t>Reading, MA, US</t>
        </is>
      </c>
      <c r="H22" s="1" t="n">
        <v>46057</v>
      </c>
      <c r="I2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3">
      <c r="A23" t="inlineStr">
        <is>
          <t>in-cafec17e9eb5de06</t>
        </is>
      </c>
      <c r="B23" t="inlineStr">
        <is>
          <t>Sr. Applied Scientist - SLAM, Amazon Industrial Robotics</t>
        </is>
      </c>
      <c r="C23" t="inlineStr">
        <is>
          <t>Amazon.com</t>
        </is>
      </c>
      <c r="D23" t="inlineStr">
        <is>
          <t>indeed</t>
        </is>
      </c>
      <c r="E23" t="inlineStr"/>
      <c r="F23" t="inlineStr"/>
      <c r="G23" t="inlineStr">
        <is>
          <t>Reading, MA, US</t>
        </is>
      </c>
      <c r="H23" s="1" t="n">
        <v>46050</v>
      </c>
      <c r="I2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4">
      <c r="A24" t="inlineStr">
        <is>
          <t>in-8eabd06b0d68e17a</t>
        </is>
      </c>
      <c r="B24" t="inlineStr">
        <is>
          <t>Sr. Applied Scientist - SLAM, Amazon Industrial Robotics</t>
        </is>
      </c>
      <c r="C24" t="inlineStr">
        <is>
          <t>Amazon.com</t>
        </is>
      </c>
      <c r="D24" t="inlineStr">
        <is>
          <t>indeed</t>
        </is>
      </c>
      <c r="E24" t="inlineStr"/>
      <c r="F24" t="inlineStr"/>
      <c r="G24" t="inlineStr">
        <is>
          <t>Reading, MA, US</t>
        </is>
      </c>
      <c r="H24" s="1" t="n">
        <v>46050</v>
      </c>
      <c r="I2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5">
      <c r="A25" t="inlineStr">
        <is>
          <t>in-c46c7a248be93beb</t>
        </is>
      </c>
      <c r="B25" t="inlineStr">
        <is>
          <t>Principal Applied Scientist, Sensing, Industrial Robotics Group</t>
        </is>
      </c>
      <c r="C25" t="inlineStr">
        <is>
          <t>Amazon.com</t>
        </is>
      </c>
      <c r="D25" t="inlineStr">
        <is>
          <t>indeed</t>
        </is>
      </c>
      <c r="E25" t="inlineStr"/>
      <c r="F25" t="inlineStr"/>
      <c r="G25" t="inlineStr">
        <is>
          <t>Reading, MA, US</t>
        </is>
      </c>
      <c r="H25" s="1" t="n">
        <v>46050</v>
      </c>
      <c r="I2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6">
      <c r="A26" t="inlineStr">
        <is>
          <t>in-b966b2030729563b</t>
        </is>
      </c>
      <c r="B26" t="inlineStr">
        <is>
          <t>Principal Applied Scientist, Sensing, Industrial Robotics Group</t>
        </is>
      </c>
      <c r="C26" t="inlineStr">
        <is>
          <t>Amazon.com</t>
        </is>
      </c>
      <c r="D26" t="inlineStr">
        <is>
          <t>indeed</t>
        </is>
      </c>
      <c r="E26" t="inlineStr"/>
      <c r="F26" t="inlineStr"/>
      <c r="G26" t="inlineStr">
        <is>
          <t>Reading, MA, US</t>
        </is>
      </c>
      <c r="H26" s="1" t="n">
        <v>46050</v>
      </c>
      <c r="I2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7">
      <c r="A27" t="inlineStr">
        <is>
          <t>in-ece6627bf74b9a44</t>
        </is>
      </c>
      <c r="B27" t="inlineStr">
        <is>
          <t>Sr. Applied Scientist, Sponsored Products Off-Search Sourcing</t>
        </is>
      </c>
      <c r="C27" t="inlineStr">
        <is>
          <t>Amazon.com</t>
        </is>
      </c>
      <c r="D27" t="inlineStr">
        <is>
          <t>indeed</t>
        </is>
      </c>
      <c r="E27" t="inlineStr"/>
      <c r="F27" t="inlineStr"/>
      <c r="G27" t="inlineStr">
        <is>
          <t>New York, NY, US</t>
        </is>
      </c>
      <c r="H27" s="1" t="n">
        <v>46049</v>
      </c>
      <c r="I2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8">
      <c r="A28" t="inlineStr">
        <is>
          <t>in-e78fe6a0ab0cc48d</t>
        </is>
      </c>
      <c r="B28" t="inlineStr">
        <is>
          <t>Sr. Applied Scientist, Sponsored Products Off-Search Sourcing</t>
        </is>
      </c>
      <c r="C28" t="inlineStr">
        <is>
          <t>Amazon.com</t>
        </is>
      </c>
      <c r="D28" t="inlineStr">
        <is>
          <t>indeed</t>
        </is>
      </c>
      <c r="E28" t="inlineStr"/>
      <c r="F28" t="inlineStr"/>
      <c r="G28" t="inlineStr">
        <is>
          <t>Seattle, WA, US</t>
        </is>
      </c>
      <c r="H28" s="1" t="n">
        <v>46049</v>
      </c>
      <c r="I2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9">
      <c r="A29" t="inlineStr">
        <is>
          <t>in-2c76d0869cc33587</t>
        </is>
      </c>
      <c r="B29" t="inlineStr">
        <is>
          <t>Sr. Applied Scientist, Sponsored Products Off-Search Sourcing</t>
        </is>
      </c>
      <c r="C29" t="inlineStr">
        <is>
          <t>Amazon.com</t>
        </is>
      </c>
      <c r="D29" t="inlineStr">
        <is>
          <t>indeed</t>
        </is>
      </c>
      <c r="E29" t="inlineStr"/>
      <c r="F29" t="inlineStr"/>
      <c r="G29" t="inlineStr">
        <is>
          <t>Palo Alto, CA, US</t>
        </is>
      </c>
      <c r="H29" s="1" t="n">
        <v>46049</v>
      </c>
      <c r="I2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0">
      <c r="A30" t="inlineStr">
        <is>
          <t>in-4753339681c511bd</t>
        </is>
      </c>
      <c r="B30" t="inlineStr">
        <is>
          <t>Principal Applied Scientist, AWS Science of Security</t>
        </is>
      </c>
      <c r="C30" t="inlineStr">
        <is>
          <t>Amazon.com</t>
        </is>
      </c>
      <c r="D30" t="inlineStr">
        <is>
          <t>indeed</t>
        </is>
      </c>
      <c r="E30" t="inlineStr"/>
      <c r="F30" t="inlineStr"/>
      <c r="G30" t="inlineStr">
        <is>
          <t>Seattle, WA, US</t>
        </is>
      </c>
      <c r="H30" s="1" t="n">
        <v>46049</v>
      </c>
      <c r="I30"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1">
      <c r="A31" t="inlineStr">
        <is>
          <t>in-e726dfc94842eb8b</t>
        </is>
      </c>
      <c r="B31" t="inlineStr">
        <is>
          <t>Principal Applied Scientist, AWS Science of Security</t>
        </is>
      </c>
      <c r="C31" t="inlineStr">
        <is>
          <t>Amazon.com</t>
        </is>
      </c>
      <c r="D31" t="inlineStr">
        <is>
          <t>indeed</t>
        </is>
      </c>
      <c r="E31" t="inlineStr"/>
      <c r="F31" t="inlineStr"/>
      <c r="G31" t="inlineStr">
        <is>
          <t>New York, NY, US</t>
        </is>
      </c>
      <c r="H31" s="1" t="n">
        <v>46049</v>
      </c>
      <c r="I31"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2">
      <c r="A32" t="inlineStr">
        <is>
          <t>in-76b1b82eb3dd408d</t>
        </is>
      </c>
      <c r="B32" t="inlineStr">
        <is>
          <t>Principal Applied Scientist, AWS Science of Security</t>
        </is>
      </c>
      <c r="C32" t="inlineStr">
        <is>
          <t>Amazon.com</t>
        </is>
      </c>
      <c r="D32" t="inlineStr">
        <is>
          <t>indeed</t>
        </is>
      </c>
      <c r="E32" t="inlineStr"/>
      <c r="F32" t="inlineStr"/>
      <c r="G32" t="inlineStr">
        <is>
          <t>Arlington, VA, US</t>
        </is>
      </c>
      <c r="H32" s="1" t="n">
        <v>46049</v>
      </c>
      <c r="I32"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3">
      <c r="A33" t="inlineStr">
        <is>
          <t>in-c503e076f6a96a69</t>
        </is>
      </c>
      <c r="B33" t="inlineStr">
        <is>
          <t>Senior Applied Scientist, Amazon Industrial Robotics</t>
        </is>
      </c>
      <c r="C33" t="inlineStr">
        <is>
          <t>Amazon.com</t>
        </is>
      </c>
      <c r="D33" t="inlineStr">
        <is>
          <t>indeed</t>
        </is>
      </c>
      <c r="E33" t="inlineStr"/>
      <c r="F33" t="inlineStr"/>
      <c r="G33" t="inlineStr">
        <is>
          <t>Reading, MA, US</t>
        </is>
      </c>
      <c r="H33" s="1" t="n">
        <v>46048</v>
      </c>
      <c r="I3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4">
      <c r="A34" t="inlineStr">
        <is>
          <t>in-1cc78d0c6b0ea6b0</t>
        </is>
      </c>
      <c r="B34" t="inlineStr">
        <is>
          <t>Senior Applied Scientist, Amazon Industrial Robotics</t>
        </is>
      </c>
      <c r="C34" t="inlineStr">
        <is>
          <t>Amazon.com</t>
        </is>
      </c>
      <c r="D34" t="inlineStr">
        <is>
          <t>indeed</t>
        </is>
      </c>
      <c r="E34" t="inlineStr"/>
      <c r="F34" t="inlineStr"/>
      <c r="G34" t="inlineStr">
        <is>
          <t>Reading, MA, US</t>
        </is>
      </c>
      <c r="H34" s="1" t="n">
        <v>46048</v>
      </c>
      <c r="I3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5">
      <c r="A35" t="inlineStr">
        <is>
          <t>in-071077ffc5461db5</t>
        </is>
      </c>
      <c r="B35" t="inlineStr">
        <is>
          <t>Applied Scientist II, Prime Video Personalization and Discovery Science</t>
        </is>
      </c>
      <c r="C35" t="inlineStr">
        <is>
          <t>Amazon.com</t>
        </is>
      </c>
      <c r="D35" t="inlineStr">
        <is>
          <t>indeed</t>
        </is>
      </c>
      <c r="E35" t="inlineStr"/>
      <c r="F35" t="inlineStr"/>
      <c r="G35" t="inlineStr">
        <is>
          <t>Seattle, WA, US</t>
        </is>
      </c>
      <c r="H35" s="1" t="n">
        <v>46047</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6">
      <c r="A36" t="inlineStr">
        <is>
          <t>in-a1228f47d0938c09</t>
        </is>
      </c>
      <c r="B36" t="inlineStr">
        <is>
          <t>Applied Scientist II, Prime Video Personalization and Discovery Science</t>
        </is>
      </c>
      <c r="C36" t="inlineStr">
        <is>
          <t>Amazon.com</t>
        </is>
      </c>
      <c r="D36" t="inlineStr">
        <is>
          <t>indeed</t>
        </is>
      </c>
      <c r="E36" t="inlineStr"/>
      <c r="F36" t="inlineStr"/>
      <c r="G36" t="inlineStr">
        <is>
          <t>New York, NY, US</t>
        </is>
      </c>
      <c r="H36" s="1" t="n">
        <v>46047</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7">
      <c r="A37" t="inlineStr">
        <is>
          <t>in-33659434ac4db379</t>
        </is>
      </c>
      <c r="B37" t="inlineStr">
        <is>
          <t>Applied Scientist II, Prime Video Personalization and Discovery Science</t>
        </is>
      </c>
      <c r="C37" t="inlineStr">
        <is>
          <t>Amazon.com</t>
        </is>
      </c>
      <c r="D37" t="inlineStr">
        <is>
          <t>indeed</t>
        </is>
      </c>
      <c r="E37" t="inlineStr"/>
      <c r="F37" t="inlineStr"/>
      <c r="G37" t="inlineStr">
        <is>
          <t>Sunnyvale, CA, US</t>
        </is>
      </c>
      <c r="H37" s="1" t="n">
        <v>46047</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in-d358a817133b21af</t>
        </is>
      </c>
      <c r="B38" t="inlineStr">
        <is>
          <t>Applied Scientist, Amazon Connect</t>
        </is>
      </c>
      <c r="C38" t="inlineStr">
        <is>
          <t>Amazon Web Services</t>
        </is>
      </c>
      <c r="D38" t="inlineStr">
        <is>
          <t>indeed</t>
        </is>
      </c>
      <c r="E38" t="inlineStr"/>
      <c r="F38" t="inlineStr"/>
      <c r="G38" t="inlineStr">
        <is>
          <t>New York, NY, US</t>
        </is>
      </c>
      <c r="H38" s="1" t="n">
        <v>46047</v>
      </c>
      <c r="I3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
      <c r="A39" t="inlineStr">
        <is>
          <t>in-7383dc51d48f1f5c</t>
        </is>
      </c>
      <c r="B39" t="inlineStr">
        <is>
          <t>Applied Scientist, Amazon Connect</t>
        </is>
      </c>
      <c r="C39" t="inlineStr">
        <is>
          <t>Amazon Web Services</t>
        </is>
      </c>
      <c r="D39" t="inlineStr">
        <is>
          <t>indeed</t>
        </is>
      </c>
      <c r="E39" t="inlineStr"/>
      <c r="F39" t="inlineStr"/>
      <c r="G39" t="inlineStr">
        <is>
          <t>Seattle, WA, US</t>
        </is>
      </c>
      <c r="H39" s="1" t="n">
        <v>46047</v>
      </c>
      <c r="I3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0">
      <c r="A40" t="inlineStr">
        <is>
          <t>in-1fed20c79b7d3f66</t>
        </is>
      </c>
      <c r="B40" t="inlineStr">
        <is>
          <t>Applied Scientist II, Prime Video Personalization and Discovery Science</t>
        </is>
      </c>
      <c r="C40" t="inlineStr">
        <is>
          <t>Amazon.com</t>
        </is>
      </c>
      <c r="D40" t="inlineStr">
        <is>
          <t>indeed</t>
        </is>
      </c>
      <c r="E40" t="inlineStr"/>
      <c r="F40" t="inlineStr"/>
      <c r="G40" t="inlineStr">
        <is>
          <t>New York, NY, US</t>
        </is>
      </c>
      <c r="H40" s="1" t="n">
        <v>46038</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in-4c67f0ee8b7380bf</t>
        </is>
      </c>
      <c r="B41" t="inlineStr">
        <is>
          <t>Applied Scientist II, Prime Video Personalization and Discovery Science</t>
        </is>
      </c>
      <c r="C41" t="inlineStr">
        <is>
          <t>Amazon.com</t>
        </is>
      </c>
      <c r="D41" t="inlineStr">
        <is>
          <t>indeed</t>
        </is>
      </c>
      <c r="E41" t="inlineStr"/>
      <c r="F41" t="inlineStr"/>
      <c r="G41" t="inlineStr">
        <is>
          <t>Seattle, WA, US</t>
        </is>
      </c>
      <c r="H41" s="1" t="n">
        <v>46038</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in-f9d456555670bd94</t>
        </is>
      </c>
      <c r="B42" t="inlineStr">
        <is>
          <t>Applied Scientist II, Prime Video Personalization and Discovery Science</t>
        </is>
      </c>
      <c r="C42" t="inlineStr">
        <is>
          <t>Amazon.com</t>
        </is>
      </c>
      <c r="D42" t="inlineStr">
        <is>
          <t>indeed</t>
        </is>
      </c>
      <c r="E42" t="inlineStr"/>
      <c r="F42" t="inlineStr"/>
      <c r="G42" t="inlineStr">
        <is>
          <t>Sunnyvale, CA, US</t>
        </is>
      </c>
      <c r="H42" s="1" t="n">
        <v>46038</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in-f06fc2835f26c159</t>
        </is>
      </c>
      <c r="B43" t="inlineStr">
        <is>
          <t>Applied Scientist, Safety ML</t>
        </is>
      </c>
      <c r="C43" t="inlineStr">
        <is>
          <t>Amazon.com</t>
        </is>
      </c>
      <c r="D43" t="inlineStr">
        <is>
          <t>indeed</t>
        </is>
      </c>
      <c r="E43" t="inlineStr"/>
      <c r="F43" t="inlineStr"/>
      <c r="G43" t="inlineStr">
        <is>
          <t>Seattle, WA, US</t>
        </is>
      </c>
      <c r="H43" s="1" t="n">
        <v>46037</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4">
      <c r="A44" t="inlineStr">
        <is>
          <t>in-3fb8bd97ddd013ed</t>
        </is>
      </c>
      <c r="B44" t="inlineStr">
        <is>
          <t>Applied Scientist, Safety ML</t>
        </is>
      </c>
      <c r="C44" t="inlineStr">
        <is>
          <t>Amazon.com</t>
        </is>
      </c>
      <c r="D44" t="inlineStr">
        <is>
          <t>indeed</t>
        </is>
      </c>
      <c r="E44" t="inlineStr"/>
      <c r="F44" t="inlineStr"/>
      <c r="G44" t="inlineStr">
        <is>
          <t>San Francisco, CA, US</t>
        </is>
      </c>
      <c r="H44" s="1" t="n">
        <v>46037</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5">
      <c r="A45" t="inlineStr">
        <is>
          <t>in-79fdefb77215a039</t>
        </is>
      </c>
      <c r="B45" t="inlineStr">
        <is>
          <t>Applied Scientist II, Measurement, AdTech and Data Science (NYC/Seattle/Palo Alto), Performance Measurement</t>
        </is>
      </c>
      <c r="C45" t="inlineStr">
        <is>
          <t>Amazon.com</t>
        </is>
      </c>
      <c r="D45" t="inlineStr">
        <is>
          <t>indeed</t>
        </is>
      </c>
      <c r="E45" t="inlineStr"/>
      <c r="F45" t="inlineStr"/>
      <c r="G45" t="inlineStr">
        <is>
          <t>New York, NY, US</t>
        </is>
      </c>
      <c r="H45" s="1" t="n">
        <v>46037</v>
      </c>
      <c r="I45" t="inlineStr">
        <is>
          <t>**DESCRIPTION**
---------------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solutions.**BASIC QUALIFICATIONS**
------------------------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t>
        </is>
      </c>
    </row>
    <row r="46">
      <c r="A46" t="inlineStr">
        <is>
          <t>in-2b4c8f7ff0a49035</t>
        </is>
      </c>
      <c r="B46" t="inlineStr">
        <is>
          <t>Applied Scientist II, Measurement, AdTech and Data Science (NYC/Seattle/Palo Alto), Performance Measurement</t>
        </is>
      </c>
      <c r="C46" t="inlineStr">
        <is>
          <t>Amazon.com</t>
        </is>
      </c>
      <c r="D46" t="inlineStr">
        <is>
          <t>indeed</t>
        </is>
      </c>
      <c r="E46" t="inlineStr"/>
      <c r="F46" t="inlineStr"/>
      <c r="G46" t="inlineStr">
        <is>
          <t>Seattle, WA, US</t>
        </is>
      </c>
      <c r="H46" s="1" t="n">
        <v>46037</v>
      </c>
      <c r="I46" t="inlineStr">
        <is>
          <t>**DESCRIPTION**
---------------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solutions.**BASIC QUALIFICATIONS**
------------------------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t>
        </is>
      </c>
    </row>
    <row r="47">
      <c r="A47" t="inlineStr">
        <is>
          <t>in-b85c5dbefb044560</t>
        </is>
      </c>
      <c r="B47" t="inlineStr">
        <is>
          <t>Applied Scientist, LLM Code Agents, Kiro Science</t>
        </is>
      </c>
      <c r="C47" t="inlineStr">
        <is>
          <t>Amazon.com</t>
        </is>
      </c>
      <c r="D47" t="inlineStr">
        <is>
          <t>indeed</t>
        </is>
      </c>
      <c r="E47" t="inlineStr"/>
      <c r="F47" t="inlineStr"/>
      <c r="G47" t="inlineStr">
        <is>
          <t>Seattle, WA, US</t>
        </is>
      </c>
      <c r="H47" s="1" t="n">
        <v>46035</v>
      </c>
      <c r="I4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8">
      <c r="A48" t="inlineStr">
        <is>
          <t>in-067584fba35a7232</t>
        </is>
      </c>
      <c r="B48" t="inlineStr">
        <is>
          <t>Applied Scientist, LLM Code Agents, Kiro Science</t>
        </is>
      </c>
      <c r="C48" t="inlineStr">
        <is>
          <t>Amazon.com</t>
        </is>
      </c>
      <c r="D48" t="inlineStr">
        <is>
          <t>indeed</t>
        </is>
      </c>
      <c r="E48" t="inlineStr"/>
      <c r="F48" t="inlineStr"/>
      <c r="G48" t="inlineStr">
        <is>
          <t>Santa Clara, CA, US</t>
        </is>
      </c>
      <c r="H48" s="1" t="n">
        <v>46035</v>
      </c>
      <c r="I4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9">
      <c r="A49" t="inlineStr">
        <is>
          <t>in-85b2c49e7eb0d65d</t>
        </is>
      </c>
      <c r="B49" t="inlineStr">
        <is>
          <t>Applied Scientist II, Prime Video Personalization and Discovery Science</t>
        </is>
      </c>
      <c r="C49" t="inlineStr">
        <is>
          <t>Amazon.com</t>
        </is>
      </c>
      <c r="D49" t="inlineStr">
        <is>
          <t>indeed</t>
        </is>
      </c>
      <c r="E49" t="inlineStr"/>
      <c r="F49" t="inlineStr"/>
      <c r="G49" t="inlineStr">
        <is>
          <t>Seattle, WA, US</t>
        </is>
      </c>
      <c r="H49" s="1" t="n">
        <v>46034</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0">
      <c r="A50" t="inlineStr">
        <is>
          <t>in-4b2565d13aeeed39</t>
        </is>
      </c>
      <c r="B50" t="inlineStr">
        <is>
          <t>Applied Scientist II, Prime Video Personalization and Discovery Science</t>
        </is>
      </c>
      <c r="C50" t="inlineStr">
        <is>
          <t>Amazon.com</t>
        </is>
      </c>
      <c r="D50" t="inlineStr">
        <is>
          <t>indeed</t>
        </is>
      </c>
      <c r="E50" t="inlineStr"/>
      <c r="F50" t="inlineStr"/>
      <c r="G50" t="inlineStr">
        <is>
          <t>Sunnyvale, CA, US</t>
        </is>
      </c>
      <c r="H50" s="1" t="n">
        <v>46034</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1">
      <c r="A51" t="inlineStr">
        <is>
          <t>in-572ef1c82afc36cc</t>
        </is>
      </c>
      <c r="B51" t="inlineStr">
        <is>
          <t>Applied Scientist, Alexa Smart Home</t>
        </is>
      </c>
      <c r="C51" t="inlineStr">
        <is>
          <t>Amazon.com</t>
        </is>
      </c>
      <c r="D51" t="inlineStr">
        <is>
          <t>indeed</t>
        </is>
      </c>
      <c r="E51" t="inlineStr"/>
      <c r="F51" t="inlineStr"/>
      <c r="G51" t="inlineStr">
        <is>
          <t>Seattle, WA, US</t>
        </is>
      </c>
      <c r="H51" s="1" t="n">
        <v>46033</v>
      </c>
      <c r="I5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in-adb73701697b423f</t>
        </is>
      </c>
      <c r="B52" t="inlineStr">
        <is>
          <t>Applied Scientist, Alexa Smart Home</t>
        </is>
      </c>
      <c r="C52" t="inlineStr">
        <is>
          <t>Amazon.com</t>
        </is>
      </c>
      <c r="D52" t="inlineStr">
        <is>
          <t>indeed</t>
        </is>
      </c>
      <c r="E52" t="inlineStr"/>
      <c r="F52" t="inlineStr"/>
      <c r="G52" t="inlineStr">
        <is>
          <t>Sunnyvale, CA, US</t>
        </is>
      </c>
      <c r="H52" s="1" t="n">
        <v>46033</v>
      </c>
      <c r="I5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in-8b09c431b6fa5b71</t>
        </is>
      </c>
      <c r="B53" t="inlineStr">
        <is>
          <t>Applied Scientist, AWS Applied AI Solutions</t>
        </is>
      </c>
      <c r="C53" t="inlineStr">
        <is>
          <t>Amazon Web Services</t>
        </is>
      </c>
      <c r="D53" t="inlineStr">
        <is>
          <t>indeed</t>
        </is>
      </c>
      <c r="E53" t="inlineStr"/>
      <c r="F53" t="inlineStr"/>
      <c r="G53" t="inlineStr">
        <is>
          <t>New York, NY, US</t>
        </is>
      </c>
      <c r="H53" s="1" t="n">
        <v>46030</v>
      </c>
      <c r="I5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4">
      <c r="A54" t="inlineStr">
        <is>
          <t>in-c720d3413bf11974</t>
        </is>
      </c>
      <c r="B54" t="inlineStr">
        <is>
          <t>Applied Scientist, AWS Applied AI Solutions</t>
        </is>
      </c>
      <c r="C54" t="inlineStr">
        <is>
          <t>Amazon Web Services</t>
        </is>
      </c>
      <c r="D54" t="inlineStr">
        <is>
          <t>indeed</t>
        </is>
      </c>
      <c r="E54" t="inlineStr"/>
      <c r="F54" t="inlineStr"/>
      <c r="G54" t="inlineStr">
        <is>
          <t>Seattle, WA, US</t>
        </is>
      </c>
      <c r="H54" s="1" t="n">
        <v>46030</v>
      </c>
      <c r="I5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in-ea59cd20c83cd4bb</t>
        </is>
      </c>
      <c r="B55" t="inlineStr">
        <is>
          <t>Applied Scientist II, Prime Video Personalization and Discovery Science</t>
        </is>
      </c>
      <c r="C55" t="inlineStr">
        <is>
          <t>Amazon.com</t>
        </is>
      </c>
      <c r="D55" t="inlineStr">
        <is>
          <t>indeed</t>
        </is>
      </c>
      <c r="E55" t="inlineStr"/>
      <c r="F55" t="inlineStr"/>
      <c r="G55" t="inlineStr">
        <is>
          <t>Seattle, WA, US</t>
        </is>
      </c>
      <c r="H55" s="1" t="n">
        <v>46028</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6">
      <c r="A56" t="inlineStr">
        <is>
          <t>in-863a9fbd86b4bb79</t>
        </is>
      </c>
      <c r="B56" t="inlineStr">
        <is>
          <t>Applied Scientist II, Prime Video Personalization and Discovery Science</t>
        </is>
      </c>
      <c r="C56" t="inlineStr">
        <is>
          <t>Amazon.com</t>
        </is>
      </c>
      <c r="D56" t="inlineStr">
        <is>
          <t>indeed</t>
        </is>
      </c>
      <c r="E56" t="inlineStr"/>
      <c r="F56" t="inlineStr"/>
      <c r="G56" t="inlineStr">
        <is>
          <t>New York, NY, US</t>
        </is>
      </c>
      <c r="H56" s="1" t="n">
        <v>46028</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7">
      <c r="A57" t="inlineStr">
        <is>
          <t>in-8814767341780b74</t>
        </is>
      </c>
      <c r="B57" t="inlineStr">
        <is>
          <t>Applied Scientist II, Prime Video Personalization and Discovery Science</t>
        </is>
      </c>
      <c r="C57" t="inlineStr">
        <is>
          <t>Amazon.com</t>
        </is>
      </c>
      <c r="D57" t="inlineStr">
        <is>
          <t>indeed</t>
        </is>
      </c>
      <c r="E57" t="inlineStr"/>
      <c r="F57" t="inlineStr"/>
      <c r="G57" t="inlineStr">
        <is>
          <t>Sunnyvale, CA, US</t>
        </is>
      </c>
      <c r="H57" s="1" t="n">
        <v>46028</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in-e97427c6a603cadd</t>
        </is>
      </c>
      <c r="B58" t="inlineStr">
        <is>
          <t>Applied Scientist, Last Mile Delivery Automation</t>
        </is>
      </c>
      <c r="C58" t="inlineStr">
        <is>
          <t>Amazon.com</t>
        </is>
      </c>
      <c r="D58" t="inlineStr">
        <is>
          <t>indeed</t>
        </is>
      </c>
      <c r="E58" t="inlineStr"/>
      <c r="F58" t="inlineStr"/>
      <c r="G58" t="inlineStr">
        <is>
          <t>Bellevue, WA, US</t>
        </is>
      </c>
      <c r="H58" s="1" t="n">
        <v>46026</v>
      </c>
      <c r="I5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in-3cd7c8f0a44c0c94</t>
        </is>
      </c>
      <c r="B59" t="inlineStr">
        <is>
          <t>Applied Scientist, Last Mile Delivery Automation</t>
        </is>
      </c>
      <c r="C59" t="inlineStr">
        <is>
          <t>Amazon.com</t>
        </is>
      </c>
      <c r="D59" t="inlineStr">
        <is>
          <t>indeed</t>
        </is>
      </c>
      <c r="E59" t="inlineStr"/>
      <c r="F59" t="inlineStr"/>
      <c r="G59" t="inlineStr">
        <is>
          <t>Santa Clara, CA, US</t>
        </is>
      </c>
      <c r="H59" s="1" t="n">
        <v>46026</v>
      </c>
      <c r="I5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in-da9005cb9d7cec63</t>
        </is>
      </c>
      <c r="B60" t="inlineStr">
        <is>
          <t>Senior Applied Scientist, Sponsored Products and Brands, Off-Search</t>
        </is>
      </c>
      <c r="C60" t="inlineStr">
        <is>
          <t>Amazon.com</t>
        </is>
      </c>
      <c r="D60" t="inlineStr">
        <is>
          <t>indeed</t>
        </is>
      </c>
      <c r="E60" t="inlineStr"/>
      <c r="F60" t="inlineStr"/>
      <c r="G60" t="inlineStr">
        <is>
          <t>Palo Alto, CA, US</t>
        </is>
      </c>
      <c r="H60" s="1" t="n">
        <v>46017</v>
      </c>
      <c r="I6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in-182c8f3f911aad08</t>
        </is>
      </c>
      <c r="B61" t="inlineStr">
        <is>
          <t>Senior Applied Scientist, Sponsored Products and Brands, Off-Search</t>
        </is>
      </c>
      <c r="C61" t="inlineStr">
        <is>
          <t>Amazon.com</t>
        </is>
      </c>
      <c r="D61" t="inlineStr">
        <is>
          <t>indeed</t>
        </is>
      </c>
      <c r="E61" t="inlineStr"/>
      <c r="F61" t="inlineStr"/>
      <c r="G61" t="inlineStr">
        <is>
          <t>New York, NY, US</t>
        </is>
      </c>
      <c r="H61" s="1" t="n">
        <v>46017</v>
      </c>
      <c r="I6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in-44a4e4eea0f9df75</t>
        </is>
      </c>
      <c r="B62" t="inlineStr">
        <is>
          <t>Senior Applied Scientist, Sponsored Products and Brands, Off-Search</t>
        </is>
      </c>
      <c r="C62" t="inlineStr">
        <is>
          <t>Amazon.com</t>
        </is>
      </c>
      <c r="D62" t="inlineStr">
        <is>
          <t>indeed</t>
        </is>
      </c>
      <c r="E62" t="inlineStr"/>
      <c r="F62" t="inlineStr"/>
      <c r="G62" t="inlineStr">
        <is>
          <t>Seattle, WA, US</t>
        </is>
      </c>
      <c r="H62" s="1" t="n">
        <v>46017</v>
      </c>
      <c r="I6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in-58073a18cc887f4b</t>
        </is>
      </c>
      <c r="B63" t="inlineStr">
        <is>
          <t>Applied Scientist II, Prime Video - Personalization and Discovery Science</t>
        </is>
      </c>
      <c r="C63" t="inlineStr">
        <is>
          <t>Amazon.com</t>
        </is>
      </c>
      <c r="D63" t="inlineStr">
        <is>
          <t>indeed</t>
        </is>
      </c>
      <c r="E63" t="inlineStr"/>
      <c r="F63" t="inlineStr"/>
      <c r="G63" t="inlineStr">
        <is>
          <t>Sunnyvale, CA, US</t>
        </is>
      </c>
      <c r="H63" s="1" t="n">
        <v>46012</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4">
      <c r="A64" t="inlineStr">
        <is>
          <t>in-4428b3862523571f</t>
        </is>
      </c>
      <c r="B64" t="inlineStr">
        <is>
          <t>Applied Scientist II, Prime Video - Personalization and Discovery Science</t>
        </is>
      </c>
      <c r="C64" t="inlineStr">
        <is>
          <t>Amazon.com</t>
        </is>
      </c>
      <c r="D64" t="inlineStr">
        <is>
          <t>indeed</t>
        </is>
      </c>
      <c r="E64" t="inlineStr"/>
      <c r="F64" t="inlineStr"/>
      <c r="G64" t="inlineStr">
        <is>
          <t>Seattle, WA, US</t>
        </is>
      </c>
      <c r="H64" s="1" t="n">
        <v>46012</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5">
      <c r="A65" t="inlineStr">
        <is>
          <t>in-de56c0a39aa02465</t>
        </is>
      </c>
      <c r="B65" t="inlineStr">
        <is>
          <t>Applied Scientist, Delivery Foundation Model</t>
        </is>
      </c>
      <c r="C65" t="inlineStr">
        <is>
          <t>Amazon.com</t>
        </is>
      </c>
      <c r="D65" t="inlineStr">
        <is>
          <t>indeed</t>
        </is>
      </c>
      <c r="E65" t="inlineStr"/>
      <c r="F65" t="inlineStr"/>
      <c r="G65" t="inlineStr">
        <is>
          <t>Bellevue, WA, US</t>
        </is>
      </c>
      <c r="H65" s="1" t="n">
        <v>46009</v>
      </c>
      <c r="I6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6">
      <c r="A66" t="inlineStr">
        <is>
          <t>in-5c163c2d54142b7e</t>
        </is>
      </c>
      <c r="B66" t="inlineStr">
        <is>
          <t>Applied Scientist, Delivery Foundation Model</t>
        </is>
      </c>
      <c r="C66" t="inlineStr">
        <is>
          <t>Amazon.com</t>
        </is>
      </c>
      <c r="D66" t="inlineStr">
        <is>
          <t>indeed</t>
        </is>
      </c>
      <c r="E66" t="inlineStr"/>
      <c r="F66" t="inlineStr"/>
      <c r="G66" t="inlineStr">
        <is>
          <t>Santa Clara, CA, US</t>
        </is>
      </c>
      <c r="H66" s="1" t="n">
        <v>46009</v>
      </c>
      <c r="I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7">
      <c r="A67" t="inlineStr">
        <is>
          <t>in-ca249b679ead1435</t>
        </is>
      </c>
      <c r="B67" t="inlineStr">
        <is>
          <t>Principal Applied Scientist, Kiro Science</t>
        </is>
      </c>
      <c r="C67" t="inlineStr">
        <is>
          <t>Amazon Web Services</t>
        </is>
      </c>
      <c r="D67" t="inlineStr">
        <is>
          <t>indeed</t>
        </is>
      </c>
      <c r="E67" t="inlineStr"/>
      <c r="F67" t="inlineStr"/>
      <c r="G67" t="inlineStr">
        <is>
          <t>New York, NY, US</t>
        </is>
      </c>
      <c r="H67" s="1" t="n">
        <v>45999</v>
      </c>
      <c r="I6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8">
      <c r="A68" t="inlineStr">
        <is>
          <t>in-f63674fecf529d78</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in-1bfc2acb21b3beea</t>
        </is>
      </c>
      <c r="B69" t="inlineStr">
        <is>
          <t>Sr. Applied Scientist, SPB Advertiser Guidance</t>
        </is>
      </c>
      <c r="C69" t="inlineStr">
        <is>
          <t>Amazon.com</t>
        </is>
      </c>
      <c r="D69" t="inlineStr">
        <is>
          <t>indeed</t>
        </is>
      </c>
      <c r="E69" t="inlineStr"/>
      <c r="F69" t="inlineStr"/>
      <c r="G69" t="inlineStr">
        <is>
          <t>Palo Alto, CA, US</t>
        </is>
      </c>
      <c r="H69" s="1" t="n">
        <v>45981</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0">
      <c r="A70" t="inlineStr">
        <is>
          <t>in-5b2181ddd44b558a</t>
        </is>
      </c>
      <c r="B70" t="inlineStr">
        <is>
          <t>Sr. Applied Scientist, SPB Advertiser Guidance</t>
        </is>
      </c>
      <c r="C70" t="inlineStr">
        <is>
          <t>Amazon.com</t>
        </is>
      </c>
      <c r="D70" t="inlineStr">
        <is>
          <t>indeed</t>
        </is>
      </c>
      <c r="E70" t="inlineStr"/>
      <c r="F70" t="inlineStr"/>
      <c r="G70" t="inlineStr">
        <is>
          <t>New York, NY, US</t>
        </is>
      </c>
      <c r="H70" s="1" t="n">
        <v>45981</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1">
      <c r="A71" t="inlineStr">
        <is>
          <t>in-a4d60a9e672f629e</t>
        </is>
      </c>
      <c r="B71" t="inlineStr">
        <is>
          <t>Sr. Applied Scientist, SPB Advertiser Guidance</t>
        </is>
      </c>
      <c r="C71" t="inlineStr">
        <is>
          <t>Amazon.com</t>
        </is>
      </c>
      <c r="D71" t="inlineStr">
        <is>
          <t>indeed</t>
        </is>
      </c>
      <c r="E71" t="inlineStr"/>
      <c r="F71" t="inlineStr"/>
      <c r="G71" t="inlineStr">
        <is>
          <t>Seattle, WA, US</t>
        </is>
      </c>
      <c r="H71" s="1" t="n">
        <v>45981</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2">
      <c r="A72" t="inlineStr">
        <is>
          <t>in-b8bdcc438f2cc6a2</t>
        </is>
      </c>
      <c r="B72" t="inlineStr">
        <is>
          <t>Principal Applied Scientist, Sponsored Products and Brands</t>
        </is>
      </c>
      <c r="C72" t="inlineStr">
        <is>
          <t>Amazon.com</t>
        </is>
      </c>
      <c r="D72" t="inlineStr">
        <is>
          <t>indeed</t>
        </is>
      </c>
      <c r="E72" t="inlineStr"/>
      <c r="F72" t="inlineStr"/>
      <c r="G72" t="inlineStr">
        <is>
          <t>Seattle, WA, US</t>
        </is>
      </c>
      <c r="H72" s="1" t="n">
        <v>45979</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in-26447761c8968f7d</t>
        </is>
      </c>
      <c r="B73" t="inlineStr">
        <is>
          <t>Principal Applied Scientist, Sponsored Products and Brands</t>
        </is>
      </c>
      <c r="C73" t="inlineStr">
        <is>
          <t>Amazon.com</t>
        </is>
      </c>
      <c r="D73" t="inlineStr">
        <is>
          <t>indeed</t>
        </is>
      </c>
      <c r="E73" t="inlineStr"/>
      <c r="F73" t="inlineStr"/>
      <c r="G73" t="inlineStr">
        <is>
          <t>New York, NY, US</t>
        </is>
      </c>
      <c r="H73" s="1" t="n">
        <v>45979</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in-32eb39652e0f0726</t>
        </is>
      </c>
      <c r="B74" t="inlineStr">
        <is>
          <t>Applied Scientist, Personalization, DTx Science</t>
        </is>
      </c>
      <c r="C74" t="inlineStr">
        <is>
          <t>Amazon.com</t>
        </is>
      </c>
      <c r="D74" t="inlineStr">
        <is>
          <t>indeed</t>
        </is>
      </c>
      <c r="E74" t="inlineStr"/>
      <c r="F74" t="inlineStr"/>
      <c r="G74" t="inlineStr">
        <is>
          <t>New York, NY, US</t>
        </is>
      </c>
      <c r="H74" s="1" t="n">
        <v>45979</v>
      </c>
      <c r="I7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5">
      <c r="A75" t="inlineStr">
        <is>
          <t>in-c4d676b4e9ee5f48</t>
        </is>
      </c>
      <c r="B75" t="inlineStr">
        <is>
          <t>Applied Scientist, Personalization, DTx Science</t>
        </is>
      </c>
      <c r="C75" t="inlineStr">
        <is>
          <t>Amazon.com</t>
        </is>
      </c>
      <c r="D75" t="inlineStr">
        <is>
          <t>indeed</t>
        </is>
      </c>
      <c r="E75" t="inlineStr"/>
      <c r="F75" t="inlineStr"/>
      <c r="G75" t="inlineStr">
        <is>
          <t>Seattle, WA, US</t>
        </is>
      </c>
      <c r="H75" s="1" t="n">
        <v>45979</v>
      </c>
      <c r="I7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6">
      <c r="A76" t="inlineStr">
        <is>
          <t>in-6ec9b7f7d5418cd0</t>
        </is>
      </c>
      <c r="B76" t="inlineStr">
        <is>
          <t>Senior Applied Scientist, Sponsored Products and Brands</t>
        </is>
      </c>
      <c r="C76" t="inlineStr">
        <is>
          <t>Amazon.com</t>
        </is>
      </c>
      <c r="D76" t="inlineStr">
        <is>
          <t>indeed</t>
        </is>
      </c>
      <c r="E76" t="inlineStr"/>
      <c r="F76" t="inlineStr"/>
      <c r="G76" t="inlineStr">
        <is>
          <t>New York, NY, US</t>
        </is>
      </c>
      <c r="H76" s="1" t="n">
        <v>45979</v>
      </c>
      <c r="I7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7">
      <c r="A77" t="inlineStr">
        <is>
          <t>in-3866dae23d99805b</t>
        </is>
      </c>
      <c r="B77" t="inlineStr">
        <is>
          <t>Senior Applied Scientist, Sponsored Products and Brands</t>
        </is>
      </c>
      <c r="C77" t="inlineStr">
        <is>
          <t>Amazon.com</t>
        </is>
      </c>
      <c r="D77" t="inlineStr">
        <is>
          <t>indeed</t>
        </is>
      </c>
      <c r="E77" t="inlineStr"/>
      <c r="F77" t="inlineStr"/>
      <c r="G77" t="inlineStr">
        <is>
          <t>Seattle, WA, US</t>
        </is>
      </c>
      <c r="H77" s="1" t="n">
        <v>45979</v>
      </c>
      <c r="I7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8">
      <c r="A78" t="inlineStr">
        <is>
          <t>in-4adbb0f3a8f38c06</t>
        </is>
      </c>
      <c r="B78" t="inlineStr">
        <is>
          <t>Sr. Applied Scientist, Sponsored Products</t>
        </is>
      </c>
      <c r="C78" t="inlineStr">
        <is>
          <t>Amazon.com</t>
        </is>
      </c>
      <c r="D78" t="inlineStr">
        <is>
          <t>indeed</t>
        </is>
      </c>
      <c r="E78" t="inlineStr"/>
      <c r="F78" t="inlineStr"/>
      <c r="G78" t="inlineStr">
        <is>
          <t>New York, NY, US</t>
        </is>
      </c>
      <c r="H78" s="1" t="n">
        <v>45976</v>
      </c>
      <c r="I7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9">
      <c r="A79" t="inlineStr">
        <is>
          <t>in-8cb9fd0ccf2b540f</t>
        </is>
      </c>
      <c r="B79" t="inlineStr">
        <is>
          <t>Sr. Applied Scientist, Sponsored Products</t>
        </is>
      </c>
      <c r="C79" t="inlineStr">
        <is>
          <t>Amazon.com</t>
        </is>
      </c>
      <c r="D79" t="inlineStr">
        <is>
          <t>indeed</t>
        </is>
      </c>
      <c r="E79" t="inlineStr"/>
      <c r="F79" t="inlineStr"/>
      <c r="G79" t="inlineStr">
        <is>
          <t>Arlington, VA, US</t>
        </is>
      </c>
      <c r="H79" s="1" t="n">
        <v>45976</v>
      </c>
      <c r="I7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0">
      <c r="A80" t="inlineStr">
        <is>
          <t>in-cbe73a72c5547ab7</t>
        </is>
      </c>
      <c r="B80" t="inlineStr">
        <is>
          <t>Sr. Applied Scientist, Sponsored Products</t>
        </is>
      </c>
      <c r="C80" t="inlineStr">
        <is>
          <t>Amazon.com</t>
        </is>
      </c>
      <c r="D80" t="inlineStr">
        <is>
          <t>indeed</t>
        </is>
      </c>
      <c r="E80" t="inlineStr"/>
      <c r="F80" t="inlineStr"/>
      <c r="G80" t="inlineStr">
        <is>
          <t>Seattle, WA,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in-6e9e4686ff9bc4b3</t>
        </is>
      </c>
      <c r="B81" t="inlineStr">
        <is>
          <t>Applied Scientist, AWS Agentic AI</t>
        </is>
      </c>
      <c r="C81" t="inlineStr">
        <is>
          <t>Amazon Web Services</t>
        </is>
      </c>
      <c r="D81" t="inlineStr">
        <is>
          <t>indeed</t>
        </is>
      </c>
      <c r="E81" t="inlineStr"/>
      <c r="F81" t="inlineStr"/>
      <c r="G81" t="inlineStr">
        <is>
          <t>New York, NY, US</t>
        </is>
      </c>
      <c r="H81" s="1"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in-893a94449700bf9a</t>
        </is>
      </c>
      <c r="B82" t="inlineStr">
        <is>
          <t>Applied Scientist, AWS Agentic AI</t>
        </is>
      </c>
      <c r="C82" t="inlineStr">
        <is>
          <t>Amazon Web Services</t>
        </is>
      </c>
      <c r="D82" t="inlineStr">
        <is>
          <t>indeed</t>
        </is>
      </c>
      <c r="E82" t="inlineStr"/>
      <c r="F82" t="inlineStr"/>
      <c r="G82" t="inlineStr">
        <is>
          <t>Santa Clara, CA, US</t>
        </is>
      </c>
      <c r="H82" s="1" t="n">
        <v>45962</v>
      </c>
      <c r="I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in-2a48f748359491f3</t>
        </is>
      </c>
      <c r="B83" t="inlineStr">
        <is>
          <t>Applied Scientist, AWS Agentic AI</t>
        </is>
      </c>
      <c r="C83" t="inlineStr">
        <is>
          <t>Amazon Web Services</t>
        </is>
      </c>
      <c r="D83" t="inlineStr">
        <is>
          <t>indeed</t>
        </is>
      </c>
      <c r="E83" t="inlineStr"/>
      <c r="F83" t="inlineStr"/>
      <c r="G83" t="inlineStr">
        <is>
          <t>Seattle, WA, US</t>
        </is>
      </c>
      <c r="H83" s="1"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in-ce64c86e5b65cb15</t>
        </is>
      </c>
      <c r="B84" t="inlineStr">
        <is>
          <t>Applied Scientist, Prime Video - Content Understanding, Localization &amp; Enrichment Team</t>
        </is>
      </c>
      <c r="C84" t="inlineStr">
        <is>
          <t>Amazon.com</t>
        </is>
      </c>
      <c r="D84" t="inlineStr">
        <is>
          <t>indeed</t>
        </is>
      </c>
      <c r="E84" t="inlineStr"/>
      <c r="F84" t="inlineStr"/>
      <c r="G84" t="inlineStr">
        <is>
          <t>Seattle, WA, US</t>
        </is>
      </c>
      <c r="H84" s="1"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5">
      <c r="A85" t="inlineStr">
        <is>
          <t>in-7ff5193d4747f1bb</t>
        </is>
      </c>
      <c r="B85" t="inlineStr">
        <is>
          <t>Principal Applied Scientist, Advertiser Growth, Amazon Sponsored Products &amp; Brands</t>
        </is>
      </c>
      <c r="C85" t="inlineStr">
        <is>
          <t>Amazon.com</t>
        </is>
      </c>
      <c r="D85" t="inlineStr">
        <is>
          <t>indeed</t>
        </is>
      </c>
      <c r="E85" t="inlineStr"/>
      <c r="F85" t="inlineStr"/>
      <c r="G85" t="inlineStr">
        <is>
          <t>New York, NY, US</t>
        </is>
      </c>
      <c r="H85" s="1"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in-c04f56cd9dfa44cc</t>
        </is>
      </c>
      <c r="B86" t="inlineStr">
        <is>
          <t>Principal Applied Scientist, Advertiser Growth, Amazon Sponsored Products &amp; Brands</t>
        </is>
      </c>
      <c r="C86" t="inlineStr">
        <is>
          <t>Amazon.com</t>
        </is>
      </c>
      <c r="D86" t="inlineStr">
        <is>
          <t>indeed</t>
        </is>
      </c>
      <c r="E86" t="inlineStr"/>
      <c r="F86" t="inlineStr"/>
      <c r="G86" t="inlineStr">
        <is>
          <t>Palo Alto, CA, US</t>
        </is>
      </c>
      <c r="H86" s="1"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in-81bd26cd30582f96</t>
        </is>
      </c>
      <c r="B87" t="inlineStr">
        <is>
          <t>Principal Applied Scientist, Advertiser Growth, Amazon Sponsored Products &amp; Brands</t>
        </is>
      </c>
      <c r="C87" t="inlineStr">
        <is>
          <t>Amazon.com</t>
        </is>
      </c>
      <c r="D87" t="inlineStr">
        <is>
          <t>indeed</t>
        </is>
      </c>
      <c r="E87" t="inlineStr"/>
      <c r="F87" t="inlineStr"/>
      <c r="G87" t="inlineStr">
        <is>
          <t>Seattle, WA, US</t>
        </is>
      </c>
      <c r="H87" s="1"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in-ede8e1855fd0590a</t>
        </is>
      </c>
      <c r="B88" t="inlineStr">
        <is>
          <t>Applied Scientist, Workplace Health &amp; Safety</t>
        </is>
      </c>
      <c r="C88" t="inlineStr">
        <is>
          <t>Amazon.com</t>
        </is>
      </c>
      <c r="D88" t="inlineStr">
        <is>
          <t>indeed</t>
        </is>
      </c>
      <c r="E88" t="inlineStr"/>
      <c r="F88" t="inlineStr"/>
      <c r="G88" t="inlineStr">
        <is>
          <t>Nashville, TN, US</t>
        </is>
      </c>
      <c r="H88" s="1" t="n">
        <v>45917</v>
      </c>
      <c r="I8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in-4979c7001d88e609</t>
        </is>
      </c>
      <c r="B89" t="inlineStr">
        <is>
          <t>Applied Scientist, Workplace Health &amp; Safety</t>
        </is>
      </c>
      <c r="C89" t="inlineStr">
        <is>
          <t>Amazon.com</t>
        </is>
      </c>
      <c r="D89" t="inlineStr">
        <is>
          <t>indeed</t>
        </is>
      </c>
      <c r="E89" t="inlineStr"/>
      <c r="F89" t="inlineStr"/>
      <c r="G89" t="inlineStr">
        <is>
          <t>Bellevue, WA, US</t>
        </is>
      </c>
      <c r="H89" s="1" t="n">
        <v>45917</v>
      </c>
      <c r="I8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in-cc74be4118834058</t>
        </is>
      </c>
      <c r="B90" t="inlineStr">
        <is>
          <t>Senior Applied Scientist, AWS Marketplace &amp; Partner Services</t>
        </is>
      </c>
      <c r="C90" t="inlineStr">
        <is>
          <t>Amazon Web Services</t>
        </is>
      </c>
      <c r="D90" t="inlineStr">
        <is>
          <t>indeed</t>
        </is>
      </c>
      <c r="E90" t="inlineStr"/>
      <c r="F90" t="inlineStr"/>
      <c r="G90" t="inlineStr">
        <is>
          <t>Austin, TX, US</t>
        </is>
      </c>
      <c r="H90" s="1" t="n">
        <v>45902</v>
      </c>
      <c r="I90"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in-7a2790b407ec2799</t>
        </is>
      </c>
      <c r="B91" t="inlineStr">
        <is>
          <t>Senior Applied Scientist, AWS Marketplace &amp; Partner Services</t>
        </is>
      </c>
      <c r="C91" t="inlineStr">
        <is>
          <t>Amazon Web Services</t>
        </is>
      </c>
      <c r="D91" t="inlineStr">
        <is>
          <t>indeed</t>
        </is>
      </c>
      <c r="E91" t="inlineStr"/>
      <c r="F91" t="inlineStr"/>
      <c r="G91" t="inlineStr">
        <is>
          <t>Seattle, WA, US</t>
        </is>
      </c>
      <c r="H91" s="1" t="n">
        <v>45902</v>
      </c>
      <c r="I91"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in-11ab67d9b048486d</t>
        </is>
      </c>
      <c r="B92" t="inlineStr">
        <is>
          <t>Sr. Applied Scientist, Prime Video - Personalization and Discovery Science</t>
        </is>
      </c>
      <c r="C92" t="inlineStr">
        <is>
          <t>Amazon.com</t>
        </is>
      </c>
      <c r="D92" t="inlineStr">
        <is>
          <t>indeed</t>
        </is>
      </c>
      <c r="E92" t="inlineStr"/>
      <c r="F92" t="inlineStr"/>
      <c r="G92" t="inlineStr">
        <is>
          <t>New York, NY, US</t>
        </is>
      </c>
      <c r="H92" s="1" t="n">
        <v>45896</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3">
      <c r="A93" t="inlineStr">
        <is>
          <t>in-e7c5d15ccb1714ea</t>
        </is>
      </c>
      <c r="B93" t="inlineStr">
        <is>
          <t>Sr. Applied Scientist, Prime Video - Personalization and Discovery Science</t>
        </is>
      </c>
      <c r="C93" t="inlineStr">
        <is>
          <t>Amazon.com</t>
        </is>
      </c>
      <c r="D93" t="inlineStr">
        <is>
          <t>indeed</t>
        </is>
      </c>
      <c r="E93" t="inlineStr"/>
      <c r="F93" t="inlineStr"/>
      <c r="G93" t="inlineStr">
        <is>
          <t>Seattle, WA, US</t>
        </is>
      </c>
      <c r="H93" s="1" t="n">
        <v>45896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4">
      <c r="A94" t="inlineStr">
        <is>
          <t>in-24ed6920825feaae</t>
        </is>
      </c>
      <c r="B94" t="inlineStr">
        <is>
          <t>Sr. Applied Scientist, Prime Video - Personalization and Discovery Science</t>
        </is>
      </c>
      <c r="C94" t="inlineStr">
        <is>
          <t>Amazon.com</t>
        </is>
      </c>
      <c r="D94" t="inlineStr">
        <is>
          <t>indeed</t>
        </is>
      </c>
      <c r="E94" t="inlineStr"/>
      <c r="F94" t="inlineStr"/>
      <c r="G94" t="inlineStr">
        <is>
          <t>Sunnyvale, CA,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in-78794b055feccfe7</t>
        </is>
      </c>
      <c r="B95" t="inlineStr">
        <is>
          <t>Applied Scientist II, Prime Video , Personalization and Discovery Science</t>
        </is>
      </c>
      <c r="C95" t="inlineStr">
        <is>
          <t>Amazon.com</t>
        </is>
      </c>
      <c r="D95" t="inlineStr">
        <is>
          <t>indeed</t>
        </is>
      </c>
      <c r="E95" t="inlineStr"/>
      <c r="F95" t="inlineStr"/>
      <c r="G95" t="inlineStr">
        <is>
          <t>New York, NY, US</t>
        </is>
      </c>
      <c r="H95" s="1" t="n">
        <v>45886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6">
      <c r="A96" t="inlineStr">
        <is>
          <t>in-f12fcb0042edea3b</t>
        </is>
      </c>
      <c r="B96" t="inlineStr">
        <is>
          <t>Applied Scientist II, Prime Video , Personalization and Discovery Science</t>
        </is>
      </c>
      <c r="C96" t="inlineStr">
        <is>
          <t>Amazon.com</t>
        </is>
      </c>
      <c r="D96" t="inlineStr">
        <is>
          <t>indeed</t>
        </is>
      </c>
      <c r="E96" t="inlineStr"/>
      <c r="F96" t="inlineStr"/>
      <c r="G96" t="inlineStr">
        <is>
          <t>Seattle, WA, US</t>
        </is>
      </c>
      <c r="H96" s="1" t="n">
        <v>45886</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7">
      <c r="A97" t="inlineStr">
        <is>
          <t>in-93841cb8a8695ba7</t>
        </is>
      </c>
      <c r="B97" t="inlineStr">
        <is>
          <t>Applied Scientist II, Prime Video , Personalization and Discovery Science</t>
        </is>
      </c>
      <c r="C97" t="inlineStr">
        <is>
          <t>Amazon.com</t>
        </is>
      </c>
      <c r="D97" t="inlineStr">
        <is>
          <t>indeed</t>
        </is>
      </c>
      <c r="E97" t="inlineStr"/>
      <c r="F97" t="inlineStr"/>
      <c r="G97" t="inlineStr">
        <is>
          <t>Sunnyvale, CA, US</t>
        </is>
      </c>
      <c r="H97" s="1" t="n">
        <v>45886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8">
      <c r="A98" t="inlineStr">
        <is>
          <t>in-edf72208ba3c79a1</t>
        </is>
      </c>
      <c r="B98" t="inlineStr">
        <is>
          <t>Sr. Applied Scientist, Prime Video - Personalization and Discovery Science</t>
        </is>
      </c>
      <c r="C98" t="inlineStr">
        <is>
          <t>Amazon.com</t>
        </is>
      </c>
      <c r="D98" t="inlineStr">
        <is>
          <t>indeed</t>
        </is>
      </c>
      <c r="E98" t="inlineStr"/>
      <c r="F98" t="inlineStr"/>
      <c r="G98" t="inlineStr">
        <is>
          <t>Sunnyvale, CA, US</t>
        </is>
      </c>
      <c r="H98" s="1" t="n">
        <v>45886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in-0fdbae900508483b</t>
        </is>
      </c>
      <c r="B99" t="inlineStr">
        <is>
          <t>Sr. Applied Scientist, Prime Video - Personalization and Discovery Science</t>
        </is>
      </c>
      <c r="C99" t="inlineStr">
        <is>
          <t>Amazon.com</t>
        </is>
      </c>
      <c r="D99" t="inlineStr">
        <is>
          <t>indeed</t>
        </is>
      </c>
      <c r="E99" t="inlineStr"/>
      <c r="F99" t="inlineStr"/>
      <c r="G99" t="inlineStr">
        <is>
          <t>Seattle, WA, US</t>
        </is>
      </c>
      <c r="H99" s="1" t="n">
        <v>45886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in-a90feb1f89544269</t>
        </is>
      </c>
      <c r="B100" t="inlineStr">
        <is>
          <t>Sr. Applied Scientist, Prime Video - Personalization and Discovery Science</t>
        </is>
      </c>
      <c r="C100" t="inlineStr">
        <is>
          <t>Amazon.com</t>
        </is>
      </c>
      <c r="D100" t="inlineStr">
        <is>
          <t>indeed</t>
        </is>
      </c>
      <c r="E100" t="inlineStr"/>
      <c r="F100" t="inlineStr"/>
      <c r="G100" t="inlineStr">
        <is>
          <t>New York, NY, US</t>
        </is>
      </c>
      <c r="H100" s="1" t="n">
        <v>45886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in-c9e9d56b423ad181</t>
        </is>
      </c>
      <c r="B101" t="inlineStr">
        <is>
          <t>Applied Scientist III, StoreGen</t>
        </is>
      </c>
      <c r="C101" t="inlineStr">
        <is>
          <t>Amazon.com</t>
        </is>
      </c>
      <c r="D101" t="inlineStr">
        <is>
          <t>indeed</t>
        </is>
      </c>
      <c r="E101" t="inlineStr"/>
      <c r="F101" t="inlineStr"/>
      <c r="G101" t="inlineStr">
        <is>
          <t>Seattle, WA, US</t>
        </is>
      </c>
      <c r="H101" s="1" t="n">
        <v>45868</v>
      </c>
      <c r="I10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in-6750f6e7e512ffd6</t>
        </is>
      </c>
      <c r="B102" t="inlineStr">
        <is>
          <t>Applied Scientist III, StoreGen</t>
        </is>
      </c>
      <c r="C102" t="inlineStr">
        <is>
          <t>Amazon.com</t>
        </is>
      </c>
      <c r="D102" t="inlineStr">
        <is>
          <t>indeed</t>
        </is>
      </c>
      <c r="E102" t="inlineStr"/>
      <c r="F102" t="inlineStr"/>
      <c r="G102" t="inlineStr">
        <is>
          <t>Sunnyvale, CA, US</t>
        </is>
      </c>
      <c r="H102" s="1" t="n">
        <v>45868</v>
      </c>
      <c r="I10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in-ec6b017540434020</t>
        </is>
      </c>
      <c r="B103" t="inlineStr">
        <is>
          <t>Sr. Applied Scientist, Amazon Advertising</t>
        </is>
      </c>
      <c r="C103" t="inlineStr">
        <is>
          <t>Amazon.com</t>
        </is>
      </c>
      <c r="D103" t="inlineStr">
        <is>
          <t>indeed</t>
        </is>
      </c>
      <c r="E103" t="inlineStr"/>
      <c r="F103" t="inlineStr"/>
      <c r="G103" t="inlineStr">
        <is>
          <t>Simi Valley, CA,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in-f8b4c09562a733d5</t>
        </is>
      </c>
      <c r="B104" t="inlineStr">
        <is>
          <t>Sr. Applied Scientist, Amazon Advertising</t>
        </is>
      </c>
      <c r="C104" t="inlineStr">
        <is>
          <t>Amazon.com</t>
        </is>
      </c>
      <c r="D104" t="inlineStr">
        <is>
          <t>indeed</t>
        </is>
      </c>
      <c r="E104" t="inlineStr"/>
      <c r="F104" t="inlineStr"/>
      <c r="G104" t="inlineStr">
        <is>
          <t>West Hollywood, CA,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in-f329bf39784d8d9e</t>
        </is>
      </c>
      <c r="B105" t="inlineStr">
        <is>
          <t>Sr. Applied Scientist, Amazon Advertising</t>
        </is>
      </c>
      <c r="C105" t="inlineStr">
        <is>
          <t>Amazon.com</t>
        </is>
      </c>
      <c r="D105" t="inlineStr">
        <is>
          <t>indeed</t>
        </is>
      </c>
      <c r="E105" t="inlineStr"/>
      <c r="F105" t="inlineStr"/>
      <c r="G105" t="inlineStr">
        <is>
          <t>Arlington, VA,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in-2683bbfdbaec9628</t>
        </is>
      </c>
      <c r="B106" t="inlineStr">
        <is>
          <t>Sr. Applied Scientist, Amazon Advertising</t>
        </is>
      </c>
      <c r="C106" t="inlineStr">
        <is>
          <t>Amazon.com</t>
        </is>
      </c>
      <c r="D106" t="inlineStr">
        <is>
          <t>indeed</t>
        </is>
      </c>
      <c r="E106" t="inlineStr"/>
      <c r="F106" t="inlineStr"/>
      <c r="G106" t="inlineStr">
        <is>
          <t>Los Angeles, CA,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in-9dacd5001ff1d595</t>
        </is>
      </c>
      <c r="B107" t="inlineStr">
        <is>
          <t>Sr. Applied Scientist, Amazon Advertising</t>
        </is>
      </c>
      <c r="C107" t="inlineStr">
        <is>
          <t>Amazon.com</t>
        </is>
      </c>
      <c r="D107" t="inlineStr">
        <is>
          <t>indeed</t>
        </is>
      </c>
      <c r="E107" t="inlineStr"/>
      <c r="F107" t="inlineStr"/>
      <c r="G107" t="inlineStr">
        <is>
          <t>Seattle, WA,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in-a6445564510ffa35</t>
        </is>
      </c>
      <c r="B108" t="inlineStr">
        <is>
          <t>Sr. Applied Scientist, Amazon Advertising</t>
        </is>
      </c>
      <c r="C108" t="inlineStr">
        <is>
          <t>Amazon.com</t>
        </is>
      </c>
      <c r="D108" t="inlineStr">
        <is>
          <t>indeed</t>
        </is>
      </c>
      <c r="E108" t="inlineStr"/>
      <c r="F108" t="inlineStr"/>
      <c r="G108" t="inlineStr">
        <is>
          <t>New York, NY,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in-fdf9a767c75f59c5</t>
        </is>
      </c>
      <c r="B109" t="inlineStr">
        <is>
          <t>Sr. Applied Scientist, Amazon Advertising</t>
        </is>
      </c>
      <c r="C109" t="inlineStr">
        <is>
          <t>Amazon.com</t>
        </is>
      </c>
      <c r="D109" t="inlineStr">
        <is>
          <t>indeed</t>
        </is>
      </c>
      <c r="E109" t="inlineStr"/>
      <c r="F109" t="inlineStr"/>
      <c r="G109" t="inlineStr">
        <is>
          <t>Palo Alto, CA,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in-affdf3cf1e4b8eaf</t>
        </is>
      </c>
      <c r="B110" t="inlineStr">
        <is>
          <t>Sr. Applied Scientist, Amazon Advertising</t>
        </is>
      </c>
      <c r="C110" t="inlineStr">
        <is>
          <t>Amazon.com</t>
        </is>
      </c>
      <c r="D110" t="inlineStr">
        <is>
          <t>indeed</t>
        </is>
      </c>
      <c r="E110" t="inlineStr"/>
      <c r="F110" t="inlineStr"/>
      <c r="G110" t="inlineStr">
        <is>
          <t>Austin, TX,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in-87e70b747216bf64</t>
        </is>
      </c>
      <c r="B111" t="inlineStr">
        <is>
          <t>Applied Scientist, Prime Video - Personalization and Discovery Science</t>
        </is>
      </c>
      <c r="C111" t="inlineStr">
        <is>
          <t>Amazon.com</t>
        </is>
      </c>
      <c r="D111" t="inlineStr">
        <is>
          <t>indeed</t>
        </is>
      </c>
      <c r="E111" t="inlineStr"/>
      <c r="F111" t="inlineStr"/>
      <c r="G111" t="inlineStr">
        <is>
          <t>New York, NY, US</t>
        </is>
      </c>
      <c r="H111" s="1"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in-91dd60d413df7aee</t>
        </is>
      </c>
      <c r="B112" t="inlineStr">
        <is>
          <t>Applied Scientist, Prime Video - Personalization and Discovery Science</t>
        </is>
      </c>
      <c r="C112" t="inlineStr">
        <is>
          <t>Amazon.com</t>
        </is>
      </c>
      <c r="D112" t="inlineStr">
        <is>
          <t>indeed</t>
        </is>
      </c>
      <c r="E112" t="inlineStr"/>
      <c r="F112" t="inlineStr"/>
      <c r="G112" t="inlineStr">
        <is>
          <t>Sunnyvale, CA, US</t>
        </is>
      </c>
      <c r="H112" s="1" t="n">
        <v>45845</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3">
      <c r="A113" t="inlineStr">
        <is>
          <t>in-613d2283e0399027</t>
        </is>
      </c>
      <c r="B113" t="inlineStr">
        <is>
          <t>Applied Scientist, Prime Video - Personalization and Discovery Science</t>
        </is>
      </c>
      <c r="C113" t="inlineStr">
        <is>
          <t>Amazon.com</t>
        </is>
      </c>
      <c r="D113" t="inlineStr">
        <is>
          <t>indeed</t>
        </is>
      </c>
      <c r="E113" t="inlineStr"/>
      <c r="F113" t="inlineStr"/>
      <c r="G113" t="inlineStr">
        <is>
          <t>Seattle, WA, US</t>
        </is>
      </c>
      <c r="H113" s="1" t="n">
        <v>45845</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4">
      <c r="A114" t="inlineStr">
        <is>
          <t>in-9cfcfd8f6e11c030</t>
        </is>
      </c>
      <c r="B114" t="inlineStr">
        <is>
          <t>Sr. Applied Scientist, Sales AI</t>
        </is>
      </c>
      <c r="C114" t="inlineStr">
        <is>
          <t>Amazon.com</t>
        </is>
      </c>
      <c r="D114" t="inlineStr">
        <is>
          <t>indeed</t>
        </is>
      </c>
      <c r="E114" t="inlineStr"/>
      <c r="F114" t="inlineStr"/>
      <c r="G114" t="inlineStr">
        <is>
          <t>New York, NY, US</t>
        </is>
      </c>
      <c r="H114" s="1" t="n">
        <v>45830</v>
      </c>
      <c r="I1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in-04983499d8bc07ad</t>
        </is>
      </c>
      <c r="B115" t="inlineStr">
        <is>
          <t>Sr. Applied Scientist, Sales AI</t>
        </is>
      </c>
      <c r="C115" t="inlineStr">
        <is>
          <t>Amazon.com</t>
        </is>
      </c>
      <c r="D115" t="inlineStr">
        <is>
          <t>indeed</t>
        </is>
      </c>
      <c r="E115" t="inlineStr"/>
      <c r="F115" t="inlineStr"/>
      <c r="G115" t="inlineStr">
        <is>
          <t>Seattle, WA, US</t>
        </is>
      </c>
      <c r="H115" s="1" t="n">
        <v>45830</v>
      </c>
      <c r="I1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in-0f3c56f8c1c8731a</t>
        </is>
      </c>
      <c r="B116" t="inlineStr">
        <is>
          <t>Sr. Applied Scientist, Sales AI</t>
        </is>
      </c>
      <c r="C116" t="inlineStr">
        <is>
          <t>Amazon.com</t>
        </is>
      </c>
      <c r="D116" t="inlineStr">
        <is>
          <t>indeed</t>
        </is>
      </c>
      <c r="E116" t="inlineStr"/>
      <c r="F116" t="inlineStr"/>
      <c r="G116" t="inlineStr">
        <is>
          <t>Sunnyvale, CA, US</t>
        </is>
      </c>
      <c r="H116" s="1"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in-9e6b45ef4c937577</t>
        </is>
      </c>
      <c r="B117" t="inlineStr">
        <is>
          <t>Principal Applied Scientist, Delivery Foundation Model</t>
        </is>
      </c>
      <c r="C117" t="inlineStr">
        <is>
          <t>Amazon.com</t>
        </is>
      </c>
      <c r="D117" t="inlineStr">
        <is>
          <t>indeed</t>
        </is>
      </c>
      <c r="E117" t="inlineStr"/>
      <c r="F117" t="inlineStr"/>
      <c r="G117" t="inlineStr">
        <is>
          <t>Austin, TX, US</t>
        </is>
      </c>
      <c r="H117" s="1"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in-f063350c1b054313</t>
        </is>
      </c>
      <c r="B118" t="inlineStr">
        <is>
          <t>Principal Applied Scientist, Delivery Foundation Model</t>
        </is>
      </c>
      <c r="C118" t="inlineStr">
        <is>
          <t>Amazon.com</t>
        </is>
      </c>
      <c r="D118" t="inlineStr">
        <is>
          <t>indeed</t>
        </is>
      </c>
      <c r="E118" t="inlineStr"/>
      <c r="F118" t="inlineStr"/>
      <c r="G118" t="inlineStr">
        <is>
          <t>Santa Clara, CA, US</t>
        </is>
      </c>
      <c r="H118" s="1"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9">
      <c r="A119" t="inlineStr">
        <is>
          <t>in-4796a4457be3607b</t>
        </is>
      </c>
      <c r="B119" t="inlineStr">
        <is>
          <t>Principal Applied Scientist, Delivery Foundation Model</t>
        </is>
      </c>
      <c r="C119" t="inlineStr">
        <is>
          <t>Amazon.com</t>
        </is>
      </c>
      <c r="D119" t="inlineStr">
        <is>
          <t>indeed</t>
        </is>
      </c>
      <c r="E119" t="inlineStr"/>
      <c r="F119" t="inlineStr"/>
      <c r="G119" t="inlineStr">
        <is>
          <t>New York, NY, US</t>
        </is>
      </c>
      <c r="H119" s="1"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0">
      <c r="A120" t="inlineStr">
        <is>
          <t>in-e44f2e1ee7d3ae7b</t>
        </is>
      </c>
      <c r="B120" t="inlineStr">
        <is>
          <t>Principal Applied Scientist, Delivery Foundation Model</t>
        </is>
      </c>
      <c r="C120" t="inlineStr">
        <is>
          <t>Amazon.com</t>
        </is>
      </c>
      <c r="D120" t="inlineStr">
        <is>
          <t>indeed</t>
        </is>
      </c>
      <c r="E120" t="inlineStr"/>
      <c r="F120" t="inlineStr"/>
      <c r="G120" t="inlineStr">
        <is>
          <t>Bellevue, WA, US</t>
        </is>
      </c>
      <c r="H120" s="1"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1">
      <c r="A121" t="inlineStr">
        <is>
          <t>in-74862192d66a0672</t>
        </is>
      </c>
      <c r="B121" t="inlineStr">
        <is>
          <t>Senior Applied Scientist, Delivery Foundation Model</t>
        </is>
      </c>
      <c r="C121" t="inlineStr">
        <is>
          <t>Amazon.com</t>
        </is>
      </c>
      <c r="D121" t="inlineStr">
        <is>
          <t>indeed</t>
        </is>
      </c>
      <c r="E121" t="inlineStr"/>
      <c r="F121" t="inlineStr"/>
      <c r="G121" t="inlineStr">
        <is>
          <t>New York, NY, US</t>
        </is>
      </c>
      <c r="H121" s="1" t="n">
        <v>45806</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in-c1fcca86c6a0370f</t>
        </is>
      </c>
      <c r="B122" t="inlineStr">
        <is>
          <t>Senior Applied Scientist, Delivery Foundation Model</t>
        </is>
      </c>
      <c r="C122" t="inlineStr">
        <is>
          <t>Amazon.com</t>
        </is>
      </c>
      <c r="D122" t="inlineStr">
        <is>
          <t>indeed</t>
        </is>
      </c>
      <c r="E122" t="inlineStr"/>
      <c r="F122" t="inlineStr"/>
      <c r="G122" t="inlineStr">
        <is>
          <t>Bellevue, WA, US</t>
        </is>
      </c>
      <c r="H122" s="1" t="n">
        <v>45806</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in-62a7d8166b17fb48</t>
        </is>
      </c>
      <c r="B123" t="inlineStr">
        <is>
          <t>Senior Applied Scientist, Delivery Foundation Model</t>
        </is>
      </c>
      <c r="C123" t="inlineStr">
        <is>
          <t>Amazon.com</t>
        </is>
      </c>
      <c r="D123" t="inlineStr">
        <is>
          <t>indeed</t>
        </is>
      </c>
      <c r="E123" t="inlineStr"/>
      <c r="F123" t="inlineStr"/>
      <c r="G123" t="inlineStr">
        <is>
          <t>Santa Clara, CA, US</t>
        </is>
      </c>
      <c r="H123" s="1" t="n">
        <v>45806</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in-0a68fae0ea2ca4f4</t>
        </is>
      </c>
      <c r="B124" t="inlineStr">
        <is>
          <t>Sr. Applied Scientist - Privacy, Privacy Engineering</t>
        </is>
      </c>
      <c r="C124" t="inlineStr">
        <is>
          <t>Amazon.com</t>
        </is>
      </c>
      <c r="D124" t="inlineStr">
        <is>
          <t>indeed</t>
        </is>
      </c>
      <c r="E124" t="inlineStr"/>
      <c r="F124" t="inlineStr"/>
      <c r="G124" t="inlineStr">
        <is>
          <t>Santa Clara, CA,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in-d6fa3be7b3d5a275</t>
        </is>
      </c>
      <c r="B125" t="inlineStr">
        <is>
          <t>Sr. Applied Scientist - Privacy, Privacy Engineering</t>
        </is>
      </c>
      <c r="C125" t="inlineStr">
        <is>
          <t>Amazon.com</t>
        </is>
      </c>
      <c r="D125" t="inlineStr">
        <is>
          <t>indeed</t>
        </is>
      </c>
      <c r="E125" t="inlineStr"/>
      <c r="F125" t="inlineStr"/>
      <c r="G125" t="inlineStr">
        <is>
          <t>Seattle, WA, US</t>
        </is>
      </c>
      <c r="H125" s="1" t="n">
        <v>45787</v>
      </c>
      <c r="I1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in-575e2e7f05fc7dd7</t>
        </is>
      </c>
      <c r="B126" t="inlineStr">
        <is>
          <t>Sr. Applied Scientist - Privacy, Privacy Engineering</t>
        </is>
      </c>
      <c r="C126" t="inlineStr">
        <is>
          <t>Amazon.com</t>
        </is>
      </c>
      <c r="D126" t="inlineStr">
        <is>
          <t>indeed</t>
        </is>
      </c>
      <c r="E126" t="inlineStr"/>
      <c r="F126" t="inlineStr"/>
      <c r="G126" t="inlineStr">
        <is>
          <t>Sunnyvale, CA, US</t>
        </is>
      </c>
      <c r="H126" s="1" t="n">
        <v>45787</v>
      </c>
      <c r="I1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in-facfa876342c56f0</t>
        </is>
      </c>
      <c r="B127" t="inlineStr">
        <is>
          <t>Sr. Applied Scientist - Privacy, Privacy Engineering</t>
        </is>
      </c>
      <c r="C127" t="inlineStr">
        <is>
          <t>Amazon.com</t>
        </is>
      </c>
      <c r="D127" t="inlineStr">
        <is>
          <t>indeed</t>
        </is>
      </c>
      <c r="E127" t="inlineStr"/>
      <c r="F127" t="inlineStr"/>
      <c r="G127" t="inlineStr">
        <is>
          <t>San Francisco, CA, US</t>
        </is>
      </c>
      <c r="H127" s="1" t="n">
        <v>45787</v>
      </c>
      <c r="I1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in-23d9e553e1ab33f0</t>
        </is>
      </c>
      <c r="B128" t="inlineStr">
        <is>
          <t>Principal Applied Scientist, Delivery Foundation Model</t>
        </is>
      </c>
      <c r="C128" t="inlineStr">
        <is>
          <t>Amazon.com</t>
        </is>
      </c>
      <c r="D128" t="inlineStr">
        <is>
          <t>indeed</t>
        </is>
      </c>
      <c r="E128" t="inlineStr"/>
      <c r="F128" t="inlineStr"/>
      <c r="G128" t="inlineStr">
        <is>
          <t>Santa Clara, CA, US</t>
        </is>
      </c>
      <c r="H128" s="1" t="n">
        <v>45757</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9">
      <c r="A129" t="inlineStr">
        <is>
          <t>in-75c2f7acd0de726c</t>
        </is>
      </c>
      <c r="B129" t="inlineStr">
        <is>
          <t>Principal Applied Scientist, Delivery Foundation Model</t>
        </is>
      </c>
      <c r="C129" t="inlineStr">
        <is>
          <t>Amazon.com</t>
        </is>
      </c>
      <c r="D129" t="inlineStr">
        <is>
          <t>indeed</t>
        </is>
      </c>
      <c r="E129" t="inlineStr"/>
      <c r="F129" t="inlineStr"/>
      <c r="G129" t="inlineStr">
        <is>
          <t>New York, NY, US</t>
        </is>
      </c>
      <c r="H129" s="1" t="n">
        <v>45757</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0">
      <c r="A130" t="inlineStr">
        <is>
          <t>in-3d35446f7d76ee72</t>
        </is>
      </c>
      <c r="B130" t="inlineStr">
        <is>
          <t>Principal Applied Scientist, Delivery Foundation Model</t>
        </is>
      </c>
      <c r="C130" t="inlineStr">
        <is>
          <t>Amazon.com</t>
        </is>
      </c>
      <c r="D130" t="inlineStr">
        <is>
          <t>indeed</t>
        </is>
      </c>
      <c r="E130" t="inlineStr"/>
      <c r="F130" t="inlineStr"/>
      <c r="G130" t="inlineStr">
        <is>
          <t>Bellevue, WA, US</t>
        </is>
      </c>
      <c r="H130" s="1" t="n">
        <v>45757</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1">
      <c r="A131" t="inlineStr">
        <is>
          <t>in-e88d7644687e863d</t>
        </is>
      </c>
      <c r="B131" t="inlineStr">
        <is>
          <t>Machine Learning Engineer - LLM</t>
        </is>
      </c>
      <c r="C131" t="inlineStr">
        <is>
          <t>Apple</t>
        </is>
      </c>
      <c r="D131" t="inlineStr">
        <is>
          <t>indeed</t>
        </is>
      </c>
      <c r="E131" t="inlineStr"/>
      <c r="F131" t="inlineStr"/>
      <c r="G131" t="inlineStr">
        <is>
          <t>Cupertino, CA, US</t>
        </is>
      </c>
      <c r="H131" s="1" t="n">
        <v>46074</v>
      </c>
      <c r="I131"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We are seeking a highly capable and dynamic Machine Learning Engineer to work cross\-functional in building out a GenAI system in support of Beats and Apple Audio products. The ideal candidate thrives in ambiguity, is exceptionally organized, relentlessly detail\-oriented, and an exceptional communicator at all levels of the organization.  
**Preferred Qualifications**  
Proven experience in GenAI application building with agents and agentic workflows. Experience with LLM and LMM development and fine\-tuning.  
Experience applying ML techniques in manufacturing, testing, or hardware optimization.  
Proficiency in using cutting\-edge GenAI tools, i.e. Claude Code, Roo Code, etc.  
Familiarity with distributed computing, cloud infrastructure, and orchestration tools, such as Kubernetes, Apache Airflow (DAG), Docker, Conductor, Ray for LLM training and inference at scale.  
Hands\-on experience with LangChain and LlamaIndex, enabling RAG applications and LLM orchestration.  
Ability to meaningfully present results of analyses in a clear and impactful manner, breaking down complex ML/LLM concepts for non\-technical audiences.  
Proven experience in leading and mentoring teams.  
**Minimum Qualifications**  
3\+ years experience in machine learning algorithms, software engineering, and data mining models with an emphasis on large language models (LLM) or large multimodal models (LMM).  
Masters in Machine Learning, Artificial intelligence, Computer Science, Statistics, Operations Research, Physics, Mechanical Engineering, Electrical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2">
      <c r="A132" t="inlineStr">
        <is>
          <t>in-95e091c5b2ce2077</t>
        </is>
      </c>
      <c r="B132" t="inlineStr">
        <is>
          <t>Senior / Staff ML Engineer, Apple Cloud AI Platform</t>
        </is>
      </c>
      <c r="C132" t="inlineStr">
        <is>
          <t>Apple</t>
        </is>
      </c>
      <c r="D132" t="inlineStr">
        <is>
          <t>indeed</t>
        </is>
      </c>
      <c r="E132" t="inlineStr"/>
      <c r="F132" t="inlineStr"/>
      <c r="G132" t="inlineStr">
        <is>
          <t>Cupertino, CA, US</t>
        </is>
      </c>
      <c r="H132" s="1" t="n">
        <v>46074</v>
      </c>
      <c r="I132" t="inlineStr">
        <is>
          <t>Apple Cloud AI Platform powers the machine learning, AI, and data systems that enable intelligent experiences across Apple consumer products. We are looking for a Software Engineer who is excited to work directly with Apple product teams and translate real\-world AI needs into production\-ready solutions. You will operate at the intersection of full\-stack engineering, data and ML platforms, backend systems and applied AI, using customer requirements to build end\-to\-end solutions and workflows as part of our platform offerings. This role is ideal for engineers who are highly collaborative, proactive, adaptable, and capable of turning ambiguous customer requests into working AI\-powered solutions at scale.  
**Description**  
In this role you will partner directly with internal customers to understand their use cases, evaluate technical requirements, and build AI\-driven systems and solutions that leverage Apple Cloud AI Platform capabilities. You will work across the stack, from data ingestion to model execution to UI integration, without strict constraints on programming languages or frameworks. You will prototype quickly, harden solutions for production, build services and feed insights back to platform teams to influence roadmap and improve the developer experience.  
You will also act as a bridge between product management, partner platform, and customer teams by helping define best practices, documenting patterns, and working closely with platform engineering groups to drive alignment and deliver systems. Success in this role requires a combination of strong engineering fundamentals, applied ML awareness, platform thinking, customer empathy, and the ability to deliver in fast\-evolving environments.","responsibilities":"Partner with customer teams to understand ML product requirements, identify integration challenges, and drive cross\-lifecycle technical decisions (data, training, evaluation, deployment, monitoring).  
Design and build end\-to\-end ML workflows and services spanning data ingestion, feature computation, training, evaluation, inference, and user\-facing surfaces.  
Develop backend services and interfaces (APIs, CLIs, SDKs, or UIs) supporting scalable ML workloads.  
Integrate with platform systems including orchestration, storage, training/evaluation services, authentication, and monitoring.  
**Preferred Qualifications**  
Build prototypes, demos, and reference implementations to accelerate platform adoption.  
Influence platform roadmap based on customer lifecycle needs (developer experience, scale, reliability, governance, ML metadata).  
Experience enabling advanced ML workflows such as distributed training, tuning, feedback loops, observability, and evaluation pipelines.  
Experience across multiple languages and execution environments and ability to select appropriate tools.  
Experience with ML frameworks such as PyTorch or TensorFlow.  
Experience with modern frontend frameworks such as React.  
Experience building developer platforms (SDKs, developer tools, agents, internal platforms).  
Ability to represent customer needs to platform engineering and drive cross\-team technical direction.  
**Minimum Qualifications**  
7\+ years of industry experience building production systems, full\-stack applications, data workflows, ML powered products, or platform tooling.  
Experience leading cross\-team engineering efforts or customer\-facing technical engagements. Experience with modern AI and data stack (Python and at least some of: Spark, Ray, gRPC, GraphQL, REST, Kafka or similar).  
Experience with cloud environments, distributed systems, containers, and CI/CD pipelines.  
Familiarity with ML lifecycle concepts: experiment tracking, model packaging, deployment strategies, evaluation, and data governance.  
Strong communication skills with customer empathy and ability to drive alignment.  
Comfortable working in ambiguous environments with high ownership expectations.  
BS, MS, or PhD in Computer Science, Software Engineering, Machine Learning, or equivalent degree with applicable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3">
      <c r="A133" t="inlineStr">
        <is>
          <t>in-2db726006e6e44d7</t>
        </is>
      </c>
      <c r="B133" t="inlineStr">
        <is>
          <t>Senior Machine Learning Engineer, Applied Sensing &amp; Health</t>
        </is>
      </c>
      <c r="C133" t="inlineStr">
        <is>
          <t>Apple</t>
        </is>
      </c>
      <c r="D133" t="inlineStr">
        <is>
          <t>indeed</t>
        </is>
      </c>
      <c r="E133" t="inlineStr"/>
      <c r="F133" t="inlineStr"/>
      <c r="G133" t="inlineStr">
        <is>
          <t>Cupertino, CA, US</t>
        </is>
      </c>
      <c r="H133" s="1" t="n">
        <v>46074</v>
      </c>
      <c r="I133" t="inlineStr">
        <is>
          <t>Are you a seasoned engineer passionate about transforming cutting\-edge ML researchinto production systems that improve lives? The Applied Sensing \&amp; Health team is revolutionizing health and fitness technology, empowering millions to live healthier, more active lives. We develop sophisticated machine learning algorithms and sensor fusion systems that track human motion, turning raw data into meaningful, actionable insights for Apple users worldwide.  
Join a team of world\-class experts dedicated to applied ML in human movement and health. Here, you'll bridge the gap between research and production\-translating novel ML approaches into robust, high\-performance systems that delight and inspire millions of Apple customers every day. This is a unique opportunity to blend ML expertise withsystems engineering in service of a mission that truly matters.  
**Description**  
The Applied Sensing \&amp; Health team delivers critical Health and Fitness features for Apple Watch, iPhone, and other Apple products. We are seeking a versatile applied ML engineer who thrives at the intersection of research and production systems. In this pivotal role, you will:  
* Translate cutting\-edge ML research into optimized, production\-ready algorithms for sensor data processing
* Design and conduct data\-driven research to improve fitness and health algorithms, analyzing large\-scale sensor datasets to derive actionable insights
* Implement ML models and pipelines end\-to\-end\-from prototyping in Python to production deployment in C\+\+
* Collaborate with research scientists to evaluate new approaches and drive them toward production
* Build tools and infrastructure for data analysis, model evaluation, and algorithm validation
Your work will span the entire ML workflow: researching novel approaches, prototyping solutions, analyzing data at scale, and implementing robust production systems. You'll work closely with ML researchers, health scientists, and multi\-disciplinary teams across Apple, delivering best\-in\-class systems that impact millions of users daily.  
**Preferred Qualifications**  
A demonstrated passion for health and fitness, driven to empower users throughtechnology  
Experience with sensor data analysis, signal processing, or time\-series modeling  
Knowledge of biomechanics, exercise physiology, or human movement analysis  
C\+\+ programming skills with ability to optimize ML algorithms for production systems,including performance tuning and memory management  
Understanding of systems\-level programming concepts including multi\-threading,concurrency, and real\-time constraints  
Publications or demonstrated research contributions in ML, computer vision, or related areas  
Track record of shipping ML\-powered products or features at scal  
**Minimum Qualifications**  
MS or Ph.D. in Computer Science, Machine Learning, Electrical Engineering, or related field  
3\+ years of experience applying ML to real\-world problems.  
Strong foundation in machine learning with hands\-on experience across the full ML workflow: research, experimentation, model development, evaluation, and production deployment  
Proficiency in Python for ML development, data analysis, and statistical modeling;experience with ML frameworks (PyTorch, TensorFlow, scikit\-learn, etc.)  
Experience translating research papers or prototypes into production\-quality code  
Strong data analysis skills: comfortable working with large datasets, conductingexperiments, visualizing results, and drawing meaningful conclusions  
Demonstrated ability to work independently on research problems while alsocollaborating effectively with cross\-functional teams  
Familiarity with modern GenAI\-enabled development workflows and tools (e.g., AI\-assisted coding, automated code generation, intelligent debugging), coupled with astrong aptitude for learning and adapting to evolving technologies.  
Intellectual curiosity and willingness to dive deep into both algorithmic details andimplementation challenges  
Exceptional communication skills; able to explain complex technical concepts todiverse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4">
      <c r="A134" t="inlineStr">
        <is>
          <t>in-11a2176a1618db18</t>
        </is>
      </c>
      <c r="B134" t="inlineStr">
        <is>
          <t>Machine Learning Engineer</t>
        </is>
      </c>
      <c r="C134" t="inlineStr">
        <is>
          <t>Apple</t>
        </is>
      </c>
      <c r="D134" t="inlineStr">
        <is>
          <t>indeed</t>
        </is>
      </c>
      <c r="E134" t="inlineStr"/>
      <c r="F134" t="inlineStr"/>
      <c r="G134" t="inlineStr">
        <is>
          <t>Austin, TX, US</t>
        </is>
      </c>
      <c r="H134" s="1" t="n">
        <v>46074</v>
      </c>
      <c r="I134"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optimizing Apple\-wide systems \&amp; infrastructure. As a member of the fast\-paced team, you will have the outstanding and great opportunity to be part of new projects and craft upcoming products that will delight and encourage millions of Appleʼs customers every day.  
**Description**  
To be successful, candidates will need a machine learning background, proven software development skills, a love of learning. They will also need to be able to collaborate with cross\-functional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Contribute to the ongoing improvement of our ML infrastructure and tooling.  
Engage in continuous learning and development, staying up\-to\-date with the latest advances in machine learning and software engineering  
**Preferred Qualifications**  
PhD or Graduate degree with research/work experience utilizing data science techniques (including but not limited to Computer Science, Statistics, Political Science, Biology, etc) or Bachelorʼs degree with equivalent experience.  
Experience in Search, Recommender Systems, Personalization,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4\+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strategic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5">
      <c r="A135" t="inlineStr">
        <is>
          <t>in-a6c468b8f54d6673</t>
        </is>
      </c>
      <c r="B135" t="inlineStr">
        <is>
          <t>Machine Learning Engineer</t>
        </is>
      </c>
      <c r="C135" t="inlineStr">
        <is>
          <t>Apple</t>
        </is>
      </c>
      <c r="D135" t="inlineStr">
        <is>
          <t>indeed</t>
        </is>
      </c>
      <c r="E135" t="inlineStr"/>
      <c r="F135" t="inlineStr"/>
      <c r="G135" t="inlineStr">
        <is>
          <t>Austin, TX, US</t>
        </is>
      </c>
      <c r="H135" s="1" t="n">
        <v>46074</v>
      </c>
      <c r="I135"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optimizing Apple\-wide systems \&amp; infrastructure. As a member of the fast\-paced team, you will have the outstanding and great opportunity to be part of new projects and craft upcoming products that will delight and encourage millions of Appleʼs customers every day.  
**Description**  
To be successful, candidates will need a machine learning background, proven software development skills, a love of learning. They will also need to be able to collaborate with cross\-functional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Contribute to the ongoing improvement of our ML infrastructure and tooling.  
Engage in continuous learning and development, staying up\-to\-date with the latest advances in machine learning and software engineering  
**Preferred Qualifications**  
PhD or Graduate degree with research/work experience utilizing data science techniques (including but not limited to Computer Science, Statistics, Political Science, Biology, etc) or Bachelorʼs degree with equivalent experience.  
Experience in Search, Recommender Systems, Personalization,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4\+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strategic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6">
      <c r="A136" t="inlineStr">
        <is>
          <t>in-de9b7a687aa07272</t>
        </is>
      </c>
      <c r="B136" t="inlineStr">
        <is>
          <t>Machine Learning Engineer</t>
        </is>
      </c>
      <c r="C136" t="inlineStr">
        <is>
          <t>Apple</t>
        </is>
      </c>
      <c r="D136" t="inlineStr">
        <is>
          <t>indeed</t>
        </is>
      </c>
      <c r="E136" t="inlineStr"/>
      <c r="F136" t="inlineStr"/>
      <c r="G136" t="inlineStr">
        <is>
          <t>Austin, TX, US</t>
        </is>
      </c>
      <c r="H136" s="1" t="n">
        <v>46074</v>
      </c>
      <c r="I136"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optimizing Apple\-wide systems \&amp; infrastructure. As a member of the fast\-paced team, you will have the outstanding and great opportunity to be part of new projects and craft upcoming products that will delight and encourage millions of Appleʼs customers every day.  
**Description**  
To be successful, candidates will need a machine learning background, proven software development skills, a love of learning. They will also need to be able to collaborate with cross\-functional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Contribute to the ongoing improvement of our ML infrastructure and tooling.  
Engage in continuous learning and development, staying up\-to\-date with the latest advances in machine learning and software engineering  
**Preferred Qualifications**  
PhD or Graduate degree with research/work experience utilizing data science techniques (including but not limited to Computer Science, Statistics, Political Science, Biology, etc) or Bachelorʼs degree with equivalent experience.  
Experience in Search, Recommender Systems, Personalization,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4\+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strategic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7">
      <c r="A137" t="inlineStr">
        <is>
          <t>in-966c3d41d869bb75</t>
        </is>
      </c>
      <c r="B137" t="inlineStr">
        <is>
          <t>Staff Machine Learning Engineer - Ads Platform</t>
        </is>
      </c>
      <c r="C137" t="inlineStr">
        <is>
          <t>Apple</t>
        </is>
      </c>
      <c r="D137" t="inlineStr">
        <is>
          <t>indeed</t>
        </is>
      </c>
      <c r="E137" t="inlineStr"/>
      <c r="F137" t="inlineStr"/>
      <c r="G137" t="inlineStr">
        <is>
          <t>Austin, TX, US</t>
        </is>
      </c>
      <c r="H137" s="1" t="n">
        <v>46074</v>
      </c>
      <c r="I137" t="inlineStr">
        <is>
          <t>At Apple, we focus deeply on the customer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 . Everything we do is designed for trust, connection, and impact: We respect user privacy, integrate advertising thoughtfully into the experience, and deliver value for advertisers of all sizes\-from small app developers to news publishers to big, global brands. Because when advertising is done right, it benefits everyone.  
**Description**  
Apple Ads is Hiring a hands\-on Machine Learning Engineer. In this role you will build design and build Machine learning systems and data pipelines to safeguard the advertiser trust of our platform and enhance invalid traffic protections. You will define and execute an innovation roadmap; build and deploy models with robust CI/CD, feature stores, and streaming infrastructure (e.g., Kafka/Spark/Flink); and run A/B experimentation. You will lead performance tuning, calibration, and drift detection to deliver measurable improvements in product quality, user experience, latency, and cost. ","responsibilities":"Develop and manage end\-to\-end lifecycle of machine learning models, including observability for large\-scale, high\-throughput, and low\-latency production systems.  
Design, develop, and optimize distributed algorithms and data processing frameworks(e.g., Spark).  
Implement scalable feature pipelines to ingest, clean, transform, and analyze massive datasets.  
Reinforce Ads integrity and advertiser trust by safeguarding infrastructure.  
Solve complex problems with multilayered data sets, and optimize existing machine learning libraries and frameworks  
Stay up to date with developments in the machine learning industry  
Collaborate with product and engineering teams on production systems and applications.  
Drive performance optimization, bottleneck analysis, and system tuning across compute and storage layers.  
Build tools to support A/B testing, statistical evaluation, and experimentation pipelines.  
Ensure data integrity, security, and compliance across all solutions.  
Participate in cross\-functional Agile teams to prototype and deliver impactful, data\-driven products.  
**Preferred Qualifications**  
10\+ years of experience building machine learning capabilities across many different product areas at scale.  
Background in Advertising systems.  
Contributions to open\-source algorithm frameworks or data processing tools.  
**Minimum Qualifications**  
8\+ years of experience building machine learning capabilities across many different product areas at scale  
Strong proficiency in Java, Python, or Scala for algorithm and system development.  
Experience with distributed systems and big data frameworks such as Spark, Kafka, Hadoop, or Flink.  
Solid understanding of data structures, algorithms, and system design principles.  
Familiarity with CI/CD workflows, cloud environments, and containerized deployments.  
Knowledge of data validation, cleansing, and quality assurance practices.  
Understanding of statistical methods, A/B testing, and online experimentation frameworks.  
Prior experience working with Anomaly detection is a plus.  
BS or MS in Computer Science, Software Engineering or related technical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8">
      <c r="A138" t="inlineStr">
        <is>
          <t>in-ec8f7d5e462bd122</t>
        </is>
      </c>
      <c r="B138" t="inlineStr">
        <is>
          <t>ML Engineer, GO-AI Technology &amp; Development Team</t>
        </is>
      </c>
      <c r="C138" t="inlineStr">
        <is>
          <t>Amazon.com</t>
        </is>
      </c>
      <c r="D138" t="inlineStr">
        <is>
          <t>indeed</t>
        </is>
      </c>
      <c r="E138" t="inlineStr"/>
      <c r="F138" t="inlineStr"/>
      <c r="G138" t="inlineStr">
        <is>
          <t>Seattle, WA, US</t>
        </is>
      </c>
      <c r="H138" s="1" t="n">
        <v>45998</v>
      </c>
      <c r="I13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9">
      <c r="A139" t="inlineStr">
        <is>
          <t>in-984581afcc97a494</t>
        </is>
      </c>
      <c r="B139" t="inlineStr">
        <is>
          <t>ML Engineer, GO-AI Technology &amp; Development Team</t>
        </is>
      </c>
      <c r="C139" t="inlineStr">
        <is>
          <t>Amazon.com</t>
        </is>
      </c>
      <c r="D139" t="inlineStr">
        <is>
          <t>indeed</t>
        </is>
      </c>
      <c r="E139" t="inlineStr"/>
      <c r="F139" t="inlineStr"/>
      <c r="G139" t="inlineStr">
        <is>
          <t>Boston, MA, US</t>
        </is>
      </c>
      <c r="H139" s="1" t="n">
        <v>45998</v>
      </c>
      <c r="I13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0">
      <c r="A140" t="inlineStr">
        <is>
          <t>in-a3f7cd332ca32970</t>
        </is>
      </c>
      <c r="B140" t="inlineStr">
        <is>
          <t>ML Engineer, GO-AI Technology &amp; Development Team</t>
        </is>
      </c>
      <c r="C140" t="inlineStr">
        <is>
          <t>Amazon.com</t>
        </is>
      </c>
      <c r="D140" t="inlineStr">
        <is>
          <t>indeed</t>
        </is>
      </c>
      <c r="E140" t="inlineStr"/>
      <c r="F140" t="inlineStr"/>
      <c r="G140" t="inlineStr">
        <is>
          <t>Westborough, MA, US</t>
        </is>
      </c>
      <c r="H140" s="1" t="n">
        <v>45998</v>
      </c>
      <c r="I14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1">
      <c r="A141" t="inlineStr">
        <is>
          <t>in-6c27991d4aaa0275</t>
        </is>
      </c>
      <c r="B141" t="inlineStr">
        <is>
          <t>ML Engineer, GO-AI Technology &amp; Development Team</t>
        </is>
      </c>
      <c r="C141" t="inlineStr">
        <is>
          <t>Amazon.com</t>
        </is>
      </c>
      <c r="D141" t="inlineStr">
        <is>
          <t>indeed</t>
        </is>
      </c>
      <c r="E141" t="inlineStr"/>
      <c r="F141" t="inlineStr"/>
      <c r="G141" t="inlineStr">
        <is>
          <t>Reading, MA, US</t>
        </is>
      </c>
      <c r="H141" s="1" t="n">
        <v>45998</v>
      </c>
      <c r="I14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2">
      <c r="A142" t="inlineStr">
        <is>
          <t>in-9aa5392b1ae4eac1</t>
        </is>
      </c>
      <c r="B142" t="inlineStr">
        <is>
          <t>Senior AI Engineer</t>
        </is>
      </c>
      <c r="C142" t="inlineStr">
        <is>
          <t>Texplorers Inc.</t>
        </is>
      </c>
      <c r="D142" t="inlineStr">
        <is>
          <t>indeed</t>
        </is>
      </c>
      <c r="E142">
        <f>HYPERLINK("https://www.indeed.com/viewjob?jk=9aa5392b1ae4eac1", "https://www.indeed.com/viewjob?jk=9aa5392b1ae4eac1")</f>
        <v/>
      </c>
      <c r="F142">
        <f>HYPERLINK("https://www.texplorers.com/jobs/senior-ai-engineer/", "https://www.texplorers.com/jobs/senior-ai-engineer/")</f>
        <v/>
      </c>
      <c r="G142" t="inlineStr">
        <is>
          <t>Lewisville, TX, US</t>
        </is>
      </c>
      <c r="H142" s="2" t="n">
        <v>46074</v>
      </c>
      <c r="I142" t="inlineStr">
        <is>
          <t>### **Job Description**
The Senior AI Engineer, based in Lewisville, TX, will design and architect scalable AI and machine learning solutions that align with enterprise goals while leading the development, training, fine‑tuning, and optimization of advanced ML models and large language models for real‑world applications.
Location: Lewisville, TX
Position Type: Full\-Time
Hours: 9:00 am to 5:00 pm Weekdays (Monday – Friday)
### **Key Responsibilities**
* Design and architect scalable artificial intelligence and machine learning solutions aligned with enterprise business objectives and technical requirements.
* Develop, train, fine\-tune, evaluate, and optimize machine learning models and large language models (LLMs) for real\-world applications.
* Implement advanced generative AI solutions including conversational AI, document processing, summarization, and intelligent automation systems.
* Design and build Retrieval\-Augmented Generation (RAG) pipelines to enhance knowledge\-based AI systems using structured and unstructured enterprise data.
* Create AI agents and workflow automation solutions to streamline operational processes and improve efficiency.
* Develop end\-to\-end AI pipelines covering data ingestion, data preprocessing, feature engineering, model training, evaluation, deployment, and continuous improvement.
* Integrate AI models into enterprise applications using REST APIs, microservices architecture, and event\-driven systems.
* Deploy and maintain AI solutions on cloud platforms such as Microsoft Azure, AWS, or GCP using scalable and resilient architectures.
* Work with vector databases, embeddings, and semantic search technologies to support intelligent retrieval and context\-aware AI systems.
* Implement MLOps best practices including version control, automated testing, continuous integration and deployment, monitoring, and model lifecycle management.
* Optimize model performance, scalability, and resource utilization to ensure efficient production deployments.
* Collaborate with data engineers, software developers, product managers, and business stakeholders to translate requirements into technical AI solutions.
* Perform research and evaluation of emerging AI technologies and frameworks to improve system capabilities and innovation.
* Develop reusable AI components, frameworks, and best practices to support enterprise\-wide AI adoption.
* Ensure compliance with data governance, security standards, privacy regulations, and ethical AI principles.
* Provide technical leadership, mentorship, and guidance to engineering teams, including code reviews and architecture reviews.
* Troubleshoot complex AI system issues and implement solutions to improve performance and reliability.
* Document AI architectures, workflows, and technical designs to support knowledge sharing and maintainability.
* Participate in strategic planning and contribute to defining AI roadmaps aligned with organizational goals.
### **Technical Experience**
**Minimum Degree Requirement:** Bachelor’s degree in Computer Science, Information Technology, Software Engineering, or a closely related field.
**Minimum work Experience:**
3 years total professional experience in artificial intelligence, machine learning, or software engineering.
**Minimum years of experience must include the following:**
* 3 years of experience in programming skills in languages such as Python, C\#, Java, or similar.
* Hands\-on experience with machine learning and deep learning frameworks (e.g., TensorFlow, PyTorch, Hugging Face, or equivalent).
* Experience developing and deploying AI solutions including natural language processing (NLP), predictive analytics, or generative AI applications.
* Knowledge of Large Language Models (LLMs), prompt engineering, or AI automation workflows.
* Experience integrating AI models into production systems using APIs or microservices architecture.
* Familiarity with cloud platforms such as Microsoft Azure, AWS, or Google Cloud Platform.
* Understanding of data preprocessing, feature engineering, and working with structured and unstructured datasets.
* Knowledge of software development lifecycle practices, version control, and CI/CD concepts.
* Strong analytical, problem\-solving, and technical documentation skills.
* Ability to collaborate effectively with cross\-functional teams in an enterprise environment.</t>
        </is>
      </c>
    </row>
    <row r="143">
      <c r="A143" t="inlineStr">
        <is>
          <t>in-666ead8ff46ae18a</t>
        </is>
      </c>
      <c r="B143" t="inlineStr">
        <is>
          <t>Gen AI Engineer</t>
        </is>
      </c>
      <c r="C143" t="inlineStr">
        <is>
          <t>Cloudinfrait</t>
        </is>
      </c>
      <c r="D143" t="inlineStr">
        <is>
          <t>indeed</t>
        </is>
      </c>
      <c r="E143">
        <f>HYPERLINK("https://www.indeed.com/viewjob?jk=666ead8ff46ae18a", "https://www.indeed.com/viewjob?jk=666ead8ff46ae18a")</f>
        <v/>
      </c>
      <c r="F143">
        <f>HYPERLINK("https://www2.jobdiva.com/candidates/myjobs/openjob_outside.jsp?a=hwjdnw5uokx3jas4336qy2dnhk59je0b99jv2ca7nh17wutffybwfdoqe5eajsb4&amp;SearchString=&amp;StatesString=&amp;source=indeed.com&amp;id=27487731&amp;compid=-1", "https://www2.jobdiva.com/candidates/myjobs/openjob_outside.jsp?a=hwjdnw5uokx3jas4336qy2dnhk59je0b99jv2ca7nh17wutffybwfdoqe5eajsb4&amp;SearchString=&amp;StatesString=&amp;source=indeed.com&amp;id=27487731&amp;compid=-1")</f>
        <v/>
      </c>
      <c r="G143" t="inlineStr">
        <is>
          <t>Hartford, CT, US</t>
        </is>
      </c>
      <c r="H143" s="2" t="n">
        <v>46072</v>
      </c>
      <c r="I143" t="inlineStr">
        <is>
          <t>ob Description
* **AI/ML Knowledge** : Strong foundation in AI, deep learning, and machine learning principles.
* **Programming Skills** : Expertise in Python and tools like Hugging Face, Langchain, and OpenAI API.
* **Large Language** **Model Expertise** : Hands\-on experience building, fine\-tuning, evaluating, and deploying LLMs (open\-source and commercial).Agentic AI \&amp; Workflow
* **Orchestration:** Experience building agent\-based systems using tools like LangGraph, CrewAI, OpenAI agents, or similar frameworks..
* **Multi\-Modal Data and AI Tools** : Experience with multi\-modal data and intelligent agent\-based tools.
Self\-motivated individual with a passion for solving hard problems using AI/GenAI. Must have collaborative and an innovative mindset.  
**Required Skills:**
AI, Deep Learning Frameworks, Python
Job Responsibilities
**Job Duties:**
Build and develop models to improve and enhance the current environment for better understanding and recommendations.  
**Job Requirements:**
* Skill sets: Ability to develop prototypes, PoCs, MVPs using one or more of the following,
* AI/ML Knowledge: Strong foundation in AI, deep learning, and machine learning principles.
* Programming Skills: Expertise in Python and tools like Hugging Face, Langchain, and OpenAI API.
* Deep Learning Frameworks: Experience with TensorFlow, Keras, and PyTorch.
* Cloud Platforms: Familiar with Google Model Garden, Amazon Bedrock, and Nvidia Nim.
* Multi\-Modal Data and AI Tools: Experience with multi\-modal data and intelligent agent\-based tools.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li-4328287717</t>
        </is>
      </c>
      <c r="B2" t="inlineStr">
        <is>
          <t>Applied Scientist II</t>
        </is>
      </c>
      <c r="C2" t="inlineStr">
        <is>
          <t>Microsoft</t>
        </is>
      </c>
      <c r="D2" t="inlineStr">
        <is>
          <t>linkedin</t>
        </is>
      </c>
      <c r="E2" t="inlineStr"/>
      <c r="F2" t="inlineStr"/>
      <c r="G2" t="inlineStr">
        <is>
          <t>Redmond, WA</t>
        </is>
      </c>
      <c r="H2" t="inlineStr"/>
      <c r="I2"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li-4295699063</t>
        </is>
      </c>
      <c r="B3" t="inlineStr">
        <is>
          <t>Applied Scientist II, Amazon AWS Agentic AI, AWS AI Fundamental Research</t>
        </is>
      </c>
      <c r="C3" t="inlineStr">
        <is>
          <t>Amazon Web Services (AWS)</t>
        </is>
      </c>
      <c r="D3" t="inlineStr">
        <is>
          <t>linkedin</t>
        </is>
      </c>
      <c r="E3" t="inlineStr"/>
      <c r="F3" t="inlineStr"/>
      <c r="G3" t="inlineStr">
        <is>
          <t>Santa Clara, CA</t>
        </is>
      </c>
      <c r="H3" t="inlineStr"/>
      <c r="I3" t="inlineStr">
        <is>
          <t>**Description**
 Amazon is looking for a passionate, talented, and inventive Applied Scientist with a strong machine learning background to help build industry\-leading technology in generative AI and foundational models.
 As part of our AI team in Amazon AWS, you will work alongside internationally recognized experts to develop novel algorithms and modeling techniques to advance the state\-of\-the\-art in generative AI. Your work will directly impact millions of our customers in the form of products and services that make use of speech, vision and language technology. You will gain hands on experience with Amazon’s heterogeneous speech, text, image and structured data sources, and large\-scale computing resources to accelerate advances in machine learning and foundation models. More specifically, you will have the opportunity to impact millions of our customers by researching and building innovative solutions using Agentic AI.
 Agentic AI drives innovation at the forefront of artificial intelligence, enabling customers to transform their businesses through cutting\-edge generative AI solutions. We build and deliver the foundational AI services that power the future of cloud computing, helping organizations harness the potential of AI to solve their most complex challenges. Join our dynamic team of AI/ML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
 A day in the life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A3072738</t>
        </is>
      </c>
    </row>
    <row r="4">
      <c r="A4" t="inlineStr">
        <is>
          <t>li-4334472816</t>
        </is>
      </c>
      <c r="B4" t="inlineStr">
        <is>
          <t>Staff Applied AI and Machine Learning Engineer, Payments &amp; Risk</t>
        </is>
      </c>
      <c r="C4" t="inlineStr">
        <is>
          <t>Gusto</t>
        </is>
      </c>
      <c r="D4" t="inlineStr">
        <is>
          <t>linkedin</t>
        </is>
      </c>
      <c r="E4" t="inlineStr"/>
      <c r="F4" t="inlineStr"/>
      <c r="G4" t="inlineStr"/>
      <c r="H4" t="inlineStr"/>
      <c r="I4"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Science team leverages Gusto’s rich dataset to guide product direction and decision\-making. We operate full\-stack, conducting analyses, prototyping and deploying predictive models and statistical tools both for internal use and for our customers.
 For this role, we are looking for a technical leader (an individual contributor) to drive machine learning and AI in the payment and risk domains. You will build a model\-driven risk platform to provide a trusted environment for Gusto Ecosystem.
 You’ll be working with an established team and seasoned payments and risk leaders in Engineering, Product, Design, Operation, Identity and Compliance. In this role, you’ll work cross functionally to build Platforms that span the entire breadth of the Payments and Risk Stacks, and use ML and AI to build a world\- class, high secure platform that safeguards our users’ activities and money, and ensures unparalleled reliability.
**Here’s What You’ll Do Day\-to\-day**
* Build and deploy machine learning models to identify, assess and mitigate risks
* Responsible for driving research in the problem space, working with stakeholders to understand model requirements, developing the model from scratch, deploying the model alongside your engineering counterparts, and monitoring and maintaining the model’s performance over time
* Partner with Engineering, Design, and Product counterparts in Payment and Risk to solve complex cross functional problems
* Develop scalable frameworks and libraries that enhance and contribute to the team’s core analysis and modeling capabilities, including through the integration of LLMs to improve data processing, analysis, and insights.
* Identify new opportunities to leverage data to improve Gusto’s products and help risk management team to understand business requirements and develop tailored solutions
* Present and communicate results to stakeholders across the company
**Here’s What We're Looking For**
* 8\+ years of experience conducting statistical analyses on large datasets and deep domain knowledge in machine learning and artificial intelligence, including familiarity with Large Language Models (LLMs) and their applications. This could mean either a MS or PhD in a quantitative field with at least 5 years experience in a business environment, or BS or Data Science Bootcamp graduate with at least 8 years of experience working as a data scientist or a machine learning engineer in a business setting.
* Proven experience in credit risk modeling or fraud risk modeling using logistic regression, random forest, Xgboost or neural networks, along with a strong understanding of AI\-based approaches and the potential of LLMs to enhance traditional models.
* Experience applying a variety of statistical and modeling techniques using Python, R or another statistical modeling language, as indicated by familiarity with many of the following techniques \- predictive modeling, anomaly detection, ensemble methods, natural language processing (NLP, optional). Basic understanding of LLMs and their applications.
* Strong programming skills \- comfortable with all phases of the data science development process, from initial analysis and model development to deployment
* Excellent communication skills \- able to effectively deliver findings and recommendations to non\-technical stakeholders in a clear and compelling fashion
* PhD or Masters plus equivalent experience in a quantitative field is a plus
* Experience in the Fintech industry is a plus
 Our cash compensation amount for this role is targeted at $225,000 \- $285,000 for San Francisco, New York, and Seattle, $205,000\- $255,000 in Los Angeles, $187,000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5">
      <c r="A5" t="inlineStr">
        <is>
          <t>li-4374987588</t>
        </is>
      </c>
      <c r="B5" t="inlineStr">
        <is>
          <t>Senior Machine Learning Engineer</t>
        </is>
      </c>
      <c r="C5" t="inlineStr">
        <is>
          <t>A1</t>
        </is>
      </c>
      <c r="D5" t="inlineStr">
        <is>
          <t>linkedin</t>
        </is>
      </c>
      <c r="E5" t="inlineStr"/>
      <c r="F5" t="inlineStr"/>
      <c r="G5" t="inlineStr">
        <is>
          <t>Palo Alto, CA</t>
        </is>
      </c>
      <c r="H5" t="inlineStr"/>
      <c r="I5" t="inlineStr">
        <is>
          <t>**About the Role** 
 A1 is building a proactive AI system that carries work forward across conversations, tools, and time.
 You will be a core owner of significant ML systems in production. This role is for engineers who can independently drive complex ML problems from idea to deployment and make strong trade\-offs along the way.
**Focus** 
* Build core ML systems that power a proactive, long\-horizon AI product.
* Own work end\-to\-end: data preparation, training, evaluation, inference, and iteration.
* Turn research ideas into working systems that run reliably in production.
* Debug model failures and system issues using real production signals.
* Iterate quickly: ship, measure outcomes, refine, and repeat.
* Collaborate closely with research, product, and engineering to deliver real user impact.
* Mentor and review work from other ML engineers through example and technical judgment.
* Work under real production constraints: latency, cost, reliability, and safety
**Tech Stack** 
* Python
* PyTorch / JAX
* GPU\-based training and inference systems
**Ideal Experience** 
* You have built and shipped ML systems used by real users.
* You understand how modern ML models behave — and misbehave — in production.
* You write strong, production\-quality code and think in systems, not scripts.
* You take ownership, work independently, and push work across the finish line.
* You learn fast, communicate clearly, and improve through iteration.
**Compensation Range** 
 $250K – $555K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6">
      <c r="A6" t="inlineStr">
        <is>
          <t>li-4359763231</t>
        </is>
      </c>
      <c r="B6" t="inlineStr">
        <is>
          <t>Machine Learning Engineer</t>
        </is>
      </c>
      <c r="C6" t="inlineStr">
        <is>
          <t>Reyes Coca-Cola Bottling</t>
        </is>
      </c>
      <c r="D6" t="inlineStr">
        <is>
          <t>linkedin</t>
        </is>
      </c>
      <c r="E6" t="inlineStr"/>
      <c r="F6" t="inlineStr"/>
      <c r="G6" t="inlineStr">
        <is>
          <t>Niles, IL</t>
        </is>
      </c>
      <c r="H6" t="inlineStr"/>
      <c r="I6" t="inlineStr">
        <is>
          <t>**Position Responsibilities**
* Design, build, and maintain Continuous Integration/Continuous Development (CI/CD) pipelines for machine learning models
* Deploy and manage ML models in production environments using containerization and orchestration technologies
* Implement monitoring, logging, and alerting solutions to track model performance, system health, and data drift
* Collaborate with data scientists to understand model requirements and optimize the process of transforming models from development to a production\-ready state
* Create and maintain technical documentation for ML Operations (Ops) processes, infrastructure, and deployments
* Define ML/Artificial Intelligence (AI) governance to ensure data security and ethical standards are met for all modeling processes
* Travel up to 5% of the time
* Other duties as assigned
**Required Education And Experience**
* Bachelor’s degree in computer science, Data Science, Mathematics, or related quantitative discipline and 3 to 5 plus years of experience in ML Engineering, Software Engineering, or a related field or High School Diploma/General Education Diploma and 7 plus years of the above stated experience
**Preferred Education And Experience**
* Master’s Degree in computer science, Data Science, or other graduate education in related quantitative fields
* Hands\-on experience with CI/CD pipelines, automation tools, and version control systems like Azure DevOps, Github, or similar and strong understanding of machine learning concepts and the ML development lifecycle
* Experience building ML Ops infrastructure and serving models via cloud platforms such as Azure, Amazon Web Services (AWS), or Google Cloud Platform (GCP)
* Strong proficiency in Python and working knowledge of Bash/shell scripting for automation and system operations
* Strong understanding of Structured Query Language (SQL) and experience with big data platforms, i.e., Snowflake, Databricks, or similar
* Experience with Infrastructure\-as\-Code tools, i.e., Terraform, Azure Resource Manager, or similar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row>
    <row r="7">
      <c r="A7" t="inlineStr">
        <is>
          <t>li-4345163083</t>
        </is>
      </c>
      <c r="B7" t="inlineStr">
        <is>
          <t>Machine Learning Engineer - Perception Offline Driving Intelligence</t>
        </is>
      </c>
      <c r="C7" t="inlineStr">
        <is>
          <t>Zoox</t>
        </is>
      </c>
      <c r="D7" t="inlineStr">
        <is>
          <t>linkedin</t>
        </is>
      </c>
      <c r="E7" t="inlineStr"/>
      <c r="F7" t="inlineStr"/>
      <c r="G7" t="inlineStr">
        <is>
          <t>Boston, MA</t>
        </is>
      </c>
      <c r="H7" t="inlineStr"/>
      <c r="I7"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Develop multimodal large language models that enhance our robotaxis' understanding of complex urban environments
* Implement model architectures and sophisticated training techniques
* Build large high quality datasets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models with large scale data
**Bonus Qualifications**
* Publications in top\-tier conferences (CVPR, ICCV, RSS, ICRA)
* Experience with autonomous robotics systems
 $179,000 \- $245,000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li-4352336004</t>
        </is>
      </c>
      <c r="B8" t="inlineStr">
        <is>
          <t>Associate Machine Learning Engineer</t>
        </is>
      </c>
      <c r="C8" t="inlineStr">
        <is>
          <t>PitchBook</t>
        </is>
      </c>
      <c r="D8" t="inlineStr">
        <is>
          <t>linkedin</t>
        </is>
      </c>
      <c r="E8" t="inlineStr"/>
      <c r="F8" t="inlineStr"/>
      <c r="G8" t="inlineStr">
        <is>
          <t>Seattle, WA</t>
        </is>
      </c>
      <c r="H8" t="inlineStr"/>
      <c r="I8"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PitchBook’s Associate Machine Learning Engineer is responsible for using machine learning, statistical modeling, and Natural Language Processing (NLP) to collect a high\-volume of data for the PitchBook Platform and surface insights for the capital markets. This role requires curiosity and a strong desire to learn. A strong motivation to succeed is critical and everyone has the opportunity to shape the long\-term direction of our team.
**Primary Job Responsibilities**
* Use natural language processing (NLP) and machine learning techniques to create novel views of private industry data
* Analyze and extract features from large amounts of unstructured data, determine most relevant features, and use clustering algorithms to drive insight into the data
* Analyze textual data such as articles and conversations to identify novel signals of private company performance
* Work closely with Product and Engineering teams to establish scalable, efficient, and automated processes for large scale data analyses and models
* Contribute to thought leadership on Data Science and Machine Learning best practices by staying informed of current trends in industry
* Support the vision and values of the company through role modeling and encouraging desired behaviors
* Participate in various company initiatives and projects as requested
**Skills And Qualifications**
* Bachelor’s degree in Computer Science, Machine Learning, Statistics, or related field
* Experience in a similar role in a production environment
* Experience or exposure with natural language processing (NLP)
* Experience or exposure with Python, R, or other relevant programming frameworks
* Experience or exposure in using SQL for data extraction
* Strong communication and data presentation skills
* Strong problem\-solving ability
* Ability to communicate complex analysis in a clear, precise, and actionable manner
* Experience working closely a with software development team(s) a plus, but not required
* Financial services, investment, banking, venture capital and/or private equity knowledge, but not required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$110,000\-$150,000
* Target annual bonus percentage: 7\.5%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9">
      <c r="A9" t="inlineStr">
        <is>
          <t>li-4376366507</t>
        </is>
      </c>
      <c r="B9" t="inlineStr">
        <is>
          <t>AI/ML Engineer</t>
        </is>
      </c>
      <c r="C9" t="inlineStr">
        <is>
          <t>Wiraa</t>
        </is>
      </c>
      <c r="D9" t="inlineStr">
        <is>
          <t>linkedin</t>
        </is>
      </c>
      <c r="E9" t="inlineStr"/>
      <c r="F9" t="inlineStr"/>
      <c r="G9" t="inlineStr"/>
      <c r="H9" t="inlineStr"/>
      <c r="I9" t="inlineStr">
        <is>
          <t>**About The Company**
 Rillet is a pioneering company dedicated to transforming the financial operations of high\-growth AI and technology companies. Serving finance teams across various industries, Rillet provides powerful and elegant accounting software designed to deliver unparalleled speed, accuracy, and insight. Our mission is to empower financial professionals with tools that evolve as rapidly as their companies do, enabling them to run their numbers at the speed of AI. With a proven track record of high customer satisfaction and a commitment to innovation, Rillet has attracted significant investment from leading venture capital firms including Sequoia, Andreessen Horowitz (a16z), Iconiq, Oak HC/FT, and First Round. Our vision is to revolutionize the financial landscape by building industry\-defining software that meets the demands of the fastest\-growing companies worldwide.
**About The Role**
 We are seeking a talented Machine Learning Engineer to join our dynamic engineering team. In this role, you will be instrumental in shaping the future of Rillet’s AI\-driven workflows by developing and integrating sophisticated machine learning models into our core systems. You will work closely with cross\-functional teams—including product managers, designers, and finance experts—to define and implement ML solutions that address real user problems. Your responsibilities will include designing automated pipelines for training and evaluating models, ensuring their scalability and reliability in production environments, and helping to set the strategic direction for Rillet’s AI initiatives. This role offers a remote\-first work environment with opportunities for travel to team events, fostering collaboration and innovation across our global offices in San Francisco, New York, and Barcelona.
**Qualifications**
* 3\+ years of professional experience in product\-driven technology companies.
* Strong proficiency in Python, including experience with libraries such as numpy, pandas, scikit\-learn, and PyTorch.
* Hands\-on experience with large language model (LLM)\-based agent frameworks.
* Bachelor’s degree in Computer Science or a related field (required).
* Advanced degree (Master’s or Ph.D.) in Artificial Intelligence or related discipline (preferred).
* Ability to work independently and collaboratively within small, agile teams.
* Proven problem\-solving skills with a focus on practical, user\-centric solutions.
* Passion for continuous learning and knowledge sharing.
**Responsibilities**
* Define and shape Rillet’s machine learning and AI strategy for the future.
* Collaborate with product managers, engineers, designers, and finance specialists to identify and develop effective ML solutions.
* Deeply analyze user problems to determine the most appropriate methodologies and models.
* Design, develop, and maintain automated pipelines for training, testing, and deploying ML models.
* Integrate machine learning models into production systems, ensuring scalability, performance, and reliability.
* Monitor and optimize model performance over time, implementing improvements as needed.
* Stay updated on emerging AI and ML technologies, incorporating best practices into Rillet’s workflows.
* Contribute to a culture of innovation, collaboration, and continuous improvement within the engineering team.
**Benefits**
* Competitive salary packages complemented by equity options.
* Comprehensive healthcare and dental insurance plans.
* Opportunities for professional growth and career advancement.
* Flexible paid time off (PTO) policies and 9 company\-wide holidays.
* Remote\-friendly work environment with offices in San Francisco, New York, and Barcelona.
* Team\-building events and offsites in various international locations to foster collaboration and community.
 Equal Opportunity
 Rillet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perspectives drive innovation and are essential to our success.</t>
        </is>
      </c>
    </row>
    <row r="10">
      <c r="A10" t="inlineStr">
        <is>
          <t>li-4376167951</t>
        </is>
      </c>
      <c r="B10" t="inlineStr">
        <is>
          <t>ML Engineer</t>
        </is>
      </c>
      <c r="C10" t="inlineStr">
        <is>
          <t>Wiraa</t>
        </is>
      </c>
      <c r="D10" t="inlineStr">
        <is>
          <t>linkedin</t>
        </is>
      </c>
      <c r="E10" t="inlineStr"/>
      <c r="F10" t="inlineStr"/>
      <c r="G10" t="inlineStr"/>
      <c r="H10" t="inlineStr"/>
      <c r="I10" t="inlineStr">
        <is>
          <t>**About The Company**
 Tenstorrent is at the forefront of the AI technology industry, pioneering innovative solutions that redefine performance, usability, and cost efficiency. As the world transitions into an era where AI shapes the future of computing, Tenstorrent is committed to developing integrated hardware and software platforms that include advanced software models, compilers, networking solutions, and high\-performance semiconductors. Our team comprises passionate technologists who have successfully engineered a high\-performance RISC‑V CPU from scratch, demonstrating our dedication to pushing technological boundaries. We foster a culture of collaboration, curiosity, and problem\-solving, aiming to build the most advanced AI platform in the industry. With a growing global footprint, we are expanding our team and inviting talented individuals of all seniority levels to join us in shaping the future of AI computing.
**About The Role**
 As a Machine Learning Engineer within Tenstorrent’s AI Models team, you will play a pivotal role in bringing cutting\-edge AI models to life on our custom AI hardware. Your responsibilities will include experimenting with, optimizing, and deploying sophisticated machine learning models to ensure they perform efficiently on our proprietary devices. This role offers a unique opportunity to work on real\-world applications, solving complex problems by pushing the boundaries of current AI capabilities. You will collaborate closely with hardware, compiler, and kernel teams to implement performance enhancements, troubleshoot issues, and develop innovative solutions. The position is hybrid, based out of Toronto, ON; Austin, TX; or Santa Clara, CA, with the possibility of remote work depending on the candidate’s location and experience. We are open to candidates at various experience levels, and the final placement and compensation will be aligned accordingly during the hiring process.
**Qualifications**
* Proficiency in Python programming language.
* Hands\-on experience with PyTorch for deep learning model development.
* Strong understanding of machine learning model architectures.
* Experience in deploying and optimizing ML models on new hardware platforms.
* Solid debugging skills to troubleshoot performance bottlenecks and enhance model robustness.
* Knowledge of model optimization techniques such as quantization, kernel fusing, and flash attention.
* Familiarity with hardware features like matrix engines and memory hierarchies.
* Curiosity\-driven mindset with a passion for staying current with ML research and innovations.
* Ability to collaborate effectively across cross\-functional teams including hardware and software engineers.
**Responsibilities**
* Bring up state\-of\-the\-art machine learning models on new and existing hardware platforms.
* Optimize ML models for performance, accuracy, and robustness, leveraging hardware features and software techniques.
* Investigate and resolve performance issues through detailed debugging and analysis.
* Implement model compression and acceleration techniques such as quantization and kernel fusion.
* Collaborate with hardware, compiler, and kernel teams to develop new features and performance improvements.
* Translate research papers and innovative ideas into production\-ready ML deployment solutions.
* Stay updated with the latest ML research and incorporate practical insights into engineering workflows.
* Participate in cross\-disciplinary discussions to enhance overall system performance and capabilities.
**Benefits**
* Highly competitive compensation package, ranging from $100,000 to $500,000, including base salary and variable incentives.
* Comprehensive health, dental, and vision insurance plans.
* Flexible work arrangements, including hybrid and remote options.
* Opportunities for professional growth and development within a cutting\-edge technological environment.
* Collaborative and innovative work culture that values curiosity and problem\-solving.
* Participation in pioneering projects that influence the future of AI hardware and software.
* Access to a global network of talented professionals and industry leaders.
 Equal Opportunity
 Tenstorrent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age, sexual orientation, disability, or any other protected characteristic. All employment decisions are made based on qualifications, merit, and business needs.</t>
        </is>
      </c>
    </row>
    <row r="11">
      <c r="A11" t="inlineStr">
        <is>
          <t>li-4333291067</t>
        </is>
      </c>
      <c r="B11" t="inlineStr">
        <is>
          <t>AI Engineer</t>
        </is>
      </c>
      <c r="C11" t="inlineStr">
        <is>
          <t>Hippocratic AI</t>
        </is>
      </c>
      <c r="D11" t="inlineStr">
        <is>
          <t>linkedin</t>
        </is>
      </c>
      <c r="E11" t="inlineStr"/>
      <c r="F11" t="inlineStr"/>
      <c r="G11" t="inlineStr">
        <is>
          <t>Palo Alto, CA</t>
        </is>
      </c>
      <c r="H11" t="inlineStr"/>
      <c r="I11"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an
 **AI Engineer at Hippocratic AI** 
 , you’ll play a pivotal role in shaping the future of
 **voice\-based generative AI in healthcare** 
 . You’ll design and build the intelligent systems that power our
 **clinically safe healthcare agents** 
 , working at the intersection of large language models, real\-time voice, and human\-centered product design.
 This is a deeply
 **hands\-on and cross\-functional role** 
 , partnering closely with
 **AI researchers, product managers, and clinical experts** 
 to bring advanced language and speech models into production. From building scalable RAG and multi\-agent pipelines to conversational interactions, your work will directly influence how patients and providers safely interact with generative AI at scale.
 We’re looking for experienced engineers who are passionate about
 **AI in the real world** 
 —people who love taking cutting\-edge research, turning it into robust products, and advancing the frontier of what’s possible in
 **safe, agentic healthcare systems** 
 .
 What You'll Do:
* Design, build, and optimize production\-grade AI pipelines that power our voice\-based generative healthcare agents—from retrieval\-augmented generation (RAG) to multi\-step reasoning systems.
* Collaborate cross\-functionally with product, clinical, and engineering teams to translate healthcare workflows into safe, scalable, and human\-centered AI experiences.
* Prototype and deploy zero\-to\-one features using state\-of\-the\-art LLMs, retrieval systems, and streaming architectures—balancing innovation with reliability.
* Develop and refine AI\-native workflows that support real\-time, conversational, and long\-running interactions across diverse healthcare contexts.
* Drive continuous improvement in model evaluation, safety testing, and observability, ensuring every agent interaction meets clinical safety standards
 What You Bring
**Must Have:**
* 3\+ years of professional experience in software, ML, or AI engineering.
* Proven track record building and shipping AI\- or ML\-powered products in production environments.
* Strong programming skills in Python with experience in distributed systems, APIs, and data pipelines.
* Deep understanding of prompt engineering, vector databases, and retrieval systems (RAG), voice agents or willingness to learn rapidly.
* Experience with cloud environments (AWS/GCP/Azure) and modern DevOps practices (Terraform, CI/CD, monitoring).
* Excellent communication, cross\-functional collaboration, and an ability to move fast in high\-impact domains.
 Nice\-to\-Have:
* Experience building or deploying LLM\-based or multi\-agent systems at scale.
* Hands\-on work with speech recognition, text\-to\-speech, or streaming architectures for real\-time AI experiences.
* Prior exposure to healthcare, safety\-critical domains, or regulated product development.
 If you’re an
 **AI engineer** 
 who thrives at the intersection of
 **cutting\-edge research and real\-world product impact** 
 , we’d love to hear from you.
 Join
 **Hippocratic AI** 
 and help shape the future of
 **clinically safe, voice\-enabled AI systems** 
 that are already transforming patient care at scale.
*Please be aware of recruitment scams impersonating Hippocratic AI. All recruiting communication will come from @* 
*hippocraticai.com* 
*email addresses. We will never request payment or sensitive personal information during the hiring process.*</t>
        </is>
      </c>
    </row>
    <row r="12">
      <c r="A12" t="inlineStr">
        <is>
          <t>li-4324974383</t>
        </is>
      </c>
      <c r="B12" t="inlineStr">
        <is>
          <t>AI Engineer</t>
        </is>
      </c>
      <c r="C12" t="inlineStr">
        <is>
          <t>AI Fund</t>
        </is>
      </c>
      <c r="D12" t="inlineStr">
        <is>
          <t>linkedin</t>
        </is>
      </c>
      <c r="E12" t="inlineStr"/>
      <c r="F12" t="inlineStr"/>
      <c r="G12" t="inlineStr">
        <is>
          <t>Palo Alto, CA</t>
        </is>
      </c>
      <c r="H12" t="inlineStr"/>
      <c r="I12" t="inlineStr">
        <is>
          <t>Palo Alto, CA
 AI Fund – AI Fund /
 Full time /
 Hybrid
**Who we are:**
 AI is the new electricity. Just as it transformed entire industries 100 years ago, AI is poised to do the same today. AI Fund is a venture studio that co\-founds companies alongside entrepreneurs, and we build companies from inception to market launch. Founded in 2017 by Dr. Andrew Ng, the $370 million\-dollar funded venture studio is backed by top\-tier VC firms and investors, and brings to bear the AI Fund teams’ combined experiences as AI pioneers, entrepreneurs, venture capitalists, and builders.
 Together, let’s build great companies that will move humanity forward.
**What We’re Looking For:**
 We’re looking for an
 **AI Engineer** 
 with a strong foundation in full\-stack software development and proven hands\-on experience working with large language models (LLMs) and Generative AI technologies. The ideal candidate will blend practical software engineering skills with deep curiosity and fluency in modern AI workflows.
 This role is a great match for someone who loves exploring new technologies, takes initiative, and enjoys working across teams to turn bold ideas into reality. It’s ideal for an engineer who approaches problems with a product mindset, builds with the precision of a systems architect, and brings the curiosity of a researcher. If you're excited about pushing the boundaries of how cutting\-edge AI can power real\-world applications, we’d be excited to connect with you.
**This is a full\-time hybrid position for candidates based in the Bay Area. You must already have, or be able to obtain, authorization to work in the United States.**
**What You’ll Do**
* Design, develop, and maintain both front\-end and back\-end components of GenAI\-powered applications.
* Build and integrate APIs and third\-party services—including tools like Cursor, Windsurf, and various LLM platforms—to enhance AI functionality.
* Collaborate closely with product and engineering teams to prototype and iterate on innovative, AI\-driven user experiences.
* Design and manage databases with a focus on performance, reliability, and scalability for AI\-intensive applications.
* Contribute to architecture discussions, especially around LLM integration, prompt pipelines, and agentic workflows.
* Stay deeply informed about advancements in GenAI, LLMs, and software development to help evolve our engineering practices and AI capabilities.
**What You Must Bring**
* 2\+ years of experience as a full\-stack engineer or in a similar role.
* Proficiency in front\-end technologies such as JavaScript, HTML, CSS, and frameworks like React, Vue, or Angular.
* Strong back\-end experience in Python, including designing and building scalable APIs and server\-side logic.
* Comfortable working with both SQL (e.g., PostgreSQL, MySQL) and NoSQL (e.g., MongoDB) databases.
* Skilled in RESTful API design and WebSocket integrations.
* Experience with Git and collaborative workflows in modern software development environments.
* Familiarity with cloud platforms (especially AWS) and containerization tools such as Docker for deployment and environment management.
* Strong communication skills and the ability to collaborate effectively with both technical and non\-technical stakeholders.
* Hands\-on experience building with LLMs (e.g., OpenAI, Claude, Gemini) in ways that go well beyond basic prompting.
* Practical knowledge of advanced LLM use cases including: Tool/function calling, Agentic workflows, Retrieval\-Augmented Generation (RAG), and Finetuning models.
* Familiarity with leading GenAI frameworks and tools such as LangChain, Hugging Face, LlamaIndex, Haystack, or similar.
* Demonstrated ability to integrate AI capabilities into full\-stack applications as part of side projects, prior work experience, or academic research.
* A strong interest in the evolving AI/LLM landscape and a drive to stay ahead of emerging trends.
**What You Get Working With Us**
* Work directly with leading voices in AI, including Andrew Ng and other accomplished founders and entrepreneurs who are shaping the future of the industry.
* Build real, meaningful products that apply GenAI and LLM technologies to solve important problems across a range of industries.
* Join an ambitious, highly collaborative team that values rapid learning, autonomy, and strong engineering practices.
* Be at the frontier of AI innovation, experimenting with tools like Cursor, Windsurf, and the latest LLM frameworks to push the boundaries of what’s possible.
* Grow your skills and career through hands\-on experience with cutting\-edge AI technologies, exposure to exceptional mentors, and an environment that encourages experimentation.
 At AI Fund,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AI Fund seeks to recruit, develop and retain the most talented people from a diverse candidate pool. Selection for employment is decided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
      <c r="A13" t="inlineStr">
        <is>
          <t>li-4374999380</t>
        </is>
      </c>
      <c r="B13" t="inlineStr">
        <is>
          <t>Staff Machine Learning Engineer</t>
        </is>
      </c>
      <c r="C13" t="inlineStr">
        <is>
          <t>A1</t>
        </is>
      </c>
      <c r="D13" t="inlineStr">
        <is>
          <t>linkedin</t>
        </is>
      </c>
      <c r="E13" t="inlineStr"/>
      <c r="F13" t="inlineStr"/>
      <c r="G13" t="inlineStr">
        <is>
          <t>Palo Alto, CA</t>
        </is>
      </c>
      <c r="H13" t="inlineStr"/>
      <c r="I13" t="inlineStr">
        <is>
          <t>**About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**What You'll Do** 
* Build and own end\-to\-end ML pipelines spanning data, training, evaluation, inference, and deployment.
* Fine\-tune and adapt models using state\-of\-the\-art methods such as LoRA, QLoRA, SFT, DPO, and distillation.
* Architect and operate scalable inference systems, balancing latency, cost, and reliability.
* Design and maintain data systems for high\-quality synthetic and real\-world training data.
* Implement evaluation pipelines covering performance, robustness, safety, and bias, in partnership with research leadership.
* Own production deployment, including GPU optimization, memory efficiency, latency reduction, and scaling policies.
* Collaborate closely with application engineering to integrate ML systems cleanly into backend, mobile, and desktop products.
* Make pragmatic trade\-offs and ship improvements quickly, learning from real usage.
* Work under real production constraints: latency, cost, reliability, and safety
**Tech Stack** 
* Python
* PyTorch / JAX
* GPU\-based training and inference system
**Ideal Experience** 
* You have built or shipped real ML systems used by people, not just demos.
* You are comfortable working with large models and understanding their failure modes.
* You write strong, production\-grade code and care about system correctness.
* You are self\-directed, pragmatic, and take full ownership of outcomes.
* You communicate clearly and collaborate well in small, high\-trust teams.
**Compensation Range** 
 $450K – $670K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4">
      <c r="A14" t="inlineStr">
        <is>
          <t>li-4259704030</t>
        </is>
      </c>
      <c r="B14" t="inlineStr">
        <is>
          <t>Senior Machine Learning Engineer - Marketplace Pricing</t>
        </is>
      </c>
      <c r="C14" t="inlineStr">
        <is>
          <t>Uber</t>
        </is>
      </c>
      <c r="D14" t="inlineStr">
        <is>
          <t>linkedin</t>
        </is>
      </c>
      <c r="E14" t="inlineStr"/>
      <c r="F14" t="inlineStr"/>
      <c r="G14" t="inlineStr">
        <is>
          <t>New York, NY</t>
        </is>
      </c>
      <c r="H14" t="inlineStr"/>
      <c r="I14"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
      <c r="A15" t="inlineStr">
        <is>
          <t>li-4313300900</t>
        </is>
      </c>
      <c r="B15" t="inlineStr">
        <is>
          <t>AI/ML Engineer, Conversational AI</t>
        </is>
      </c>
      <c r="C15" t="inlineStr">
        <is>
          <t>Fanatics</t>
        </is>
      </c>
      <c r="D15" t="inlineStr">
        <is>
          <t>linkedin</t>
        </is>
      </c>
      <c r="E15" t="inlineStr"/>
      <c r="F15" t="inlineStr"/>
      <c r="G15" t="inlineStr"/>
      <c r="H15" t="inlineStr"/>
      <c r="I15" t="inlineStr">
        <is>
          <t>**Job Description**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**AI/ML Engineer, Conversational AI**
 Fanatics Betting and Gaming is seeking an
 **AI/ML Engineer** 
 on our cross\-functional Applied AI team that is on a mission to 10x FBG with AI. You’ll build and productionize the software foundations that power next\-gen recommenders, autonomous AI agents, and scalable AI\-driven experiences—working in a fast\-paced, startup\-style environment where you’ll move from prototype to ship\-ready features in days, not months. As an AI Engineer at Fanatics, you will partner with Applied Scientists, Data Engineers, and Product teams to design, implement, and maintain end\-to\-end systems that deliver autonomous agent capabilities to internal stakeholders and millions of fans. You’ll translate cutting\-edge research into rock\-solid code, architect microservices for low\-latency inference, and champion best practices in reliability, scalability, and observability.
**Responsibilities**
* Engineer Conversational ML for Support Tools Design, fine\-tune, and productionize dialogue models—integrating RAG pipelines, context\-aware routing, and continuous feedback loops—to power internal workflows that supercharge customer\-support agents while hitting sub\-100 ms latency and enterprise\-grade reliability.
* Develop AI Agent Frameworks Create, integrate, and extend agent orchestration pipelines—building tools to deploy, monitor, and iterate on multi\-agent workflows.
* Collaborate in a Startup\-Like Pod Work hands\-on across the stack: from data ingestion and feature engineering to model deployment and UX integration—rapidly prototyping and shipping proof\-of\-concepts alongside engineers and product managers.
* Optimize for Scale \&amp; Reliability Implement CI/CD for model updates, containerize inference workloads (Docker/Kubernetes), and instrument services with logging, tracing, and alerts to meet 99\.9% uptime SLAs.
* Champion Engineering Best Practices Write clear, maintainable code; conduct code reviews; mentor junior teammates; and evangelize automated testing, code linting, and performance monitoring.
**Skills \&amp; Qualifications**
* 7 years of professional software engineering experience, with at least 2 years focused on AI/ML systems such as conversational AI, customer support, copilot and/or chatbot experiences
* Hands\-on experience building and deploying models in production
* Hands\-on experience with MCP (Model Context Protocols)
* Proficiency in Python (FastAPI, Flask) and familiarity with strong\-typed languages (Java, Go, or C\#) for microservice development
* Experience with container orchestration (Docker, Kubernetes) and cloud platforms (AWS, GCP, or Azure)
* Knowledge of AI agents and frameworks (e.g. LangChain, Ray RLlib, custom orchestrators)
* Solid understanding of distributed systems, API design, and data pipelines
* Comfortable navigating ambiguity in a startup\-like environment: you’re resourceful, rapid in iteration, and thrive on end\-to\-end ownership
*Ready to build the future of sports betting? If you possess some of these skills but not all of them, we still encourage you to apply!*
***Salary Range:** 
 $152,000 – $250,000 USD per year*
*The base salary for this role is based on job\-related knowledge, skills, and experience and may vary depending on the successful candidate’s geographic location.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6">
      <c r="A16" t="inlineStr">
        <is>
          <t>li-4332253447</t>
        </is>
      </c>
      <c r="B16" t="inlineStr">
        <is>
          <t>Senior Machine Learning Engineer (Nova)</t>
        </is>
      </c>
      <c r="C16" t="inlineStr">
        <is>
          <t>Iterable</t>
        </is>
      </c>
      <c r="D16" t="inlineStr">
        <is>
          <t>linkedin</t>
        </is>
      </c>
      <c r="E16" t="inlineStr"/>
      <c r="F16" t="inlineStr"/>
      <c r="G16" t="inlineStr">
        <is>
          <t>New York, NY</t>
        </is>
      </c>
      <c r="H16" t="inlineStr"/>
      <c r="I16"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17">
      <c r="A17" t="inlineStr">
        <is>
          <t>li-4332253446</t>
        </is>
      </c>
      <c r="B17" t="inlineStr">
        <is>
          <t>Senior Machine Learning Engineer (Nova)</t>
        </is>
      </c>
      <c r="C17" t="inlineStr">
        <is>
          <t>Iterable</t>
        </is>
      </c>
      <c r="D17" t="inlineStr">
        <is>
          <t>linkedin</t>
        </is>
      </c>
      <c r="E17" t="inlineStr"/>
      <c r="F17" t="inlineStr"/>
      <c r="G17" t="inlineStr">
        <is>
          <t>Austin, TX</t>
        </is>
      </c>
      <c r="H17" t="inlineStr"/>
      <c r="I17"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18">
      <c r="A18" t="inlineStr">
        <is>
          <t>li-4282003101</t>
        </is>
      </c>
      <c r="B18" t="inlineStr">
        <is>
          <t>Sr / Staff Machine Learning Engineer, Perception</t>
        </is>
      </c>
      <c r="C18" t="inlineStr">
        <is>
          <t>Rivian</t>
        </is>
      </c>
      <c r="D18" t="inlineStr">
        <is>
          <t>linkedin</t>
        </is>
      </c>
      <c r="E18" t="inlineStr"/>
      <c r="F18" t="inlineStr"/>
      <c r="G18" t="inlineStr">
        <is>
          <t>Palo Alto, CA</t>
        </is>
      </c>
      <c r="H18" t="inlineStr"/>
      <c r="I1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Sr./Staff ML Engineer within Rivian’s Perception Team, you will be a core contributor to the architecture, development, deployment, and optimization of advanced machine learning algorithms driving safety\-critical, customer\-facing features for Rivian’s autonomous vehicles. With a focus on onboard perception (including areas like object detection, sensor fusion, cabin or driver monitoring, and multi\-modal state understanding), you will have full ownership over the lifecycle of key perception projects, collaborating closely with cross\-disciplinary teams spanning autonomy, planning, simulation, and ML infrastructure. This role is based in Palo Alto, CA.
**Responsibilities**
* Independently own the design, development, testing, deployment, and maintenance of perception ML models and supporting software for autonomous vehicle applications—including both onboard and cloud environments.
* Drive the creation and continuous improvement of production\-ready perception models for real\-time embedded deployment (object detection, tracking, segmentation, pose estimation, scene understanding, etc.), ensuring robustness, performance, and resilience.
* Architect and build scalable data pipelines and training infrastructure to support ML model iteration with large, complex multi\-modal datasets, including auto\-labeling and data augmentation capabilities.
* Develop tools and processes to evaluate and measure the performance and health of perception and/or cabin\-monitoring systems, and ensure integration with downstream autonomy modules.
* Analyze, debug, and optimize perception system performance, from offline metrics and simulation validation to live, in\-vehicle operation, addressing limitations like manual labeling bandwidth, ground truth availability, and real\-world heterogeneity.
* Collaborate tightly with teams across machine learning, sensor systems, embedded platform, planning, infrastructure, and data engineering to deliver integrated, customer\-impacting autonomous features.
* Share technical direction, mentor junior engineers, publish internal guidance, and help shape Rivian’s technical roadmap in perception.
* Stay abreast of state\-of\-the\-art research in machine learning, computer vision, and autonomous driving; drive adoption of best practices and pioneer new approaches where appropriate.
**Qualifications**
* BS, MS, or PhD in Computer Science, Robotics, Electrical/Mechanical/Aerospace Engineering, or a related technical field.
* 5\+ years of experience (Sr.), or 7\+ years (Staff), developing and deploying deep learning models for autonomous vehicles, robotics, or other safety\-critical, real\-time embedded systems.
* Expert proficiency with Python and one or more deep learning frameworks (e.g., PyTorch, TensorFlow); strong C\+\+ skills for performance\-critical, production code.
* Demonstrated experience architecting, training, and evaluating perception models (2D or 3D, including sequential models), with exposure to deployment on real vehicles and/or production robotic systems.
* Track record in building or leveraging complex training infrastructure (cloud and/or cluster\-based) and working with large\-scale datasets in distributed environments.
* Hands\-on experience with several of the following:
+ Vision foundation models, temporal/spatial modeling, attention/transformer architectures, auto\-labeling systems, data augmentation for diverse sensor configurations.
+ Sensor signal decoding (camera, radar, lidar), multi\-modal sensor fusion, pose/trajectory estimation, action or intent recognition, and state\-of\-the\-art driver/passenger monitoring.
+ System and algorithmic optimization, robust software engineering best practices, and empirical performance analysis.
* Highly effective communicator and team collaborator; demonstrated ability to partner across technical specialties and organizational boundaries to deliver end\-to\-end solutions.
* Bonus: Prior work in cabin monitoring (e.g., gaze estimation, facial expression analysis, action recognition), experience building auto\-labeling tools, cloud\-based ML ops, or open\-source contributions to perception research.
**Pay Disclosure**
 Salary Range for California Based Applicants: $179,000 \- $285,000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9">
      <c r="A19" t="inlineStr">
        <is>
          <t>li-4332205170</t>
        </is>
      </c>
      <c r="B19" t="inlineStr">
        <is>
          <t>Senior Machine Learning Engineer (Nova)</t>
        </is>
      </c>
      <c r="C19" t="inlineStr">
        <is>
          <t>Iterable</t>
        </is>
      </c>
      <c r="D19" t="inlineStr">
        <is>
          <t>linkedin</t>
        </is>
      </c>
      <c r="E19" t="inlineStr"/>
      <c r="F19" t="inlineStr"/>
      <c r="G19" t="inlineStr">
        <is>
          <t>Boston, MA</t>
        </is>
      </c>
      <c r="H19" t="inlineStr"/>
      <c r="I19"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Machine Learning Engineer to build the core Machine Learning foundations that power Nova’s agentic experiences. This role focuses on applied Machine Learning in production environments: retrieval systems, evaluation frameworks, and model integration layers that make AI features reliable, scalable, and repeatable. You will design and implement the underlying components that support rich, intelligent interactions in the Iterable platform.
 You will work closely with backend, frontend, and product teams to shape how Machine Learning is introduced and maintained across the company. The work blends hands\-on engineering with system design, and is ideal for someone who can drive complex efforts independently, make practical architectural decisions, and collaborate in a fast\-moving, cross\-functional product environment.
**Responsibilities:**
* Design and build Machine Learning platform components that support agentic systems, including retrieval pipelines, indexing strategies, and model integration layers.
* Introduce and operationalize RAG use cases, from data sourcing and embedding generation to runtime retrieval patterns.
* Develop generalized evaluation frameworks for LLM\- and agent\-based features, including offline metrics, golden datasets, and continuous monitoring.
* Implement abstractions, tooling, and reusable patterns that enable other teams to build ML\- and LLM\-powered experiences efficiently.
* Partner with backend engineers to productionize ML features with strong reliability, observability, and performance characteristics.
* Prototype applied ML solutions to validate feasibility before investing in full builds.
* Ensure secure, robust handling of data used in ML workflows and retrieval operations.
* Collaborate with product, design, and engineering to align ML system design with user experience and product goals.
* Contribute to iterative improvements of the Nova agent framework, including workflows built with Mastra and TypeScript.
**Qualifications:**
* 5\+ years experience as a Machine Learning Engineer or similar role focused on production systems.
* Strong engineering skills with Python or TypeScript, including experience building ML workflows in frameworks like Mastra or comparable agent/LLM toolkits.
* Experience with retrieval systems, vector databases, search technologies, or RAG architectures.
* Prior work integrating ML or LLM\-powered features into production applications.
* Understanding of ML evaluation techniques, experimentation design, and failure analysis.
* Ability to lead complex projects, make practical trade\-offs, and work independently in areas of ambiguity.
* Strong communication and collaboration skills in a distributed environment.
**Bonus Points**
* Experience building ML or LLM platforms, tooling, or developer\-facing frameworks.
* Prior work with embeddings, search–ranking systems, or advanced RAG architectures.
* Familiarity with event\-driven systems or streaming architectures.
* Experience with model observability, performance monitoring, or proactive regression detection.
* Background in personalization, recommendations, or applied NLP.
* Experience working in remote\-first engineering teams.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20">
      <c r="A20" t="inlineStr">
        <is>
          <t>li-4325574361</t>
        </is>
      </c>
      <c r="B20" t="inlineStr">
        <is>
          <t>Sr. AI Engineer, Enterprise Applied AI</t>
        </is>
      </c>
      <c r="C20" t="inlineStr">
        <is>
          <t>Rivian</t>
        </is>
      </c>
      <c r="D20" t="inlineStr">
        <is>
          <t>linkedin</t>
        </is>
      </c>
      <c r="E20" t="inlineStr"/>
      <c r="F20" t="inlineStr"/>
      <c r="G20" t="inlineStr">
        <is>
          <t>Palo Alto, CA</t>
        </is>
      </c>
      <c r="H20" t="inlineStr"/>
      <c r="I20"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Join the Enterprise Applied AI team to build and ship production AI experiences and platforms that help internal teams work smarter and faster. As an AI Engineer, you will contribute across the stack, from data pipelines and retrieval to prompt/agent logic, evaluation/guardrails, and serving. You will collaborate closely with partners across Operations, Product, Sales, Customer Service, Finance, HR, and other internal teams to understand needs and deliver practical solutions that create tangible business value. You will develop responsibly, partnering with governance stakeholders on privacy, security, compliance, and safety.
**Responsibilities**
* Build features and services across the AI stack: orchestration, retrieval/grounding, prompt/agent logic, evaluation/guardrails, serving, and observability.
* Implement robust data processing and integration pipelines to enable high\-quality AI applications and analytics.
* Contribute to design docs, code reviews, testing, and operational playbooks to ensure reliability, maintainability, and resilience.
* Partner with product and business stakeholders to define requirements, iterate quickly, and measure outcomes using clear success metrics.
* Instrument telemetry and evaluation to monitor quality, safety, latency, and cost; improve performance based on data.
* Follow responsible AI practices for security, privacy, compliance, and safety in collaboration with governance teams.
* Participate in on\-call and incident response rotations as appropriate; drive post\-incident improvements.
* Share learnings via demos and documentation; contribute to AI literacy and enablement across the org.
**Qualifications**
* BS/MS in Computer Science or a related field, or equivalent experience.
* Practical software engineering experience building backend services, APIs, or data\-intensive applications; strong foundations in algorithms, data structures, and systems.
* Exposure to or hands\-on experience with LLM application concepts such as retrieval, grounding, prompt/agent design, function/tool use, evaluation, safety/guardrails, and cost/latency optimization.
* Proficiency with modern software delivery practices (version control, CI/CD, testing, observability); familiarity with cloud\-native services and containerization.
* Ability to collaborate with product and business partners; strong written and verbal communication skills.
* Bias to ship, learn, and iterate; comfortable working in fast\-evolving technology areas with incomplete information.
* For Senior level: demonstrated ownership of services or platform components, end\-to\-end delivery of cross\-service initiatives, and contributions to reliability/SLOs and operational excellence.
**Pay Disclosure**
 The salary range for this role is $162,800 to $203,500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1/23/26\.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21">
      <c r="A21" t="inlineStr">
        <is>
          <t>li-4345422238</t>
        </is>
      </c>
      <c r="B21" t="inlineStr">
        <is>
          <t>AI/ML Engineer</t>
        </is>
      </c>
      <c r="C21" t="inlineStr">
        <is>
          <t>FTI Defense - Frontier Technology Inc.</t>
        </is>
      </c>
      <c r="D21" t="inlineStr">
        <is>
          <t>linkedin</t>
        </is>
      </c>
      <c r="E21" t="inlineStr"/>
      <c r="F21" t="inlineStr"/>
      <c r="G21" t="inlineStr">
        <is>
          <t>Dayton, OH</t>
        </is>
      </c>
      <c r="H21" t="inlineStr"/>
      <c r="I21" t="inlineStr">
        <is>
          <t>**Overview**
 Frontier Technology Inc. (FTI) is seeking a hands\-on AI/ML Engineer to design, build, and deploy advanced machine learning solutions supporting defense and national security missions. This role focuses on execution in oversight, ideal for an engineer who thrives in the code, enjoys building end\-to\-end pipelines, and takes pride in seeing their work directly impact operational systems.
 FTI delivers mission\-focused solutions to the Department of Defense (DoD/DoW) and Intelligence Community (IC) through advanced engineering, digital transformation, and program execution expertise. We help our customers solve complex challenges and achieve mission success by integrating people, process, and technology.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6\-10\+ years of professional experience developing and deploying AI/ML solutions in production environments.
* Professional experience within the Department of Defense (DoD/DoW) AI assurance, security, and deployment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Professional experience fine\-tuning and evaluating LLMs or smaller task\-specific models using LoRA, QLoRA, or PEFT.
* Professional experience integrating AI capabilities into production systems or mission applications.
**Preferred Qualifications**
* Familiarity with agentic frameworks (LangGraph, AutoGen, CrewAI, DSPy) and multi\-agent reasoning.
* Understanding of prompt engineering, retrieval quality, and grounding methods.
* Exposure to GPU\-based or edge inference environments.
* Bachelor’s or Master’s degree in Computer Science, Engineering, Data Science, or a related technical field.
* Active Secret clearance preferred; ability to obtain one is required.</t>
        </is>
      </c>
    </row>
    <row r="22">
      <c r="A22" t="inlineStr">
        <is>
          <t>li-4303767327</t>
        </is>
      </c>
      <c r="B22" t="inlineStr">
        <is>
          <t>Senior Machine Learning Engineer (Data Science Algorithms)</t>
        </is>
      </c>
      <c r="C22" t="inlineStr">
        <is>
          <t>WHOOP</t>
        </is>
      </c>
      <c r="D22" t="inlineStr">
        <is>
          <t>linkedin</t>
        </is>
      </c>
      <c r="E22" t="inlineStr"/>
      <c r="F22" t="inlineStr"/>
      <c r="G22" t="inlineStr">
        <is>
          <t>Boston, MA</t>
        </is>
      </c>
      <c r="H22" t="inlineStr"/>
      <c r="I22" t="inlineStr">
        <is>
          <t>WHOOP is an advanced health and fitness wearable, on a mission to unlock human performance. WHOOP empowers its members to improve their health and perform at a higher level by providing a deep understanding of their bodies and daily lives.
**Responsibilities**
 Our data science algorithms teams are responsible for developing novel algorithms and features that expand our health and fitness capabilities with medical\-grade metrics. We combine continuous physiological data with clinical research and expert knowledge to generate features that are both scientifically grounded and deeply impactful for members. Currently, we have two Senior MLE roles open across two teams:
**DS Health team:** 
 novel algorithms within the domains of women's health, multimodal longitudinal health insights, and SaMD
**DS Core Algos team:** 
 performance\-related insights for sleep, recovery, or exercise
 As a Senior Machine Learning Engineer on our Core Algos or Health team, you will design, build, and productionize ML systems that deliver meaningful, personalized health metrics to millions of members. You will work at the intersection of data science, backend engineer, and cloud infrastructure – deploying robust, scalable, and reliable ML solutions build on physiological and behavioral data streams. This role emphasizes strong coding skills, system design, and ability to deliver production\-ready ML systems.
**Responsibilities**
* Create, improve, and maintain production services that provide analysis for health features in collaboration with data scientists and MLOps engineers
* Collaborate with data engineers to improve ML data pipelines, tooling, and validation systems that support robust model performance
* Work alongside data scientists to translate research prototypes into production ML systems optimized for scale, latency and cost efficiency
* Collaborate with researchers and product teams to align model development with physiological insights and member impact
* Participate in on\-call rotations for data science services, ensuring uptime and performance in production environments
**Qualifications**
* Bachelor's Degree in Computer Science, Data Science, Applied Mathematics, or a related field (Master’s preferred).
* 4\+ years of professional experience as a ML engineer, applied researcher, or software engineer with a focus on ML systems
* Strong coding skills in Python with a track record of writing clean, production\-quality code
* Experience designing, deploying and operating ML inference systems at scale (real\-time streaming and/or large\-scale batch)
* Strong fundamentals in backend/service development (APIs, reliability, monitoring, debugging) as it relates to serving ML models
* Experience deploying and maintaining ML systems on cloud platforms (AWS or GCP), including CI/CD and observability practices
* Familiarity with applied ML development (frameworks, evaluation criteria, performance validation) and translating prototypes into production systems
* Preferred: 2\+ years of experience applying advanced mathematical and statistical techniques
* Preferred: Experience working with time series data (wearable, physiological, or high\-frequency sensor data)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3">
      <c r="A23" t="inlineStr">
        <is>
          <t>li-4352364352</t>
        </is>
      </c>
      <c r="B23" t="inlineStr">
        <is>
          <t>Senior Machine Learning Engineer (Sensor Intelligence)</t>
        </is>
      </c>
      <c r="C23" t="inlineStr">
        <is>
          <t>WHOOP</t>
        </is>
      </c>
      <c r="D23" t="inlineStr">
        <is>
          <t>linkedin</t>
        </is>
      </c>
      <c r="E23" t="inlineStr"/>
      <c r="F23" t="inlineStr"/>
      <c r="G23" t="inlineStr">
        <is>
          <t>Boston, MA</t>
        </is>
      </c>
      <c r="H23" t="inlineStr"/>
      <c r="I23" t="inlineStr">
        <is>
          <t>At WHOOP, we're on a mission to unlock human performance and healthspan. WHOOP empowers members to perform at a higher level through a deeper understanding of their bodies and daily lives.
 WHOOP is seeking a Senior Machine Learning Engineer to join the Sensor Intelligence Group (SIG), a cross\-functional team collaborating across WHOOP Labs, Firmware, and Data Science. This role will contribute to both member\-facing and regulated health features, requiring a strong balance of ML rigor, production readiness, and regulatory awareness. You will tackle the complex challenge of extracting reliable insights from noisy sensor data and deploying robust algorithms on constrained edge and cloud environments, ultimately delivering meaningful and personalized metrics to millions of members. Join us in pushing the boundaries of wearable technology and positively impacting people's lives!
**Responsibilities**
* Design and train deep\-learning (DL) and machine\-learning (ML) models to extract valuable insights from large repositories of time\-series/biosensor data.
* Validate and maintain DL/ML algorithms for regulated health features, ensuring compliance with applicable regulatory and quality requirements.
* Support documentation for regulated health features.
* Write clean, efficient, and maintainable code that is production ready.
* Monitor and ensure the proper functioning of algorithms across our diverse user population, addressing any issues related to data and data quality.
* Conduct experiments and perform rigorous testing of the models. Optimize and fine\-tune the DL/ML (including Foundation AI models) models for deployment in production systems, considering factors such as computational resources and real\-time constraints. Prepare comprehensive reports for cross\-functional teams.
* Stay up to date with the latest advancements in AI/DL research and technologies.
* Contribute to ongoing research efforts and explore new features for the Whoop product. Collaborate with engineers from SIG, Data Science and Firmware teams to translate research prototypes into scalable, efficient, and cost\-effective ML inference systems.
* Own the full lifecycle of ML service(s) from development to deployment. Be ready to partner with data engineers to build and enhance data pipelines, validation tools, and monitoring systems that ensure consistent model performance in production.
* Mentor team members in ML engineering best practices.
**Qualifications**
* Bachelor's degree in either Computer Science, Electrical engineering, Biomedical engineering, Data Science, Artificial Intelligence, Statistics, or a related field; Master’s or PhD degree preferred.
* 5\+ years of work experience as a Machine Learning Engineer working on research and development problems (4\+ years for those with Master’s degree and 2\+ years for those with PhD degree). The requirements may be relaxed for exceptional candidates.
* Experience developing or supporting regulated or high\-risk ML systems (e.g., digital health, software as a medical devices), including familiarity with validation, documentation, and change\-management requirements in regulated environments is a significant plus.
* Solid understanding of ML fundamentals, and particularly DL techniques. At the SIG team, we like to be aware of the mathematics behind the algorithms we use.
* Strong experience with time series data, e.g. data pertaining to wearables, physiological signals or any high\-frequency sensor data. Familiarity with signal processing concepts and techniques is expected.
* Strong experience with multiple DL architectures is expected. Experience in training/fine\-tuning/deploying Foundation AI models is a plus.
* Proficiency in Python (scientific stack), ML/DL frameworks and libraries, e.g. PyTorch, TensorFlow.
* Demonstrated success in designing and deploying ML inference systems at scale, including real\-time and batch architectures is a plus. Experience with cloud computing platforms (e.g. AWS or GCP) is a plus.
* Strong communication (both written and oral) and collaboration skills across cross\-functional teams.
* Strong commitment to embracing and leveraging AI tools in day\-to\-day tasks, ensuring AI\-assisted work aligns with the same high\-quality standards as personal contributions.
* Demonstrated ability to think innovatively and adapt to changing requirements while consistently producing high\-quality reports within tight deadlines.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4">
      <c r="A24" t="inlineStr">
        <is>
          <t>li-4347659845</t>
        </is>
      </c>
      <c r="B24" t="inlineStr">
        <is>
          <t>Staff Machine Learning Engineer</t>
        </is>
      </c>
      <c r="C24" t="inlineStr">
        <is>
          <t>Samsara</t>
        </is>
      </c>
      <c r="D24" t="inlineStr">
        <is>
          <t>linkedin</t>
        </is>
      </c>
      <c r="E24" t="inlineStr"/>
      <c r="F24" t="inlineStr"/>
      <c r="G24" t="inlineStr"/>
      <c r="H24" t="inlineStr"/>
      <c r="I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Samsara AI team builds end\-to\-end AI solutions for our customers as well as core ML infrastructure for Samsara. As a Staff Machine Learning Engineer, you will be working with petabyte\-scale sensor, diagnostic, video, and text data to solve critical problems for Physical Operations customers, globally. You will work closely with ML Engineers and Scientists, as well as full\-stack and firmware engineers to deliver core product features, services, and optimizations.
**This is a remote position open to candidates residing in the United States. This position requires travel up to 5% of the time. Relocation assistance will not be provided for this role.**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Lead design and implementation of critical AI product initiatives on Edge devices.
* Develop both tactical AI solutions as well as more strategic and longer term research.
* Work with petabyte\-scale data from customer operations including text, transactions, diagnostics, sensor, camera, and location data.
* Partner across business units to explore and prototype new AI experiences and optimize the ML model performance on edge devices.
* Stay connected to industry and academic research and adopt novel technology that suits Samsara’s needs.
* Champion, role model, and embed Samsara’s cultural principles (Focus on Customer Success, Build for the Long Term, Adopt a Growth Mindset, Be Inclusive, Win as a Team) as we scale globally and across new offices
**Minimum requirements for the role:**
* 8\+ years experience as a Machine Learning Engineer.
* Profound experience in optimizing ML models and systems for Edge compute constraints.
* Proficient with Spark, Ray, or a similar framework.
* Coding in python or similar.
* Coding in C\+\+ or Rust.
* Strong functional knowledge of the iterative machine learning product development process.
* Experienced in developing and shipping production code at large scale.
* Ability to distill informal or ambiguous customer and business requirements into crisp problem definitions.
* Proven ability to communicate verbally and in writing to technical peers and leadership teams with various levels of technical knowledge.
* Experience coaching and mentoring ML Engineers.
**An ideal candidate also has:**
* Proficiency in self\-serving with data for experiments and model training at scale.
* An established record of successful high impact deliveries in AI.
* Deep knowledge in state of the art Computer Vision and multi\-model models.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$178,640—$319,000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25">
      <c r="A25" t="inlineStr">
        <is>
          <t>li-4345412889</t>
        </is>
      </c>
      <c r="B25" t="inlineStr">
        <is>
          <t>Machine Learning Engineer PhD (Full Time) - United States</t>
        </is>
      </c>
      <c r="C25" t="inlineStr">
        <is>
          <t>Cisco</t>
        </is>
      </c>
      <c r="D25" t="inlineStr">
        <is>
          <t>linkedin</t>
        </is>
      </c>
      <c r="E25" t="inlineStr"/>
      <c r="F25" t="inlineStr"/>
      <c r="G25" t="inlineStr">
        <is>
          <t>Milpitas, CA</t>
        </is>
      </c>
      <c r="H25" t="inlineStr"/>
      <c r="I2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our innovative engineering team focused on building next\-generation AI/ML solutions. You’ll collaborate with skilled colleagues across platform, security, release engineering, and support teams to deliver high\-impact products and ensure their perfect operation.
**Your Impact**
 Dive into the development and implementation of cutting\-edge generative AI applications using the latest large language models—think GPT\-4, Claude, Llama, and beyond! Take on the challenge of optimizing neural networks for natural language processing and machine perception, drawing on a toolkit that includes convolutional and transformer\-based models, student\-teacher frameworks, distillation, and generative adversarial networks (GANs). Performance, scalability, and reliability are front and center as models are trained, fine\-tuned, and put through their paces for real\-world deployment.
 Collaboration is at the heart of this role—work alongside talented engineers and cross\-functional teams to gather and prep data, design custom layers, and automate model deployment. Experimentation with new technologies and ongoing learning are always encouraged. Production\-ready code, robust testing, and creative problem\-solving all play a part in bringing innovative AI solutions to life. What an exciting place to grow and make an impact!
**Minimum Qualifications**
* Recent graduate or in your final year of studies toward a PhD in Computer Science, Electrical Engineering, Artificial Intelligence, Machine Learning, or a related field.
* 3\+ years of experience in backend development using Go or Python.
* Understanding of LLM infrastructure and optimization, validated by technical interview responses, project documentation, or relevant publications.
* Hands\-on experience with model building and AI/LLM research, demonstrated through portfolio work, code samples, technical assessments, or documented academic or professional projects.
**Preferred Qualifications**
* Experience working with inference engines (e.g., vLLM, Triton, TorchServe).
* Knowledge of GPU architecture and optimization.
* Familiarity with agent frameworks.
* Exposure to cloud native solutions and platforms.
* Experience with cybersecurity principles and Python programming, including common AI libraries.
* Familiarity with distributed systems and asynchronous programming models.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
      <c r="A26" t="inlineStr">
        <is>
          <t>li-4345482835</t>
        </is>
      </c>
      <c r="B26" t="inlineStr">
        <is>
          <t>Senior/Staff Machine Learning Engineer - Perception Offline Driving Intelligence</t>
        </is>
      </c>
      <c r="C26" t="inlineStr">
        <is>
          <t>Zoox</t>
        </is>
      </c>
      <c r="D26" t="inlineStr">
        <is>
          <t>linkedin</t>
        </is>
      </c>
      <c r="E26" t="inlineStr"/>
      <c r="F26" t="inlineStr"/>
      <c r="G26" t="inlineStr">
        <is>
          <t>Boston, MA</t>
        </is>
      </c>
      <c r="H26" t="inlineStr"/>
      <c r="I26"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Lead the development of multimodal large language models that enhance our robotaxis' understanding of complex urban environments
* Design effective model architectures and sophisticated training techniques,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with large scale datasets (e.g. tens of millions of videos)
**Bonus Qualifications**
* Publications in top\-tier conferences (CVPR, ICCV, RSS, ICRA)
* Experience with autonomous robotics systems
 $229,000 \- $317,000 a year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li-4345520491</t>
        </is>
      </c>
      <c r="B27" t="inlineStr">
        <is>
          <t>Machine Learning Engineer PhD (Full Time) - United States</t>
        </is>
      </c>
      <c r="C27" t="inlineStr">
        <is>
          <t>Cisco</t>
        </is>
      </c>
      <c r="D27" t="inlineStr">
        <is>
          <t>linkedin</t>
        </is>
      </c>
      <c r="E27" t="inlineStr"/>
      <c r="F27" t="inlineStr"/>
      <c r="G27" t="inlineStr">
        <is>
          <t>San Jose, CA</t>
        </is>
      </c>
      <c r="H27" t="inlineStr"/>
      <c r="I2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our innovative engineering team focused on building next\-generation AI/ML solutions. You’ll collaborate with skilled colleagues across platform, security, release engineering, and support teams to deliver high\-impact products and ensure their perfect operation.
**Your Impact**
 Dive into the development and implementation of cutting\-edge generative AI applications using the latest large language models—think GPT\-4, Claude, Llama, and beyond! Take on the challenge of optimizing neural networks for natural language processing and machine perception, drawing on a toolkit that includes convolutional and transformer\-based models, student\-teacher frameworks, distillation, and generative adversarial networks (GANs). Performance, scalability, and reliability are front and center as models are trained, fine\-tuned, and put through their paces for real\-world deployment.
 Collaboration is at the heart of this role—work alongside talented engineers and cross\-functional teams to gather and prep data, design custom layers, and automate model deployment. Experimentation with new technologies and ongoing learning are always encouraged. Production\-ready code, robust testing, and creative problem\-solving all play a part in bringing innovative AI solutions to life. What an exciting place to grow and make an impact!
**Minimum Qualifications**
* Recent graduate or in your final year of studies toward a PhD in Computer Science, Electrical Engineering, Artificial Intelligence, Machine Learning, or a related field.
* 3\+ years of experience in backend development using Go or Python.
* Understanding of LLM infrastructure and optimization, validated by technical interview responses, project documentation, or relevant publications.
* Hands\-on experience with model building and AI/LLM research, demonstrated through portfolio work, code samples, technical assessments, or documented academic or professional projects.
**Preferred Qualifications**
* Experience working with inference engines (e.g., vLLM, Triton, TorchServe).
* Knowledge of GPU architecture and optimization.
* Familiarity with agent frameworks.
* Exposure to cloud native solutions and platforms.
* Experience with cybersecurity principles and Python programming, including common AI libraries.
* Familiarity with distributed systems and asynchronous programming models.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8">
      <c r="A28" t="inlineStr">
        <is>
          <t>li-4303839494</t>
        </is>
      </c>
      <c r="B28" t="inlineStr">
        <is>
          <t>2026 University Graduate - Machine Learning Engineer</t>
        </is>
      </c>
      <c r="C28" t="inlineStr">
        <is>
          <t>Adobe</t>
        </is>
      </c>
      <c r="D28" t="inlineStr">
        <is>
          <t>linkedin</t>
        </is>
      </c>
      <c r="E28" t="inlineStr"/>
      <c r="F28" t="inlineStr"/>
      <c r="G28" t="inlineStr">
        <is>
          <t>Seattle, WA</t>
        </is>
      </c>
      <c r="H28" t="inlineStr"/>
      <c r="I2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Firefly’s
 **Generative AI Services** 
 team is seeking a
 **Machine Learning Engineer** 
 for our GenAI Services area. In this high\-impact role, you will work with a team of talented engineers in building scalable, high\-performance generative AI systems—powering features across Adobe products like Firefly, Photoshop, Illustrator, Express, Stock, and Premiere. You will design and develop efficient inference pipelines, optimize models for latency and through at inference, and build APIs and ecosystems that integrate both Adobe’s first\-party and third\-party generative models into Adobe suite of products that serve individual and enterprise customers. You will tackle Adobe’s most complex engineering challenges at the forefront of the industry and help set technical direction while collaborating with other ML engineers.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data mining, and software development. Familiarity with working with large\-scale datasets and big data techniques would be a plus.
**What You’ll Do**
* Core GenAI Services Development: Design and develop APIs and services that integrate a wide range of generative models into Adobe's flagship products, ensuring seamless user experiences.
* ML Pipeline Optimization: Build and optimize GPU\-accelerated pipelines for model training and inference, prioritizing performance, scalability, and reliability across enterprise\-scale deployments.
* Model Integration \&amp; Productization: Collaborate with Adobe Research and model developer teams to implement inference strategies and productionize modern generative models.
* Enterprise\-Scale Systems: Design and build ML workflows for enterprise\-scale model customization, serving, and ecosystem integration that handle massive user loads.
* Technical Excellence: Foster an atmosphere of creativity and technical expertise while addressing Adobe's groundbreaking engineering challenges.
* Develop predictive models on large\-scale datasets to address various business problems with advanced statistical modeling, machine learning, and analytics techniques.
* Develop and implement scalable and efficient modeling algorithms that can work with large\-scale data in production systems
* Collaborate with product management and engineering groups to develop new products and features.
 What You Need to Succeed
* PhD or MS degree in Computer Science, Statistics, Electrical Engineering, Applied Math, Operations Research, Econometrics or equivalent experience required
* 0\-2\+ years of experience in specific skill/field(s)
* Deep understanding of statistical modeling, machine learning, deep learning, or data mining concepts, and a track record of solving problems with these methods.
* Proficient in one or more programming languages such as Python, Scala, Java and C
* Familiar with one or more machine learning or statistical modeling tools such as R, Matlab and scikit learn
* Knowledge and experience of working with relational databases and SQL
* Strong analytical and quantitative problem\-solving ability.
* Outstanding communication and relationship skills, and a great teammate.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Washington, the pay range for this position is $142,500 \- $206,275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9">
      <c r="A29" t="inlineStr">
        <is>
          <t>li-4345510480</t>
        </is>
      </c>
      <c r="B29" t="inlineStr">
        <is>
          <t>Machine Learning Engineer PhD (Full Time) - United States</t>
        </is>
      </c>
      <c r="C29" t="inlineStr">
        <is>
          <t>Cisco</t>
        </is>
      </c>
      <c r="D29" t="inlineStr">
        <is>
          <t>linkedin</t>
        </is>
      </c>
      <c r="E29" t="inlineStr"/>
      <c r="F29" t="inlineStr"/>
      <c r="G29" t="inlineStr">
        <is>
          <t>San Francisco, CA</t>
        </is>
      </c>
      <c r="H29" t="inlineStr"/>
      <c r="I29"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our innovative engineering team focused on building next\-generation AI/ML solutions. You’ll collaborate with skilled colleagues across platform, security, release engineering, and support teams to deliver high\-impact products and ensure their perfect operation.
**Your Impact**
 Dive into the development and implementation of cutting\-edge generative AI applications using the latest large language models—think GPT\-4, Claude, Llama, and beyond! Take on the challenge of optimizing neural networks for natural language processing and machine perception, drawing on a toolkit that includes convolutional and transformer\-based models, student\-teacher frameworks, distillation, and generative adversarial networks (GANs). Performance, scalability, and reliability are front and center as models are trained, fine\-tuned, and put through their paces for real\-world deployment.
 Collaboration is at the heart of this role—work alongside talented engineers and cross\-functional teams to gather and prep data, design custom layers, and automate model deployment. Experimentation with new technologies and ongoing learning are always encouraged. Production\-ready code, robust testing, and creative problem\-solving all play a part in bringing innovative AI solutions to life. What an exciting place to grow and make an impact!
**Minimum Qualifications**
* Recent graduate or in your final year of studies toward a PhD in Computer Science, Electrical Engineering, Artificial Intelligence, Machine Learning, or a related field.
* 3\+ years of experience in backend development using Go or Python.
* Understanding of LLM infrastructure and optimization, validated by technical interview responses, project documentation, or relevant publications.
* Hands\-on experience with model building and AI/LLM research, demonstrated through portfolio work, code samples, technical assessments, or documented academic or professional projects.
**Preferred Qualifications**
* Experience working with inference engines (e.g., vLLM, Triton, TorchServe).
* Knowledge of GPU architecture and optimization.
* Familiarity with agent frameworks.
* Exposure to cloud native solutions and platforms.
* Experience with cybersecurity principles and Python programming, including common AI libraries.
* Familiarity with distributed systems and asynchronous programming models.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
      <c r="A30" t="inlineStr">
        <is>
          <t>li-4321164740</t>
        </is>
      </c>
      <c r="B30" t="inlineStr">
        <is>
          <t>Senior Machine Learning Engineer</t>
        </is>
      </c>
      <c r="C30" t="inlineStr">
        <is>
          <t>Hiscox</t>
        </is>
      </c>
      <c r="D30" t="inlineStr">
        <is>
          <t>linkedin</t>
        </is>
      </c>
      <c r="E30" t="inlineStr"/>
      <c r="F30" t="inlineStr"/>
      <c r="G30" t="inlineStr">
        <is>
          <t>Atlanta, GA</t>
        </is>
      </c>
      <c r="H30" t="inlineStr"/>
      <c r="I30" t="inlineStr">
        <is>
          <t>**Job Type**
 Permanent
**Build a brilliant future with Hiscox**
**Member of the Hiscox US Data Engineering practice**
**Position:** 
 Senior Machine Learning Engineer
**Reporting to:** 
 Director of Data Engineering
**Location:** 
 Atlanta, New York, Chicago, Boston, Connecticut, Los Angeles, Scottsdale (Hybrid – Remote/Office)
**The Role**
 You will be a machine learning specialist, part of our US Data Engineering chapter. You will work closely with our data engineers and data scientists to bridge the gap between model development and production deployment. You will be hands\-on developing integrations, infrastructure, and deployment pipelines for machine learning models. You should be comfortable reading, questioning, and interpreting machine learning models to ensure they are deployed appropriately and effectively
**What You’ll Be Doing**
* Developing and maintaining infrastructure for deploying ML models in both real\-time and batch environments.
* Building and maintaining endpoints to serve ML models.
* Collaborating with cross discipline engineers to integrate ML services into user\-facing applications.
* Working with platform engineers to align with infrastructure best practices and ensure scalable deployments.
* Reviewing pull requests and contributing to code quality across our teams.
* Monitoring and maintaining cloud\-based ML services, ensuring reliability and performance.
* Designing and implementing CI/CD pipelines for ML model deployment.
* Writing unit tests and following software engineering principles to ensure code is maintainable.
* Contributing to the development and improvement to our model registry, including tracking and implementation of model discontinuation upgrades and model monitoring.
**Essential Skills**
* Solid experience as a Python developer, ideally in a machine learning engineering context
* Hands\-on experience of integrated cloud data science platforms particularly Databricks or GCP
* Good understanding of core data science principles and understanding of challenges of migrating research code into production code.
* Strong understanding of software engineering best practice.
* Experience with infrastructure as code tools like Terraform
* Experience with CI/CD tools and Git\-based development workflows.
* Understanding of API operations monitoring and logging.
* Strong problem\-solving skills and ability to work independently on technical tasks.
* Experience collaborating with technical and non\-technical team members in agile Scrum ceremonies – roadmap planning, feature workshops, backlog elaboration, code review.
**Desirable Skills**
 Beyond the required skills we are open to individuals of diverse talents. Experience with additional technologies, real\-time data platforms or an insurance background are all valued. We want to know how your unique abilities can contribute to our team.
**Our Technology**
 We operate in a diverse technical landscape and are looking for flexible engineers who can adapt to and use many different tools. We would not expect any engineer to be familiar with the entire tech stack – no engineer can. Instead, we seek people with a good understanding of data structures and algorithms and the ability to apply this knowledge in learning new tools.
 We are building a modern cloud data platform to realise the full value of our data. It will be based on Databricks and use dbt for transformation.
 For machine learning we are still building our capabilities. We are likely to deploy models in our Databricks environment using tools like MLflow. We will explore the offerings of other cloud providers e.g. GCP to ensure we are using the most advanced tools available.
 We take a DevOps approach and strive for continuous integration / continuous deployment. We use Azure Pipelines to deploy our code. We deploy infrastructure the same way using Terraform and Docker.
 Our technology landscape is not complete. Our engineering teams will be able and required to help us build out our technology stack to fill gaps and embrace new opportunities.
**What Hiscox USA Offers**
* Competitive salary and bonus (based on personal \&amp; company performance)
* 401(k) with competitive company matching
* Comprehensive health insurance, vision, dental and FSA plans (medical, limited purpose, and dependent care)
* Company paid group term life, short\- term disability and long\-term disability coverage
* 24 Paid time off days, 2 Hiscox Days, 10 paid holidays, and ability to purchase 5 PTO days
* Paid parental leave
* 4 week paid sabbatical after every 5 years of service
* Financial Adoption Assistance and Medical Travel Reimbursement Programs
* Annual reimbursement up to $600 for health club membership or fees associated with any fitness program
* Company paid subscription to Headspace to support employees’ mental health and wellbeing
* Recipient of 2024 Cigna’s Well\-Being Award for having a best\-in\-class health and wellness program
* Dynamic, creative and values\-driven culture
* Modern and open office spaces, complimentary drinks
* Please note that this position is hybrid and requires two (2\) days in our office weekly\*\*
**Salary Range: $120\-$180k**
*The actual salary for this position will be determined by a number of factors, including the scope, complexity and location of the role; the skills, education, training, credentials and experience of the candidate; and other conditions of employment.*
**About Hiscox**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look for solutions. Scratch beneath the surface and you will find a business that is solid, but slightly contrary. We like to do things differently and constantly seek to evolve. We might have been around for a long time (our roots go back to 1901\), but we are young in many ways, ambitious and going places. Some people might say insurance is dull, but life at Hiscox is anything but. If that sounds good to you, get in touch.
**About Hiscox US**
 Hiscox USA was established in 2006 to focus on the needs underserved and specialty commercial clients via both the regional broker and direct distribution channels and is today the fastest\-growing business unit within the Hiscox Group. Today, Hiscox USA has a talent force of about 400 employees mostly operating out of 6 major cities \- New York, Atlanta, Dallas, Chicago, Los Angeles and San Francisco. Hiscox USA offers a broad portfolio of commercial products, including technology, cyber \&amp; data risk, multiple professional liability lines, media, entertainment, management liability, crime, kidnap \&amp; ransom, commercial property and terrorism.
 You can follow Hiscox on LinkedIn, Glassdoor and Instagram(@HiscoxInsurance)
*Work with amazing people and be part of a unique culture*</t>
        </is>
      </c>
    </row>
    <row r="31">
      <c r="A31" t="inlineStr">
        <is>
          <t>li-4288327062</t>
        </is>
      </c>
      <c r="B31" t="inlineStr">
        <is>
          <t>Sr. Applied Scientist, Prime Video - Personalization and Discovery Science</t>
        </is>
      </c>
      <c r="C31" t="inlineStr">
        <is>
          <t>Prime Video &amp; Amazon MGM Studios</t>
        </is>
      </c>
      <c r="D31" t="inlineStr">
        <is>
          <t>linkedin</t>
        </is>
      </c>
      <c r="E31" t="inlineStr"/>
      <c r="F31" t="inlineStr"/>
      <c r="G31" t="inlineStr">
        <is>
          <t>New York, United States</t>
        </is>
      </c>
      <c r="H31" t="inlineStr"/>
      <c r="I3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A3061266</t>
        </is>
      </c>
    </row>
    <row r="32">
      <c r="A32" t="inlineStr">
        <is>
          <t>li-4321124475</t>
        </is>
      </c>
      <c r="B32" t="inlineStr">
        <is>
          <t>2026 University Graduate - Applied Scientist</t>
        </is>
      </c>
      <c r="C32" t="inlineStr">
        <is>
          <t>Adobe</t>
        </is>
      </c>
      <c r="D32" t="inlineStr">
        <is>
          <t>linkedin</t>
        </is>
      </c>
      <c r="E32" t="inlineStr"/>
      <c r="F32" t="inlineStr"/>
      <c r="G32" t="inlineStr">
        <is>
          <t>San Jose, CA</t>
        </is>
      </c>
      <c r="H32" t="inlineStr"/>
      <c r="I3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 The Opportunity
 Adobe is looking for an Applied Scientist with experience in Generative AI, specifically,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 What You Need to Succeed
* PhD or MS degree in CV/AI/ML/CG or related fields 0\-2\+ years of experience in specific skill/field(s),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$120,700 \-\- $228,600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3">
      <c r="A33" t="inlineStr">
        <is>
          <t>li-4328198007</t>
        </is>
      </c>
      <c r="B33" t="inlineStr">
        <is>
          <t>Principal Applied Scientist</t>
        </is>
      </c>
      <c r="C33" t="inlineStr">
        <is>
          <t>Microsoft</t>
        </is>
      </c>
      <c r="D33" t="inlineStr">
        <is>
          <t>linkedin</t>
        </is>
      </c>
      <c r="E33" t="inlineStr"/>
      <c r="F33" t="inlineStr"/>
      <c r="G33" t="inlineStr">
        <is>
          <t>Redmond, WA</t>
        </is>
      </c>
      <c r="H33" t="inlineStr"/>
      <c r="I33"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li-4376390991</t>
        </is>
      </c>
      <c r="B34" t="inlineStr">
        <is>
          <t>AI Engineer</t>
        </is>
      </c>
      <c r="C34" t="inlineStr">
        <is>
          <t>GEI Consultants, Inc.</t>
        </is>
      </c>
      <c r="D34" t="inlineStr">
        <is>
          <t>linkedin</t>
        </is>
      </c>
      <c r="E34">
        <f>HYPERLINK("https://www.linkedin.com/jobs/view/4376390991", "https://www.linkedin.com/jobs/view/4376390991")</f>
        <v/>
      </c>
      <c r="F34">
        <f>HYPERLINK("https://geicareers.ttcportals.com/jobs/17170776-ai-engineer?tm_job=856161-OTHLOC-CsCxYfwj&amp;tm_event=view&amp;tm_company=90289&amp;bid=56&amp;urlHash=fmAR", "https://geicareers.ttcportals.com/jobs/17170776-ai-engineer?tm_job=856161-OTHLOC-CsCxYfwj&amp;tm_event=view&amp;tm_company=90289&amp;bid=56&amp;urlHash=fmAR")</f>
        <v/>
      </c>
      <c r="G34" t="inlineStr">
        <is>
          <t>New York, NY</t>
        </is>
      </c>
      <c r="H34" t="inlineStr"/>
      <c r="I34"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35">
      <c r="A35" t="inlineStr">
        <is>
          <t>li-4376501312</t>
        </is>
      </c>
      <c r="B35" t="inlineStr">
        <is>
          <t>Lead AI Engineer/GenAI Engineer/Data Scientist</t>
        </is>
      </c>
      <c r="C35" t="inlineStr">
        <is>
          <t>NeerInfo Solutions</t>
        </is>
      </c>
      <c r="D35" t="inlineStr">
        <is>
          <t>linkedin</t>
        </is>
      </c>
      <c r="E35">
        <f>HYPERLINK("https://www.linkedin.com/jobs/view/4376501312", "https://www.linkedin.com/jobs/view/4376501312")</f>
        <v/>
      </c>
      <c r="F35" t="inlineStr"/>
      <c r="G35" t="inlineStr">
        <is>
          <t>Richardson, TX</t>
        </is>
      </c>
      <c r="H35" t="inlineStr"/>
      <c r="I35" t="inlineStr">
        <is>
          <t>About the job
**Job Title: Java/ Gen AI Lead Consultant** 
**Location: Austin, TX** 
**Job type: full\-time** 
**Job Description:** 
 We are seeking a
 **Generative AI Lead Consultant** 
 with strong expertise in
 **Generative AI, Agentic AI, Machine Learning, and Python** 
 . In this role, you will drive end\-to\-end implementation of AI solutions—from problem identification to model deployment—leveraging the latest advancements in Large Language Models (LLMs), RAG, agent frameworks, and cloud platforms.
 You will work closely with client stakeholders, architects, and offshore teams to build scalable, production\-grade AI systems aligned with enterprise data strategies.
**Responsibilities** 
* Lead end\-to\-end development of
 **Generative AI and Agentic AI solutions** 
 , including business problem discovery, solution design, model development, optimization, and deployment.
* Fine\-tune, evaluate, and deploy
 **Large Language Models** 
 and build
 **Advanced RAG pipelines** 
 .
* Architect and implement AI workflows using
 **LangGraph, AutoGen, Crew AI** 
 , or similar agent frameworks.
* Build scalable AI applications using
 **Python** 
 , modern ML frameworks, and cloud\-based GenAI services.
* Deploy solutions using platforms such as
 **AWS Bedrock** 
 ,
 **Azure OpenAI** 
 ,
 **Google Vertex AI** 
 , or
 **IBM Watson** 
 .
* Ingest and process
 **unstructured data** 
 including PDFs, HTML, images, and audio\-to\-text pipelines.
* Work with
 **vector databases** 
 such as FAISS, Pinecone, Weaviate, or Azure AI Search.
* Ensure data quality, data governance, and adherence to coding best practices across the AI lifecycle.
* Collaborate with agile teams, drive sprint execution, provide mentorship, and coordinate with offshore delivery teams.
* Build and publish reusable assets, best practices, and accelerators for AI implementations.
**Required Qualifications** 
* Bachelor’s Degree or foreign equivalent (or 3 years of relevant progressive experience per year of missing education).
* **7\+ years** 
 of experience in Information Technology.
* **4\+ years** 
 of hands\-on experience in
 **Generative AI / Agentic AI / Machine Learning / Data Science** 
 .
* Strong proficiency in
 **Python** 
 programming.
* Experience deploying AI applications using
 **agent frameworks** 
 such as LangGraph, AutoGen, or Crew AI.
* Experience with cloud\-native Gen AI services on
 **AWS, Azure, GCP, or IBM Watson** 
 .
* Hands\-on experience with
 **RAG** 
 , multiple LLMs, and GenAI pipelines.
* Experience processing unstructured data (PDF, image, HTML, OCR, audio\-to\-text).
* Strong understanding of data gathering, data quality, system architecture, and ML coding best practices.
* Experience with
 **vector databases** 
 (FAISS, Pinecone, Weaviate, Azure AI Search).
* Experience with
 **Agile/Lean** 
 development methodologies.
**Preferred Qualifications** 
* Experience with multiple programming languages—
 **Python, R, Scala, Java, SQL** 
 .
* Hands\-on experience with
 **CI/CD pipelines \&amp; DevOps** 
 tools (Jenkins, GitHub Actions, Terraform).
* Proficiency with both
 **SQL and NoSQL databases** 
 (PostgreSQL, MongoDB, CosmosDB, DynamoDB).
* Deep Learning experience:
 **CNNs, RNNs, LSTMs** 
 , and exposure to emerging research.
* Experience with AI/ML frameworks such as
 **TensorFlow, PyTorch, LangChain** 
 .
* Strong background in
 **LLM fine\-tuning** 
 , optimization, quantization, and local deployment.
* Experience building
 **RESTful APIs** 
 using FastAPI, Flask, or Django.
* Knowledge of model evaluation tools such as
 **DeepEval, FMEval, RAGAS, Bedrock evaluations** 
 .
* Experience with
 **computer vision, time\-series** 
 , and NLP pipelines.
* Strong Big Data skills:
 **HDFS, Hive, Spark, Scala** 
 .
* Exposure to data visualization tools (Tableau) and data query tools (SQL, Hive).
* Strong applied statistics background (distributions, statistical testing, regression, etc.).</t>
        </is>
      </c>
    </row>
    <row r="36">
      <c r="A36" t="inlineStr">
        <is>
          <t>li-4375302780</t>
        </is>
      </c>
      <c r="B36" t="inlineStr">
        <is>
          <t>Generative AI Engineer</t>
        </is>
      </c>
      <c r="C36" t="inlineStr">
        <is>
          <t>Capgemini</t>
        </is>
      </c>
      <c r="D36" t="inlineStr">
        <is>
          <t>linkedin</t>
        </is>
      </c>
      <c r="E36">
        <f>HYPERLINK("https://www.linkedin.com/jobs/view/4375302780", "https://www.linkedin.com/jobs/view/4375302780")</f>
        <v/>
      </c>
      <c r="F36" t="inlineStr"/>
      <c r="G36" t="inlineStr"/>
      <c r="H36" t="inlineStr"/>
      <c r="I3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**Your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is:$46,000 to $111,000\.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t>
        </is>
      </c>
    </row>
    <row r="37">
      <c r="A37" t="inlineStr">
        <is>
          <t>li-4328227807</t>
        </is>
      </c>
      <c r="B37" t="inlineStr">
        <is>
          <t>Senior Applied Scientist</t>
        </is>
      </c>
      <c r="C37" t="inlineStr">
        <is>
          <t>Microsoft</t>
        </is>
      </c>
      <c r="D37" t="inlineStr">
        <is>
          <t>linkedin</t>
        </is>
      </c>
      <c r="E37">
        <f>HYPERLINK("https://www.linkedin.com/jobs/view/4328227807", "https://www.linkedin.com/jobs/view/4328227807")</f>
        <v/>
      </c>
      <c r="F37">
        <f>HYPERLINK("https://apply.careers.microsoft.com/careers/job/1970393556640422?utm_source=linkedin&amp;domain=microsoft.com&amp;src=LinkedIn&amp;urlHash=kSYM", "https://apply.careers.microsoft.com/careers/job/1970393556640422?utm_source=linkedin&amp;domain=microsoft.com&amp;src=LinkedIn&amp;urlHash=kSYM")</f>
        <v/>
      </c>
      <c r="G37" t="inlineStr">
        <is>
          <t>Redmond, WA</t>
        </is>
      </c>
      <c r="H37" t="inlineStr"/>
      <c r="I37"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li-4359973566</t>
        </is>
      </c>
      <c r="B38" t="inlineStr">
        <is>
          <t>Principal Applied Scientist</t>
        </is>
      </c>
      <c r="C38" t="inlineStr">
        <is>
          <t>Microsoft</t>
        </is>
      </c>
      <c r="D38" t="inlineStr">
        <is>
          <t>linkedin</t>
        </is>
      </c>
      <c r="E38">
        <f>HYPERLINK("https://www.linkedin.com/jobs/view/4359973566", "https://www.linkedin.com/jobs/view/4359973566")</f>
        <v/>
      </c>
      <c r="F38">
        <f>HYPERLINK("https://apply.careers.microsoft.com/careers/job/1970393556621434?utm_source=linkedin&amp;domain=microsoft.com&amp;src=LinkedIn&amp;urlHash=Xhii", "https://apply.careers.microsoft.com/careers/job/1970393556621434?utm_source=linkedin&amp;domain=microsoft.com&amp;src=LinkedIn&amp;urlHash=Xhii")</f>
        <v/>
      </c>
      <c r="G38" t="inlineStr">
        <is>
          <t>Redmond, WA</t>
        </is>
      </c>
      <c r="H38" t="inlineStr"/>
      <c r="I38"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li-4279939297</t>
        </is>
      </c>
      <c r="B39" t="inlineStr">
        <is>
          <t>Machine Learning Engineer, Payments ML Accelerator</t>
        </is>
      </c>
      <c r="C39" t="inlineStr">
        <is>
          <t>Stripe</t>
        </is>
      </c>
      <c r="D39" t="inlineStr">
        <is>
          <t>linkedin</t>
        </is>
      </c>
      <c r="E39">
        <f>HYPERLINK("https://www.linkedin.com/jobs/view/4279939297", "https://www.linkedin.com/jobs/view/4279939297")</f>
        <v/>
      </c>
      <c r="F39" t="inlineStr"/>
      <c r="G39" t="inlineStr"/>
      <c r="H39" t="inlineStr"/>
      <c r="I39"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0">
      <c r="A40" t="inlineStr">
        <is>
          <t>li-4279935670</t>
        </is>
      </c>
      <c r="B40" t="inlineStr">
        <is>
          <t>Machine Learning Engineer, Payments ML Accelerator</t>
        </is>
      </c>
      <c r="C40" t="inlineStr">
        <is>
          <t>Stripe</t>
        </is>
      </c>
      <c r="D40" t="inlineStr">
        <is>
          <t>linkedin</t>
        </is>
      </c>
      <c r="E40">
        <f>HYPERLINK("https://www.linkedin.com/jobs/view/4279935670", "https://www.linkedin.com/jobs/view/4279935670")</f>
        <v/>
      </c>
      <c r="F40" t="inlineStr"/>
      <c r="G40" t="inlineStr">
        <is>
          <t>New York, United States</t>
        </is>
      </c>
      <c r="H40" t="inlineStr"/>
      <c r="I40"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1">
      <c r="A41" t="inlineStr">
        <is>
          <t>li-4328430090</t>
        </is>
      </c>
      <c r="B41" t="inlineStr">
        <is>
          <t>Machine Learning Engineer</t>
        </is>
      </c>
      <c r="C41" t="inlineStr">
        <is>
          <t>Microsoft</t>
        </is>
      </c>
      <c r="D41" t="inlineStr">
        <is>
          <t>linkedin</t>
        </is>
      </c>
      <c r="E41">
        <f>HYPERLINK("https://www.linkedin.com/jobs/view/4328430090", "https://www.linkedin.com/jobs/view/4328430090")</f>
        <v/>
      </c>
      <c r="F41">
        <f>HYPERLINK("https://apply.careers.microsoft.com/careers/job/1970393556641984?utm_source=linkedin&amp;domain=microsoft.com&amp;src=LinkedIn&amp;urlHash=fHWd", "https://apply.careers.microsoft.com/careers/job/1970393556641984?utm_source=linkedin&amp;domain=microsoft.com&amp;src=LinkedIn&amp;urlHash=fHWd")</f>
        <v/>
      </c>
      <c r="G41" t="inlineStr">
        <is>
          <t>Redmond, WA</t>
        </is>
      </c>
      <c r="H41" t="inlineStr"/>
      <c r="I41"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**The target start date range for this role is May\-September 2026\.**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 Bachelor's Degree in Computer Science, or related technical discipline with proven experience coding in languages including, but not limited to, C, C\+\+, C\#, Java, JavaScript, or Python OR equivalent experience.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li-4279934765</t>
        </is>
      </c>
      <c r="B42" t="inlineStr">
        <is>
          <t>Machine Learning Engineer, Payments ML Accelerator</t>
        </is>
      </c>
      <c r="C42" t="inlineStr">
        <is>
          <t>Stripe</t>
        </is>
      </c>
      <c r="D42" t="inlineStr">
        <is>
          <t>linkedin</t>
        </is>
      </c>
      <c r="E42">
        <f>HYPERLINK("https://www.linkedin.com/jobs/view/4279934765", "https://www.linkedin.com/jobs/view/4279934765")</f>
        <v/>
      </c>
      <c r="F42" t="inlineStr"/>
      <c r="G42" t="inlineStr">
        <is>
          <t>San Francisco, CA</t>
        </is>
      </c>
      <c r="H42" t="inlineStr"/>
      <c r="I42"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3">
      <c r="A43" t="inlineStr">
        <is>
          <t>li-4279939298</t>
        </is>
      </c>
      <c r="B43" t="inlineStr">
        <is>
          <t>Machine Learning Engineer, Payments ML Accelerator</t>
        </is>
      </c>
      <c r="C43" t="inlineStr">
        <is>
          <t>Stripe</t>
        </is>
      </c>
      <c r="D43" t="inlineStr">
        <is>
          <t>linkedin</t>
        </is>
      </c>
      <c r="E43">
        <f>HYPERLINK("https://www.linkedin.com/jobs/view/4279939298", "https://www.linkedin.com/jobs/view/4279939298")</f>
        <v/>
      </c>
      <c r="F43" t="inlineStr"/>
      <c r="G43" t="inlineStr">
        <is>
          <t>Seattle, WA</t>
        </is>
      </c>
      <c r="H43" t="inlineStr"/>
      <c r="I43"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4">
      <c r="A44" t="inlineStr">
        <is>
          <t>li-4376366507</t>
        </is>
      </c>
      <c r="B44" t="inlineStr">
        <is>
          <t>AI/ML Engineer</t>
        </is>
      </c>
      <c r="C44" t="inlineStr">
        <is>
          <t>Wiraa</t>
        </is>
      </c>
      <c r="D44" t="inlineStr">
        <is>
          <t>linkedin</t>
        </is>
      </c>
      <c r="E44">
        <f>HYPERLINK("https://www.linkedin.com/jobs/view/4376366507", "https://www.linkedin.com/jobs/view/4376366507")</f>
        <v/>
      </c>
      <c r="F44" t="inlineStr"/>
      <c r="G44" t="inlineStr"/>
      <c r="H44" t="inlineStr"/>
      <c r="I44" t="inlineStr">
        <is>
          <t>**About The Company**
 Rillet is a pioneering company dedicated to transforming the financial operations of high\-growth AI and technology companies. Serving finance teams across various industries, Rillet provides powerful and elegant accounting software designed to deliver unparalleled speed, accuracy, and insight. Our mission is to empower financial professionals with tools that evolve as rapidly as their companies do, enabling them to run their numbers at the speed of AI. With a proven track record of high customer satisfaction and a commitment to innovation, Rillet has attracted significant investment from leading venture capital firms including Sequoia, Andreessen Horowitz (a16z), Iconiq, Oak HC/FT, and First Round. Our vision is to revolutionize the financial landscape by building industry\-defining software that meets the demands of the fastest\-growing companies worldwide.
**About The Role**
 We are seeking a talented Machine Learning Engineer to join our dynamic engineering team. In this role, you will be instrumental in shaping the future of Rillet’s AI\-driven workflows by developing and integrating sophisticated machine learning models into our core systems. You will work closely with cross\-functional teams—including product managers, designers, and finance experts—to define and implement ML solutions that address real user problems. Your responsibilities will include designing automated pipelines for training and evaluating models, ensuring their scalability and reliability in production environments, and helping to set the strategic direction for Rillet’s AI initiatives. This role offers a remote\-first work environment with opportunities for travel to team events, fostering collaboration and innovation across our global offices in San Francisco, New York, and Barcelona.
**Qualifications**
* 3\+ years of professional experience in product\-driven technology companies.
* Strong proficiency in Python, including experience with libraries such as numpy, pandas, scikit\-learn, and PyTorch.
* Hands\-on experience with large language model (LLM)\-based agent frameworks.
* Bachelor’s degree in Computer Science or a related field (required).
* Advanced degree (Master’s or Ph.D.) in Artificial Intelligence or related discipline (preferred).
* Ability to work independently and collaboratively within small, agile teams.
* Proven problem\-solving skills with a focus on practical, user\-centric solutions.
* Passion for continuous learning and knowledge sharing.
**Responsibilities**
* Define and shape Rillet’s machine learning and AI strategy for the future.
* Collaborate with product managers, engineers, designers, and finance specialists to identify and develop effective ML solutions.
* Deeply analyze user problems to determine the most appropriate methodologies and models.
* Design, develop, and maintain automated pipelines for training, testing, and deploying ML models.
* Integrate machine learning models into production systems, ensuring scalability, performance, and reliability.
* Monitor and optimize model performance over time, implementing improvements as needed.
* Stay updated on emerging AI and ML technologies, incorporating best practices into Rillet’s workflows.
* Contribute to a culture of innovation, collaboration, and continuous improvement within the engineering team.
**Benefits**
* Competitive salary packages complemented by equity options.
* Comprehensive healthcare and dental insurance plans.
* Opportunities for professional growth and career advancement.
* Flexible paid time off (PTO) policies and 9 company\-wide holidays.
* Remote\-friendly work environment with offices in San Francisco, New York, and Barcelona.
* Team\-building events and offsites in various international locations to foster collaboration and community.
 Equal Opportunity
 Rillet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perspectives drive innovation and are essential to our success.</t>
        </is>
      </c>
    </row>
    <row r="45">
      <c r="A45" t="inlineStr">
        <is>
          <t>li-4376167951</t>
        </is>
      </c>
      <c r="B45" t="inlineStr">
        <is>
          <t>ML Engineer</t>
        </is>
      </c>
      <c r="C45" t="inlineStr">
        <is>
          <t>Wiraa</t>
        </is>
      </c>
      <c r="D45" t="inlineStr">
        <is>
          <t>linkedin</t>
        </is>
      </c>
      <c r="E45">
        <f>HYPERLINK("https://www.linkedin.com/jobs/view/4376167951", "https://www.linkedin.com/jobs/view/4376167951")</f>
        <v/>
      </c>
      <c r="F45">
        <f>HYPERLINK("https://www.wiraa.com/job-description/us9C3980EA64DB6682803E17AF964BB43C?source=Linkedin&amp;urlHash=qfTZ", "https://www.wiraa.com/job-description/us9C3980EA64DB6682803E17AF964BB43C?source=Linkedin&amp;urlHash=qfTZ")</f>
        <v/>
      </c>
      <c r="G45" t="inlineStr"/>
      <c r="H45" t="inlineStr"/>
      <c r="I45" t="inlineStr">
        <is>
          <t>**About The Company**
 Tenstorrent is at the forefront of the AI technology industry, pioneering innovative solutions that redefine performance, usability, and cost efficiency. As the world transitions into an era where AI shapes the future of computing, Tenstorrent is committed to developing integrated hardware and software platforms that include advanced software models, compilers, networking solutions, and high\-performance semiconductors. Our team comprises passionate technologists who have successfully engineered a high\-performance RISC‑V CPU from scratch, demonstrating our dedication to pushing technological boundaries. We foster a culture of collaboration, curiosity, and problem\-solving, aiming to build the most advanced AI platform in the industry. With a growing global footprint, we are expanding our team and inviting talented individuals of all seniority levels to join us in shaping the future of AI computing.
**About The Role**
 As a Machine Learning Engineer within Tenstorrent’s AI Models team, you will play a pivotal role in bringing cutting\-edge AI models to life on our custom AI hardware. Your responsibilities will include experimenting with, optimizing, and deploying sophisticated machine learning models to ensure they perform efficiently on our proprietary devices. This role offers a unique opportunity to work on real\-world applications, solving complex problems by pushing the boundaries of current AI capabilities. You will collaborate closely with hardware, compiler, and kernel teams to implement performance enhancements, troubleshoot issues, and develop innovative solutions. The position is hybrid, based out of Toronto, ON; Austin, TX; or Santa Clara, CA, with the possibility of remote work depending on the candidate’s location and experience. We are open to candidates at various experience levels, and the final placement and compensation will be aligned accordingly during the hiring process.
**Qualifications**
* Proficiency in Python programming language.
* Hands\-on experience with PyTorch for deep learning model development.
* Strong understanding of machine learning model architectures.
* Experience in deploying and optimizing ML models on new hardware platforms.
* Solid debugging skills to troubleshoot performance bottlenecks and enhance model robustness.
* Knowledge of model optimization techniques such as quantization, kernel fusing, and flash attention.
* Familiarity with hardware features like matrix engines and memory hierarchies.
* Curiosity\-driven mindset with a passion for staying current with ML research and innovations.
* Ability to collaborate effectively across cross\-functional teams including hardware and software engineers.
**Responsibilities**
* Bring up state\-of\-the\-art machine learning models on new and existing hardware platforms.
* Optimize ML models for performance, accuracy, and robustness, leveraging hardware features and software techniques.
* Investigate and resolve performance issues through detailed debugging and analysis.
* Implement model compression and acceleration techniques such as quantization and kernel fusion.
* Collaborate with hardware, compiler, and kernel teams to develop new features and performance improvements.
* Translate research papers and innovative ideas into production\-ready ML deployment solutions.
* Stay updated with the latest ML research and incorporate practical insights into engineering workflows.
* Participate in cross\-disciplinary discussions to enhance overall system performance and capabilities.
**Benefits**
* Highly competitive compensation package, ranging from $100,000 to $500,000, including base salary and variable incentives.
* Comprehensive health, dental, and vision insurance plans.
* Flexible work arrangements, including hybrid and remote options.
* Opportunities for professional growth and development within a cutting\-edge technological environment.
* Collaborative and innovative work culture that values curiosity and problem\-solving.
* Participation in pioneering projects that influence the future of AI hardware and software.
* Access to a global network of talented professionals and industry leaders.
 Equal Opportunity
 Tenstorrent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age, sexual orientation, disability, or any other protected characteristic. All employment decisions are made based on qualifications, merit, and business needs.</t>
        </is>
      </c>
    </row>
    <row r="46">
      <c r="A46" t="inlineStr">
        <is>
          <t>li-4376505013</t>
        </is>
      </c>
      <c r="B46" t="inlineStr">
        <is>
          <t>Machine Learning Engineer</t>
        </is>
      </c>
      <c r="C46" t="inlineStr">
        <is>
          <t>Wiraa</t>
        </is>
      </c>
      <c r="D46" t="inlineStr">
        <is>
          <t>linkedin</t>
        </is>
      </c>
      <c r="E46">
        <f>HYPERLINK("https://www.linkedin.com/jobs/view/4376505013", "https://www.linkedin.com/jobs/view/4376505013")</f>
        <v/>
      </c>
      <c r="F46">
        <f>HYPERLINK("https://www.wiraa.com/job-description/usB7982C85FC79DBAFF84A0A445A46278B?source=Linkedin&amp;urlHash=-Kpw", "https://www.wiraa.com/job-description/usB7982C85FC79DBAFF84A0A445A46278B?source=Linkedin&amp;urlHash=-Kpw")</f>
        <v/>
      </c>
      <c r="G46" t="inlineStr"/>
      <c r="H46" t="inlineStr"/>
      <c r="I46" t="inlineStr">
        <is>
          <t>**About The Company**
 Waymo is a pioneering autonomous driving technology company dedicated to making transportation safer, more accessible, and more efficient. Established as the Google Self\-Driving Car Project in 2009, Waymo has evolved into a leader in autonomous vehicle innovation. Its core mission is to become the world's most trusted driver by developing the Waymo Driver, an advanced autonomous driving system that powers the company's fully autonomous ride\-hailing service, Waymo One. With a focus on safety and reliability, Waymo has driven tens of millions of miles on public roads and accumulated billions of miles in simulation, enabling it to deliver over one million rider\-only trips. The company’s solutions are designed to improve mobility access for all while significantly reducing traffic\-related fatalities.
**About The Role**
 Waymo is seeking a highly skilled Machine Learning Engineer to join the Predictive Planning team (PrePlan). In this hybrid role, you will be instrumental in developing next\-generation machine learning\-powered prediction and planning systems to enhance the capabilities of the Waymo Driver. Your work will directly impact the safety, efficiency, and scalability of autonomous vehicle operations. You will collaborate with a world\-class team of researchers, engineers, and product managers to frame complex real\-world challenges as ML problems, research and implement cutting\-edge techniques such as foundation models and reinforcement learning, and integrate these models into production systems. Your contributions will help shape the future of autonomous driving technology and expand Waymo’s business footprint across various vehicle platforms and use cases.
**Qualifications**
* Bachelor’s degree in Computer Science, Machine Learning, Robotics, or a related technical field, or equivalent practical experience.
* Minimum of 5 years of experience in Machine Learning modeling and/or Autonomous Vehicles.
* Demonstrated contributions to the ML community through publications, open\-source projects, or significant industry impact.
* Hands\-on experience with modern deep learning libraries such as TensorFlow, JAX, or PyTorch.
* Proficient programming skills in Python and C/C\+\+.
* Strong analytical, debugging, and problem\-solving skills.
* Experience developing, evaluating, and deploying large ML models.
**Responsibilities**
* Design and develop advanced ML\-powered prediction and planning systems to improve vehicle behavior and safety.
* Translate open\-ended, real\-world challenges into well\-defined ML problems and research innovative solutions.
* Apply state\-of\-the\-art ML techniques, including foundation models and reinforcement learning, to autonomous vehicle planning and prediction tasks.
* Collaborate with cross\-functional teams, including research, engineering, and product management, to create safe and smooth planning behaviors for diverse road environments.
* Develop, evaluate, and optimize large models, ensuring their seamless integration into Waymo’s production planning software.
* Participate in testing and validation of models in real\-world scenarios to ensure safety and performance standards are met.
* Contribute to continuous improvement of ML systems based on operational data and feedback.
**Benefits**
* Comprehensive health care coverage, including medical, dental, and vision plans.
* Generous maternity and parental leave policies.
* Retirement planning options and financial wellness programs.
* Opportunities for professional growth and development within a leading technology company.
* Participation in discretionary annual bonus programs and equity incentive plans.
* Inclusive and collaborative work environment that promotes innovation.
 Equal Opportunity
 Waymo is an equal opportunity employer committed to fostering an inclusive environment for all employees. We celebrate diversity and are dedicated to creating a workplace free from discrimination and harassment. All qualified applicants will receive consideration for employment without regard to race, color, religion, sex, national origin, age, disability, gender identity, sexual orientation, or any other protected status. We believe that a diverse team enhances our innovation and success and encourage individuals from all backgrounds to apply.</t>
        </is>
      </c>
    </row>
    <row r="47">
      <c r="A47" t="inlineStr">
        <is>
          <t>li-4376395732</t>
        </is>
      </c>
      <c r="B47" t="inlineStr">
        <is>
          <t>AI Engineer</t>
        </is>
      </c>
      <c r="C47" t="inlineStr">
        <is>
          <t>Stefanini Group</t>
        </is>
      </c>
      <c r="D47" t="inlineStr">
        <is>
          <t>linkedin</t>
        </is>
      </c>
      <c r="E47">
        <f>HYPERLINK("https://www.linkedin.com/jobs/view/4376395732", "https://www.linkedin.com/jobs/view/4376395732")</f>
        <v/>
      </c>
      <c r="F47">
        <f>HYPERLINK("https://www.adzuna.com/details/5640426080?v=905B394614D186D5A931B8A56A1721A2D82FFB1B&amp;frd=f38a7485753c1f286c6a1d55114469d2&amp;ccd=d16c74de6546ad0db7d3aac8e7463bfc&amp;r=21312399&amp;utm_source=linkedin7&amp;utm_medium=organic&amp;chnlid=1931&amp;title=AI%20Engineer&amp;a=e&amp;urlHash=P-ai", "https://www.adzuna.com/details/5640426080?v=905B394614D186D5A931B8A56A1721A2D82FFB1B&amp;frd=f38a7485753c1f286c6a1d55114469d2&amp;ccd=d16c74de6546ad0db7d3aac8e7463bfc&amp;r=21312399&amp;utm_source=linkedin7&amp;utm_medium=organic&amp;chnlid=1931&amp;title=AI%20Engineer&amp;a=e&amp;urlHash=P-ai")</f>
        <v/>
      </c>
      <c r="G47" t="inlineStr">
        <is>
          <t>Philadelphia, PA</t>
        </is>
      </c>
      <c r="H47" t="inlineStr"/>
      <c r="I47" t="inlineStr">
        <is>
          <t>**Job Description**
**Stefanini Group is hiring!**
**Stefanini is looking for an AI Engineer at Philadelphia, PA location (Onsite role).**
**For quick Apply, please reach out to Prakhar Goel: 248 263 5255/ Prakhar.goel@stefanini.com**
**W2 candidates only!**
**Role Summary**
 We are looking for a hands\-on AI Engineer to design, deploy, and scale intelligent systems leveraging Model Context Protocol (MCP), LLM\-powered automation, and agentic AI. This role focuses on building secure, compliant, and testable architectures within strict SaaS constraints and zero public internet egress.
 As this technology evolves rapidly, responsibilities may adapt to align with emerging priorities.
**Key Responsibilities**
**MCP Server Platform (30%)**
* Deploy, configure, and manage MCP servers (tools/providers, resource access, authentication/secrets, observability).
* Integrate MCP with internal services and APIs while ensuring compliance with GovCloud security standards.
**Conversational AI (10%)**
* Build Retrieval\-Augmented Generation (RAG) pipelines using GovCloud\-compatible services (e.g., OpenSearch Service) for grounded responses.
**Agentic AI \&amp; Orchestration (20%)**
* Develop agentic workflows for task decomposition, planning, tool use, and multi\-agent coordination.
* Implement AWS Bedrock guardrails, fallback strategies, and audit trails for safe execution.
**Quality Engineering \&amp; Testability (10%)**
* Extend modern test frameworks (e.g., Playwright) to automate UI and API testing using GenAI capabilities.
* Integrate MCP tools and agentic AI into test automation for dynamic test generation, intelligent validation, and adaptive error handling.
* Ensure structured logging, correlation IDs, and compliance\-ready audit records for all test executions.
**GovCloud Architecture (20%)**
* Map prototypes to AWS GovCloud managed services (API Gateway, Lambda, S3, OpenSearch, CloudWatch, KMS).
* Deliver solutions fully compatible with AWS GovCloud to maintain zero egress.
* Security \&amp; Compliance (10%)
* Apply least\-privilege IAM, KMS\-backed secrets, and token scoping for MCP tools.
**Qualifications**
* Education: Bachelor's or Master's degree in Computer Science, AI, Data Science, Machine Learning, or related field OR equivalent professional experience
**Experience**
* 3\+ years in AI/ML or software engineering
* 1 year setting up and operating MCP servers
* 1 year developing and deploying bots to optimize business processes
**Technical Skills**
* Strong Python skills; familiarity with AI/ML frameworks (PyTorch, TensorFlow)
* MCP architecture expertise (providers/tools, resource servers, authentication/secrets)
* Hands\-on experience with GenAI and agentic AI systems
* RAG implementation
* AWS operations (API Gateway, Lambda, S3, OpenSearch, CloudWatch, KMS) or equivalent experience in Azure/Google Cloud
* Robotic Process Automation (RPA) development experience
* CI/CD pipelines with containerization (Docker/Kubernetes)
* Structured logging and compliance\-driven design
**Preferred Qualifications**
* Experience mapping prototypes to cloud architectures
* Familiarity with OpenSearch Serverless in GovCloud
* Certifications: AWS ML Specialty, AWS Security Specialty
* Prior work in air\-gapped environments with zero public egress
* Ability to design and implement LLM\-based bots with robust dialog management and context handling
* Hands\-on UiPath development experience
* Strong interpersonal skills for collaboration across internal and external stakeholders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48">
      <c r="A48" t="inlineStr">
        <is>
          <t>li-4373024200</t>
        </is>
      </c>
      <c r="B48" t="inlineStr">
        <is>
          <t>Founding Machine Learning Engineer</t>
        </is>
      </c>
      <c r="C48" t="inlineStr">
        <is>
          <t>Shields Group Search</t>
        </is>
      </c>
      <c r="D48" t="inlineStr">
        <is>
          <t>linkedin</t>
        </is>
      </c>
      <c r="E48">
        <f>HYPERLINK("https://www.linkedin.com/jobs/view/4373024200", "https://www.linkedin.com/jobs/view/4373024200")</f>
        <v/>
      </c>
      <c r="F48" t="inlineStr"/>
      <c r="G48" t="inlineStr">
        <is>
          <t>San Francisco, CA</t>
        </is>
      </c>
      <c r="H48" t="inlineStr"/>
      <c r="I48"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9">
      <c r="A49" t="inlineStr">
        <is>
          <t>li-4376505340</t>
        </is>
      </c>
      <c r="B49" t="inlineStr">
        <is>
          <t>Senior AI/ML Engineer (LLM)</t>
        </is>
      </c>
      <c r="C49" t="inlineStr">
        <is>
          <t>iBusiness Funding</t>
        </is>
      </c>
      <c r="D49" t="inlineStr">
        <is>
          <t>linkedin</t>
        </is>
      </c>
      <c r="E49">
        <f>HYPERLINK("https://www.linkedin.com/jobs/view/4376505340", "https://www.linkedin.com/jobs/view/4376505340")</f>
        <v/>
      </c>
      <c r="F49">
        <f>HYPERLINK("https://www.adzuna.com/details/5641031469?v=84F55FD3F8E9D3D5FC937B243BC31A391F13A78A&amp;ccd=e69b3e228abe9faff7fd77fb7732885b&amp;r=21312399&amp;frd=e7582ad8599ae953adffb02bb6b6ca10&amp;utm_source=linkedin7&amp;utm_medium=organic&amp;chnlid=1931&amp;title=Senior%20AI%2FML%20Engineer%20%28LLM%29&amp;a=e&amp;urlHash=Zs7g", "https://www.adzuna.com/details/5641031469?v=84F55FD3F8E9D3D5FC937B243BC31A391F13A78A&amp;ccd=e69b3e228abe9faff7fd77fb7732885b&amp;r=21312399&amp;frd=e7582ad8599ae953adffb02bb6b6ca10&amp;utm_source=linkedin7&amp;utm_medium=organic&amp;chnlid=1931&amp;title=Senior%20AI%2FML%20Engineer%20%28LLM%29&amp;a=e&amp;urlHash=Zs7g")</f>
        <v/>
      </c>
      <c r="G49" t="inlineStr">
        <is>
          <t>Fort Lauderdale, FL</t>
        </is>
      </c>
      <c r="H49" t="inlineStr"/>
      <c r="I49" t="inlineStr">
        <is>
          <t>**About IBusiness Funding**
 iBusiness Funding is a software and lender service provider specializing in small business lending. Our technology, team, and process enable us to support loans from $10,000 to $25 million for our lending partners. Our technology solutions have been proven to quickly scale our clients’ portfolios without the need for additional overhead. Our flagship product, LenderAI, features end\-to\-end lending functionality from sales all the way through servicing
 To date, we’ve processed over $11 billion in SBA and non\-SBA volume and handle more than 1,000 business loan applications daily. Our team is driven by our core values of innovation, integrity, enjoyment, and family.
 Join us and be part of a team that’s transforming the finance industry and empowering businesses to thrive!
 Position Description
 We are seeking an experienced Senior LLM Engineer to join our team. You will play a key role in designing and implementing workflows that leverage large language models (LLMs, LAMs, LMMs, LVLMs, etc.) to automate the process and drive innovation in our products. The ideal candidate will have a deep understanding of NLP, experience with foundational models, and a flexible, problem\-solving mindset. You will collaborate closely with cross\-functional teams, contributing to the development of scalable AI\-driven solutions.
 Major Areas of Responsibility
* Design, Implement, and optimize workflows that incorporate large language models to automate and enhance product features.
* Leverage existing foundational models and adapt them to fit into various product requirements, ensuring alignment with business goals.
* Collaborate with product managers, data scientists, and software engineers to integrate LLM\-based automation into scalable solutions.
* Create and architect Interpreters, Agented Systems, and integrate multi\-hop RAG and other LLM experiences into existing systems to coordinate knowledge responses.
* Research and evaluate new technologies and methodologies in the LLM space to continuously improve product automation.
* Work on the customization and fine\-tuning of models to optimize performance for specific use cases.
* Develop, test, and deploy LLM\-based services in production environments.
* Provide technical leadership and mentorship to other engineers on the team.
* Ensure that LLM integrations are efficient, scalable, and secure, adhering to industry best practices.
**Required Knowledge, Skills, And Abilities**
* 5\+ years of experience in machine learning, NLP, or a related domain, with a focus on large language models.
* Proven experience working with foundational models in production environments.
* Strong programming skills in Python with experience in relevant ML libraries.
* Hands\-on experience in deploying machine learning models at scale.
* Excellent communication and collaboration skills, with the ability to work cross\-functionally.
* Problem\-solving mindset, with the flexibility to adapt models and workflows to evolving product needs.
 Nice To Haves
* Master’s or PhD in Computer Science, AI, Machine Learning, Physics or a related field.
* Experience with MLOps and AWS
* Familiarity with reinforcement learning and other advanced NL techniques.
* Experience building risk modules
 The anticipated salary range for this position is $170,000 \- $210,000 annually, depending on experience and qualifications. iBusiness Funding provides a comprehensive benefits package, including medical, dental, and vision coverage; 401(k) with company match, and paid time off.
**Conclusion**
 This job description is intended to convey information essential to understanding the scope of the job and the general nature and level of work performed by job holders within this job. This job description is not intended to be an exhaustive list of qualifications, skills, efforts, duties, responsibilities, or working conditions associated with the position.
 The company is an equal opportunity employer and will consider all applications without regard to race, sex, age, color, religion, national origin, veteran status, disability, genetic information, or any other characteristic protected by law.</t>
        </is>
      </c>
    </row>
    <row r="50">
      <c r="A50" t="inlineStr">
        <is>
          <t>li-4294963029</t>
        </is>
      </c>
      <c r="B50" t="inlineStr">
        <is>
          <t>PhD Machine Learning Engineer, New Grad</t>
        </is>
      </c>
      <c r="C50" t="inlineStr">
        <is>
          <t>Stripe</t>
        </is>
      </c>
      <c r="D50" t="inlineStr">
        <is>
          <t>linkedin</t>
        </is>
      </c>
      <c r="E50">
        <f>HYPERLINK("https://www.linkedin.com/jobs/view/4294963029", "https://www.linkedin.com/jobs/view/4294963029")</f>
        <v/>
      </c>
      <c r="F50">
        <f>HYPERLINK("https://stripe.com/jobs/listing/phd-machine-learning-engineer-new-grad/7216668?gh_src=73vnei&amp;urlHash=3u_2", "https://stripe.com/jobs/listing/phd-machine-learning-engineer-new-grad/7216668?gh_src=73vnei&amp;urlHash=3u_2")</f>
        <v/>
      </c>
      <c r="G50" t="inlineStr">
        <is>
          <t>San Francisco, CA</t>
        </is>
      </c>
      <c r="H50" t="inlineStr"/>
      <c r="I5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Applied ML organization is excited to offer new grad PhD machine learning engineering positions for 2026\. This is an exceptional opportunity to contribute to critical projects that directly enhance Stripe's suite of products, focusing on areas such as foundation models used for dozens of tasks e.g. fraud detection, enhanced support, and predicting user behavior.
 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
 What you’ll do
**Responsibilities**
* Develop and deploy large\-scale machine learning systems that drive significant business value across various domains.
* Engage in the end\-to\-end process of designing, training, improving, and launching machine learning models.
* Write production\-scale ML models that will be deployed to help Stripe enable economic infrastructure access for a diverse range of businesses globally.
* Collaborate across teams to incorporate feedback and proactively seek solutions to challenges.
* Rapidly learn new technologies and approaches, demonstrating a strong ability to ask insightful questions and communicate the status of your work effectively.
 Who you are
**Minimum Requirements**
* A deep understanding of computer science, obtained through the pursuit of a PhD in Computer Science, Machine Learning, or a closely related field, with the expectation of graduating in winter 2025 or spring/summer 2026\.
* Practical experience with programming and machine learning, evidenced by projects, classwork, or research. Familiarity with languages such as Python, Scala, Spark and libraries such as Pandas, NumPy, and Scikit\-learn.
* Expertise in areas of machine learning such as supervised and unsupervised learning techniques, ML operations, and possibly experience in Large Language Models or Reinforcement Learning.
* Demonstrated ability to work on collaborative projects, with experience in receiving and applying feedback from various stakeholders.
* A proactive approach to learning unfamiliar systems and a demonstrated ability to understand complex systems independently.
**Preferred Qualifications**
* Two years of university education or equivalent experience, with in\-depth knowledge in specific domains of machine learning.
* Published and presented peer\-reviewed articles in top\-tier venues.
* Experience in writing high\-quality pull requests, maintaining good test coverage, and completing projects with minimal defects.
* Familiarity with navigating new codebases and managing work across different programming languages.
* Excellent written communication skills to clearly articulate your work to both team members and wider Stripe audiences.
 Application requirements
**Please Submit The Following With Your Application**
* A description of your work history (either a resume, LinkedIn Profile, website, or other portfolio of work)
* Examples of relevant work and your approach to learning, such as GitHub repositories, StackOverflow contributions, or other project portfolios.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$180,000 \- $270,000\.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51">
      <c r="A51" t="inlineStr">
        <is>
          <t>li-4375306632</t>
        </is>
      </c>
      <c r="B51" t="inlineStr">
        <is>
          <t>AI Engineer</t>
        </is>
      </c>
      <c r="C51" t="inlineStr">
        <is>
          <t>FetchJobs.co</t>
        </is>
      </c>
      <c r="D51" t="inlineStr">
        <is>
          <t>linkedin</t>
        </is>
      </c>
      <c r="E51">
        <f>HYPERLINK("https://www.linkedin.com/jobs/view/4375306632", "https://www.linkedin.com/jobs/view/4375306632")</f>
        <v/>
      </c>
      <c r="F51">
        <f>HYPERLINK("https://www.fetchjobs.co/job-description-usg/3074160765?src=LinkedIn&amp;urlHash=A9Ul", "https://www.fetchjobs.co/job-description-usg/3074160765?src=LinkedIn&amp;urlHash=A9Ul")</f>
        <v/>
      </c>
      <c r="G51" t="inlineStr"/>
      <c r="H51" t="inlineStr"/>
      <c r="I51" t="inlineStr">
        <is>
          <t>**About The Company**
 Jobot is a leading organization dedicated to connecting talented professionals with innovative companies across various industries. Renowned for its commitment to diversity, inclusion, and employee development, Jobot has established a reputation for fostering dynamic and collaborative work environments. The company leverages cutting\-edge technology and a vast network to facilitate meaningful employment opportunities, ensuring that both clients and candidates achieve their strategic goals. With a focus on integrity, transparency, and excellence, Jobot continuously strives to create value for its stakeholders while maintaining a strong emphasis on social responsibility and community engagement.
**About The Role**
 The Engineer, AI Solutions at Jobot will play a pivotal role in transforming our financial systems through the integration of advanced artificial intelligence and automation technologies. This newly created position offers a unique opportunity to work within a thriving healthcare company valued at over $1 billion, based in Irvine. The successful candidate will be responsible for designing, developing, and deploying AI\-driven solutions that streamline financial workflows, enhance data accuracy, and foster intelligent automation across the organization. This role demands a blend of technical expertise, innovative thinking, and strategic collaboration to unlock the full potential of AI within our enterprise environment. The position offers a hybrid work model, competitive compensation, and extensive career growth opportunities, making it an ideal choice for professionals eager to make a significant impact in a fast\-paced, forward\-thinking company.
**Qualifications**
 Candidates should possess a strong educational background in Computer Science, Data Science, or a related field, with a minimum of 5 years of experience in AI, ML, or data engineering roles. Proven expertise in developing and deploying machine learning models, particularly in natural language processing, computer vision, and generative AI, is essential. Experience with cloud platforms such as AWS or GCP, containerization tools like Docker and Kubernetes, and MLOps practices is required. Familiarity with large language models, prompt engineering, embeddings, and retrieval\-augmented generation techniques is highly desirable. Candidates must demonstrate excellent problem\-solving skills, the ability to translate business needs into technical solutions, and effective communication skills to collaborate with cross\-functional teams. A track record of managing data pipelines, designing scalable APIs, and deploying models in production environments will be advantageous.
**Responsibilities**
* Design and implement AI and machine learning solutions across various domains, including document understanding, summarization, chatbots, and intelligent automation.
* Develop and optimize autonomous AI agents and workflows, ensuring seamless integration with enterprise systems and existing infrastructure.
* Guide data labeling strategies and incorporate human\-in\-the\-loop feedback mechanisms to improve supervised and reinforcement learning models.
* Fine\-tune large language models, employing techniques such as prompt engineering, embeddings, and Retrieval\-Augmented Generation (RAG) to enhance AI capabilities.
* Build and maintain robust data pipelines, ensuring data quality through cleaning, transformation, and feature engineering processes.
* Design scalable APIs and real\-time or batch inference services to enable AI functionalities across teams and applications.
* Deploy and manage AI models using containerization, orchestration, and MLOps best practices, including CI/CD pipelines on cloud platforms like AWS or GCP.
* Collaborate with business stakeholders to understand requirements, translate them into technical solutions, and ensure compliance with regulatory standards.
* Participate in research initiatives, evaluate new AI/ML techniques and tools, and contribute to innovation within the organization.
* Perform other duties as assigned, supporting the overall AI strategy and operational excellence.
**Benefits**
 Joining Jobot as an AI Solutions Engineer offers a comprehensive benefits package designed to support your professional and personal growth. Employees enjoy competitive salary packages ranging from $140,000 to $165,000 annually, along with performance\-based bonuses that are often paid in full. The company provides a flexible PTO policy, allowing work\-life balance and personal time management. Continued education resources, tuition reimbursement, and access to professional development programs are available to foster ongoing learning. The organization supports remote or hybrid work arrangements, providing flexibility to suit individual needs. Employees also benefit from unlimited career advancement opportunities, a supportive company culture, and initiatives that give back to the community, including free health services for those in need. These benefits reflect Jobot’s commitment to employee well\-being, growth, and social responsibility.
 Equal Opportunity
 Jobot is an Equal Opportunity Employer. We are committed to creating an inclusive environment where all qualified candidates receive fair consideration for employment regardless of race, color, sex, sexual orientation, gender identity, religion, national origin, age (40 and over), disability, military status, genetic information, or any other protected characteristic under applicable federal, state, or local laws. We prohibit harassment or discrimination of any kind and ensure compliance with all legal requirements. Jobot values diversity and believes that a diverse workforce enhances innovation, creativity, and overall organizational success. We consider qualified applicants with criminal histories in a manner consistent with applicable laws and regulations. Our hiring policies promote fairness, transparency, and respect for all individuals seeking employment with us.</t>
        </is>
      </c>
    </row>
    <row r="52">
      <c r="A52" t="inlineStr">
        <is>
          <t>li-4375300511</t>
        </is>
      </c>
      <c r="B52" t="inlineStr">
        <is>
          <t>Machine Learning Engineer | Python | Pytorch | Distributed Training | Optimisation | GPU | Hybrid, San Jose, CA</t>
        </is>
      </c>
      <c r="C52" t="inlineStr">
        <is>
          <t>Enigma</t>
        </is>
      </c>
      <c r="D52" t="inlineStr">
        <is>
          <t>linkedin</t>
        </is>
      </c>
      <c r="E52">
        <f>HYPERLINK("https://www.linkedin.com/jobs/view/4375300511", "https://www.linkedin.com/jobs/view/4375300511")</f>
        <v/>
      </c>
      <c r="F52" t="inlineStr"/>
      <c r="G52" t="inlineStr">
        <is>
          <t>San Jose, CA</t>
        </is>
      </c>
      <c r="H52" t="inlineStr"/>
      <c r="I52"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53">
      <c r="A53" t="inlineStr">
        <is>
          <t>li-4294953596</t>
        </is>
      </c>
      <c r="B53" t="inlineStr">
        <is>
          <t>PhD Machine Learning Engineer, New Grad</t>
        </is>
      </c>
      <c r="C53" t="inlineStr">
        <is>
          <t>Stripe</t>
        </is>
      </c>
      <c r="D53" t="inlineStr">
        <is>
          <t>linkedin</t>
        </is>
      </c>
      <c r="E53">
        <f>HYPERLINK("https://www.linkedin.com/jobs/view/4294953596", "https://www.linkedin.com/jobs/view/4294953596")</f>
        <v/>
      </c>
      <c r="F53" t="inlineStr"/>
      <c r="G53" t="inlineStr">
        <is>
          <t>Seattle, WA</t>
        </is>
      </c>
      <c r="H53" t="inlineStr"/>
      <c r="I5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Stripe's Applied ML organization is excited to offer new grad PhD machine learning engineering positions for 2026\. This is an exceptional opportunity to contribute to critical projects that directly enhance Stripe's suite of products, focusing on areas such as foundation models used for dozens of tasks e.g. fraud detection, enhanced support, and predicting user behavior.
 You will tackle challenging problems at the intersection of finance, technology, and data. You'll have the chance to work on creative projects like the Stripe Assistant and the Stripe Foundation Model, which leverage machine learning to revolutionize how businesses interact with financial services and data.
 What you’ll do
**Responsibilities**
* Develop and deploy large\-scale machine learning systems that drive significant business value across various domains.
* Engage in the end\-to\-end process of designing, training, improving, and launching machine learning models.
* Write production\-scale ML models that will be deployed to help Stripe enable economic infrastructure access for a diverse range of businesses globally.
* Collaborate across teams to incorporate feedback and proactively seek solutions to challenges.
* Rapidly learn new technologies and approaches, demonstrating a strong ability to ask insightful questions and communicate the status of your work effectively.
 Who you are
**Minimum Requirements**
* A deep understanding of computer science, obtained through the pursuit of a PhD in Computer Science, Machine Learning, or a closely related field, with the expectation of graduating in winter 2025 or spring/summer 2026\.
* Practical experience with programming and machine learning, evidenced by projects, classwork, or research. Familiarity with languages such as Python, Scala, Spark and libraries such as Pandas, NumPy, and Scikit\-learn.
* Expertise in areas of machine learning such as supervised and unsupervised learning techniques, ML operations, and possibly experience in Large Language Models or Reinforcement Learning.
* Demonstrated ability to work on collaborative projects, with experience in receiving and applying feedback from various stakeholders.
* A proactive approach to learning unfamiliar systems and a demonstrated ability to understand complex systems independently.
**Preferred Qualifications**
* Two years of university education or equivalent experience, with in\-depth knowledge in specific domains of machine learning.
* Published and presented peer\-reviewed articles in top\-tier venues.
* Experience in writing high\-quality pull requests, maintaining good test coverage, and completing projects with minimal defects.
* Familiarity with navigating new codebases and managing work across different programming languages.
* Excellent written communication skills to clearly articulate your work to both team members and wider Stripe audiences.
 Application requirements
**Please Submit The Following With Your Application**
* A description of your work history (either a resume, LinkedIn Profile, website, or other portfolio of work)
* Examples of relevant work and your approach to learning, such as GitHub repositories, StackOverflow contributions, or other project portfolios.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$180,000 \- $270,000\.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54">
      <c r="A54" t="inlineStr">
        <is>
          <t>li-4374993951</t>
        </is>
      </c>
      <c r="B54" t="inlineStr">
        <is>
          <t>AI Engineer</t>
        </is>
      </c>
      <c r="C54" t="inlineStr">
        <is>
          <t>FetchJobs.co</t>
        </is>
      </c>
      <c r="D54" t="inlineStr">
        <is>
          <t>linkedin</t>
        </is>
      </c>
      <c r="E54">
        <f>HYPERLINK("https://www.linkedin.com/jobs/view/4374993951", "https://www.linkedin.com/jobs/view/4374993951")</f>
        <v/>
      </c>
      <c r="F54">
        <f>HYPERLINK("https://www.fetchjobs.co/job-description-usg/3074160765?src=LinkedIn&amp;urlHash=A9Ul", "https://www.fetchjobs.co/job-description-usg/3074160765?src=LinkedIn&amp;urlHash=A9Ul")</f>
        <v/>
      </c>
      <c r="G54" t="inlineStr"/>
      <c r="H54" t="inlineStr"/>
      <c r="I54" t="inlineStr">
        <is>
          <t>**About The Company**
 Jobot is a leading organization dedicated to connecting talented professionals with innovative companies across various industries. Renowned for its commitment to diversity, inclusion, and employee development, Jobot has established a reputation for fostering dynamic and collaborative work environments. The company leverages cutting\-edge technology and a vast network to facilitate meaningful employment opportunities, ensuring that both clients and candidates achieve their strategic goals. With a focus on integrity, transparency, and excellence, Jobot continuously strives to create value for its stakeholders while maintaining a strong emphasis on social responsibility and community engagement.
**About The Role**
 The Engineer, AI Solutions at Jobot will play a pivotal role in transforming our financial systems through the integration of advanced artificial intelligence and automation technologies. This newly created position offers a unique opportunity to work within a thriving healthcare company valued at over $1 billion, based in Irvine. The successful candidate will be responsible for designing, developing, and deploying AI\-driven solutions that streamline financial workflows, enhance data accuracy, and foster intelligent automation across the organization. This role demands a blend of technical expertise, innovative thinking, and strategic collaboration to unlock the full potential of AI within our enterprise environment. The position offers a hybrid work model, competitive compensation, and extensive career growth opportunities, making it an ideal choice for professionals eager to make a significant impact in a fast\-paced, forward\-thinking company.
**Qualifications**
 Candidates should possess a strong educational background in Computer Science, Data Science, or a related field, with a minimum of 5 years of experience in AI, ML, or data engineering roles. Proven expertise in developing and deploying machine learning models, particularly in natural language processing, computer vision, and generative AI, is essential. Experience with cloud platforms such as AWS or GCP, containerization tools like Docker and Kubernetes, and MLOps practices is required. Familiarity with large language models, prompt engineering, embeddings, and retrieval\-augmented generation techniques is highly desirable. Candidates must demonstrate excellent problem\-solving skills, the ability to translate business needs into technical solutions, and effective communication skills to collaborate with cross\-functional teams. A track record of managing data pipelines, designing scalable APIs, and deploying models in production environments will be advantageous.
**Responsibilities**
* Design and implement AI and machine learning solutions across various domains, including document understanding, summarization, chatbots, and intelligent automation.
* Develop and optimize autonomous AI agents and workflows, ensuring seamless integration with enterprise systems and existing infrastructure.
* Guide data labeling strategies and incorporate human\-in\-the\-loop feedback mechanisms to improve supervised and reinforcement learning models.
* Fine\-tune large language models, employing techniques such as prompt engineering, embeddings, and Retrieval\-Augmented Generation (RAG) to enhance AI capabilities.
* Build and maintain robust data pipelines, ensuring data quality through cleaning, transformation, and feature engineering processes.
* Design scalable APIs and real\-time or batch inference services to enable AI functionalities across teams and applications.
* Deploy and manage AI models using containerization, orchestration, and MLOps best practices, including CI/CD pipelines on cloud platforms like AWS or GCP.
* Collaborate with business stakeholders to understand requirements, translate them into technical solutions, and ensure compliance with regulatory standards.
* Participate in research initiatives, evaluate new AI/ML techniques and tools, and contribute to innovation within the organization.
* Perform other duties as assigned, supporting the overall AI strategy and operational excellence.
**Benefits**
 Joining Jobot as an AI Solutions Engineer offers a comprehensive benefits package designed to support your professional and personal growth. Employees enjoy competitive salary packages ranging from $140,000 to $165,000 annually, along with performance\-based bonuses that are often paid in full. The company provides a flexible PTO policy, allowing work\-life balance and personal time management. Continued education resources, tuition reimbursement, and access to professional development programs are available to foster ongoing learning. The organization supports remote or hybrid work arrangements, providing flexibility to suit individual needs. Employees also benefit from unlimited career advancement opportunities, a supportive company culture, and initiatives that give back to the community, including free health services for those in need. These benefits reflect Jobot’s commitment to employee well\-being, growth, and social responsibility.
 Equal Opportunity
 Jobot is an Equal Opportunity Employer. We are committed to creating an inclusive environment where all qualified candidates receive fair consideration for employment regardless of race, color, sex, sexual orientation, gender identity, religion, national origin, age (40 and over), disability, military status, genetic information, or any other protected characteristic under applicable federal, state, or local laws. We prohibit harassment or discrimination of any kind and ensure compliance with all legal requirements. Jobot values diversity and believes that a diverse workforce enhances innovation, creativity, and overall organizational success. We consider qualified applicants with criminal histories in a manner consistent with applicable laws and regulations. Our hiring policies promote fairness, transparency, and respect for all individuals seeking employment with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2026-02-22T22:18:14Z</dcterms:created>
  <dcterms:modified xsi:type="dcterms:W3CDTF">2026-02-22T22:18:14Z</dcterms:modified>
</cp:coreProperties>
</file>