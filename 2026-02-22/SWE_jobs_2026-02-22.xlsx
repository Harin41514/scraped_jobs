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in-26dc0974dde87f21</t>
        </is>
      </c>
      <c r="B2" t="inlineStr">
        <is>
          <t>Software Engineer</t>
        </is>
      </c>
      <c r="C2" t="inlineStr">
        <is>
          <t>Amazon.com</t>
        </is>
      </c>
      <c r="D2" t="inlineStr">
        <is>
          <t>indeed</t>
        </is>
      </c>
      <c r="E2" t="inlineStr"/>
      <c r="F2" t="inlineStr"/>
      <c r="G2" t="inlineStr">
        <is>
          <t>Seattle, WA, US</t>
        </is>
      </c>
      <c r="H2" s="1" t="n">
        <v>46008</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in-65f0300eddad8744</t>
        </is>
      </c>
      <c r="B3" t="inlineStr">
        <is>
          <t>Software Engineer</t>
        </is>
      </c>
      <c r="C3" t="inlineStr">
        <is>
          <t>Amazon.com</t>
        </is>
      </c>
      <c r="D3" t="inlineStr">
        <is>
          <t>indeed</t>
        </is>
      </c>
      <c r="E3" t="inlineStr"/>
      <c r="F3" t="inlineStr"/>
      <c r="G3" t="inlineStr">
        <is>
          <t>San Francisco, CA, US</t>
        </is>
      </c>
      <c r="H3" s="1" t="n">
        <v>46008</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in-f4671db954fcda61</t>
        </is>
      </c>
      <c r="B4" t="inlineStr">
        <is>
          <t>Software Engineer I</t>
        </is>
      </c>
      <c r="C4" t="inlineStr">
        <is>
          <t>Amazon.com</t>
        </is>
      </c>
      <c r="D4" t="inlineStr">
        <is>
          <t>indeed</t>
        </is>
      </c>
      <c r="E4" t="inlineStr"/>
      <c r="F4" t="inlineStr"/>
      <c r="G4" t="inlineStr">
        <is>
          <t>Irvine, CA, US</t>
        </is>
      </c>
      <c r="H4" s="1" t="n">
        <v>46006</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in-ddfd431f878db94f</t>
        </is>
      </c>
      <c r="B5" t="inlineStr">
        <is>
          <t>Software Engineer I</t>
        </is>
      </c>
      <c r="C5" t="inlineStr">
        <is>
          <t>Amazon.com</t>
        </is>
      </c>
      <c r="D5" t="inlineStr">
        <is>
          <t>indeed</t>
        </is>
      </c>
      <c r="E5" t="inlineStr"/>
      <c r="F5" t="inlineStr"/>
      <c r="G5" t="inlineStr">
        <is>
          <t>San Francisco, CA, US</t>
        </is>
      </c>
      <c r="H5" s="1" t="n">
        <v>46006</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in-46f64535c7654870</t>
        </is>
      </c>
      <c r="B6" t="inlineStr">
        <is>
          <t>Software Engineer I</t>
        </is>
      </c>
      <c r="C6" t="inlineStr">
        <is>
          <t>Amazon.com</t>
        </is>
      </c>
      <c r="D6" t="inlineStr">
        <is>
          <t>indeed</t>
        </is>
      </c>
      <c r="E6" t="inlineStr"/>
      <c r="F6" t="inlineStr"/>
      <c r="G6" t="inlineStr">
        <is>
          <t>Seattle, WA, US</t>
        </is>
      </c>
      <c r="H6" s="1" t="n">
        <v>46006</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in-4b7e3dce4ba05645</t>
        </is>
      </c>
      <c r="B7" t="inlineStr">
        <is>
          <t>Software Engineer I</t>
        </is>
      </c>
      <c r="C7" t="inlineStr">
        <is>
          <t>Amazon.com</t>
        </is>
      </c>
      <c r="D7" t="inlineStr">
        <is>
          <t>indeed</t>
        </is>
      </c>
      <c r="E7" t="inlineStr"/>
      <c r="F7" t="inlineStr"/>
      <c r="G7" t="inlineStr">
        <is>
          <t>Irvine, CA, US</t>
        </is>
      </c>
      <c r="H7" s="1" t="n">
        <v>45946</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in-68afd6e34d234ae5</t>
        </is>
      </c>
      <c r="B8" t="inlineStr">
        <is>
          <t>Software Engineer I</t>
        </is>
      </c>
      <c r="C8" t="inlineStr">
        <is>
          <t>Amazon.com</t>
        </is>
      </c>
      <c r="D8" t="inlineStr">
        <is>
          <t>indeed</t>
        </is>
      </c>
      <c r="E8" t="inlineStr"/>
      <c r="F8" t="inlineStr"/>
      <c r="G8" t="inlineStr">
        <is>
          <t>San Francisco, CA, US</t>
        </is>
      </c>
      <c r="H8" s="1" t="n">
        <v>45946</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in-8235f23ec5f001b6</t>
        </is>
      </c>
      <c r="B9" t="inlineStr">
        <is>
          <t>Software Engineer II</t>
        </is>
      </c>
      <c r="C9" t="inlineStr">
        <is>
          <t>Amazon.com</t>
        </is>
      </c>
      <c r="D9" t="inlineStr">
        <is>
          <t>indeed</t>
        </is>
      </c>
      <c r="E9" t="inlineStr"/>
      <c r="F9" t="inlineStr"/>
      <c r="G9" t="inlineStr">
        <is>
          <t>San Francisco, CA, US</t>
        </is>
      </c>
      <c r="H9" s="1"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in-e3224509858ff565</t>
        </is>
      </c>
      <c r="B10" t="inlineStr">
        <is>
          <t>Software Engineer II</t>
        </is>
      </c>
      <c r="C10" t="inlineStr">
        <is>
          <t>Amazon.com</t>
        </is>
      </c>
      <c r="D10" t="inlineStr">
        <is>
          <t>indeed</t>
        </is>
      </c>
      <c r="E10" t="inlineStr"/>
      <c r="F10" t="inlineStr"/>
      <c r="G10" t="inlineStr">
        <is>
          <t>Irvine, CA, US</t>
        </is>
      </c>
      <c r="H10" s="1"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in-7880ec4ac7425e14</t>
        </is>
      </c>
      <c r="B11" t="inlineStr">
        <is>
          <t>Software Engineer II</t>
        </is>
      </c>
      <c r="C11" t="inlineStr">
        <is>
          <t>Amazon.com</t>
        </is>
      </c>
      <c r="D11" t="inlineStr">
        <is>
          <t>indeed</t>
        </is>
      </c>
      <c r="E11" t="inlineStr"/>
      <c r="F11" t="inlineStr"/>
      <c r="G11" t="inlineStr">
        <is>
          <t>Irvine, CA, US</t>
        </is>
      </c>
      <c r="H11" s="1"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in-59ea91674aa8428e</t>
        </is>
      </c>
      <c r="B12" t="inlineStr">
        <is>
          <t>Software Engineer II</t>
        </is>
      </c>
      <c r="C12" t="inlineStr">
        <is>
          <t>Amazon.com</t>
        </is>
      </c>
      <c r="D12" t="inlineStr">
        <is>
          <t>indeed</t>
        </is>
      </c>
      <c r="E12" t="inlineStr"/>
      <c r="F12" t="inlineStr"/>
      <c r="G12" t="inlineStr">
        <is>
          <t>Culver City, CA, US</t>
        </is>
      </c>
      <c r="H12" s="1"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in-94cfead2e9ed772e</t>
        </is>
      </c>
      <c r="B13" t="inlineStr">
        <is>
          <t>Software Engineer II</t>
        </is>
      </c>
      <c r="C13" t="inlineStr">
        <is>
          <t>Amazon.com</t>
        </is>
      </c>
      <c r="D13" t="inlineStr">
        <is>
          <t>indeed</t>
        </is>
      </c>
      <c r="E13" t="inlineStr"/>
      <c r="F13" t="inlineStr"/>
      <c r="G13" t="inlineStr">
        <is>
          <t>San Francisco, CA, US</t>
        </is>
      </c>
      <c r="H13" s="1" t="n">
        <v>45938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in-55fe9234aea91aab</t>
        </is>
      </c>
      <c r="B14" t="inlineStr">
        <is>
          <t>Software Engineer II</t>
        </is>
      </c>
      <c r="C14" t="inlineStr">
        <is>
          <t>Amazon.com</t>
        </is>
      </c>
      <c r="D14" t="inlineStr">
        <is>
          <t>indeed</t>
        </is>
      </c>
      <c r="E14" t="inlineStr"/>
      <c r="F14" t="inlineStr"/>
      <c r="G14" t="inlineStr">
        <is>
          <t>Irvine, CA, US</t>
        </is>
      </c>
      <c r="H14" s="1" t="n">
        <v>45921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in-75dffe83a77d7575</t>
        </is>
      </c>
      <c r="B15" t="inlineStr">
        <is>
          <t>Software Engineer II</t>
        </is>
      </c>
      <c r="C15" t="inlineStr">
        <is>
          <t>Amazon.com</t>
        </is>
      </c>
      <c r="D15" t="inlineStr">
        <is>
          <t>indeed</t>
        </is>
      </c>
      <c r="E15" t="inlineStr"/>
      <c r="F15" t="inlineStr"/>
      <c r="G15" t="inlineStr">
        <is>
          <t>San Francisco, CA, US</t>
        </is>
      </c>
      <c r="H15" s="1" t="n">
        <v>45921</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in-0a8fb163b031f5ab</t>
        </is>
      </c>
      <c r="B16" t="inlineStr">
        <is>
          <t>Software Engineer I- Ad Demand</t>
        </is>
      </c>
      <c r="C16" t="inlineStr">
        <is>
          <t>Amazon.com</t>
        </is>
      </c>
      <c r="D16" t="inlineStr">
        <is>
          <t>indeed</t>
        </is>
      </c>
      <c r="E16" t="inlineStr"/>
      <c r="F16" t="inlineStr"/>
      <c r="G16" t="inlineStr">
        <is>
          <t>San Francisco, CA, US</t>
        </is>
      </c>
      <c r="H16" s="1" t="n">
        <v>45908</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in-0d67c72f2d5ef760</t>
        </is>
      </c>
      <c r="B17" t="inlineStr">
        <is>
          <t>Software Engineer I- Ad Demand</t>
        </is>
      </c>
      <c r="C17" t="inlineStr">
        <is>
          <t>Amazon.com</t>
        </is>
      </c>
      <c r="D17" t="inlineStr">
        <is>
          <t>indeed</t>
        </is>
      </c>
      <c r="E17" t="inlineStr"/>
      <c r="F17" t="inlineStr"/>
      <c r="G17" t="inlineStr">
        <is>
          <t>New York, NY, US</t>
        </is>
      </c>
      <c r="H17" s="1" t="n">
        <v>45908</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in-64aebe69ece55a5b</t>
        </is>
      </c>
      <c r="B18" t="inlineStr">
        <is>
          <t>Software Engineer I, Monetization ML</t>
        </is>
      </c>
      <c r="C18" t="inlineStr">
        <is>
          <t>Amazon.com</t>
        </is>
      </c>
      <c r="D18" t="inlineStr">
        <is>
          <t>indeed</t>
        </is>
      </c>
      <c r="E18" t="inlineStr"/>
      <c r="F18" t="inlineStr"/>
      <c r="G18" t="inlineStr">
        <is>
          <t>Seattle, WA, US</t>
        </is>
      </c>
      <c r="H18" s="1" t="n">
        <v>46062</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19">
      <c r="A19" t="inlineStr">
        <is>
          <t>in-690acafdb940cd7f</t>
        </is>
      </c>
      <c r="B19" t="inlineStr">
        <is>
          <t>Software Engineer I, Monetization ML</t>
        </is>
      </c>
      <c r="C19" t="inlineStr">
        <is>
          <t>Amazon.com</t>
        </is>
      </c>
      <c r="D19" t="inlineStr">
        <is>
          <t>indeed</t>
        </is>
      </c>
      <c r="E19" t="inlineStr"/>
      <c r="F19" t="inlineStr"/>
      <c r="G19" t="inlineStr">
        <is>
          <t>San Francisco, CA, US</t>
        </is>
      </c>
      <c r="H19" s="1" t="n">
        <v>46062</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20">
      <c r="A20" t="inlineStr">
        <is>
          <t>in-49d09ca635cb6040</t>
        </is>
      </c>
      <c r="B20" t="inlineStr">
        <is>
          <t>Sr. Software Engineer, Manager</t>
        </is>
      </c>
      <c r="C20" t="inlineStr">
        <is>
          <t>Amazon.com</t>
        </is>
      </c>
      <c r="D20" t="inlineStr">
        <is>
          <t>indeed</t>
        </is>
      </c>
      <c r="E20" t="inlineStr"/>
      <c r="F20" t="inlineStr"/>
      <c r="G20" t="inlineStr">
        <is>
          <t>San Francisco, CA, US</t>
        </is>
      </c>
      <c r="H20" s="1"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in-63be87b51cca9770</t>
        </is>
      </c>
      <c r="B21" t="inlineStr">
        <is>
          <t>Sr. Software Engineer, Manager</t>
        </is>
      </c>
      <c r="C21" t="inlineStr">
        <is>
          <t>Amazon.com</t>
        </is>
      </c>
      <c r="D21" t="inlineStr">
        <is>
          <t>indeed</t>
        </is>
      </c>
      <c r="E21" t="inlineStr"/>
      <c r="F21" t="inlineStr"/>
      <c r="G21" t="inlineStr">
        <is>
          <t>Irvine, CA, US</t>
        </is>
      </c>
      <c r="H21" s="1"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in-663d6b404c35b606</t>
        </is>
      </c>
      <c r="B22" t="inlineStr">
        <is>
          <t>Sr. Software Engineer, Manager</t>
        </is>
      </c>
      <c r="C22" t="inlineStr">
        <is>
          <t>Amazon.com</t>
        </is>
      </c>
      <c r="D22" t="inlineStr">
        <is>
          <t>indeed</t>
        </is>
      </c>
      <c r="E22" t="inlineStr"/>
      <c r="F22" t="inlineStr"/>
      <c r="G22" t="inlineStr">
        <is>
          <t>New York, NY, US</t>
        </is>
      </c>
      <c r="H22" s="1"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in-932aaef375d7b644</t>
        </is>
      </c>
      <c r="B23" t="inlineStr">
        <is>
          <t>Sr. Software Engineer, Manager</t>
        </is>
      </c>
      <c r="C23" t="inlineStr">
        <is>
          <t>Amazon.com</t>
        </is>
      </c>
      <c r="D23" t="inlineStr">
        <is>
          <t>indeed</t>
        </is>
      </c>
      <c r="E23" t="inlineStr"/>
      <c r="F23" t="inlineStr"/>
      <c r="G23" t="inlineStr">
        <is>
          <t>Seattle, WA, US</t>
        </is>
      </c>
      <c r="H23" s="1"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
      <c r="A24" t="inlineStr">
        <is>
          <t>in-9f641a5b3d0ebf47</t>
        </is>
      </c>
      <c r="B24" t="inlineStr">
        <is>
          <t>Sr. Software Engineer, Manager</t>
        </is>
      </c>
      <c r="C24" t="inlineStr">
        <is>
          <t>Amazon.com</t>
        </is>
      </c>
      <c r="D24" t="inlineStr">
        <is>
          <t>indeed</t>
        </is>
      </c>
      <c r="E24" t="inlineStr"/>
      <c r="F24" t="inlineStr"/>
      <c r="G24" t="inlineStr">
        <is>
          <t>Culver City, CA, US</t>
        </is>
      </c>
      <c r="H24" s="1"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
      <c r="A25" t="inlineStr">
        <is>
          <t>in-23ba9dd952f8e0ea</t>
        </is>
      </c>
      <c r="B25" t="inlineStr">
        <is>
          <t>Software Engineer, Monetization ML</t>
        </is>
      </c>
      <c r="C25" t="inlineStr">
        <is>
          <t>Amazon.com</t>
        </is>
      </c>
      <c r="D25" t="inlineStr">
        <is>
          <t>indeed</t>
        </is>
      </c>
      <c r="E25" t="inlineStr"/>
      <c r="F25" t="inlineStr"/>
      <c r="G25" t="inlineStr">
        <is>
          <t>New York, NY, US</t>
        </is>
      </c>
      <c r="H25" s="1" t="n">
        <v>45944</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6">
      <c r="A26" t="inlineStr">
        <is>
          <t>in-0705676f1aa3558a</t>
        </is>
      </c>
      <c r="B26" t="inlineStr">
        <is>
          <t>Software Engineer, Monetization ML</t>
        </is>
      </c>
      <c r="C26" t="inlineStr">
        <is>
          <t>Amazon.com</t>
        </is>
      </c>
      <c r="D26" t="inlineStr">
        <is>
          <t>indeed</t>
        </is>
      </c>
      <c r="E26" t="inlineStr"/>
      <c r="F26" t="inlineStr"/>
      <c r="G26" t="inlineStr">
        <is>
          <t>Seattle, WA, US</t>
        </is>
      </c>
      <c r="H26" s="1" t="n">
        <v>45944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7">
      <c r="A27" t="inlineStr">
        <is>
          <t>in-3d04cda19f120d5c</t>
        </is>
      </c>
      <c r="B27" t="inlineStr">
        <is>
          <t>Embedded Software Engineer, Annapurna ML Software</t>
        </is>
      </c>
      <c r="C27" t="inlineStr">
        <is>
          <t>Amazon Web Services</t>
        </is>
      </c>
      <c r="D27" t="inlineStr">
        <is>
          <t>indeed</t>
        </is>
      </c>
      <c r="E27" t="inlineStr"/>
      <c r="F27" t="inlineStr"/>
      <c r="G27" t="inlineStr">
        <is>
          <t>Cupertino, CA, US</t>
        </is>
      </c>
      <c r="H27" s="1" t="n">
        <v>46050</v>
      </c>
      <c r="I2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8">
      <c r="A28" t="inlineStr">
        <is>
          <t>in-7868830b454bc568</t>
        </is>
      </c>
      <c r="B28" t="inlineStr">
        <is>
          <t>Embedded Software Engineer, Annapurna ML Software</t>
        </is>
      </c>
      <c r="C28" t="inlineStr">
        <is>
          <t>Amazon Web Services</t>
        </is>
      </c>
      <c r="D28" t="inlineStr">
        <is>
          <t>indeed</t>
        </is>
      </c>
      <c r="E28" t="inlineStr"/>
      <c r="F28" t="inlineStr"/>
      <c r="G28" t="inlineStr">
        <is>
          <t>Austin, TX, US</t>
        </is>
      </c>
      <c r="H28" s="1" t="n">
        <v>46050</v>
      </c>
      <c r="I2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9">
      <c r="A29" t="inlineStr">
        <is>
          <t>in-88c7190862689e1b</t>
        </is>
      </c>
      <c r="B29" t="inlineStr">
        <is>
          <t>Sr. Software Engineer- AI/ML, AWS Neuron Distributed Training</t>
        </is>
      </c>
      <c r="C29" t="inlineStr">
        <is>
          <t>Amazon Web Services</t>
        </is>
      </c>
      <c r="D29" t="inlineStr">
        <is>
          <t>indeed</t>
        </is>
      </c>
      <c r="E29" t="inlineStr"/>
      <c r="F29" t="inlineStr"/>
      <c r="G29" t="inlineStr">
        <is>
          <t>Seattle, WA, US</t>
        </is>
      </c>
      <c r="H29" s="1" t="n">
        <v>45713</v>
      </c>
      <c r="I2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in-86600e1f8308da67</t>
        </is>
      </c>
      <c r="B30" t="inlineStr">
        <is>
          <t>Sr. Software Engineer- AI/ML, AWS Neuron Distributed Training</t>
        </is>
      </c>
      <c r="C30" t="inlineStr">
        <is>
          <t>Amazon Web Services</t>
        </is>
      </c>
      <c r="D30" t="inlineStr">
        <is>
          <t>indeed</t>
        </is>
      </c>
      <c r="E30" t="inlineStr"/>
      <c r="F30" t="inlineStr"/>
      <c r="G30" t="inlineStr">
        <is>
          <t>Cupertino, CA, US</t>
        </is>
      </c>
      <c r="H30" s="1" t="n">
        <v>45713</v>
      </c>
      <c r="I3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in-4c36bdcbef25671d</t>
        </is>
      </c>
      <c r="B31" t="inlineStr">
        <is>
          <t>Software Engineer II, Android</t>
        </is>
      </c>
      <c r="C31" t="inlineStr">
        <is>
          <t>Amazon.com</t>
        </is>
      </c>
      <c r="D31" t="inlineStr">
        <is>
          <t>indeed</t>
        </is>
      </c>
      <c r="E31" t="inlineStr"/>
      <c r="F31" t="inlineStr"/>
      <c r="G31" t="inlineStr">
        <is>
          <t>San Francisco, CA, US</t>
        </is>
      </c>
      <c r="H31" s="1" t="n">
        <v>46044</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32">
      <c r="A32" t="inlineStr">
        <is>
          <t>in-9e797f6c7b63b377</t>
        </is>
      </c>
      <c r="B32" t="inlineStr">
        <is>
          <t>Software Engineer II, Android</t>
        </is>
      </c>
      <c r="C32" t="inlineStr">
        <is>
          <t>Amazon.com</t>
        </is>
      </c>
      <c r="D32" t="inlineStr">
        <is>
          <t>indeed</t>
        </is>
      </c>
      <c r="E32" t="inlineStr"/>
      <c r="F32" t="inlineStr"/>
      <c r="G32" t="inlineStr">
        <is>
          <t>Seattle, WA, US</t>
        </is>
      </c>
      <c r="H32" s="1" t="n">
        <v>46044</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33">
      <c r="A33" t="inlineStr">
        <is>
          <t>in-8d8b14f850f2d27a</t>
        </is>
      </c>
      <c r="B33" t="inlineStr">
        <is>
          <t>Software Engineer II, Android</t>
        </is>
      </c>
      <c r="C33" t="inlineStr">
        <is>
          <t>Amazon.com</t>
        </is>
      </c>
      <c r="D33" t="inlineStr">
        <is>
          <t>indeed</t>
        </is>
      </c>
      <c r="E33" t="inlineStr"/>
      <c r="F33" t="inlineStr"/>
      <c r="G33" t="inlineStr">
        <is>
          <t>Irvine, CA, US</t>
        </is>
      </c>
      <c r="H33" s="1" t="n">
        <v>46044</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34">
      <c r="A34" t="inlineStr">
        <is>
          <t>in-4186392e41a260ba</t>
        </is>
      </c>
      <c r="B34" t="inlineStr">
        <is>
          <t>Sr Software Engineer, Amazon Ads Exchange</t>
        </is>
      </c>
      <c r="C34" t="inlineStr">
        <is>
          <t>Amazon.com</t>
        </is>
      </c>
      <c r="D34" t="inlineStr">
        <is>
          <t>indeed</t>
        </is>
      </c>
      <c r="E34" t="inlineStr"/>
      <c r="F34" t="inlineStr"/>
      <c r="G34" t="inlineStr">
        <is>
          <t>Arlington, VA, US</t>
        </is>
      </c>
      <c r="H34" s="1" t="n">
        <v>46002</v>
      </c>
      <c r="I3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in-38cd13e660c48836</t>
        </is>
      </c>
      <c r="B35" t="inlineStr">
        <is>
          <t>Sr Software Engineer, Amazon Ads Exchange</t>
        </is>
      </c>
      <c r="C35" t="inlineStr">
        <is>
          <t>Amazon.com</t>
        </is>
      </c>
      <c r="D35" t="inlineStr">
        <is>
          <t>indeed</t>
        </is>
      </c>
      <c r="E35" t="inlineStr"/>
      <c r="F35" t="inlineStr"/>
      <c r="G35" t="inlineStr">
        <is>
          <t>San Francisco, CA, US</t>
        </is>
      </c>
      <c r="H35" s="1" t="n">
        <v>46002</v>
      </c>
      <c r="I35"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in-dab12f271ac97797</t>
        </is>
      </c>
      <c r="B36" t="inlineStr">
        <is>
          <t>Sr Software Engineer, Amazon Ads Exchange</t>
        </is>
      </c>
      <c r="C36" t="inlineStr">
        <is>
          <t>Amazon.com</t>
        </is>
      </c>
      <c r="D36" t="inlineStr">
        <is>
          <t>indeed</t>
        </is>
      </c>
      <c r="E36" t="inlineStr"/>
      <c r="F36" t="inlineStr"/>
      <c r="G36" t="inlineStr">
        <is>
          <t>Palo Alto, CA, US</t>
        </is>
      </c>
      <c r="H36" s="1" t="n">
        <v>46002</v>
      </c>
      <c r="I36"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in-4cdd0bc60833fd54</t>
        </is>
      </c>
      <c r="B37" t="inlineStr">
        <is>
          <t>Software Engineer I</t>
        </is>
      </c>
      <c r="C37" t="inlineStr">
        <is>
          <t>Amazon.com</t>
        </is>
      </c>
      <c r="D37" t="inlineStr">
        <is>
          <t>indeed</t>
        </is>
      </c>
      <c r="E37" t="inlineStr"/>
      <c r="F37" t="inlineStr"/>
      <c r="G37" t="inlineStr">
        <is>
          <t>San Francisco, CA, US</t>
        </is>
      </c>
      <c r="H37" s="1" t="n">
        <v>46001</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in-a94def2442d9de24</t>
        </is>
      </c>
      <c r="B38" t="inlineStr">
        <is>
          <t>Software Engineer I</t>
        </is>
      </c>
      <c r="C38" t="inlineStr">
        <is>
          <t>Amazon.com</t>
        </is>
      </c>
      <c r="D38" t="inlineStr">
        <is>
          <t>indeed</t>
        </is>
      </c>
      <c r="E38" t="inlineStr"/>
      <c r="F38" t="inlineStr"/>
      <c r="G38" t="inlineStr">
        <is>
          <t>Seattle, WA, US</t>
        </is>
      </c>
      <c r="H38" s="1" t="n">
        <v>46001</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in-0a5a50a93f89f80c</t>
        </is>
      </c>
      <c r="B39" t="inlineStr">
        <is>
          <t>Software Engineer II, Android</t>
        </is>
      </c>
      <c r="C39" t="inlineStr">
        <is>
          <t>Amazon.com</t>
        </is>
      </c>
      <c r="D39" t="inlineStr">
        <is>
          <t>indeed</t>
        </is>
      </c>
      <c r="E39" t="inlineStr"/>
      <c r="F39" t="inlineStr"/>
      <c r="G39" t="inlineStr">
        <is>
          <t>Seattle, WA, US</t>
        </is>
      </c>
      <c r="H39" s="1" t="n">
        <v>45995</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in-3e2ff4a4a830f05b</t>
        </is>
      </c>
      <c r="B40" t="inlineStr">
        <is>
          <t>Software Engineer II, Android</t>
        </is>
      </c>
      <c r="C40" t="inlineStr">
        <is>
          <t>Amazon.com</t>
        </is>
      </c>
      <c r="D40" t="inlineStr">
        <is>
          <t>indeed</t>
        </is>
      </c>
      <c r="E40" t="inlineStr"/>
      <c r="F40" t="inlineStr"/>
      <c r="G40" t="inlineStr">
        <is>
          <t>Irvine, CA, US</t>
        </is>
      </c>
      <c r="H40" s="1" t="n">
        <v>45995</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in-68972b45aec62251</t>
        </is>
      </c>
      <c r="B41" t="inlineStr">
        <is>
          <t>Software Engineer II, Android</t>
        </is>
      </c>
      <c r="C41" t="inlineStr">
        <is>
          <t>Amazon.com</t>
        </is>
      </c>
      <c r="D41" t="inlineStr">
        <is>
          <t>indeed</t>
        </is>
      </c>
      <c r="E41" t="inlineStr"/>
      <c r="F41" t="inlineStr"/>
      <c r="G41" t="inlineStr">
        <is>
          <t>San Francisco, CA, US</t>
        </is>
      </c>
      <c r="H41" s="1" t="n">
        <v>45995</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in-f1fe931f676e11bc</t>
        </is>
      </c>
      <c r="B42" t="inlineStr">
        <is>
          <t>Senior Embedded Software Engineer, Amazon Leo Digital RF Systems</t>
        </is>
      </c>
      <c r="C42" t="inlineStr">
        <is>
          <t>Amazon.com</t>
        </is>
      </c>
      <c r="D42" t="inlineStr">
        <is>
          <t>indeed</t>
        </is>
      </c>
      <c r="E42" t="inlineStr"/>
      <c r="F42" t="inlineStr"/>
      <c r="G42" t="inlineStr">
        <is>
          <t>San Diego, CA, US</t>
        </is>
      </c>
      <c r="H42" s="1" t="n">
        <v>45981</v>
      </c>
      <c r="I4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43">
      <c r="A43" t="inlineStr">
        <is>
          <t>in-15d3efadc69f7221</t>
        </is>
      </c>
      <c r="B43" t="inlineStr">
        <is>
          <t>Senior Embedded Software Engineer, Amazon Leo Digital RF Systems</t>
        </is>
      </c>
      <c r="C43" t="inlineStr">
        <is>
          <t>Amazon.com</t>
        </is>
      </c>
      <c r="D43" t="inlineStr">
        <is>
          <t>indeed</t>
        </is>
      </c>
      <c r="E43" t="inlineStr"/>
      <c r="F43" t="inlineStr"/>
      <c r="G43" t="inlineStr">
        <is>
          <t>Redmond, WA, US</t>
        </is>
      </c>
      <c r="H43" s="1" t="n">
        <v>45981</v>
      </c>
      <c r="I4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44">
      <c r="A44" t="inlineStr">
        <is>
          <t>in-3b3c8615876f2b68</t>
        </is>
      </c>
      <c r="B44" t="inlineStr">
        <is>
          <t>Senior Software Engineer - Query Optimization, Aurora DSQL</t>
        </is>
      </c>
      <c r="C44" t="inlineStr">
        <is>
          <t>Amazon Web Services</t>
        </is>
      </c>
      <c r="D44" t="inlineStr">
        <is>
          <t>indeed</t>
        </is>
      </c>
      <c r="E44" t="inlineStr"/>
      <c r="F44" t="inlineStr"/>
      <c r="G44" t="inlineStr">
        <is>
          <t>East Palo Alto, CA, US</t>
        </is>
      </c>
      <c r="H44" s="1" t="n">
        <v>45931</v>
      </c>
      <c r="I4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45">
      <c r="A45" t="inlineStr">
        <is>
          <t>in-c9f7224308a46f8c</t>
        </is>
      </c>
      <c r="B45" t="inlineStr">
        <is>
          <t>Senior Software Engineer - Query Optimization, Aurora DSQL</t>
        </is>
      </c>
      <c r="C45" t="inlineStr">
        <is>
          <t>Amazon Web Services</t>
        </is>
      </c>
      <c r="D45" t="inlineStr">
        <is>
          <t>indeed</t>
        </is>
      </c>
      <c r="E45" t="inlineStr"/>
      <c r="F45" t="inlineStr"/>
      <c r="G45" t="inlineStr">
        <is>
          <t>Seattle, WA, US</t>
        </is>
      </c>
      <c r="H45" s="1" t="n">
        <v>45931</v>
      </c>
      <c r="I4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46">
      <c r="A46" t="inlineStr">
        <is>
          <t>in-9c41dda908e75db8</t>
        </is>
      </c>
      <c r="B46" t="inlineStr">
        <is>
          <t>Sr. Device Software Engineer, Amazon Leo Government</t>
        </is>
      </c>
      <c r="C46" t="inlineStr">
        <is>
          <t>Amazon.com</t>
        </is>
      </c>
      <c r="D46" t="inlineStr">
        <is>
          <t>indeed</t>
        </is>
      </c>
      <c r="E46" t="inlineStr"/>
      <c r="F46" t="inlineStr"/>
      <c r="G46" t="inlineStr">
        <is>
          <t>Arlington, VA, US</t>
        </is>
      </c>
      <c r="H46" s="1" t="n">
        <v>45911</v>
      </c>
      <c r="I4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7">
      <c r="A47" t="inlineStr">
        <is>
          <t>in-6d4b0f4c6c0e2055</t>
        </is>
      </c>
      <c r="B47" t="inlineStr">
        <is>
          <t>Sr. Device Software Engineer, Amazon Leo Government</t>
        </is>
      </c>
      <c r="C47" t="inlineStr">
        <is>
          <t>Amazon.com</t>
        </is>
      </c>
      <c r="D47" t="inlineStr">
        <is>
          <t>indeed</t>
        </is>
      </c>
      <c r="E47" t="inlineStr"/>
      <c r="F47" t="inlineStr"/>
      <c r="G47" t="inlineStr">
        <is>
          <t>Northridge, CA, US</t>
        </is>
      </c>
      <c r="H47" s="1" t="n">
        <v>45911</v>
      </c>
      <c r="I4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8">
      <c r="A48" t="inlineStr">
        <is>
          <t>in-84a1d4cc1a574d39</t>
        </is>
      </c>
      <c r="B48" t="inlineStr">
        <is>
          <t>Sr. Device Software Engineer, Amazon Leo Government</t>
        </is>
      </c>
      <c r="C48" t="inlineStr">
        <is>
          <t>Amazon.com</t>
        </is>
      </c>
      <c r="D48" t="inlineStr">
        <is>
          <t>indeed</t>
        </is>
      </c>
      <c r="E48" t="inlineStr"/>
      <c r="F48" t="inlineStr"/>
      <c r="G48" t="inlineStr">
        <is>
          <t>Redmond, WA, US</t>
        </is>
      </c>
      <c r="H48" s="1" t="n">
        <v>45911</v>
      </c>
      <c r="I4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9">
      <c r="A49" t="inlineStr">
        <is>
          <t>in-e1c53695e3d77ba6</t>
        </is>
      </c>
      <c r="B49" t="inlineStr">
        <is>
          <t>Sr. Device Software Engineer, Amazon Leo Government</t>
        </is>
      </c>
      <c r="C49" t="inlineStr">
        <is>
          <t>Amazon.com</t>
        </is>
      </c>
      <c r="D49" t="inlineStr">
        <is>
          <t>indeed</t>
        </is>
      </c>
      <c r="E49" t="inlineStr"/>
      <c r="F49" t="inlineStr"/>
      <c r="G49" t="inlineStr">
        <is>
          <t>El Segundo, CA, US</t>
        </is>
      </c>
      <c r="H49" s="1" t="n">
        <v>45911</v>
      </c>
      <c r="I4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50">
      <c r="A50" t="inlineStr">
        <is>
          <t>in-eca17f1279535fa4</t>
        </is>
      </c>
      <c r="B50" t="inlineStr">
        <is>
          <t>Device Software Engineer, Amazon Leo Government</t>
        </is>
      </c>
      <c r="C50" t="inlineStr">
        <is>
          <t>Amazon.com</t>
        </is>
      </c>
      <c r="D50" t="inlineStr">
        <is>
          <t>indeed</t>
        </is>
      </c>
      <c r="E50" t="inlineStr"/>
      <c r="F50" t="inlineStr"/>
      <c r="G50" t="inlineStr">
        <is>
          <t>Northridge, CA, US</t>
        </is>
      </c>
      <c r="H50" s="1" t="n">
        <v>45910</v>
      </c>
      <c r="I5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1">
      <c r="A51" t="inlineStr">
        <is>
          <t>in-a5c7273572707191</t>
        </is>
      </c>
      <c r="B51" t="inlineStr">
        <is>
          <t>Device Software Engineer, Amazon Leo Government</t>
        </is>
      </c>
      <c r="C51" t="inlineStr">
        <is>
          <t>Amazon.com</t>
        </is>
      </c>
      <c r="D51" t="inlineStr">
        <is>
          <t>indeed</t>
        </is>
      </c>
      <c r="E51" t="inlineStr"/>
      <c r="F51" t="inlineStr"/>
      <c r="G51" t="inlineStr">
        <is>
          <t>El Segundo, CA, US</t>
        </is>
      </c>
      <c r="H51" s="1" t="n">
        <v>45910</v>
      </c>
      <c r="I5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2">
      <c r="A52" t="inlineStr">
        <is>
          <t>in-e11599f2860c1532</t>
        </is>
      </c>
      <c r="B52" t="inlineStr">
        <is>
          <t>Device Software Engineer, Amazon Leo Government</t>
        </is>
      </c>
      <c r="C52" t="inlineStr">
        <is>
          <t>Amazon.com</t>
        </is>
      </c>
      <c r="D52" t="inlineStr">
        <is>
          <t>indeed</t>
        </is>
      </c>
      <c r="E52" t="inlineStr"/>
      <c r="F52" t="inlineStr"/>
      <c r="G52" t="inlineStr">
        <is>
          <t>Redmond, WA, US</t>
        </is>
      </c>
      <c r="H52" s="1" t="n">
        <v>45910</v>
      </c>
      <c r="I5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3">
      <c r="A53" t="inlineStr">
        <is>
          <t>in-22748ddbecf15a22</t>
        </is>
      </c>
      <c r="B53" t="inlineStr">
        <is>
          <t>Device Software Engineer, Amazon Leo Government</t>
        </is>
      </c>
      <c r="C53" t="inlineStr">
        <is>
          <t>Amazon.com</t>
        </is>
      </c>
      <c r="D53" t="inlineStr">
        <is>
          <t>indeed</t>
        </is>
      </c>
      <c r="E53" t="inlineStr"/>
      <c r="F53" t="inlineStr"/>
      <c r="G53" t="inlineStr">
        <is>
          <t>Arlington, VA, US</t>
        </is>
      </c>
      <c r="H53" s="1" t="n">
        <v>45910</v>
      </c>
      <c r="I5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4">
      <c r="A54" t="inlineStr">
        <is>
          <t>in-724d4cb2feccc1d3</t>
        </is>
      </c>
      <c r="B54" t="inlineStr">
        <is>
          <t>Software Developer Engineer - iOS, Ring</t>
        </is>
      </c>
      <c r="C54" t="inlineStr">
        <is>
          <t>Amazon.com</t>
        </is>
      </c>
      <c r="D54" t="inlineStr">
        <is>
          <t>indeed</t>
        </is>
      </c>
      <c r="E54" t="inlineStr"/>
      <c r="F54" t="inlineStr"/>
      <c r="G54" t="inlineStr">
        <is>
          <t>Austin, TX, US</t>
        </is>
      </c>
      <c r="H54" s="1" t="n">
        <v>45812</v>
      </c>
      <c r="I5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in-820c6d8d2cecc650</t>
        </is>
      </c>
      <c r="B55" t="inlineStr">
        <is>
          <t>Software Developer Engineer - iOS, Ring</t>
        </is>
      </c>
      <c r="C55" t="inlineStr">
        <is>
          <t>Amazon.com</t>
        </is>
      </c>
      <c r="D55" t="inlineStr">
        <is>
          <t>indeed</t>
        </is>
      </c>
      <c r="E55" t="inlineStr"/>
      <c r="F55" t="inlineStr"/>
      <c r="G55" t="inlineStr">
        <is>
          <t>Irvine, CA, US</t>
        </is>
      </c>
      <c r="H55" s="1" t="n">
        <v>45812</v>
      </c>
      <c r="I5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in-efb6dfe807e258af</t>
        </is>
      </c>
      <c r="B56" t="inlineStr">
        <is>
          <t>Software Developer Engineer - iOS, Ring</t>
        </is>
      </c>
      <c r="C56" t="inlineStr">
        <is>
          <t>Amazon.com</t>
        </is>
      </c>
      <c r="D56" t="inlineStr">
        <is>
          <t>indeed</t>
        </is>
      </c>
      <c r="E56" t="inlineStr"/>
      <c r="F56" t="inlineStr"/>
      <c r="G56" t="inlineStr">
        <is>
          <t>Hawthorne, CA, US</t>
        </is>
      </c>
      <c r="H56" s="1" t="n">
        <v>45812</v>
      </c>
      <c r="I5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in-490297d8888aa27b</t>
        </is>
      </c>
      <c r="B57" t="inlineStr">
        <is>
          <t>Senior Software Engineer - Query Processing, Aurora DSQL</t>
        </is>
      </c>
      <c r="C57" t="inlineStr">
        <is>
          <t>Amazon Web Services</t>
        </is>
      </c>
      <c r="D57" t="inlineStr">
        <is>
          <t>indeed</t>
        </is>
      </c>
      <c r="E57" t="inlineStr"/>
      <c r="F57" t="inlineStr"/>
      <c r="G57" t="inlineStr">
        <is>
          <t>Seattle, WA, US</t>
        </is>
      </c>
      <c r="H57" s="1" t="n">
        <v>45796</v>
      </c>
      <c r="I5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in-232f1e0d680264bf</t>
        </is>
      </c>
      <c r="B58" t="inlineStr">
        <is>
          <t>Senior Software Engineer - Query Processing, Aurora DSQL</t>
        </is>
      </c>
      <c r="C58" t="inlineStr">
        <is>
          <t>Amazon Web Services</t>
        </is>
      </c>
      <c r="D58" t="inlineStr">
        <is>
          <t>indeed</t>
        </is>
      </c>
      <c r="E58" t="inlineStr"/>
      <c r="F58" t="inlineStr"/>
      <c r="G58" t="inlineStr">
        <is>
          <t>East Palo Alto, CA, US</t>
        </is>
      </c>
      <c r="H58" s="1" t="n">
        <v>45796</v>
      </c>
      <c r="I5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in-bc72bfa19551e2ea</t>
        </is>
      </c>
      <c r="B59" t="inlineStr">
        <is>
          <t>Backend Software Engineer, Ads New</t>
        </is>
      </c>
      <c r="C59" t="inlineStr">
        <is>
          <t>Mozilla Corporation</t>
        </is>
      </c>
      <c r="D59" t="inlineStr">
        <is>
          <t>indeed</t>
        </is>
      </c>
      <c r="E59">
        <f>HYPERLINK("https://www.indeed.com/viewjob?jk=bc72bfa19551e2ea", "https://www.indeed.com/viewjob?jk=bc72bfa19551e2ea")</f>
        <v/>
      </c>
      <c r="F59">
        <f>HYPERLINK("https://job-boards.greenhouse.io/mozilla/jobs/7615645", "https://job-boards.greenhouse.io/mozilla/jobs/7615645")</f>
        <v/>
      </c>
      <c r="G59" t="inlineStr">
        <is>
          <t>Remote, US</t>
        </is>
      </c>
      <c r="H59" s="2" t="n">
        <v>46074</v>
      </c>
      <c r="I59" t="inlineStr">
        <is>
          <t>**Why Mozilla?**
Mozilla Corporation is the non\-profit\-backed technology company that has shaped the internet for the better over the last 25 years. We make pioneering brands like Firefox, the privacy\-minded web browser. Now, with more than 225 million people around the world using our products each month, we’re shaping the next 25 years of technology and helping to reclaim an internet built for people, not companies. Our work focuses on diverse areas including AI, social media, security and more. And we’re doing this while never losing our focus on our core mission – to make the internet better for people.
The Mozilla Corporation is wholly owned by the non\-profit 501(c) Mozilla Foundation. This means we aren’t beholden to any shareholders — only to our mission. Along with thousands of volunteer contributors and collaborators all over the world, Mozillians design, build and distribute **open\-source** software that enables people to enjoy the internet on their terms.
**About this team and role:**
The Ads Engineering organization at Mozilla builds shared infrastructure that supports ethical, privacy\-forward advertising across Mozilla’s products. Our work spans backend systems that enable advertising inventory management, forecasting, campaign execution, measurement, and reporting across all Mozilla properties.
As a Backend Software Engineer on Ads Engineering, you’ll contribute to backend services, data integrations, and internal tooling that help operational and business partners work more efficiently and reliably. You’ll work alongside engineers, product managers, and cross\-functional stakeholders to deliver well\-scoped features and improvements, while learning the domain and growing your impact over time.
**What you’ll do:**
* Build and maintain backend services that support advertising functionality across Mozilla products
* Implement APIs, data flows, and integrations between internal systems and external partners used in Ads workflows
* Contribute to systems that prioritize correctness, reliability, and scalability in a privacy\-conscious environment
* Work with product managers, engineers, and cross\-functional partners to deliver well\-scoped features and improvements
* Participate in code reviews, design discussions, and on\-call or operational responsibilities as part of the team
* Incrementally take on more complex problems as you develop familiarity with Ads systems and domain concepts
**What you’ll bring:**
* 3\+ years of professional software engineering experience
* Experience building backend systems using languages such as **Go, Python, or Rust**
* Familiarity with APIs, service\-oriented architectures, and system integrations
* Exposure to data pipelines, analytics systems, or ad\-tech concepts is a plus, but not required
* Some experience working with modern frontend frameworks (such as React) is a bonus
* Ability to work effectively in a distributed, asynchronous environment
* Clear written and verbal communication skills
* Comfort working on well\-defined problems while navigating some ambiguity with support from teammates
* Commitment to our values:
* + Welcoming differences
	+ Being relationship\-minded
	+ Practicing responsible participation
	+ Having grit
**What you’ll get:**
* Generous performance\-based bonus plans to all eligible employees \- we share in our success as one team
* Rich medical, dental, and vision coverage
* Generous retirement contributions with 100% immediate vesting (regardless of whether you contribute)
* Quarterly all\-company wellness days where everyone takes a pause together
* Country specific holidays plus a day off for your birthday
* One\-time home office stipend
* Annual professional development budget
* Quarterly well\-being stipend
* Considerable paid parental leave
* Employee referral bonus program
* Other benefits (life/AD\&amp;D, disability, EAP, etc. \- varies by country)
**About Mozilla**
Mozilla exists to build the Internet as a public resource accessible to all because we believe that open and free is better than closed and controlled. When you work at Mozilla, you give yourself a chance to make a difference in the lives of Web users everywhere. And you give us a chance to make a difference in your life every single day. Join us to work on the Web as the platform and help create more opportunity and innovation for everyone online.
**Commitment to diversity, equity, inclusion, and belonging**
Mozilla understands that valuing diverse creative practices and forms of knowledge are crucial to and enrich the company’s core mission. We encourage applications from everyone, including members of all equity\-seeking communities, such as (but certainly not limited to) women, racialized and Indigenous persons, persons with disabilities, persons of all sexual orientations, gender identities, and expressions.
We will ensure that qualified individuals with disabilities are provided reasonable accommodations to participate in the job application or interview process, to perform essential job functions, and to receive other benefits and privileges of employment, as appropriate. Please contact us at hiringaccommodation@mozilla.com to request accommodation.
We are an equal opportunity employer. We do not discriminate on the basis of race (including hairstyle and texture), religion (including religious grooming and dress practices), gender, gender identity, gender expression, color, national origin, pregnancy, ancestry, domestic partner status, disability, sexual orientation, age, genetic predisposition, medical condition, marital status, citizenship status, military or veteran status, or any other basis covered by applicable laws. Mozilla will not tolerate discrimination or harassment based on any of these characteristics or any other unlawful behavior, conduct, or purpose.
Group: E
\#LI\-DNI
Req ID: R3056</t>
        </is>
      </c>
    </row>
    <row r="60">
      <c r="A60" t="inlineStr">
        <is>
          <t>in-130b195b9c6728fe</t>
        </is>
      </c>
      <c r="B60" t="inlineStr">
        <is>
          <t>Mid -Level Software Engineer, HSV, AL (Contingent upon Award)</t>
        </is>
      </c>
      <c r="C60" t="inlineStr">
        <is>
          <t>Davidson Technologies, Inc.</t>
        </is>
      </c>
      <c r="D60" t="inlineStr">
        <is>
          <t>indeed</t>
        </is>
      </c>
      <c r="E60">
        <f>HYPERLINK("https://www.indeed.com/viewjob?jk=130b195b9c6728fe", "https://www.indeed.com/viewjob?jk=130b195b9c6728fe")</f>
        <v/>
      </c>
      <c r="F60">
        <f>HYPERLINK("https://www.applicantpro.com/openings/davidsontech/jobs/3999972-955850", "https://www.applicantpro.com/openings/davidsontech/jobs/3999972-955850")</f>
        <v/>
      </c>
      <c r="G60" t="inlineStr">
        <is>
          <t>Huntsville, AL, US</t>
        </is>
      </c>
      <c r="H60" s="2" t="n">
        <v>46074</v>
      </c>
      <c r="I60" t="inlineStr">
        <is>
          <t>**What sets Davidson apart?**  
* **100% paid medical benefits \- Prioritizing your health and well\-being.**
* **Competitive 401(k) with company match \- Investing in your future.**
* **Tuition reimbursement \- Supporting your professional growth.**
**Davidson's commitment to employee well\-being has earned us recognition as a** ***Colorado Springs Gazette Best Workplace for 5 consecutive years!***
**We have also in recent years been nominated for** ***The Best Place to Work*****,** ***The Best Workplace for Millennials*** **and voted** ***The Best Place for Working Parents!***
Davidson is distinguished in the aerospace and missile defense industry, in part, because of its excellence in hiring exceptional experts, engineers and software developers dedicated to delivering advanced, intelligent technology solutions in defense of our nation.
Davidson is seeking a mid\-level Software Engineer in Huntsville, Alabama to help build and deploy a suite of ML\-enabled applications for VLF transmission sites. You will work closely with a Senior Data Scientist and RF engineers to take ML models and analytical outputs and translate them into reliable, real\-time, operational code suitable for high\-availability systems. The environment includes cloud and edge deployments, strict uptime requirements, and integration with external data sources.
**Job Responsibilities:**
* Implement and maintain production code that operationalizes ML models and decision logic
* Translate Python\-based or research\-grade models into C\+\+, C, or other system\-level languages
* Integrate ML\-driven control logic into real\-time transmission and monitoring systems
* Build and maintain data ingestion pipelines, including NOAA API integrations
* Support deployment of software across cloud and edge environments
* Ensure software meets performance, reliability, and observability requirements
* Collaborate closely with Data Scientists to validate model assumptions and runtime behavior
* Implement logging, metrics, and health monitoring for ML\-enabled services
* Participate in design reviews and contribute to system architecture decisions
* Debug and resolve issues in live or near\-live environments
 **Job Requirements:**
* Bachelor's degree in computer science, Software Engineering, or a related field
* 3\-6 years of professional software engineering experience
* Strong proficiency in C\+\+ (or similar systems\-level language)
* Experience developing production, real\-time, or high\-availability systems
* Working knowledge of the ML development lifecycle and how it intersects with traditional software engineering
* Must be a U.S. citizen
**Preferred Qualifications:**
* Background in systems programming, embedded systems, or infrastructure software
* Exposure to RF systems, signal processing, or physical\-domain systems (not required)
* Exposure to predictive maintenance (e.g., CBM\+)
* Experience supporting mission\-critical or regulated systems
**Clearance:**
* Currently holds an Active Secret Clearance or is able to obtain a Secret Clearance</t>
        </is>
      </c>
    </row>
    <row r="61">
      <c r="A61" t="inlineStr">
        <is>
          <t>in-06a967a82d521038</t>
        </is>
      </c>
      <c r="B61" t="inlineStr">
        <is>
          <t>Senior Backend Engineer</t>
        </is>
      </c>
      <c r="C61" t="inlineStr">
        <is>
          <t>Novig</t>
        </is>
      </c>
      <c r="D61" t="inlineStr">
        <is>
          <t>indeed</t>
        </is>
      </c>
      <c r="E61">
        <f>HYPERLINK("https://www.indeed.com/viewjob?jk=06a967a82d521038", "https://www.indeed.com/viewjob?jk=06a967a82d521038")</f>
        <v/>
      </c>
      <c r="F61">
        <f>HYPERLINK("https://jobs.ashbyhq.com/novig/fbfda83a-1cf4-4b5f-bf09-24a4ac310322?utm_source=abZ6248yED", "https://jobs.ashbyhq.com/novig/fbfda83a-1cf4-4b5f-bf09-24a4ac310322?utm_source=abZ6248yED")</f>
        <v/>
      </c>
      <c r="G61" t="inlineStr">
        <is>
          <t>New York, NY, US</t>
        </is>
      </c>
      <c r="H61" s="2" t="n">
        <v>46074</v>
      </c>
      <c r="I61" t="inlineStr">
        <is>
          <t>**Senior Backend Engineer**
---------------------------
*$225k – $270k • meaningful equity*
**About Novig**
---------------
Novig is building America's \#1 sports prediction market. Founded by Jacob Fortinsky and Kelechi Ukah, we are the only platform to offer commission\-free sports trading. We deliver better pricing, full transparency, and a more efficient market structure for users by eliminating the traditional sportsbook model.
Backed by the best \- Novig has raised over $100M from some of Silicon Valley’s top investors including Pantera, Forerunner, Lux, NFX, Paul Graham, and Joe Montana.
**Who we are**
--------------
We’re here to fix a rigged system where the house always wins and sports fans always lose. Novig is building the future of sports betting. Our mission is to financialize and democratize sports betting \- transforming it from a closed, casino\-controlled system into a two\-sided, fair, efficient market where users have the power.
**Who you are and why this role will excite you**
-------------------------------------------------
* Excited to apply state\-of\-the\-art technologies from modern financial exchanges to enforce transparent and efficient market practices in the future of sports betting
* Work across infrastructure, data layer, networking, and application logic, depending on your familiarity with different components of our tech stack
* Contribute to frontend product development to maintain an outstanding user experience
* Build out a developer\-first API experience for algorithmic trading integrations
* Scale real\-time data ingestion and distribution pipelines
* Expand product features by extending modular service logic on top of existing core functionality
* Bring a passion for sports, markets, and technology, with curiosity about complex computer science challenges
* Hold a Bachelor's or Master's degree in Computer Science or a related technical field
* Possess 5\-6\+ years of experience developing distributed systems with cloud\-based architecture
* Proficient in a systems programming language such as Rust, Go, or C\+\+
* Understand trade\-offs between technical decisions and business requirements
* Exhibit strong leadership, problem\-solving, and communication skills
* Thrive independently and in small teams responsible for a large technical surface area
**Why work here, in the words of the people who do**
----------------------------------------------------
*“I work with extremely stellar people, I own real systems, and decisions happen fast. No politics, no waiting for needless red tape. If something's broken, I fix it. If I build something good, it ships.”*
*“The people! So smart, thoughtful, fun to work with, passionate about their craft, etc”*
*“I'm having the most fun I've had in my entire career.”*
If you want responsibility, trust, and the chance to help build the future of sports prediction markets \- take your shot, we’d love to connect.
**Not for everyone**
--------------------
* Our work is tied to live sports \- that means potential nights, weekends, and pressure included.
* If you need clear swim lanes, a heavy process, or someone to tell you what to do, this won’t be the right environment.
**Compensation \&amp; benefits**
----------------------------
* $225k – $270k base, benchmarked at top\-tier tech companies
* Meaningful equity for every employee, regardless of role
* 100% health premiums covered
* 99% dental \&amp; vision covered
* 401(k) with 4% company match
* HSA \+ $1,080 annual company contribution
* $27/day lunch stipend when working from our NYC office
* $35/day dinner stipend when working from the NYC office after 6:30pm
**Homebase**
------------
Union Square, NYC  
In\-person 4 days a week \- we like being around each other (don’t worry there are snacks).</t>
        </is>
      </c>
    </row>
    <row r="62">
      <c r="A62" t="inlineStr">
        <is>
          <t>in-b45ef44c6d793e2d</t>
        </is>
      </c>
      <c r="B62" t="inlineStr">
        <is>
          <t>Principal Software Engineer</t>
        </is>
      </c>
      <c r="C62" t="inlineStr">
        <is>
          <t>OfficeSpace Software</t>
        </is>
      </c>
      <c r="D62" t="inlineStr">
        <is>
          <t>indeed</t>
        </is>
      </c>
      <c r="E62">
        <f>HYPERLINK("https://www.indeed.com/viewjob?jk=b45ef44c6d793e2d", "https://www.indeed.com/viewjob?jk=b45ef44c6d793e2d")</f>
        <v/>
      </c>
      <c r="F62">
        <f>HYPERLINK("https://grnh.se/bbr124do8us", "https://grnh.se/bbr124do8us")</f>
        <v/>
      </c>
      <c r="G62" t="inlineStr">
        <is>
          <t>Atlanta, GA, US</t>
        </is>
      </c>
      <c r="H62" s="2" t="n">
        <v>46074</v>
      </c>
      <c r="I62" t="inlineStr">
        <is>
          <t>**About OfficeSpace:**
OfficeSpace is the AI workplace management platform that helps teams plan, connect, and perform in the modern workplace. As a performance\-based, PE\-backed company, we hire based on merit and a willingness to do what it takes to succeed long\-term. You're a great fit for the role if you're entrepreneurial, passionate, motivated by building at light speed, and an Agentic AI early adopter. Our world\-class teams operate in the US, Canada, and Costa Rica in a culture of trust, respect, growth, and impact.
**Role Summary:**
* You will shape the technical future of OfficeSpace.
* As our Principal Software Engineer (Ruby/React), you don't just ship features—you architect systems that scale globally. You lead with clarity. You raise the bar. You design resilient, internet\-scale applications that power the modern hybrid workplace.
* We provide the platform. You drive the vision.
What You'll Do:
* Architect and evolve internet\-scale systems with performance, reliability, and scalability as first principles.
* Lead the technical direction for Ruby on Rails and React applications across the platform.
* Design clean, extensible APIs and modern front\-end architectures that deliver fast, intuitive user experiences.
* Orchestrate AI\-assisted development workflows—using AI agents to accelerate code scaffolding, documentation, test generation, refactoring, and dependency analysis.
* Own architectural decisions across services, databases, and infrastructure—including MariaDB, Redis, and Elasticsearch.
* Use Kubernetes to scale Rails applications to handle Enterprise traffic
* Guide multiple high\-impact initiatives in parallel, ensuring secure, well\-tested, production\-ready releases.
* Mentor engineers to think in systems, write maintainable code, and leverage AI responsibly to increase velocity without sacrificing quality.
* Proactively identify technical debt and scalability risks—and drive pragmatic solutions before they become bottlenecks.
* Partner with Product, Design, and Leadership to evaluate trade\-offs and deliver exceptional experiences across browsers and devices.
* Continuously evaluate emerging technologies—including AI tooling—to strengthen platform performance and team effectiveness.
What You Bring:
* 10\+ years of backend engineering experience, with deep expertise in Ruby on Rails.
* 10\+ years of experience building modern front\-end applications with JavaScript (ES6\+) and React.
* Proven experience designing and scaling relational databases (MariaDB) and working with Redis and Elasticsearch.
* Demonstrated ability to define and influence architectural direction across large systems.
* Experience leading engineers through complex technical decisions while fostering a culture of trust and high standards.
* Hands\-on experience with GraphQL (preferred).
* Experience integrating AI development tools (e.g., code generation, static analysis, automated testing assistants) into engineering workflows.
* Strong judgment—knowing when to automate, when to refactor, and when to rethink from first principles.
* Clear communicator who can translate technical complexity into practical decisions.
**Why OfficeSpace?**
* **High\-Performance Culture**: At OfficeSpace, we believe in the power of accountability, focus, and drive. Our A\-Player team members work together to deliver measurable, meaningful results. We recognize and reward those who push boundaries and achieve excellence.
* **Ownership and Accountability**: We trust our employees to take full ownership of their roles, providing the autonomy to innovate and the support to succeed. We seek individuals who are self\-motivated and thrive in an environment where they can drive impactful outcomes.
* **Technology\-Forward**: As a company invested in cutting\-edge technology, we integrate AI and other advanced solutions across our platform to enhance productivity, customer experience, and process efficiency. Our team members are excited by the potential of AI and proactively explore ways it can drive our success.
* **Growth Mindset**: Continuous learning and improvement are integral to our culture. We encourage our team to embrace challenges, seek knowledge, and develop both personally and professionally.
* **Innovation and Agility**: We foster a dynamic, fast\-paced environment where fresh ideas and bold solutions are celebrated. We embrace change and thrive on turning challenges into opportunities, with a team that is agile, proactive, and resilient.
* **Collaborative, Results\-Driven Environment**: We value purposeful collaboration that leads to shared success and stronger results. While our team members are independent, they recognize the value of working together to drive our mission forward.
* **Competitive Benefits and Rewards**: OfficeSpace offers comprehensive and competitive benefits packages globally, designed to support our team's health, well\-being, and financial security. We invest in our people so they can excel.  
*OfficeSpace is committed to building and promoting a diverse workforce and celebrates the unique qualities that individuals of various backgrounds and experiences offer. We are committed to basing all employment\-related decisions upon valid job\-related factors without regard to race, color, sex (including pregnancy, sexual orientation, and gender identity), age, religion, national origin, genetic information, military status, veteran status, physical or mental disability, or any other status protected by law.*</t>
        </is>
      </c>
    </row>
    <row r="63">
      <c r="A63" t="inlineStr">
        <is>
          <t>in-f81ea0263592459d</t>
        </is>
      </c>
      <c r="B63" t="inlineStr">
        <is>
          <t>Member of Technical Staff / Fullstack Engineer</t>
        </is>
      </c>
      <c r="C63" t="inlineStr">
        <is>
          <t>CLERA</t>
        </is>
      </c>
      <c r="D63" t="inlineStr">
        <is>
          <t>indeed</t>
        </is>
      </c>
      <c r="E63">
        <f>HYPERLINK("https://www.indeed.com/viewjob?jk=f81ea0263592459d", "https://www.indeed.com/viewjob?jk=f81ea0263592459d")</f>
        <v/>
      </c>
      <c r="F63">
        <f>HYPERLINK("https://jobs.ashbyhq.com/Clera/45216103-2247-46cb-b282-d9633a85c1f4?utm_source=6qJKzkB7bV", "https://jobs.ashbyhq.com/Clera/45216103-2247-46cb-b282-d9633a85c1f4?utm_source=6qJKzkB7bV")</f>
        <v/>
      </c>
      <c r="G63" t="inlineStr">
        <is>
          <t>San Francisco, CA, US</t>
        </is>
      </c>
      <c r="H63" s="2" t="n">
        <v>46074</v>
      </c>
      <c r="I63" t="inlineStr">
        <is>
          <t>We're building the future of recruiting with AI – and we need an exceptional engineer to join our founding team in our San Francisco hackerhouse.
We just raised a $3M pre\-seed from top\-tier investors and are looking for someone to be one of our first engineering hires. This is the real deal: meaningful equity, direct impact on product direction, and the chance to build something massive in a $600B industry ripe for disruption.
**What We're Building:**
Clera is reimagining how top talent finds their dream jobs. We're already working with leading VC\-backed startups like Mintlify, Luminai, and Windsurf – automating the entire headhunting process end\-to\-end with AI agents.
Thousands of talents engage with Clera every week. We've helped many land roles at companies they're genuinely excited about. Traditional recruiting is broken – we're fixing it with AI\-first automation that delivers better outcomes for both candidates and companies.
We're at the perfect inflection point: early enough that you'll have massive ownership and impact, but far enough that we have a working product, paying customers, and strong traction.
**The Role:**
You'll be **engineer \#4** on the founding team, working directly with our CTO and the other founding engineers. You'll ship features to production daily and own entire product areas from concept to deployment.
We're building fully agentic systems that automate complex workflows. It's technically challenging, fast\-paced, and high\-impact.
**Your Experience**:
* Very strong software engineering background: Experience in TypeScript and React
* Strong practical experience working with AI: We work 24/7 in Cursor \- ideally you have experience coding with AI. Bonus if you have an experience working with LLM APIs
* Startup mindset \- high agency, resourceful, and obsessed with creating value
**Who You Are**:
* Take full ownership of projects, from concept to deployment and do whatever it takes to get the job done.
* Write code fast and scrap it even faster, but know when to transition to building for scale and quality.
* Enjoy talking to customers and iterating based on feedback.
* Are willing to work hard, to create something new with a lot of impact, changing how millions of talents find their jobs in the future.
**Tech Stack:** TypeScript, React, Cursor, Supabase, Prisma, Typesense, LLM APIs, Trigger.dev
**The SF Hackerhouse Setup:**
We're living and building together in SF. Zero commute, 10× faster feedback loops, constant collaboration.
It's intense, but it's also incredibly productive and fun. You'll be surrounded by A\-players who are all\-in on building something great.
**Why Join Now:**
* Be engineer \#4 – your decisions will shape the entire product
* True ownership, no micromanagement, shipping to production every day
* Experienced founders and a team of A Players
* Meaningful equity in a fast\-growing startup
* Join before we scale 10\-100×
* We can support with visa processes
**Compensation:** Competitive salary \+ significant equity
If you're the kind of engineer who wants to build fast, own outcomes, and create something that matters – let's talk.</t>
        </is>
      </c>
    </row>
    <row r="64">
      <c r="A64" t="inlineStr">
        <is>
          <t>in-daf26daedb385a16</t>
        </is>
      </c>
      <c r="B64" t="inlineStr">
        <is>
          <t>Software Engineer Staff - Top Secret Clearance Required to Start</t>
        </is>
      </c>
      <c r="C64" t="inlineStr">
        <is>
          <t>Lockheed Martin</t>
        </is>
      </c>
      <c r="D64" t="inlineStr">
        <is>
          <t>indeed</t>
        </is>
      </c>
      <c r="E64">
        <f>HYPERLINK("https://www.indeed.com/viewjob?jk=daf26daedb385a16", "https://www.indeed.com/viewjob?jk=daf26daedb385a16")</f>
        <v/>
      </c>
      <c r="F64">
        <f>HYPERLINK("https://click.appcast.io/t/kBwjNqwF1YEiOxwCLeDD_nW2PY-ikT8Ecpru-wh4cR4=", "https://click.appcast.io/t/kBwjNqwF1YEiOxwCLeDD_nW2PY-ikT8Ecpru-wh4cR4=")</f>
        <v/>
      </c>
      <c r="G64" t="inlineStr">
        <is>
          <t>King of Prussia, PA, US</t>
        </is>
      </c>
      <c r="H64" s="2" t="n">
        <v>46040</v>
      </c>
      <c r="I64" t="inlineStr">
        <is>
          <t>**Job ID:** 713993BR
**Date posted:** Jan. 19,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This position is contingent upon the program award expected in early 2026\.\*\*\*  
Within the Victor Portfolio of Space Security, we are seeking a highly skilled, motivated, and experienced Software Engineer to join our dynamic team. This exciting position will fill a critical need in the new and emerging area of protecting space assets. As part of an Agile team, you will have the opportunity to work on a variety of tasks in various areas across the mission and collaborate with the development teams, contractors, customers, and subject matter experts.  
As a key member of the software development team, you will be part of the entire engineering life\-cycle, and apply your Software Engineering background to develop web applications in an open architecture infrastructure. If you are looking for a new position in a fast\-paced team environment, where every day brings a new challenge, and want to support a critical space security mission, then this is the place for you.  
In this position you will  
* Collaborate with an exceptional team of Software Engineers implementing solutions and developing new features for a command and control application.
* Serve as a software developer on an Agile team tasked with developing cutting edge web applications within multiple classification domains
* Participate in daily scrums, software sprint/release planning, demos, and retrospectives.
* Develop \&amp; demonstrate software capabilities to both internal and external partners.
Successful Applicants will demonstrate effective communication skills, desire challenges and be willing to engage in frequent internal interactions with peers, teammates, and customers.  
Selected applicants must meet eligibility requirements for access to classified information, and must maintain the required security throughout the course of employment.  
**Basic Qualifications:**  
* Experienced in software development using programming and scripting languages such as Java, JavaScript, C\#, Python, etc.
* Experience working in an Agile development environment, including tools such as Jira and Confluence
* US citizenship is required to obtain a government security clearance
* Active Top Secret Clearance
* Ability to obtain and maintain SCI clearances
**Desired Skills:**  
* Experience in application containerization (e.g. Docker, Kubernetes, Helm, etc.) in a cloud environment (AWS/Azure/Openstack/Openshift)
* Experience with frameworks such as .NET Core, Angular, etc.
* Experience with GitLab CI/CD \- Deployment pipelines, automated build, and/or configuration tools
* Experience with databases (PostgreSQL \&amp; Redis)
* Strong knowledge of modern technology frameworks, cloud platforms (AWS, Azure, GCP), microservices, APIs, DevOps, and data architecture.
* Experienced with Horizon software application providing command and control services for satellites, antennas, and ground hardware assets.
* Experience with modern engineering practices such as Cross\-Functional Agile teams and Capability\-based planning
* Active TS/SCI security clearance
* Bachelor's degree in a related discipline, such as Computer Science, Software Engineering or other engineering disciplines or equivalent experience, with 9 or more years of professional experience; or 7 years of professional experience with a related Master's degree
\#LMSpaceSoftwareEng  
\#SpaceSecurity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Software Engineering  
**Type:** Full\-Time  
**Shift:** First</t>
        </is>
      </c>
    </row>
    <row r="65">
      <c r="A65" t="inlineStr">
        <is>
          <t>in-c2f7ba676fa3f3ef</t>
        </is>
      </c>
      <c r="B65" t="inlineStr">
        <is>
          <t>Manager - Software Engineering Lead - Top Secret Clearance</t>
        </is>
      </c>
      <c r="C65" t="inlineStr">
        <is>
          <t>Lockheed Martin</t>
        </is>
      </c>
      <c r="D65" t="inlineStr">
        <is>
          <t>indeed</t>
        </is>
      </c>
      <c r="E65">
        <f>HYPERLINK("https://www.indeed.com/viewjob?jk=c2f7ba676fa3f3ef", "https://www.indeed.com/viewjob?jk=c2f7ba676fa3f3ef")</f>
        <v/>
      </c>
      <c r="F65">
        <f>HYPERLINK("https://click.appcast.io/t/ahL7fCUo_qX2LcGM27eJEmba8Dlf4MTvnKYeirZeo18=", "https://click.appcast.io/t/ahL7fCUo_qX2LcGM27eJEmba8Dlf4MTvnKYeirZeo18=")</f>
        <v/>
      </c>
      <c r="G65" t="inlineStr">
        <is>
          <t>Littleton, CO, US</t>
        </is>
      </c>
      <c r="H65" s="2" t="n">
        <v>46040</v>
      </c>
      <c r="I65" t="inlineStr">
        <is>
          <t>**Job ID:** 715436BR
**Date posted:** Jan. 19, 2026  
**Description:**Join Our Team: Unlock Your Potential as a SW Lead  
C2 Ground is a dynamic and diverse group of programs united in our mission to deliver cutting\-edge solutions to our customers within the Command and Control (C2\) Domain. As a "Family of Programs," we offer a wide range of innovative hardware and software products that provide mission\-critical capabilities, focusing on key areas such as Tasking, Processing, Exploitation, and Dissemination (TPED), Communications, and Mission Planning Applications. Our team is passionate about creating customizable and transportable mobile ground shelters and mission equipment designed to thrive in diverse environments and climates.  
Who You Are:
We're looking for an exceptional leader to serve as our Software Lead and Software Manager, a critical role in shaping the overall technical direction of our C2 Ground programs. As an ideal candidate, you will have a background in software architecture, technical leadership, and proven experience leading teams and guiding technical efforts. This is a rare opportunity for a seasoned engineer to lead a team of engineers through strategic design, implementation, test. and deployment phases of complex mission\-critical systems.  
What We're Doing  
At Lockheed Martin Rotary and Mission Systems (RMS), we are driven by innovation and integrity. We believe that by applying the highest standards of business ethics and visionary thinking, everything is within our reach and yours as a Lockheed Martin employee. Lockheed Martin values your skills, training, and education. We are a dynamic team on a recurring multi\-year, critical program seeking an engineering manager who likes to be challenged, solve problems and lead a highly skilled software development team. You will work directly with domain and industry experts and technical staff that design and implement systems that are integrated into Lockheed Martin "Skunkworks" deliveries. While we can't tell you what it's for, once you're briefed into the program, you'll find it to be one of the most interesting and rewarding missions you'll ever be part of! As part of the C2 Ground Team the selected candidate will be the Software Development Lead leading approximately 15 to 20 direct reports and oversee approximately 40 software engineers on multiple projects within the C2 Ground products.
The Work  
Responsibilities include:  
* Ensuring the organization's staff is meeting program and business commitments and working with the Program Leadership team to drive Program Execution.
* Manage the staffing and resource allocation. This includes recruiting and hiring candidates.
* Maintaining/Updating Software Development Plans and Software SOPs. Ensuring that the Software team understands and follows plans and procedures.
* Guide/mentor the team on how to do conduct business with our customers, define processes, improve when needed
* Gather, Analyze, and use software and EVM metrics in both waterfall and agile program execution
* Create SW development schedules and ensure the team executes to the schedule
* Interface w/ Program Mgmt, CAMs, Project Engineers, other discipline leaders, and customers over priorities, milestones and deliveries
* Preparing Software Estimating through BOEs
* Insert Digital Transformation initiatives into software development execution (AI, DevSecOps, Software Factory, Agile)
Why Join Us:  
At Lockheed Martin, we're committed to helping you thrive, both personally and professionally. We offer:  
* Flexible schedules and a balance of in\-office and at\-home work, allowing you to maintain a healthy work\-life balance.
* Competitive pay and comprehensive benefits, including a generous 401(k) match and comprehensive health insurance.
* Opportunities for professional growth, including training and education programs.
* The opportunity to work at our beautiful Deer Creek Facility in Littleton, CO. You can learn more about our facility by searching online for "Lockheed Martin Deer Facility in Littleton CO".
**Basic Qualifications:**  
* Demonstrated leadership skills and behaviors that align with the Full Spectrum Leadership Imperatives
* Excellent verbal and written communication skills
* Experience planning and coordinating software development in a team\-oriented environment
* Knowledgeable in Software Engineering Process and Tools, including experience in executing in both Agile and Waterfall
methodologies.  
* Experience across the Software Development Life Cycle
**Desired Skills:**  
Previous Functional Manager responsibilities.  
Previous experience working on large scale networked systems is highly desired.
Development experience under a mature SEI CMMI quality system.  
Knowledge of LM and program processes and procedures  
Experience with software estimating tools (SEER\-SEM or COCOMO), metrics identification and collection
Experience with any/each of the following is highly desirable:  
* DevSecOps tools such as Eyesight, Jenkins, Git/BitBucket, JIRA and Confluence
Familiarity with virtualization, containerization, and microservice architectures/technologies.  
Experience with Software Development Lifecycles in a DOD environment  
Experience in Planning \- Staff, tools (SW Dev tools), Have the ability to provide a Software Development Plan (SDP)  
Knowledgeable of practices, artifacts (Unified Modeling Language (UML) diagrams, requirement database), documentation, Software Requirements Specification (SRS), Interface Requirements Specification (IRS), Interface Control Document (ICD)  
Knowledgeable of practices, artifacts (UML diagrams, models), documentation Software Design Document (SDD), IDD, DBDD)  
Knowledgeable of Operations and Maintenance (O\&amp;M) \- practices such as break/fix and enhancements to customers, tracking Problem Reports to closure, CM  
Understand Software Metrics (SLOC, Defects, Productivity)\- gathering, analyzing, and using  
Experience with Software Scheduling and Microsoft Project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$134,000 \- $236,325\.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li-4337374523</t>
        </is>
      </c>
      <c r="B2" t="inlineStr">
        <is>
          <t>Senior Software Engineer II - Route Planning</t>
        </is>
      </c>
      <c r="C2" t="inlineStr">
        <is>
          <t>Samsara</t>
        </is>
      </c>
      <c r="D2" t="inlineStr">
        <is>
          <t>linkedin</t>
        </is>
      </c>
      <c r="E2" t="inlineStr"/>
      <c r="F2" t="inlineStr"/>
      <c r="G2" t="inlineStr"/>
      <c r="H2" t="inlineStr"/>
      <c r="I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interested in building solutions that help our customers deliver their cargo safely, efficiently and save fleet costs in the process? If so, the Route Planning team might be the right fit for you.
 We are a 0\-1 team within Samsara that is actively building smart route planning solutions that model our customer’s real world operations such as delivering to hard to reach locations on busy urban streets, maximize their fleet capacity by recommending the right vehicles to use, drive familiar routes or plan for those surprise deliveries, all the while staying compliant with the ever changing rules of commercial navigation
 This is a remote position open to candidates residing in the US and Canada. Relocation assistance will not be provided for this role.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Own the design and implementation of backend services that effortlessly scale no matter size of the fleet
* Work with the product manager and our UX designer closely to design and build intuitive UI interfaces that makes the route planner’s job more efficient
* Partner with the engineering manager and advocate for technical excellence on the team
* Navigate tradeoffs between moving fast and building for the long term using customer impact as the north star
* Act as a simplifier that ensures our solutions are built to serve our diverse customer base
* Communicate your work to not just engineering audiences but also our sales partners to maintain a tight feedback loop
* Champion, role model, and embed Samsara’s cultural principles (Focus on Customer Success, Build for the Long Term, Adopt a Growth Mindset, Be Inclusive, Win as a Team) as we scale globally and across new offices
**Minimum requirements for the role:**
* Bachelor’s degree in Computer Science or equivalent practical experience
* 8\+ years of experience as a software engineer
* Demonstrated ability executing in ambiguous environments and delivering customer value
* Excellent communication skills, both written and verbal
**An ideal candidate also has:**
* Proven experience shaping and improving routing and navigation products
* A passion for mentoring and helping junior engineers grow
* A track record of thriving in 0→1 teams and scaling them through the post–startup phase
* Experience operating as a tech lead or in a similar technical role directly impacting output of other engineers.
* The ability and willingness to engage directly with customers when needed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$154,700—$260,000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3">
      <c r="A3" t="inlineStr">
        <is>
          <t>li-4345242120</t>
        </is>
      </c>
      <c r="B3" t="inlineStr">
        <is>
          <t>Senior Software Engineer, Machine Learning</t>
        </is>
      </c>
      <c r="C3" t="inlineStr">
        <is>
          <t>Roku</t>
        </is>
      </c>
      <c r="D3" t="inlineStr">
        <is>
          <t>linkedin</t>
        </is>
      </c>
      <c r="E3" t="inlineStr"/>
      <c r="F3" t="inlineStr"/>
      <c r="G3" t="inlineStr">
        <is>
          <t>New York, NY</t>
        </is>
      </c>
      <c r="H3" t="inlineStr"/>
      <c r="I3"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Our world\-class Recommendation Team has been innovating in developing ML models in multiple areas, including content recommendation, content generation, content understanding, revenue/gross profit optimization, and much more. Both the scope and impact of Recommendations at Roku are massive as we personalized Home Screen, Destinations, EPG, and all other consumer\-facing surfaces.  Our Recommendation Team has a culture of collaboration and innovation (we have filed 30\+ patents).
**About the Role** 
 We seek an outstanding, creative, and passionate Senior Machine Learning Engineer to join Roku's Recommendation Team. You will be responsible for building and owning the next generation of content recommendations/understanding/generation models/systems that will make the experience for our many millions of Roku users better.   
 For New York Only \- The estimated annual salary for this position is between $195,000 and $465,000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Apply state\-of\-the\-art ML models, including and not limited to: transformer\-based sequential models, collaborative filtering models, session\-based models, reinforcement learning models, diffusion models
* Run online AB tests and analyze them to optimize critical business KPIs
* Collaborate across Product and Engineering teams to translate business requirements into technical specifications
* Nurture our ML ecosystem to make it withstand scale, developer velocity, and future business shifts
* Help in training and mentoring new team members
**We're Excited If You Have** 
* 5\+ years of experience in applying Machine Learning to concrete problems at a large scale. Recommendation domain is a plus
* Strong CS fundamentals and software engineering skills. Should be able to design/write an efficient algorithm with ease
* Deep understanding of statistics learning and ML fundamentals – Regression, Classification, Tree\-based approach, Neural network, sequence\-based models, reinforcement learning
* Deep experience with system architecture, especially for serving ML models. And extensive experience in distributed computing, data pipelines, etc.
* Bachelor's/Master's in Computer Science or related area, Ph.D. in ML will be a plus
* Bonus point: You deploy Gen AI in production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4">
      <c r="A4" t="inlineStr">
        <is>
          <t>li-4345202242</t>
        </is>
      </c>
      <c r="B4" t="inlineStr">
        <is>
          <t>Senior Software Engineer, Machine Learning</t>
        </is>
      </c>
      <c r="C4" t="inlineStr">
        <is>
          <t>Roku</t>
        </is>
      </c>
      <c r="D4" t="inlineStr">
        <is>
          <t>linkedin</t>
        </is>
      </c>
      <c r="E4" t="inlineStr"/>
      <c r="F4" t="inlineStr"/>
      <c r="G4" t="inlineStr">
        <is>
          <t>San Jose, CA</t>
        </is>
      </c>
      <c r="H4" t="inlineStr"/>
      <c r="I4"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Our world\-class Recommendation Team has been innovating in developing ML models in multiple areas, including content recommendation, content generation, content understanding, revenue/gross profit optimization, and much more. Both the scope and impact of Recommendations at Roku are massive as we personalized Home Screen, Destinations, EPG, and all other consumer\-facing surfaces.  Our Recommendation Team has a culture of collaboration and innovation (we have filed 30\+ patents).
**About the Role** 
 We seek an outstanding, creative, and passionate Senior Machine Learning Engineer to join Roku's Recommendation Team. You will be responsible for building and owning the next generation of content recommendations/understanding/generation models/systems that will make the experience for our many millions of Roku users better.   
 For California Only \- The estimated annual salary for this position is between $195,000 and $465,000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Apply state\-of\-the\-art ML models, including and not limited to: transformer\-based sequential models, collaborative filtering models, session\-based models, reinforcement learning models, diffusion models
* Run online AB tests and analyze them to optimize critical business KPIs
* Collaborate across Product and Engineering teams to translate business requirements into technical specifications
* Nurture our ML ecosystem to make it withstand scale, developer velocity, and future business shifts
* Help in training and mentoring new team members
**We're Excited If You Have** 
* 5\+ years of experience in applying Machine Learning to concrete problems at a large scale. Recommendation domain is a plus
* Strong CS fundamentals and software engineering skills. Should be able to design/write an efficient algorithm with ease
* Deep understanding of statistics learning and ML fundamentals – Regression, Classification, Tree\-based approach, Neural network, sequence\-based models, reinforcement learning
* Deep experience with system architecture, especially for serving ML models. And extensive experience in distributed computing, data pipelines, etc.
* Bachelor's/Master's in Computer Science or related area, Ph.D. in ML will be a plus
* Bonus point: You deploy Gen AI in production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5">
      <c r="A5" t="inlineStr">
        <is>
          <t>li-4305256153</t>
        </is>
      </c>
      <c r="B5" t="inlineStr">
        <is>
          <t>ML / AI Software Engineer - C++ Metrics Frameworks</t>
        </is>
      </c>
      <c r="C5" t="inlineStr">
        <is>
          <t>General Motors</t>
        </is>
      </c>
      <c r="D5" t="inlineStr">
        <is>
          <t>linkedin</t>
        </is>
      </c>
      <c r="E5" t="inlineStr"/>
      <c r="F5" t="inlineStr"/>
      <c r="G5" t="inlineStr">
        <is>
          <t>San Francisco, CA</t>
        </is>
      </c>
      <c r="H5" t="inlineStr"/>
      <c r="I5" t="inlineStr">
        <is>
          <t>**Job Description**
**Role:** 
 As an AI/ML Engineer on the Metrics Frameworks team, part of the Simulation, Evaluation, and Data organization, you will be an individual contributor focused on developing and optimizing infrastructure to accelerate autonomous vehicle development, testing, and deployment by creating specialized analytics frameworks and tools. We are seeking experienced software engineers to build analytical frameworks and tools that empower internal users to construct quantitative analysis pipelines and develop metrics. These metrics will support and accelerate feature design, prioritization, and development, as well as evaluate the impact of recently released features. Our analytics framework equally supports road event monitoring, data mining and training, and simulation metrics.
**About the Organization:** 
 The Simulation, Evaluation, and Data organization is dedicated to advancing the development of autonomous vehicles through cutting\-edge simulation technologies. The Metrics Frameworks team within this organization focuses on creating, maintaining, and evolving the analytics framework that supports GM's goal of safe, high\-performing, and scalable driverless technology. The team delivers robust and scalable tools that facilitate data\-driven decision\-making throughout the AV feature development lifecycle. We collaborate closely with Simulation Evaluation, Embodied AI, and System and Test Engineering teams to enhance productivity across the organization by developing automation tools and shared libraries for all engineering teams. We are accountable for the performance, reliability, and scalability OKRs of the analytics framework. This includes, but is not limited to, developing customized analytics workflows, improving operational telemetry and dashboards to track relevant KPIs for prioritization, and identifying, designing, and implementing solutions to achieve key results.
**What You’ll Do:**
* Create tooling that can receive signals from various sources (Simulation, Road, etc) and allow users to easily build quantitative analysis pipelines to extract usable insights.
* Accelerate team’s effectiveness and efficiency by designing and implementing scalable automation tools for test creation, data collection and analysis, debugging, and performance monitoring.
* Design and implement extensible and well\-tested shared libraries that will be used by many engineers across the organization.
* Collaborate with other frameworks and data infra teams to build and deploy tools to improve productivity.
* Work closely with autonomous vehicle engineering to enable rapid development and model feedback.
* Maintain a high technical standard for code quality on the team, through architectural design and code reviews.
**Your Skills \&amp; Abilities:**
* Experience developing scalable software solutions that will be used by many developers
* Experience writing Python and C\+\+ in a production environment (unit testing, code review, algorithm performance and tradeoffs, etc.)
* Experience developing automation scripts (Python and Bash scripts)
* BS in Computer Science, Electrical Engineering, Mechanical Engineering, or Aerospace Engineering
* 5\+ years of industry experience
* Strong organizational and communication skills
**What Will Give You A Competitive Edge:**
* Experience with SQL and related tools/tech (Big Query, DuckDB, etc)
* Experience with time\-series data analysis and online performance monitoring tools
* Experience building high performance framework / infrastructure and performance optimization in C\+\+/Python
* Familiarity with ROS, Pandas, Python bindings for C\+\+, and plotting/visualization libraries
* Familiarity with Data orchestration and transformation tools like AirTable, AirFlow, DBT, etc
**Compensation** 
**:** 
 The salary range for this role is ($129,000 and $198,400\). The actual base salary a successful candidate will be offered within this range will vary based on factors relevant to the position.
 Hybrid: This role is categorized as hybrid. This means the successful candidate is expected to report to the Mountain View, San Francisco, Warren or Milford Technical Center three times per week, at minimum.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
      <c r="A6" t="inlineStr">
        <is>
          <t>li-4344081079</t>
        </is>
      </c>
      <c r="B6" t="inlineStr">
        <is>
          <t>Software Engineer I</t>
        </is>
      </c>
      <c r="C6" t="inlineStr">
        <is>
          <t>Twitch</t>
        </is>
      </c>
      <c r="D6" t="inlineStr">
        <is>
          <t>linkedin</t>
        </is>
      </c>
      <c r="E6" t="inlineStr"/>
      <c r="F6" t="inlineStr"/>
      <c r="G6" t="inlineStr">
        <is>
          <t>San Francisco, CA</t>
        </is>
      </c>
      <c r="H6" t="inlineStr"/>
      <c r="I6"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**You Have:**
* 1\+ Years experience developing software in a professional environment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**Bonus Points**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TW9047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7">
      <c r="A7" t="inlineStr">
        <is>
          <t>li-4350188369</t>
        </is>
      </c>
      <c r="B7" t="inlineStr">
        <is>
          <t>Software Engineer - Open Connect Control Plane</t>
        </is>
      </c>
      <c r="C7" t="inlineStr">
        <is>
          <t>Netflix</t>
        </is>
      </c>
      <c r="D7" t="inlineStr">
        <is>
          <t>linkedin</t>
        </is>
      </c>
      <c r="E7" t="inlineStr"/>
      <c r="F7" t="inlineStr"/>
      <c r="G7" t="inlineStr"/>
      <c r="H7" t="inlineStr"/>
      <c r="I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Netflix has been changing the way people watch shows and movies, and we've built a global Content Delivery Network called Open Connect, which sets the standard for video delivery. We have also recently embarked on a journey to expand into cloud games, stream our content live, serve ads, and more. All this creates an exciting variety of opportunities and technical challenges.
 To embrace all these challenges, we are looking to add a software engineer with expertise in building scalable distributed systems solutions, informed by analytics, to the Open Connect Control Plane team to continue to craft the scalable, reliable systems needed to build and scale all our offerings.
**The Role Involves Building**
* Cloud services that customers directly hit when they press ‘Play’.
* Algorithms that smartly steer customers to Open Connect appliances such that they have the best possible Quality\-of\-Experience, taking into account network latencies, resource availability, and other factors.
* Algorithms to understand and optimize hardware utilization and cost efficiency, evaluated against intuitive and business\-critical performance metrics.
* Operational knobs and tools to quickly diagnose and fix problems as they arise.
**We spend our time trying to answer questions like these:**
* What do we need to build in order to be a cost efficient and resilient platform?
* How do we design our models and systems to adapt appropriately to heterogeneous resource availability, and demand, including in real\-time?
* How do we build scalable solutions that automate deploying content to servers in our CDN globally as fast as possible, while not impacting performance metrics?
* How do we build knobs/visibility/alerting to effectively and scalably operate complex systems?
* How do we make our optimization approaches easy to operate and understand?
* What are the performance metrics we can evaluate our systems against over\-time?
**We are looking for someone who identifies with the following:**
* You build robust, responsive, and scalable systems.
* You care about building quality software that your teammates can support.
* You are familiar with parametrizing your problem and optimization algorithms.
* You have a passion for operational excellence, educating others, and rigor.
* You use a data\-driven approach when helpful to inform your design decisions.
* You are comfortable with ambiguity.
* You are able to iterate quickly on ideas and incorporate feedback.
* You believe that fostering an inclusive environment helps everyone do their best work.
**Basic Qualifications**
* Distributed Systems Experience (e.g. Java).
* 5\+ years of software development.
* Experience building and operating business\-critical, real\-time systems at scale.
* Basic background in networking concepts.
* Analytics experience (e.g. experience with Python or SQL or Notebooks, etc.).
**Nice To Have**
* Behavioral modeling (e.g. experience with Tensorflow, Spark, Presto, etc.).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$619,000\.00\.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8">
      <c r="A8" t="inlineStr">
        <is>
          <t>li-4374987583</t>
        </is>
      </c>
      <c r="B8" t="inlineStr">
        <is>
          <t>Backend Engineer, AI</t>
        </is>
      </c>
      <c r="C8" t="inlineStr">
        <is>
          <t>A1</t>
        </is>
      </c>
      <c r="D8" t="inlineStr">
        <is>
          <t>linkedin</t>
        </is>
      </c>
      <c r="E8" t="inlineStr"/>
      <c r="F8" t="inlineStr"/>
      <c r="G8" t="inlineStr">
        <is>
          <t>Palo Alto, CA</t>
        </is>
      </c>
      <c r="H8" t="inlineStr"/>
      <c r="I8" t="inlineStr">
        <is>
          <t>**About the Role** 
 A1 is building a proactive AI system that carries work forward across conversations, tools, and time.
 You will build the systems that power every AI interaction users experience. Your work will sit at the intersection of models, orchestration, APIs, and product behavior \- where correctness, latency, and reliability actually matter.
**Focus** 
* Build and operate backend systems that serve AI\-powered features in production.
* Design inference pipelines, orchestration layers, and service boundaries around models.
* Own production concerns: monitoring, logging, alerting, and incident response.
* Optimize latency and throughput across inference, caching, batching, and streaming.
**Ideal Experiences** 
* Strong backend engineering fundamentals in production environments.
* Experience running high\-throughput, low\-latency services.
* Familiarity with AI inference patterns (LLMs, embeddings, multimodal).
* Comfortable debugging distributed systems under load.
* Bias toward shipping and learning from production behavior.
**Tech Stack** 
* Python
* NodeJs
* Pytorch
* OpenAI / Anthropic / open\-source LLMs
* SQl \&amp; noSQL
* Kubernetes
* Docker
**Compensation Range** 
 $255K – $405K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9">
      <c r="A9" t="inlineStr">
        <is>
          <t>li-4293661896</t>
        </is>
      </c>
      <c r="B9" t="inlineStr">
        <is>
          <t>Senior Software Engineer I - External Platform</t>
        </is>
      </c>
      <c r="C9" t="inlineStr">
        <is>
          <t>Samsara</t>
        </is>
      </c>
      <c r="D9" t="inlineStr">
        <is>
          <t>linkedin</t>
        </is>
      </c>
      <c r="E9" t="inlineStr"/>
      <c r="F9" t="inlineStr"/>
      <c r="G9" t="inlineStr"/>
      <c r="H9" t="inlineStr"/>
      <c r="I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Our Platform is the foundation of our Connected Operations solution. Think of it as a hub\-and\-spoke model. All our products — safety, route planning, maintenance, fuel efficiency, EV reporting etc — are the spokes that engage users. But they all connect back to the central hub.
 Most organisational platforms — and we're talking about those outside of Samsara — act as a software layer between infrastructure and product. They also tend to function behind the scenes.
 Our platform, however, is different. Not only do we work on core infrastructure and platform components, we also develop customer\-facing features. Customers log into Samsara through the platform, interacting with everything from the login screen to dashboards, reports, settings, and alerts. Regardless of the product, the platform is the central interface for insights and management.
 As a Senior Software Engineer in the Platform team, you’ll own the systems you build, shape products that prevent crashes and emissions, and create world\-class systems at scale. You’ll take full technical ownership of key product areas used by thousands of fleets worldwide, solving real\-world problems that cut CO₂ and keep people safe. Your ideas will shape roadmaps, influence critical decisions, and power products that make measurable impact at scale.
 Work with product managers, designers, firmware and infrastructure engineers to design, build, test, and deliver end\-to\-end products. You’ll develop skills across multiple technologies and own the production systems in your domain. You will coach, mentor, and guide engineers in the team, while also receiving support for your own development.
**This is a remote position open to candidates residing in Canada.**
**You should apply if:**
* You want to impact the industries that run our world: The software, firmware, and hardware you build will result in real\-world impact, 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Take full ownership of complex features and projects, guiding them from initial concept (0\-1\) through design, development, launch, and ongoing support.
* Bring a customer\-focused mindset to all development, balancing the need to iterate quickly and deliver customer wins iteratively.
* Collaborate closely with Engineering, Product, ML, and Design team members to translate high\-level requirements into robust, scalable features and create sustained and aligned impact.
* Mentor and guide other engineers on the team.
* Champion, role model, and embed Samsara’s cultural principles (Focus on Customer Success, Build for the Long Term, Adopt a Growth Mindset, Be Inclusive, Win as a Team) as we scale globally and across new offices
**Minimum requirements for the role:**
* We're looking for people with 5\+ years of experience developing and shipping outstanding customer\-focused products
* You'll have strong programming fundamentals in Java, Python, Golang, TypeScript or JavaScript, as well as experience designing and maintaining complex systems and application services
* You will excel at estimating, communicating, and delivering project milestones with your team
* Seeks to iterate on new products based on customer feedback
**An ideal candidate also has:**
* Experience using LLM technologies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$126,225—$163,350 CAD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10">
      <c r="A10" t="inlineStr">
        <is>
          <t>li-4339089587</t>
        </is>
      </c>
      <c r="B10" t="inlineStr">
        <is>
          <t>Software Engineer, Platform</t>
        </is>
      </c>
      <c r="C10" t="inlineStr">
        <is>
          <t>CLEAR</t>
        </is>
      </c>
      <c r="D10" t="inlineStr">
        <is>
          <t>linkedin</t>
        </is>
      </c>
      <c r="E10" t="inlineStr"/>
      <c r="F10" t="inlineStr"/>
      <c r="G10" t="inlineStr">
        <is>
          <t>New York, NY</t>
        </is>
      </c>
      <c r="H10" t="inlineStr"/>
      <c r="I10"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expand its identity platform across physical and digital environments, our network of kiosks and connected devices forms the backbone of our member experience. Ensuring these systems stay secure, reliable, and always available is mission\-critical, and that’s where you come in.
 We’re looking for a Platform Engineer to join our Hardware Operations and Platform Engineering team. You’ll be sitting at the intersection of Site Reliability Engineer and Embedded Systems Integration. You’ll be architecting and maintaining the software layer that keeps thousands of Linux\-based kiosks online, healthy, and self\-healing, effectively operating a distributed server fleet at the edge.
 You’ll own everything from OS image management to over\-the\-air (OTA) updates, device observability, and system recovery, while ensuring our biometric kiosks deliver a consistent, frictionless experience to every traveler, every time.
*What You Will Do* 
* Architect and implement OS\-level watchdogs, process monitors, and self\-healing mechanisms to ensure devices automatically recover from failures (service restarts, reboots, or rollbacks).
* Manage and enhance our OTA update framework to enable safe, atomic updates via A/B partition swapping and automated rollback when needed.
* Develop and maintain Python\-based services that interact with connected peripherals (payment terminals, scanners, sensors) via vendor SDKs and serial interfaces.
* Own and maintain our custom Linux image (via Yocto, Buildroot, bootc, rpm\-ostree, etc), managing systemd units, udev rules, and security policies for a locked\-down, production\-grade environment.
* Build lightweight monitoring agents to stream logs, metrics, and telemetry (connectivity, performance, temperature) to centralized observability systems such as Datadog or Splunk.
* Work closely with software, SRE, and field operations teams to identify pain points and develop scalable solutions that improve reliability and ease of maintenance.
*Who You Are* 
* 3\+ years of hands\-on experience administering embedded Linux systems
* Strong proficiency in Python for system automation, service orchestration, and hardware communication.
* Familiarity with A/B update mechanisms (RAUC, Mender, SWUpdate, or custom partition\-switching logic).
* Experienced in serial communications (UART, RS\-232, USB\-serial) and SDK\-based hardware integration.
* Deep knowledge of service dependencies, timers, and watchdog configuration.
* Familiarity with network observability and remote device management at fleet scale.
* Committed to operational excellence, focused on designing for resilience, testability, and safe rollback.
* Collaborative, pragmatic, and curious; equally comfortable debugging a kiosk in the field or improving CI/CD for edge devices.
*Why You’ll Love This Role* 
* Massive impact: Your work ensures millions of travelers experience CLEAR’s identity platform without disruption.
* Unique technical challenge: Operate and scale a distributed edge infrastructure at the intersection of IoT and reliability engineering.
* End\-to\-end ownership
 **:** 
 From OS image to telemetry pipeline, you’ll own the full stack of machine reliability.
* Collaborative culture: Deep cross\-functional partnership with engineering and operations experts to create frictionless identity experiences.
* Continuous learning: Work on modern Linux, OTA updates, and observability systems at enterprise scale.
***How You’ll be Rewarded:***
 At CLEAR we help YOU move forward \- because when you’re at your best, we’re at our best. You’ll work with talented team members who are motivated by our mission of making experiences safer and easier. In our offices, you’ll enjoy benefits like meals and snacks. We invest in your well\-being and learning \&amp; development with our stipend and reimbursement programs. 
 We offer holistic total rewards, including comprehensive healthcare plans, family building benefits (fertility and adoption/surrogacy support), flexible time off, free OneMedical memberships for you and your dependents, and a 401(k) retirement plan with employer match. The base salary range for this role is $150,000\-185,000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an experienced Software Engineer to help us build the next generation of products which will go beyond just ID and enable our members to leverage the power of a networked digital identity. As a Software Engineer at CLEAR, you will participate in the design, implementation, testing, and deployment of applications to build and enhance our platform, one that interconnects dozens of attributes and qualifications while keeping member privacy and security at the core.  
***A brief highlight of our tech stack:***
* Java / Python / React / Typescript
* Kafka / Postgres
* AWS cloud
***What you'll do:***
* Advance our capabilities across a wide array of industries and domains and gain hands\-on experience with privacy, security, data modeling and architecture
* Develop and deliver code across the full stack, driving engineering excellence by defining to best practices in testing, documentation and observability
* Partner with product and other stakeholders to uncover requirements, to innovate, and to solve complex problems
* Have a strong sense of ownership, responsible for architectural decision\-making and striving for continuous improvement in technology and processes at CLEAR
***What you’re great at:***
* 3\+ years of fullstack software development experience in tools like Java, Python, Typescript, React
* Working with cloud\-based application development, and being fluent in at least a few of:
+ Cloud service providers like AWS
+ Containerization technologies like Docker and Kubernetes
+ Collaboration, integration, and deployment tools like Github, Argo, and Jenkins
* Articulating technical concepts to a mixed audience of technical and non\-technical stakeholders
* Collaborating and mentoring less experienced members of the team
* Comfort with ambiguity
* Curiosity about technology, belief in constant learning, and athe 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11">
      <c r="A11" t="inlineStr">
        <is>
          <t>li-4359761397</t>
        </is>
      </c>
      <c r="B11" t="inlineStr">
        <is>
          <t>Software Engineer, Embedded UI</t>
        </is>
      </c>
      <c r="C11" t="inlineStr">
        <is>
          <t>Roku</t>
        </is>
      </c>
      <c r="D11" t="inlineStr">
        <is>
          <t>linkedin</t>
        </is>
      </c>
      <c r="E11" t="inlineStr"/>
      <c r="F11" t="inlineStr"/>
      <c r="G11" t="inlineStr">
        <is>
          <t>San Jose, CA</t>
        </is>
      </c>
      <c r="H11" t="inlineStr"/>
      <c r="I11"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Join a team dedicated to delivering customer\-focused features that elevate user experiences on a global scale. Our team specializes in creating engaging content such as wallpapers, screensavers, trivia, featured experiences, AI projects for content generations, and more. Guided by an ambitious product roadmap, we aim to accelerate growth and scale by introducing innovative features to millions of users worldwide. We foster a culture of ownership where developers and engineers are self\-motivated to tackle challenges and ship impactful solutions. Collaboration is key—engineers work closely with cross\-functional teams, including UI design, product management, and business leadership, to make things happen. If you're passionate about reimagining the world of streaming media in a dynamic, collaborative environment, this is the team for you.
 About the Role
 Our products are known for their seamless integration and intuitive design, delighting users right out of the box. These qualities result from meticulous engineering and a commitment to excellence. As part of the engineering team, you’ll develop and manage features for Screensavers, Static \&amp; Dynamic Wallpapers, Trivia, Featured Experience, and AI initiatives. You will be working on AI initiatives to develop new features on platforms to create user\-enhancing experiments.
 For California Only \- The estimated annual salary for this position is between $170,000 \- $210,000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Designing and developing features for new Experiences on the Roku platform
* Creating a PoC to elaborate on ideas and work in a startup mindset to break fast and deliver quickly
* Collaborating with UI/UX design and backend team to create and implement new experiences
* Adapting PoCs for productionising the solution
* Investigating, diagnosing, and resolving issues to maintain commercially viable solutions
 We Are Excited If You Have
* Bachelor's or Master's degree in Computer Science or a related field
* Substantial Project based on using AI/ML and LLM technologies
* Proficiency in scripting languages such as JavaScript, TypeScript, React Native, Python, BrightScript, or related technologies
* Experience with C\+\+, especially in embedded environments
* Consumer electronics experience in media/content or ad product development is a plus
* Experience in productionizing solutions, including content management, UI development, cloud development, and cloud backend integration
* Knowledge of Core OS concepts like memory management and multi\-threading
* Experience in API design, with an understanding of considerations and trade\-offs
* Strong communication skills, as this role involves frequent collaboration across teams
* If you're a pragmatic dreamer passionate about shaping the future of media experiences, we’d love to hear from you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2">
      <c r="A12" t="inlineStr">
        <is>
          <t>li-4305253048</t>
        </is>
      </c>
      <c r="B12" t="inlineStr">
        <is>
          <t>Senior Software Engineer, Backend</t>
        </is>
      </c>
      <c r="C12" t="inlineStr">
        <is>
          <t>Included Health</t>
        </is>
      </c>
      <c r="D12" t="inlineStr">
        <is>
          <t>linkedin</t>
        </is>
      </c>
      <c r="E12" t="inlineStr"/>
      <c r="F12" t="inlineStr"/>
      <c r="G12" t="inlineStr"/>
      <c r="H12" t="inlineStr"/>
      <c r="I12" t="inlineStr">
        <is>
          <t>At Included Health, we're building technology that makes healthcare more accessible, personalized, and effective for our members. As a Senior Software Engineer, you'll design and develop the systems, services, and tools that power our platform and products, enabling us to deliver better care experiences and outcomes at scale.
 This role is ideal for engineers who are passionate about solving complex problems, delivering impact, and leading by example. Beyond your technical skills, you’ll bring ownership and leadership—making thoughtful technical decisions, setting direction, and mentoring others.
 Reporting directly to the Engineering Manager, you'll partner closely with product managers, designers, and other engineers across the company. Together, you’ll create scalable, reliable solutions that directly improve the healthcare experience for millions of members.
****Responsibilities:****
* Design and build core systems, APIs, and services that power both platform capabilities and member\-facing applications.
* Solve complex integration challenges across diverse healthcare data sources and workflows.
* Contribute to product development by building features and infrastructure that improve usability, efficiency, and outcomes.
* Drive technical quality by ensuring systems are reliable, performant, secure, and maintainable.
* Collaborate cross\-functionally with Product, Design, and Engineering peers to align on technical direction and product goals.
* Own projects end\-to\-end: scope, build, test, launch, and maintain.
* Mentor teammates and contribute to engineering culture and best practices.
****Qualifications:****
* Bachelor’s degree in Computer Science, Engineering, or related field—or equivalent practical experience.
* 5\+ years of professional software development experience.
* Strong expertise in at least one modern backend or systems language (e.g., Golang, Python, Java, or Ruby).
* Experience designing and building APIs, distributed systems, or developer platforms.
* Experience with relational or NoSQL databases (e.g., PostgreSQL, MySQL, MongoDB).
* Familiarity with containerization (e.g., Docker, Kubernetes) and microservices architectures.
* Ability to balance technical tradeoffs with product and business impact.
* Comfortable working in collaborative, cross\-functional teams.
**Pay:**
 The United States new hire base salary target ranges for this full\-time position are:
 Zone A: $149,450 \- $211,100 \+ equity \+ benefits
 Zone B: $164,395 \- $232,210 \+ equity \+ benefits
 Zone C: $179,340 \- $253,320 \+ equity \+ benefits
 Zone D: $194,285 \- $274,430 \+ equity \+ benefits
*This range reflects the minimum and maximum target for new hire salaries for candidates based on their respective Zone. Below is additional information on Included Health's commitment to maintaining transparent and equitable compensation practices across our distinct geographic zones.*
*Starting base salary for you will depend on several job\-related factors, unique to each candidate, which may include education; training; skills; years and depth of experience; certifications and licensure; our needs; internal peer equity; organizational considerations; and understanding of geographic and market data. Compensation structures and ranges are tailored to each zone's unique market conditions to ensure that all employees receive fair and great compensation package based on their roles and locations. Your Recruiter can share your geographic zone upon inquiry.*
**Benefits \&amp; Perks:**
*In addition to receiving a great compensation package, the compensation package may include, depending on the role, the following and more:*
*Remote\-first culture*
*401(k) savings plan through Fidelity*
*Comprehensive medical, vision, and dental coverage through multiple medical plan options (including disability insurance)*
*Paid Time Off ("PTO") and Discretionary Time Off ("DTO")*
*12 weeks of 100% Paid Parental leave*
*Family Building \&amp; Compassionate Leave: Fertility coverage, $25,000 for surrogacy/adoption, and paid leave for failed treatments, adoption or pregnancies.*
*Work\-From\-Home reimbursement to support team collaboration home office work*
*Your recruiter will share more about the salary range and benefits package for your role during the hiring process.*
**About Included Health:**
*Included Health is a new kind of healthcare company, delivering integrated virtual care and navigation. We're on a mission to raise the standard of healthcare for everyone. We break down barriers to provide high\-quality care for every person in every community — no matter where they are in their health journey or what type of care they need, from acute to chronic, behavioral to physical. We offer our members care guidance, advocacy, and access to personalized virtual and in\-person care for everyday and urgent care, primary care, behavioral health, and specialty care. It's all included. Learn more at includedhealth.com.*
*Included Health is an Equal Opportunity Employer and considers applicants for employment without regard to race, color, religion, sex, orientation, national origin, age, disability, genetics or any other basis forbidden under federal, state, or local law. Included Health considers all qualified applicants with arrest or conviction records in accordance with the San Francisco Fair Chance Ordinance, the Los Angeles County Fair Chance Ordinance, and California law.*
****About Included Health****
 Included Health is a new kind of healthcare company, delivering integrated virtual care and navigation. We’re on a mission to raise the standard of healthcare for everyone. We break down barriers to provide high\-quality care for every person in every community — no matter where they are in their health journey or what type of care they need, from acute to chronic, behavioral to physical. We offer our members care guidance, advocacy, and access to personalized virtual and in\-person care for everyday and urgent care, primary care, behavioral health, and specialty care. It’s all included. Learn more at
 **includedhealth.com.**
 Included Health is an Equal Opportunity Employer and considers applicants for employment without regard to race, color, religion, sex, orientation, national origin, age, disability, genetics or any other basis forbidden under federal, state, or local law. Included Health considers all qualified applicants with arrest or conviction records in accordance with the San Francisco Fair Chance Ordinance, the Los Angeles County Fair Chance Ordinance, and California law.
 Included Health uses AI\-assisted tools at select stages of the hiring process to enhance efficiency, consistency, and communication. AI does not make hiring decisions—final decisions are made exclusively by our recruiting and hiring teams.</t>
        </is>
      </c>
    </row>
    <row r="13">
      <c r="A13" t="inlineStr">
        <is>
          <t>li-4337933694</t>
        </is>
      </c>
      <c r="B13" t="inlineStr">
        <is>
          <t>Senior Software Engineer I - External Platform</t>
        </is>
      </c>
      <c r="C13" t="inlineStr">
        <is>
          <t>Samsara</t>
        </is>
      </c>
      <c r="D13" t="inlineStr">
        <is>
          <t>linkedin</t>
        </is>
      </c>
      <c r="E13" t="inlineStr"/>
      <c r="F13" t="inlineStr"/>
      <c r="G13" t="inlineStr"/>
      <c r="H13" t="inlineStr"/>
      <c r="I1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Our Platform is the foundation of our Connected Operations solution. Think of it as a hub\-and\-spoke model. All our products — safety, route planning, maintenance, fuel efficiency, EV reporting etc — are the spokes that engage users. But they all connect back to the central hub.
 Most organizational platforms — and we're talking about those outside of Samsara — act as a software layer between infrastructure and product. They also tend to function behind the scenes.
 Our platform, however, is different. Not only do we work on core infrastructure and platform components, we also develop customer\-facing features. Customers log into Samsara through the platform, interacting with everything from the login screen to dashboards, reports, settings, and alerts. Regardless of the product, the platform is the central interface for insights and management.
 As a Senior Software Engineer in the Platform team, you’ll own the systems you build, shape products that prevent crashes and emissions, and create world\-class systems at scale. You’ll take full technical ownership of key product areas used by thousands of fleets worldwide, solving real\-world problems that cut CO₂ and keep people safe. Your ideas will shape roadmaps, influence critical decisions, and power products that make measurable impact at scale.
 Work with product managers, designers, firmware and infrastructure engineers to design, build, test, and deliver end\-to\-end products. You’ll develop skills across multiple technologies and own the production systems in your domain. You will coach, mentor, and guide engineers in the team, while also receiving support for your own development.
**This is a remote position open to candidates residing in the US or Canada.**
**You should apply if:**
* You want to impact the industries that run our world: The software, firmware, and hardware you build will result in real\-world impact, 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Take full ownership of complex features and projects, guiding them from initial concept (0\-1\) through design, development, launch, and ongoing support.
* Bring a customer\-focused mindset to all development, balancing the need to iterate quickly and deliver customer wins iteratively.
* Collaborate closely with Engineering, Product, ML, and Design team members to translate high\-level requirements into robust, scalable features and create sustained and aligned impact.
* Mentor and guide other engineers on the team.
* Champion, role model, and embed Samsara’s cultural principles (Focus on Customer Success, Build for the Long Term, Adopt a Growth Mindset, Be Inclusive, Win as a Team) as we scale globally and across new offices
**Minimum requirements for the role:**
* We're looking for people with 5\+ years of experience developing and shipping outstanding customer\-focused products
* You'll have strong programming fundamentals in Java, Python, Golang, TypeScript or JavaScript, as well as experience designing and maintaining complex systems and application services
* You will excel at estimating, communicating, and delivering project milestones with your team
* Seeks to iterate on new products based on customer feedback
**An ideal candidate also has:**
* Experience using LLM technologies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$126,140—$212,000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14">
      <c r="A14" t="inlineStr">
        <is>
          <t>li-4294279403</t>
        </is>
      </c>
      <c r="B14" t="inlineStr">
        <is>
          <t>Senior Software Engineer</t>
        </is>
      </c>
      <c r="C14" t="inlineStr">
        <is>
          <t>Elicit</t>
        </is>
      </c>
      <c r="D14" t="inlineStr">
        <is>
          <t>linkedin</t>
        </is>
      </c>
      <c r="E14" t="inlineStr"/>
      <c r="F14" t="inlineStr"/>
      <c r="G14" t="inlineStr"/>
      <c r="H14" t="inlineStr"/>
      <c r="I14" t="inlineStr">
        <is>
          <t>**About Elicit**
 Elicit is an AI research assistant that uses language models to help researchers figure out what’s true and make better decisions, starting with common research tasks like literature review.
**What We're Aiming For**
* Elicit radically increases the amount of good reasoning in the world.
+ For experts, Elicit pushes the frontier forward.
+ For non\-experts, Elicit makes good reasoning more affordable. People who don't have the tools, expertise, time, or mental energy to make well\-reasoned decisions on their own can do so with Elicit.
* Elicit is a scalable ML system based on human\-understandable task decompositions, with supervision of process, not outcomes. This expands our collective understanding of safe AGI architectures.
 Visit our Twitter to learn more about how Elicit is helping researchers and making progress on our mission.
 Why we're hiring for this role
 Since launching the newest version of Elicit last fall, response has been strong. We introduced Elicit Plus, our monthly subscription plan, and added thousands of paying users in a matter of months as well as hundreds of thousands of new sign\-ups. This has been energizing for our team, but we want to ship more useful functionality to our users even faster. We want to add another strong senior\-level engineer to our team who’ll help us meet the demand for new features and improved performance.
 What you'll own
* Build Elicit into a product researchers can’t live without
+ You’ll fully own shipping useful, exciting features out to users on a weekly basis.
+ You will work on a mix of known features / fixes, prototypes to validate ideas, and exploratory projects in between.
+ Our team is small, so we expect you to appreciate the user needs underlying everything you work on. You should be comfortable making decisions and trade\-offs that help us fulfill users’ needs best.
* Keep Elicit's bar for quality high
+ You’ll balance shipping features in the short term with building extensible and maintainable systems.
+ You will be responsible for your features in production: they need to be scalable, resilient, and easy to operate.
+ You’ll contribute to discussions around UX, system design, and architecture.
 Projects you'll contribute to
 You can view sample projects here.
 What you bring to the role
* Strong technical aptitude that allows you to move comfortably around our tech stack, both back\-end and front\-end, with strong computer science fundamentals.
* Professional experience contributing to software development teams at a mid\-career to senior level. We’re excited for you to unpack your past successes and build off your previous experience at Elicit!
* Above\-average communication skills. Elicit is a small, highly\-collaborative team, so you’ll frequently be tapped to communicate complex engineering topics with stakeholders across the company.
* Your past experience or exposure to working with language models. Because of the way language models work, you’re used to writing a lot of asynchronous code and thinking defensively about error handling.
* A sense of joy in what you do. One thing we love about our team at Elicit is that everybody’s a craftsperson who cares deeply about their field.
 Our tech stack
* Backend: Node and Python
* Frontend: Next.js, TypeScript, and Tailwind
* We like static type checking in Python and TypeScript
* All infrastructure runs in Kubernetes across a couple of clouds
* We use GitHub for code reviews and CI
 Am I a good fit?
**Consider These Questions**
* What are a couple of different ways to write concurrent code in Python?
* What are the differences between var, let, and const in JavaScript?
* What are a couple of different web technologies to asynchronously send data from a server to a client?
* In which situations would you use REST vs. GraphQL vs. RPC?
 Strong applicants will find it easy to answer these questions.
 Location and travel
 We have a lovely office in Oakland, CA, but we don't all work from there all the time. It's important to us to spend time with our teammates, however, we have a quarterly team retreat,
 *normally* 
 in and around the SF bay area.
**Compensation, Benefits, And Perks**
 In addition to working on important problems as part of a productive and positive team, we also offer great benefits (with some variation based on location):
* Flexible work environment: work from our office in Oakland or remotely with time zone overlap (between GMT and GMT\-8\), as long as you’re comfortable traveling for quarterly in\-person offsites
* Fully covered health, dental, vision, and life insurance for you, generous coverage for the rest of your family (FSA/HSA, too)
* Flexible vacation policy, with a minimum recommendation of 20 days / year and plenty of company holidays
* 401K with a 6% employer match
* A new Mac \+ $1,000 budget to set up your workstation or home office in your first year, then $500 every year thereafter
* $1,000 quarterly AI Experimentation \&amp; Learning budget, so you can freely experiment with new AI tools to incorporate into your workflow, take courses, purchase educational resources, or attend AI\-focused conferences and events
* A team administrative assistant who can help you with personal and work tasks
* You can find more reasons to work with us in this thread!
**Role**
 For all roles at Elicit, we use a data\-backed compensation framework to keep salaries market\-competitive, equitable, and simple to understand. For this role, we target starting ranges of:
* Senior (L4\): $185\-270k \+ equity
* Expert (L5\): $215\-305k \+ equity
* Principal (L6\): \&gt;$260 \+ significant equity
 We're optimizing for a hire who can contribute at a L4/senior\-level or above.
 We offer above\-market equity for all roles at Elicit, as well as employee\-friendly equity terms.</t>
        </is>
      </c>
    </row>
    <row r="15">
      <c r="A15" t="inlineStr">
        <is>
          <t>li-4144968610</t>
        </is>
      </c>
      <c r="B15" t="inlineStr">
        <is>
          <t>Software Engineer (Product)</t>
        </is>
      </c>
      <c r="C15" t="inlineStr">
        <is>
          <t>Column</t>
        </is>
      </c>
      <c r="D15" t="inlineStr">
        <is>
          <t>linkedin</t>
        </is>
      </c>
      <c r="E15" t="inlineStr"/>
      <c r="F15" t="inlineStr"/>
      <c r="G15" t="inlineStr">
        <is>
          <t>San Francisco, CA</t>
        </is>
      </c>
      <c r="H15" t="inlineStr"/>
      <c r="I15" t="inlineStr">
        <is>
          <t>**About Column**
 For companies building financial technology and transforming the financial services space, the biggest bottleneck to their growth and innovation is often the underlying banks and infrastructure stack they rely on. We have spent our careers founding and scaling companies like Plaid, Square, Meta, Blend, and Affirm, and have seen this problem firsthand — builders and developers needing to partner with traditional banks, and creating API and abstraction layers over the patchwork that is the bank, its core, and many other vendors. All of this results in a complex (and often expensive) banking supply chain involving a user, fintech, BaaS middleware provider, bank, core and the Federal Reserve.
 At Column, we set out to simplify and fix this. We are a bank and a software company built from the ground up, offering builders and developers technology\-forward banking solutions that cut out the hundreds of vendors, middleware providers, and abstraction layers. This means a safer, more transparent, and less costly banking supply chain. Come build with us!
**The Opportunity**
 Column is a developer\-first bank, and this role sits at the heart of that mission. As a Product Engineer, you’ll be responsible for building interfaces, APIs, and backend systems that power how customers interact with our platform. You’ll write TypeScript and React for our dashboard, Go for our backend services, and report directly to our CEO and collaborate with our Head of design on product direction. This role isn’t layered with PMs (we don’t have any!) or long handoffs—you’ll own the full lifecycle of your work, from spec through deployment, including meeting with customers to understand how your projects perform in production. Our team is lean, high\-trust, and execution\-focused, and this role comes with real autonomy and visibility. If you're excited by technical depth, product intuition, and building critical infrastructure from first principles, you’ll thrive here.
*This role is San Francisco\-based, and you’ll be expected to work out of our (awesome) Presidio\-based office 3\+ days a week* 
 .
 Read more about Life @ Column and our hiring process here. 🚀
**What You’ll Do**
* Build and maintain key user\-facing and internal features across our dashboard and core systems
* Write clean, testable TypeScript and Golang code
* Design and document APIs, then own their implementation and reliability
* Collaborate with engineering, compliance, business, and customers to iterate on product functionality
* Influence product direction by bringing user feedback directly into design decisions
* Take full ownership of projects, from idea to launch
**What You’ll Need To Be Successful**
* 5\+ years of production software engineering experience
* Strong experience in TypeScript; React is a plus but not required
* Experience with a strongly typed backend language (Go, Rust, Java, etc.) and SQL
* Ability to work independently and drive product decisions end\-to\-end
* Willingness to engage directly with customers to gather feedback
* A high bar for quality, clarity, and performance in code
**What You’ll Get From Us**
* 🏥 Comprehensive health, dental, and vision plans, including options that are 100% covered by Column for you and 100% covered for your dependents!
* 🐣 Comprehensive family planning and fertility benefits via partnership with Carrot, including reimbursement of up to $20,000 in qualified expenses
* 🏡 Up to $2,000 (post\-tax) monthly rent subsidy for employees living within 2 miles of Column’s office
* 💳 FSA and HSA account options to enable use of pre\-tax money for medical and dependent care expenses
* 📈 401k plan, including self\-directed brokerage options
* 🌴 Flexible time\-off policy \- take the time off that you want and need to relax and recharge
* 👶 100% paid parental leave, including 16 weeks for birth mothers, 12 weeks for primary caregivers, and 8 weeks for secondary caregivers
* 😇 Up to $4,500 in annual reimbursements for backup childcare
* 🍽️ Catered lunches and dinners for SF employees
* 🚆 Commuter benefits, including paid transportation to\-and\-from the office
* 🎉 Regular team building events, including annual offsite
**Pay Transparency**
 Compensation packages at Column include base salary, equity, and benefits. New hire offers are made based on a candidate's experience, expertise, geographic location, and internal pay equity relative to peers.
 The annual US base salary range for this role is $150,000\-$250,000 \+ equity.
**We look forward to hearing from you**
 Column is committed to working with the best and brightest people from the broadest talent pool possible. We value bringing together a team with different perspectives, educational backgrounds, and life experiences, and believe a diversity of ideas is what allows us to develop the best solutions. All qualified individuals are encouraged to apply.
 If you need assistance or a reasonable accommodation during the application and recruiting process, please reach out to accommodations@column.com.
 We participate in the E\-Verify program in certain locations as required by law. Learn more about the E\-Verify program here.</t>
        </is>
      </c>
    </row>
    <row r="16">
      <c r="A16" t="inlineStr">
        <is>
          <t>li-4344847904</t>
        </is>
      </c>
      <c r="B16" t="inlineStr">
        <is>
          <t>Backend Software Engineer</t>
        </is>
      </c>
      <c r="C16" t="inlineStr">
        <is>
          <t>Cohesity</t>
        </is>
      </c>
      <c r="D16" t="inlineStr">
        <is>
          <t>linkedin</t>
        </is>
      </c>
      <c r="E16" t="inlineStr"/>
      <c r="F16" t="inlineStr"/>
      <c r="G16" t="inlineStr">
        <is>
          <t>Santa Clara, CA</t>
        </is>
      </c>
      <c r="H16" t="inlineStr"/>
      <c r="I16" t="inlineStr">
        <is>
          <t>*Interested candidates based outside of the designated areas are welcome to apply, provided they have the indefinite right to work in the job location.*
 Cohesity is a leader in AI\-powered data security and management. Aided by an extensive ecosystem of partners, Cohesity makes it easy to secure, protect, manage, and get value from data — across the data center, edge, and cloud. Cohesity helps organizations defend against cybersecurity threats with comprehensive data security and management capabilities, including immutable backup snapshots, AI\-based threat detection, monitoring for malicious behavior, and rapid recovery at scale.
 We’ve been named a Leader by multiple analyst firms and have been globally recognized for Innovation, Product Strength, and Simplicity in Design.
 Join us on our mission to shape the future of our industry.
 As part of our Core Security product team, you will have the opportunity to lead and develop highly scalable software products and services to support ransomware \&amp; threat detection, Certificate management and building next generation Identity resilience solution:
**Responsibilities:**
* Design, develop and deliver next\-generation security features for Cohesity DataProtect \&amp; SaaS Platform
* Architect, design, develop and operationalize high performance, scalable, reliable, and resilient services
* Understand the nuances of Linux Internals, Software packaging, Malware \&amp; IAM Security, and architect solutions that are efficient at running as On\-Prem software or as SaaS on public clouds (AWS/Azure/GCP)
* Coordinate features and deliverables across multiple teams to achieve project goals
* Collaborate with cloud operations to establish KPI for different services and own end to end delivery and lifecycle management
* Lead initiatives and projects. Provide technical leadership and mentoring to team members.
**What we are looking for:**
* BS/MS. in Computer Science
* 4\-5 years in software development, with data structures/algorithms, distributed systems, ML, ETL Pipeline
* 3\+ years of experience with software design and Architecture.
* Demonstrated ability to leverage AI tools to enhance productivity, streamline workflows, and support decision making
* Hands\-on coding skills in at least one of the following languages: C\+\+, Golang, Python
* Grpc \&amp; REST API based application development.
* Distributed systems design and development is plus
* Strong analytical and problem\-solving skills
* Knowledge in Security, Ransomware, IAM, File systems, or Data Protection is a plus
* Motivated to solve complex problems and challenges.
* Familiarity with Kubernetes and microservices architecture is a plus
 Disclosure Pursuant to Applicable State Equal Pay Transparency Laws \- This position has a starting pay range as listed below. Actual salary depends upon many factors, including a candidate’s skills, qualifications and experience, location, and salary expectations, and therefore a starting salary at the low end, high end, or even above the stated range may be offered. This position may also be eligible for bonus compensation, commission (if in a sales function), and/or equity grants. Additionally, full\-time employees are eligible to participate in our comprehensive benefits framework, including health and wellness benefits, vacation, paid holidays and refresh days, 401(k) retirement plan, life and disability insurance coverages, and other benefits the Company may offer from time to time.
 Pay Range :
 $169,600\.00\-$212,000\.00
*The compensation noted above is based on an annualized hourly rate assuming normal full\-time employment.*
**Data Privacy Notice for Job Candidates:
 For information on personal data processing, please see our* 
 Privacy Policy
 *.
 Equal Employment Opportunity Employer (EEOE)
 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talent@cohesity.com
 *for assistance.
 In\-Office Expectations
 Cohesity employees who are within a reasonable commute (e.g. within a forty\-five (45\) minute average travel time) work out of our core offices 2\-3 days a week of their choosing.**
*Interested candidates based outside of the designated areas are welcome to apply, provided they have the right to work in the job location.*</t>
        </is>
      </c>
    </row>
    <row r="17">
      <c r="A17" t="inlineStr">
        <is>
          <t>li-4376369552</t>
        </is>
      </c>
      <c r="B17" t="inlineStr">
        <is>
          <t>Software Engineer</t>
        </is>
      </c>
      <c r="C17" t="inlineStr">
        <is>
          <t>Stelvio Inc.</t>
        </is>
      </c>
      <c r="D17" t="inlineStr">
        <is>
          <t>linkedin</t>
        </is>
      </c>
      <c r="E17" t="inlineStr"/>
      <c r="F17" t="inlineStr"/>
      <c r="G17" t="inlineStr">
        <is>
          <t>Austin, TX</t>
        </is>
      </c>
      <c r="H17" t="inlineStr"/>
      <c r="I17" t="inlineStr">
        <is>
          <t>Stelvio is working with an advanced technology company operating at the intersection of artificial intelligence and industrial manufacturing. Their platforms are deployed directly into high\-volume production environments, where AI systems support critical operational decisions in real time.
 This is a highly technical environment focused on solving complex, real\-world challenges across manufacturing operations, software engineering, applied physics, and data\-driven systems. The team works closely with customers on\-site, rapidly designing and deploying solutions that deliver measurable impact.
**The Role** 
 You will join a highly capable engineering team responsible for designing, building, and deploying software that powers AI\-driven decision systems in industrial environments.
 This role combines hands\-on software engineering with real\-world problem solving. You will work closely with engineers, researchers, and customer\-facing teams to understand operational challenges, develop prototypes, and deliver production\-ready systems. The environment prioritises rapid iteration, ownership, and practical solutions deployed directly into live production settings.
**Responsibilities** 
* Develop robust and maintainable software solutions for AI\-driven industrial applications
* Work closely with internal teams and customers to understand operational and technical requirements
* Build prototypes and rapidly iterate to deliver production\-ready systems
* Design and improve infrastructure, deployment pipelines, and development workflows
* Implement secure, scalable, and reliable software and platform solutions
* Support deployment of systems in edge environments with constrained connectivity and resources
* Contribute to CI/CD pipelines, automated testing, and deployment processes
* Collaborate closely with multidisciplinary teams including engineers, researchers, and product stakeholders
**Requirements** 
* Strong software engineering fundamentals, supported by a degree in Computer Science, Engineering, Physics, Mathematics, or similar — or equivalent practical experience
* Strong programming skills in at least one of the following: Python, C/C\+\+, Go, Typescript, or Java
* Experience building production\-quality software systems
* Experience with CI/CD pipelines, automated testing, and deployment workflows
* Familiarity with observability and monitoring tools such as Grafana, Prometheus, or similar
* Experience with containerisation and orchestration tools such as Docker and Kubernetes
* Ability to work in fast\-moving, dynamic environments with a high level of autonomy
* Strong communication skills and ability to collaborate with technical and non\-technical stakeholders
* Preference for working in an office\-based, highly collaborative engineering environment
**Benefits** 
* Opportunity to work on cutting\-edge AI systems deployed in real\-world industrial environments
* High\-impact role with direct ownership and visibility into production systems
* Collaborative, highly technical team environment
* Exposure to complex engineering challenges across software, infrastructure, and applied AI
* Office\-based culture focused on rapid iteration and continuous innovation</t>
        </is>
      </c>
    </row>
    <row r="18">
      <c r="A18" t="inlineStr">
        <is>
          <t>li-4325090093</t>
        </is>
      </c>
      <c r="B18" t="inlineStr">
        <is>
          <t>Software Engineer: Database Backend</t>
        </is>
      </c>
      <c r="C18" t="inlineStr">
        <is>
          <t>Observe, Inc.</t>
        </is>
      </c>
      <c r="D18" t="inlineStr">
        <is>
          <t>linkedin</t>
        </is>
      </c>
      <c r="E18" t="inlineStr"/>
      <c r="F18" t="inlineStr"/>
      <c r="G18" t="inlineStr">
        <is>
          <t>San Mateo, CA</t>
        </is>
      </c>
      <c r="H18" t="inlineStr"/>
      <c r="I18" t="inlineStr">
        <is>
          <t>What We Do
 Observe is a SaaS observability platform that enables Engineering and DevOps teams to troubleshoot modern distributed applications 10x faster. We consolidate machine\-generated data from applications and transform it into actionable, human\-understandable insights. The Runtime team, part of our broader Backend organization, owns Observe's core data transformation pipelines and user query execution paths. Our systems process petabytes of data daily and execute over 200 million queries on Snowflake each day.
 The Role
 You'll be joining our Runtime team to work on our advanced execution features like token indices. You'll also be responsible for analyzing our diverse set of user and system generated queries to identify bottlenecks in execution drive the improvements in that area. In doing so, you'll partner with our engineering contacts in Snowflake and are responsible to clearly communicate our asks to internal as well as external stakeholders. You'll excel in this role if you are able to quickly dive deep into our platform and drive performance analyses both for individual issues and on a large scale by analyzing terabytes of data. In everything you are doing you will rely on your solid engineering skills, especially leveraging your applied database experience.
 What You'll Do
* Maintain and improve existing advanced execution features like token indices
* Work on automated adjustments of system parameters to reduce query execution times and costs
* Analyze millions of queries to understand shortcomings in our performance, propose improvements, and drive their implementation
* Partner with our cloud service provider Snowflake on improving our performance by troubleshooting issues with their support but also by by discussing feature requests with their product managers
* Investigate and resolve customer\-reported query issues
 What We're Looking for
**Requirements**
* 3\+ years of industry experience building distributed systems
* Hands\-on experience designing, implementing, and optimizing backend infrastructure features
* Proven ability to diagnose and resolve database performance issues
* Customer\-focused mindset with the ability to translate user needs into technical solutions
* Ability to rapidly onboard to complex systems and drive meaningful improvements
**Nice to Have**
* Experience with Snowflake or other cloud data warehouses
* Prior work on observability platforms
* Advanced degree in Computer Science with a focus on databases</t>
        </is>
      </c>
    </row>
    <row r="19">
      <c r="A19" t="inlineStr">
        <is>
          <t>li-4356952253</t>
        </is>
      </c>
      <c r="B19" t="inlineStr">
        <is>
          <t>Solutions Software Engineer 5</t>
        </is>
      </c>
      <c r="C19" t="inlineStr">
        <is>
          <t>Netflix</t>
        </is>
      </c>
      <c r="D19" t="inlineStr">
        <is>
          <t>linkedin</t>
        </is>
      </c>
      <c r="E19" t="inlineStr"/>
      <c r="F19" t="inlineStr"/>
      <c r="G19" t="inlineStr">
        <is>
          <t>Los Angeles, CA</t>
        </is>
      </c>
      <c r="H19" t="inlineStr"/>
      <c r="I1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Studio Tech Solutions (STS)**
 For Netflix Studio to continue to scale and produce quality content, the Studio business teams work closely with product partners to innovate and develop technical solutions that support the entire content life cycle \- planning, programming, producing, distributing and promoting content on a global scale. These solutions include internal enterprise applications that support critical functions, as well as short\-term technical solutions that increase operational efficiency at the business user level on a smaller, rapidly iterative scale. STS works directly with business stakeholders, cross\-functional product teams, and engineering partners to deliver these short\-term solutions. The team's goal is to translate business challenges and opportunities for operational improvement into focused, nimble, and highly impactful solutions as an integral part of the Netflix Studio product and enterprise ecosystem.
**About The Role**
 As a Solutions Software Engineer (L5\) on the STS team, you'll be a part of a co\-located team working out of the Los Angeles office. You'll use a broad set of internal and third\-party technology and tools to contribute to highly targeted and adaptable solutions that increase operational efficiency within the Content Planning and Finance area of the Netflix Studio business. Your key areas of focus will be data ingestion and export, development of workflow automations and prototypes, third\-party integrations, and contribution to the existing enterprise applications. You will interface with business users, analyze their needs, design and develop a solution, or leverage existing technology/tools with customized enhancements. Most of the solutions involve data ingestion or export tasks. While we value your ability to create well\-defined systems, your effectiveness will be related to your ability to context switch effectively while developing nimble solutions for the business.
**Your Effectiveness In This Role Will Be Related To**
* Your ability to learn quickly and switch contexts productively in a highly collaborative development environment.
* Your curiosity to gain business and technical context to determine the efficient level of engineering investment for project scope.
* Your eagerness to share learning and project visibility with the team, partners, and stakeholders.
* Having a keen eye for identifying the team’s productivity tooling opportunities and working with partners to influence their feature roadmap.
**You'll Thrive In This Role If**
* You are passionate about solving problems and love every aspect of the full\-stack software development life cycle.
* You understand the importance of seeking in\-depth and broad context to build an effective solution.
* You enjoy building prototypes and short\-term solutions to help improve and empower users to innovate on business workflows.
* You are comfortable contributing to solutions at all technical levels, from scripting to building a custom application.
* You are able to pivot and iterate quickly on solutions and share learnings with partnering teams in a cross\-functional environment.
* You are highly collaborative and enjoy building strong internal and cross\-functional partnerships.
* You have a passion for learning and professional growth.
**Qualifications**
* 4\+ years of experience in full\-stack development.
* Comfortable working with: Node.js, Python or Java.
* React or similar front\-end frameworks.
* Experience with API integrations (GraphQL, REST and/or gRPC).
* Experience working with non\-technical business stakeholders
* Keen understanding of database models and SQL.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$270,000\.00 \- $410,000\.00\.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20">
      <c r="A20" t="inlineStr">
        <is>
          <t>li-4331985874</t>
        </is>
      </c>
      <c r="B20" t="inlineStr">
        <is>
          <t>Software Engineer, Full-Stack. US REMOTE</t>
        </is>
      </c>
      <c r="C20" t="inlineStr">
        <is>
          <t>Connection</t>
        </is>
      </c>
      <c r="D20" t="inlineStr">
        <is>
          <t>linkedin</t>
        </is>
      </c>
      <c r="E20" t="inlineStr"/>
      <c r="F20" t="inlineStr"/>
      <c r="G20" t="inlineStr"/>
      <c r="H20" t="inlineStr"/>
      <c r="I20" t="inlineStr">
        <is>
          <t>**Overview**
 Connection has a fantastic opportunity through our Technical Staffing division for a Software Engineer. This is a full\-time remote position with benefits.
**Responsibilities**
* Work with engineering and business partners to define and build out complex solutions driving value through business process automation and new product capabilities and innovations.
* Lead solution development end\-to\-end for new innovations with iterative improvements.
* Strong emphasis on customer journey, product quality, performance tuning, troubleshooting, and continuous development.
* Develop architectures that scale well, can be maintained responsively and efficiently, and follow many other enterprise best practices.
* Document software designs, objectives, and create and respond to RFCs in a shared collaboration environment such as Confluence.
* Develop business logic to empower our web and mobile applications via RESTful APIs.
* Design and develop services in a serverless AWS architecture to maintain modularity, performance, security, development efficiency and enhancements
* Participate application design and design services that support those applications.
* Work in an agile development environment, maintaining user story and task status, t\-shirt sizing.
* Respond to bugs and support issues to ensure web users are delighted to use our applications.
* Conduct code reviews, create pull requests, respond to peer and manager feedback to improve source code, designs and deliverables.
* Communicate on all open projects and give updates to both team members and Technology team staff.
**Qualifications**
 Education \&amp; Experience:
* 5\+ years commercial software development – Typescript, Javacript, Java, C\#, Scala, python, Go
* 3\+ years developing service\-oriented applications
* 1\+ year reactive web development in Vue, React, or Angular
* Strong command of SQL and MySQL
* Led multiple software development initiatives to deliver projects and products to production
* Proficient with git, branch development, pull requests
* Proficient with agile Scrum, Azure DevOps or Jira
**Skills**
* Experience developing RESTful APIs and AWS Lambda
* Ability to learn quickly, self\-starter, manage multiple projects, meet deadlines and communicate accurate status, dependencies, requirements and projected delivery times
**Additional Preferred Skills**
* API Gateway, SQS, S3 and other AWS services
* AWS Certified Solution Architect or AWS Certified Developer
* Snowflake and FiveTran
* Extra credit for veterinary and pet resort management software, such as Cornerstone, AviMark, Datapoint, Gingr, KennelConnection</t>
        </is>
      </c>
    </row>
    <row r="21">
      <c r="A21" t="inlineStr">
        <is>
          <t>li-4357042882</t>
        </is>
      </c>
      <c r="B21" t="inlineStr">
        <is>
          <t>AI Software Engineer</t>
        </is>
      </c>
      <c r="C21" t="inlineStr">
        <is>
          <t>Johnson Controls</t>
        </is>
      </c>
      <c r="D21" t="inlineStr">
        <is>
          <t>linkedin</t>
        </is>
      </c>
      <c r="E21" t="inlineStr"/>
      <c r="F21" t="inlineStr"/>
      <c r="G21" t="inlineStr">
        <is>
          <t>Milwaukee, WI</t>
        </is>
      </c>
      <c r="H21" t="inlineStr"/>
      <c r="I21" t="inlineStr">
        <is>
          <t>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 Paid vacation/holidays/sick time
* Comprehensive benefits package including 401K, medical, dental, and vision care
* On the job/cross training opportunities
* Encouraging and collaborative team environment
* Dedication to safety through our Zero Harm policy
**What You Will Do**
 As a Software Developer within the Enterprise AI team, you will be part of a team responsible for building solutions that drive JCI's future growth. You will be involved with initiatives such as deploying the DevOps framework, development of Cloud Native applications to deliver new capabilities to JCI's Customers. You should be comfortable collaborating in a fast\-paced environment, contributing to innovative solutions, while demonstrating leadership and technical competence. You should also be comfortable collaborating regularly with JCI's business leaders to understand how you can advance our strategic offerings.
**How You Will Do It**
* Understand and adhere to enterprise architecture principles and best practices
* Maintain and advance technical skills and knowledge, keeping up to date with market trends and competitive insights, and share within the technical community
* Developing web\-based applications that interface with multiple IaaS, PaaS, and SaaS components
* Integrating web\-based applications and services into larger enterprise systems
* Integrating backend AI deliverables and agentic frameworks into production applications
* Designing and implementing containerized microservices architectures
* Writing backend business logic and integrating front end client UI with backend API's
* Developing unit, regression, integration, and acceptance tests around endpoints and underlying business logic
**What We Look For**
* Experience developing with .NET, React, and Microsoft SQL
* Experience integrating AI models, APIs, and agentic frameworks into backend systems
* Experience with containerization technologies (Docker, Kubernetes) and microservices architecture
* Understanding of the DevOps Framework
* Experience with development and collaboration tools (Azure DevOps, Git, Visual Studio, etc.).
* Understanding of software development technologies and architecture
* Proven experience as a developer
* Client\-facing and internal communication skills
* Excellent written and verbal communication skills
* Solid organizational skills including attention to detail and multitasking skills
* Strong working knowledge of Microsoft Office – specifically Microsoft Project (Online and/or Server) and Professional
* Bachelor's Degree in Computer Science, Software Engineering or similar
 This is a hybrid role at either our Glendale, WI or Dallas, TX office.
 HIRING SALARY RANGE: $85,000 \- $117,000 (Salary to be determined by the education, experience, knowledge, skills, and abilities of the applicant, internal equity, location and alignment with market data.)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t>
        </is>
      </c>
    </row>
    <row r="22">
      <c r="A22" t="inlineStr">
        <is>
          <t>li-4260290879</t>
        </is>
      </c>
      <c r="B22" t="inlineStr">
        <is>
          <t>Full Stack Software Engineer</t>
        </is>
      </c>
      <c r="C22" t="inlineStr">
        <is>
          <t>Northslope Technologies</t>
        </is>
      </c>
      <c r="D22" t="inlineStr">
        <is>
          <t>linkedin</t>
        </is>
      </c>
      <c r="E22" t="inlineStr"/>
      <c r="F22" t="inlineStr"/>
      <c r="G22" t="inlineStr">
        <is>
          <t>New York, United States</t>
        </is>
      </c>
      <c r="H22" t="inlineStr"/>
      <c r="I22" t="inlineStr">
        <is>
          <t>**Role Description**
 As a Full\-Stack Software Engineer at Northslope, you’ll be responsible for architecting, building, and scaling high\-impact applications across the entire stack—front\-end, back\-end, and everything in between. Working closely with internal teams and stakeholders, you’ll deliver products that turn complex datasets into mission\-critical workflows, tools, and insights.
 You’ll spend your time designing user\-centric UIs, building robust APIs, and operationalizing data pipelines. You’ll own projects end\-to\-end, ship fast, and play a pivotal role in transforming the operations of high\-impact teams tackling complex real\-world problems.
 At Northslope, we believe great software engineers are also great product thinkers. You won’t just write clean code—you’ll help design the right solutions and see them through to production, adoption, and impact.
**What We Look For**
* User Obsession – You’re laser\-focused on making your users successful, even when it means flexing outside your lane. You take pride in building solutions that truly drive business value.
* Full\-stack engineering mindset – You’re comfortable jumping between the front\-end and back\-end as needed. You have experience building modern software / AI applications and RESTful APIs, and can stitch it all together to deliver seamless end\-user experiences.
* Frontend Development Skills – You're proficient in TypeScript and React, with a track record of building modern, responsive web applications. You understand component architecture, hooks, state management, and performance optimization. You care about creating intuitive, accessible user interfaces that delight users and work seamlessly across devices.
* Ownership Mentality – You thrive when given autonomy and responsibility. You’re eager to take the lead on problems, with support from the team when needed.
* Track Record of Building in Production – You’ve built and maintained software systems that operate in the real world, ideally with complex or large\-scale data. You care deeply about performance, reliability, and user feedback.
* Data Fluency – You're experienced working with structured and unstructured datasets, and know how to translate data into action via your code.
* Collaboration Skills – You can communicate and partner with teammates across disciplines and customers with varying technical backgrounds.
**Preferred But Not Required To Be Successful**
* A bachelor's or master’s degree in Computer Science
* Experience delivering production\-grade applications
* Experience with backend frameworks (FastAPI, Node.js)
* Experience with modern CSS frameworks like Tailwind CSS
* Familiarity with frontend build tools and bundlers (Vite, Webpack)
* Knowledge of frontend testing frameworks and best practices
* Familiarity with distributed compute systems like Spark
* Experience with Palantir Foundry and/or AIP
* Exposure to ML or LLM solutions in production environments
**Company Description**
 Northslope builds custom products for ambitious organizations that are reinventing their industries \- from the largest fortune 500 companies and governments to the smallest startups. We solve our customers' most mission\-critical problems with unmatched velocity, bringing their disparate enterprise data into operator\-centered workflows that move atoms in the real world and change how people approach their work each day.
 We build our products on the Palantir Foundry \&amp; AIP platform, the world's first Enterprise Operating system. We focus on enterprise\-wide data integration, practical deployment of ML and LLM solutions, and deep understanding of operator's pain points. We build ironman suits for operators, so they can better achieve their mission and deliver more value to the bottom line.
 At Northslope, we're built different. Traditional professional services companies are designed for years\-long, cookie\-cutter projects that stay the same day in and day out. We take pride in being more like a product startup than a traditional services firm. We value velocity, ingenuity, and grit, and we relentlessly focus on delivering tangible outcomes for our customers.
 We also have fun. We get to work on big, hard problems, in a fast\-paced environment, alongside sharp teammates who help us continuously grow and delight in one another's successes. We offer full benefits and all the perks you'd expect of a modern tech startup, and are a distributed global team with hubs in London, New York, DC and Denver.
**Our Principles**
* Only Valuable Problems: Not every problem is worth solving. We work on the projects that will significantly improve our customers' bottom lines.
* Outcomes, Not Activity: We create value, not extract it. We focus on our business impact, not racking up billable hours.
* Forward Deployed Engineering: We never build in a vacuum. We go to the heart of the problem and build alongside our users.
* Expand the Possible: AIP \&amp; Foundry are powerful. We keep our eyes on the horizon to spot new opportunities for value on the platform.
 At Northslope, you'll get to build products that solve mission\-critical problems at large customers across a variety of industries, alongside a team of sharp, high\-horsepower, caring people who want to win. If you're looking for a fast\-paced, high\-growth environment and an opportunity to work on a wide array of big problems, we'd love to chat.
*Northslope is committed to building a strong, diverse team. We believe teams with a diversity of lived experience, background, and perspectives create better outcomes for our customers and are just more enjoyable to be part of. We are committed to creating and living a culture of diversity, equity, and inclusion throughout our work. We do not discriminate on the basis of race, national origin, religion, disability, pregnancy, age, military status, marital status, genetic characteristics or information, gender, gender identity, gender variance, or sexual orientation.*</t>
        </is>
      </c>
    </row>
    <row r="23">
      <c r="A23" t="inlineStr">
        <is>
          <t>li-4315672441</t>
        </is>
      </c>
      <c r="B23" t="inlineStr">
        <is>
          <t>Software Engineer, Agent Infrastructure</t>
        </is>
      </c>
      <c r="C23" t="inlineStr">
        <is>
          <t>OpenAI</t>
        </is>
      </c>
      <c r="D23" t="inlineStr">
        <is>
          <t>linkedin</t>
        </is>
      </c>
      <c r="E23" t="inlineStr"/>
      <c r="F23" t="inlineStr"/>
      <c r="G23" t="inlineStr">
        <is>
          <t>San Francisco, CA</t>
        </is>
      </c>
      <c r="H23" t="inlineStr"/>
      <c r="I23" t="inlineStr">
        <is>
          <t>**About The Team**
 The Agent Infrastructure team at OpenAI is responsible for building systems that enable training and deployment of highly useful AI agents, both internally and for the world.
 We work hand\-in\-hand with researchers to design and scale the environment in which agentic models are trained – providing a workspace for AI models to execute code, debug issues, and develop software just as human SWEs do. Our training environment for agentic models operates at an extremely high scale and has the flexibility to emulate any environment in which an agent might work.
 At the same time, our team builds and maintains OpenAI’s core platform for the deployment and execution of agents in production. Our systems power products such as Codex, Operator, tool use in ChatGPT, and future agentic products.
 Some of the most challenging technical problems in scaling the capabilities and utility of agents and agentic models lie in the infrastructure layer – and our team is focused on building the research and production systems that enable OpenAI to train the most capable models in the world, and maximize the utility of our agentic products for users around the world.
**About The Role**
 As a Software Engineer on the Agent Infrastructure team, you will have the opportunity to work closely with both research and product at OpenAI \- building and scaling systems to train highly capable agentic models, and building the platform and integrations to launch new agents to hundreds of millions of users worldwide.
 Your work will consist of both building new capabilities \- standing up the infrastructure and integrations needed to train more complex agentic models \- and rapidly scaling these new capabilities to some of the largest compute clusters in the world. At the same time, you’ll be instrumental to the launch of agentic products at OpenAI \- building, maintaining, and scaling the production platform on which all agents run.
 We’re looking for people with deep experience building AI infrastructure and who are used to working closely with researchers to build high\-performance systems at massive scale for novel use cases.
 This role is based in San Francisco, CA or New York City, NY. We use a hybrid work model of 3 days in the office per week and offer relocation assistance to new employees.
**In This Role, You Will**
* Push massive compute clusters to their limits. You will be a core contributor to a novel container orchestration platform built in\-house by our team to scale far beyond what’s possible with systems like Kubernetes.
* Develop and maintain FastAPI and gRPC APIs that serve as the interface for our agentic infrastructure used both in training and production.
* Use Terraform to stand up and evolve complex infrastructure for both research and production.
* Collaborate with research teams to stand up and optimize systems for novel AI training runs and experimental applications.
**You Might Thrive In This Role If You**
* Have deep experience working on large\-scale machine learning infrastructure. You know how to reason about training at scale, identifying bottlenecks and engineering solutions to optimize system performance in training environments.
* Know how to build new things from 0\-1 quickly, and then scale them 1,000,000x.
* Have a keen eye for performance and optimization. You know how to squeeze the most performance out of complex, globally\-distributed systems.
* Know your way around cloud platforms and work with infrastructure\-as\-code tech like Terraform.
* Are driven by solving complex, ambiguous problems at the intersection of infrastructure scalability, virtualization efficiency, and agentic capabilities.
* Have deep technical expertise in virtualization and containerization technologies (e.g. Kata, Firecracker, gVisor, Sysbox) and are passionate about optimizing runtime performance.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24">
      <c r="A24" t="inlineStr">
        <is>
          <t>li-4216457561</t>
        </is>
      </c>
      <c r="B24" t="inlineStr">
        <is>
          <t>Software Engineer, Batch Data</t>
        </is>
      </c>
      <c r="C24" t="inlineStr">
        <is>
          <t>Tecton</t>
        </is>
      </c>
      <c r="D24" t="inlineStr">
        <is>
          <t>linkedin</t>
        </is>
      </c>
      <c r="E24" t="inlineStr"/>
      <c r="F24" t="inlineStr"/>
      <c r="G24" t="inlineStr"/>
      <c r="H24" t="inlineStr"/>
      <c r="I24"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senior engineer on the Batch Data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**Role**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 Distributed compute and resource management
* Query optimization and distributed execution
* Cross\-platform integrations with state\-of\-the\-art data platforms
**Responsibilities**
* Own and lead significant technical domains starting from the problem definition and technical requirements to implementation and maintenance
* Lead projects of strategic importance to Tecton spanning cross\-functional teams, including product management and other engineering teams
* Drive efforts to improve engineering practices, tooling, and processes along with mentorship for junior engineers
* Develop a deep understanding of the fundamental problems our customers face in building ML systems
* Be a generalist as needed. We’re a small, but growing engineering team, and each engineer needs to be versatile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*The estimated US base salary range for this position is $* 
 176,000
 *\- $* 
 210,000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25">
      <c r="A25" t="inlineStr">
        <is>
          <t>li-4376362851</t>
        </is>
      </c>
      <c r="B25" t="inlineStr">
        <is>
          <t>Full Stack Engineer</t>
        </is>
      </c>
      <c r="C25" t="inlineStr">
        <is>
          <t>Calyptus</t>
        </is>
      </c>
      <c r="D25" t="inlineStr">
        <is>
          <t>linkedin</t>
        </is>
      </c>
      <c r="E25" t="inlineStr"/>
      <c r="F25" t="inlineStr"/>
      <c r="G25" t="inlineStr">
        <is>
          <t>Washington, United States</t>
        </is>
      </c>
      <c r="H25" t="inlineStr"/>
      <c r="I25"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26">
      <c r="A26" t="inlineStr">
        <is>
          <t>li-4334619189</t>
        </is>
      </c>
      <c r="B26" t="inlineStr">
        <is>
          <t>Mobile Software Engineer</t>
        </is>
      </c>
      <c r="C26" t="inlineStr">
        <is>
          <t>DataAnnotation</t>
        </is>
      </c>
      <c r="D26" t="inlineStr">
        <is>
          <t>linkedin</t>
        </is>
      </c>
      <c r="E26" t="inlineStr"/>
      <c r="F26" t="inlineStr"/>
      <c r="G26" t="inlineStr">
        <is>
          <t>Oklahoma, United States</t>
        </is>
      </c>
      <c r="H26" t="inlineStr"/>
      <c r="I26"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27">
      <c r="A27" t="inlineStr">
        <is>
          <t>li-4334680338</t>
        </is>
      </c>
      <c r="B27" t="inlineStr">
        <is>
          <t>Mobile Software Engineer</t>
        </is>
      </c>
      <c r="C27" t="inlineStr">
        <is>
          <t>DataAnnotation</t>
        </is>
      </c>
      <c r="D27" t="inlineStr">
        <is>
          <t>linkedin</t>
        </is>
      </c>
      <c r="E27" t="inlineStr"/>
      <c r="F27" t="inlineStr"/>
      <c r="G27" t="inlineStr">
        <is>
          <t>Oregon, United States</t>
        </is>
      </c>
      <c r="H27" t="inlineStr"/>
      <c r="I27"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28">
      <c r="A28" t="inlineStr">
        <is>
          <t>li-4334640909</t>
        </is>
      </c>
      <c r="B28" t="inlineStr">
        <is>
          <t>Mobile Software Engineer</t>
        </is>
      </c>
      <c r="C28" t="inlineStr">
        <is>
          <t>DataAnnotation</t>
        </is>
      </c>
      <c r="D28" t="inlineStr">
        <is>
          <t>linkedin</t>
        </is>
      </c>
      <c r="E28" t="inlineStr"/>
      <c r="F28" t="inlineStr"/>
      <c r="G28" t="inlineStr">
        <is>
          <t>Iowa, United States</t>
        </is>
      </c>
      <c r="H28" t="inlineStr"/>
      <c r="I28"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29">
      <c r="A29" t="inlineStr">
        <is>
          <t>li-4334710181</t>
        </is>
      </c>
      <c r="B29" t="inlineStr">
        <is>
          <t>Mobile Software Engineer</t>
        </is>
      </c>
      <c r="C29" t="inlineStr">
        <is>
          <t>DataAnnotation</t>
        </is>
      </c>
      <c r="D29" t="inlineStr">
        <is>
          <t>linkedin</t>
        </is>
      </c>
      <c r="E29" t="inlineStr"/>
      <c r="F29" t="inlineStr"/>
      <c r="G29" t="inlineStr">
        <is>
          <t>Kentucky, United States</t>
        </is>
      </c>
      <c r="H29" t="inlineStr"/>
      <c r="I29"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30">
      <c r="A30" t="inlineStr">
        <is>
          <t>li-4320825561</t>
        </is>
      </c>
      <c r="B30" t="inlineStr">
        <is>
          <t>Sr. Software Engineer (C# .NET, Angular)</t>
        </is>
      </c>
      <c r="C30" t="inlineStr">
        <is>
          <t>Applied Systems</t>
        </is>
      </c>
      <c r="D30" t="inlineStr">
        <is>
          <t>linkedin</t>
        </is>
      </c>
      <c r="E30" t="inlineStr"/>
      <c r="F30" t="inlineStr"/>
      <c r="G30" t="inlineStr"/>
      <c r="H30" t="inlineStr"/>
      <c r="I30" t="inlineStr">
        <is>
          <t>**Job Description**
**Amazing Career Moments Happen Here** 
 Transforming the insurance industry is ambitious, we know. That’s why at EZLynx, a division of Applied, we are committed to transforming every facet of agency life by providing the most innovative solutions to improve how independent insurance agents work every day. We are the Real\-Time Rating pioneers in our industry, and we are looking for out\-of\-the\-box thinkers and innovative solution seekers to join our team.
**Position Overview** 
 We’re searching for a
 **Senior Software Engineer (C\# .NET, Angular)** 
 to join the EZLynx Engineering Team in a remote role, as we continuously improve the performance and scalability of our accounting applications. In this role, you will contribute to the scalability of software by combining fluency in application development with analytical skills and unwavering dedication to quality.
**What You’ll Do**
 As a Senior Software Engineer, you will contribute to high\-quality solutions for customers
* Design, develop, implement, test, document, release, and support production\-quality software as we continuously improve scalability while maintaining velocity
* Contribute to development and new features, and maintenance of existing functionality, and automated testing to provide high quality for customers
* Share knowledge to support the team with identifying opportunities and risks in technical discussions
* Support the team with delivery by sharing comprehensive feedback in code reviews and providing guidance with complex technical problem\-solving
* Monitor application performance in production and non\-production environments to proactively identify, debug and resolve application and performance issues
* Collaborate within a development team to deliver high quality and improve usability
* Support continuous improvement of internal processes and documentation to champion a principles\-based approach to design, implementation, and testing
* Continuously learn about new tools and technologies to extend knowledge
**We’re Excited to Learn More About You** 
 The position with our team could be an excellent match if your experience includes:
* 8\+ years of experience in software engineering, including experience providing guidance and support to members of the team
* 3\+ years’ experience in double\-entry accounting applications preferred
* Experience working across software development languages and frameworks, such as C\#, Asp.Net, .Net, SQL and Angular
* Practical experience with technologies and systems such as HTTP, REST APIs, Distributed Systems, Services, Messaging, Queues, Caching, SQL / NoSQL databases, Angular web applications, and JavaScript
* Advanced knowledge of professional software engineering practices, including complete software development life cycles, coding standards, code reviews, source control management, build processes, testing, and operations
* Experience with one or more of the following sets of technologies: ASP.Net Core, MVC, Entity Framework, Dapper, Dependency Injection, Nunit, xUnit, Moq, Postman, Jest, Splunk, Data Dog, Git
* Experience with Angular1\.x and 2\.x with focus on Angular v17\+
* Passion for continuously expanding knowledge of programming and web development while driving toward principles\-based approaches for design, implementation and testing
* Advanced communication skills, with the ability to distill complex concepts to support others with complex problem\-solving when working within software engineering teams and collaborating with architects
 We know that talent comes from all backgrounds and experience levels. We encourage military members and their spouses, as well as candidates without a degree or a background in tech to apply!
**When You Join Team EZLynx,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At EZLynx, we are not only committed to delivering innovative services to our clients but doing so as a team.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https://www.ezlynx.com/about\-us/careers/
 Our targeted starting base salary in the United States for this position ranges from USD 60K – USD 140K. To determine a new team member’s starting pay, we consider a variety of factors, including someone’s depth, breadth, and variety of experience, skills, and responsibilities. Depending on their role, team members may also be eligible to participate in additional compensation plans such as bonuses and commission.
**Your Security Matters:** 
 Our candidates’ personal information and online safety are top of mind for us. At EZLynx, a division of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t>
        </is>
      </c>
    </row>
    <row r="31">
      <c r="A31" t="inlineStr">
        <is>
          <t>li-4345531903</t>
        </is>
      </c>
      <c r="B31" t="inlineStr">
        <is>
          <t>Senior/Lead AI Software Engineer, Agentforce for Supply Chain</t>
        </is>
      </c>
      <c r="C31" t="inlineStr">
        <is>
          <t>Salesforce</t>
        </is>
      </c>
      <c r="D31" t="inlineStr">
        <is>
          <t>linkedin</t>
        </is>
      </c>
      <c r="E31" t="inlineStr"/>
      <c r="F31" t="inlineStr"/>
      <c r="G31" t="inlineStr">
        <is>
          <t>San Francisco, CA</t>
        </is>
      </c>
      <c r="H31" t="inlineStr"/>
      <c r="I3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Join an agile team with deep startup roots. We operate as a high\-velocity 'startup\-within\-Salesforce,' following our recent acquisition. You’ll be managed by the same founders and engineers who built the original company, offering the autonomy of a small team backed by the global scale and trust of Salesforce. You will have the unique opportunity to build a '0 to 1' product with the founding team, while leveraging Salesforce's world\-class Data Cloud and security infrastructure to drive immediate global impact at scale.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****What You’ll Do****
 As a Senior/Lead AI Software Engineer, for the Agentforce Supply Chain \- Agent Team, you will drive the ongoing development of our agents. These agents complete complex tasks requiring specific outputs reliably. They plan their work ahead of time and execute on that plan in order to drive consistency, correctness, and automation.
****Drive Agent Development \&amp; Architecture****
* Lead development of intelligent agents that complete complex supply chain tasks with reliability and consistency
* Spearhead architectural decisions for distributed systems serving millions of users with 24/7 availability
* Design and implement planning systems that enable agents to execute multi\-step workflows autonomously
****Lead Technical Strategy****
* Partner with Product Management and Executive Leadership to translate business vision into multi\-year technical roadmaps
* Guide technical decision\-making for AI model deployment, safety constraints, and reliability frameworks
* Drive adoption of enterprise\-grade observability tools and cloud infrastructure best practices
****Mentor \&amp; Collaborate****
* Mentor engineers to improve code quality, AI/ML practices, and system design
* Collaborate with cross\-functional teams including Design, Product Management, and industry experts to build high\-quality product features
* Take on new challenges and responsibilities as needed, and be an enthusiastic team player in a dynamic environment
* Engage directly with customers to gather insights and validate technical approaches
* Participate in hiring decisions and contribute to our culture of continuous learning
**Requirements**
* B.S. in Computer Science with coursework in Artificial Intelligence (M.S. preferred)
* 5\+ years (7\-12 for Lead, 4\-8 for Senior) of industry experience in Software Engineering, with a focus in AI/ML
* Proficiency in multiple programming languages such as Python, Go, Java, or C\+\+
* Strong background in APIs, data modeling, and databases
* Proficient with modern AI orchestration frameworks (e.g., LangChain, LlamaIndex) and production\-grade serving libraries like vLLM or Hugging Face TGI.
* Demonstrated ability to work both independently and collaboratively in a dynamic environment
* Excellent written and verbal communication skills
* Passion for continuous learning and development in AI technologies, and enthusiasm for mentoring peers
* A proven collaborator who can manage stakeholders and drive consensus across diverse engineering and product teams.
* Experience with enterprise\-grade observability tools (e.g., Splunk) and cloud infrastructure (AWS/GCP).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32">
      <c r="A32" t="inlineStr">
        <is>
          <t>li-4374982709</t>
        </is>
      </c>
      <c r="B32" t="inlineStr">
        <is>
          <t>Senior Software Engineer</t>
        </is>
      </c>
      <c r="C32" t="inlineStr">
        <is>
          <t>RemoteHunter</t>
        </is>
      </c>
      <c r="D32" t="inlineStr">
        <is>
          <t>linkedin</t>
        </is>
      </c>
      <c r="E32" t="inlineStr"/>
      <c r="F32" t="inlineStr"/>
      <c r="G32" t="inlineStr"/>
      <c r="H32" t="inlineStr"/>
      <c r="I32" t="inlineStr">
        <is>
          <t>About the Opportunity:
 The organization develops a platform that enables near real\-time data streaming, allowing companies to react faster and build smarter experiences. The role focuses on advancing distributed storage systems and infrastructure through the Tableflow project, which aims to create a multi\-modal storage engine that supports streaming data consumption as both tables and streams.
 Responsibilities:
 • Design and implement strategies for table schematization, materialization, and compaction at large scale
 • Build and maintain multi\-tenant, highly available infrastructure supporting background computational tasks for long\-term storage
 • Optimize platform scalability, reliability, and resilience in alignment with organizational objectives
 • Collaborate with product management, design, and engineering teams to integrate storage features and infrastructure
 Requirements:
 • BS, MS, or PhD in computer science or related field, or equivalent work experience
 • Strong communication and collaboration skills with ability to influence stakeholders at all levels
 Benefits \&amp; Perks:
 • Equal opportunity workplace committed to diversity and inclusion
 • Supportive environment that values different perspectives and encourages leadership and growth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
      <c r="A33" t="inlineStr">
        <is>
          <t>li-4367945094</t>
        </is>
      </c>
      <c r="B33" t="inlineStr">
        <is>
          <t>Staff Software Engineer</t>
        </is>
      </c>
      <c r="C33" t="inlineStr">
        <is>
          <t>Intuit</t>
        </is>
      </c>
      <c r="D33" t="inlineStr">
        <is>
          <t>linkedin</t>
        </is>
      </c>
      <c r="E33" t="inlineStr"/>
      <c r="F33" t="inlineStr"/>
      <c r="G33" t="inlineStr">
        <is>
          <t>Mountain View, CA</t>
        </is>
      </c>
      <c r="H33" t="inlineStr"/>
      <c r="I33" t="inlineStr">
        <is>
          <t>**Overview**
 Come join the QuickBooks Online team in the Small Business AI Group at Intuit to help us manage \&amp; scale our flagship products to accelerate agentic AI journey. We are looking for a passionate engineer with experience in AI, engineering and other Cloud Native compute technologies. This position will be responsible for designing, developing, building, integrating, delivering AI experiences for small businesses around the world.
**Responsibilities**
* 8\+ years experience designing and developing web applications
* 3\+ years experience building and operating public cloud infrastructure solutions, AWS preferred.
* BS/MS in computer science or equivalent work experience.
* Expertise with Java, Kotlin, Python, Kubernetes, Docker, Jenkins, Maven/Gradle
* Full\-stack development experience with AI technologies/tools and apply it to user experiences or backend solutions.
* Experience with AI technologies like SageMaker, Vert.x, LangChain, Large Language Models, Prompt Engineering, DialogFlow, Python, Agentic AI, Vector Search
* Expertise with AWS, Oracle, PostgreSQL, DynamoDB, REST, GraphQL.
* Hands on experience with Amazon web services: EC2, OpenSearch (or ElasticSearch), Aurora PostgreSQL, CloudWatch, CloudFormation, Apache Flink or Apache Spark
* Operational excellence: minimize costs and maximize uptime/availability
* Excellent communication skills: demonstrated ability to explain complex technical topics in an engaging way to both technical and non\-technical audiences, both written and verbally
* Strong leadership experience: leading meetings, driving small teams, providing technical customer support, coordinating cross\-functional alignment, evangelizing vision, building an inclusive and high\-performance culture, attracting and retaining key talent
* Strategic mindset: influences the team and platform’s short and long\-term strategy for maximum business impact
* Driven, motivated team player with a Get Stuff Done mentality!
**Qualifications**
* Guides the applicability of AI to customer problems through a deep understanding of the value and limitations of AI technologies.
* Understands evaluation tools to validate and measure the accuracy of solutions.
* High\-level understanding of how AI models work, the different types of AI models that exist, and their pros and cons.
* Understanding of the latest tools and technologies that apply AI to real\-world applications.
* Knowledge of building AI native applications
* Passionate for continuous learning, experimenting, and applying cutting\-edge technology and software paradigms to solve customer problems
* Roughly 75% hands\-on coding
* Guides the applicability of AI to customer problems through a deep understanding of the value and limitations of AI technologies.
* Generate technical documentation and presentations to communicate architectural and design options, and educate development teams and business users
* Resolve defects/bugs during QA testing, pre\-production, production, and post\-release patches
* Work cross\-functionally with various Intuit teams including: product management, analysts, data scientists, and data infrastructure
* Attend on\-call rotations, resolve incidents and use the learnings to improve overall application design
* Conduct design and code reviews \- create technical documentation
* Estimate and sequence of individual activities as inputs to project plans
* Analyze and synthesize a variety of inputs to create software and services.
* Identify dependencies as inputs to project plans
* Collaborates effectively with peer engineers and architects to solve complex problems spanning their respective areas to deliver end\-to\-end quality in our technology and customer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34">
      <c r="A34" t="inlineStr">
        <is>
          <t>li-4332206613</t>
        </is>
      </c>
      <c r="B34" t="inlineStr">
        <is>
          <t>Senior Software Engineer</t>
        </is>
      </c>
      <c r="C34" t="inlineStr">
        <is>
          <t>Sully.ai</t>
        </is>
      </c>
      <c r="D34" t="inlineStr">
        <is>
          <t>linkedin</t>
        </is>
      </c>
      <c r="E34" t="inlineStr"/>
      <c r="F34" t="inlineStr"/>
      <c r="G34" t="inlineStr"/>
      <c r="H34" t="inlineStr"/>
      <c r="I34" t="inlineStr">
        <is>
          <t>**About Us** 
 At Sully.ai,
 **We’re Building the Most Impactful Healthcare Company on Earth**
 We believe that access to a great doctor is a basic human right. Today, that’s not a reality. Delays, misdiagnoses, administrative chaos, and burnout plague the system.
**Our Mission:** 
*One Human, One Doctor* 
 . We build AI teammates that augment clinicians — scribes, nurses, receptionists, translators — all powered by our own world\-class models and deployed in real\-world care.
**Our Traction**
* 450\+ organizations signed 16 months
* AI agents cut admin by \~2\.8 hours daily and reduce onboarding 85%.
* 5M\+ Clinical Tasks completed to date, serving 36\+ specialties.
* Raised $25M from YC, Eric Yuan, Amity, Semper Virens
* Patented AI architecture (MedCon\-1\) outperforms GPT\-4\.5, Gemini, Claude on clinical reasoning tasks
***Sully requires A\-players capable of 4 months \= 1 year output.***
**What You'll Do**
 Design, implement, and optimize core components across frontend, backend, and model integrations, while driving engineering direction in close collaboration with our co\-founders.
**What You Must Bring**
* Senior\-level full\-stack experience in React, TypeScript, and Node.js
* Proven ability to design, ship, and scale LLM\-powered applications.
* Expertise in API design, streaming, and CI/CD pipelines.
* Strong cloud infrastructure background (AWS, GCP, or Azure).
* Track record of building reliable systems with measurable performance and error budgets.
**Key Results (First 90 Days)**
- Audit current cross\-agent flows for UI/UX cohesion.
- Implement shared components and typed contracts for reliability.
- Establish instrumentation for frontend performance and model round\-trip tracing.
 Deliver end\-to\-end tested, production\-grade agentic workflows with \&lt;5% error rates.
 - Launch cross\-agent design system and SDK used by at least 2 internal teams.
- Establish weekly “deploy and measure” cadence with performance metrics and error budgets.
 If you’ve ever said, “
 *I want to do work that actually matters* 
 ”, this is it. Let’s build something life\-changing, together.
**Who Thrives Here**
* Entrepreneurial to your core: You think in outcomes, thrive in chaos, and take ownership without limits
* Mission\-obsessed: You’re here to save lives, not just ship features — patients and doctors are your why.
* Impact\-driven \&amp; fast\-moving: You sprint toward hard problems and ship with sharp judgment.
* Elite teammate: You raise the bar through high standards, direct feedback, and craft excellence.
**Why Join** 
**Sully.ai** 
**?** 
 🔥 Revolutionizing the antiquated $800B\+ Healthcare market
 🧠 50%\+ of us are ex\-founders. We hire A\-players, not passengers
 ⚡️ Speed matters \- we operate with urgency, autonomy, and ownership
 🧪 You’ll work on real, first\-of\-their\-kind problems at the edge of AI and medicine
 ❤️ Your work helps doctors reclaim their time \- and patients get better, faster care</t>
        </is>
      </c>
    </row>
    <row r="35">
      <c r="A35" t="inlineStr">
        <is>
          <t>li-4344804949</t>
        </is>
      </c>
      <c r="B35" t="inlineStr">
        <is>
          <t>Sr. Embedded Software Engineer</t>
        </is>
      </c>
      <c r="C35" t="inlineStr">
        <is>
          <t>Rivian</t>
        </is>
      </c>
      <c r="D35" t="inlineStr">
        <is>
          <t>linkedin</t>
        </is>
      </c>
      <c r="E35" t="inlineStr"/>
      <c r="F35" t="inlineStr"/>
      <c r="G35" t="inlineStr">
        <is>
          <t>Palo Alto, CA</t>
        </is>
      </c>
      <c r="H35" t="inlineStr"/>
      <c r="I35"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Rivian is pushing the boundaries of what vehicle software can do in terms of remote diagnostics and prognostics. The Reliability Diagnostics team develops innovative on\-board software features that leverage sensor data to predict failures. This enables us to fulfill Rivian’s goals of simplifying vehicle care and delivering an exceptional service experience to our customers.
 We are seeking an experienced Embedded Software Engineer to spearhead the development of the Vehicle Health Monitor—our in\-vehicle solution for prognostics. In this role, you will be responsible for architecting and building the core of our software feature that monitors changes in the vehicle's noise and vibration signatures to detect system abnormalities. You will work with a team of top\-notch engineers and scientists to build in\-vehicle software features. These features enable Rivian Service to perform effective repairs and inform customers about required maintenance for vehicle safety and optimal performance.
**Responsibilities**
* Implement diagnostic and prognostic algorithms that uniquely monitor vehicle sensors and signals for system health in C\+\+
* Collaborate with data scientists to deploy complex data models into production\-ready code to the edge within real\-time embedded vehicle software
* Architect solutions that are highly efficient, ensuring minimal impact on system performance, memory, and power consumption in a resource\-constrained embedded environment
* Implement data serialization formats like Protocol Buffers (Protobuf) for efficient and structured data transport
* Collaborate with cross\-functional teams, including product and UI/UX design teams to define, influence, and deliver compelling service features
* Drive quality through rigorous code reviews, continuous integration/development (CI/CD), and robust test\-code implementation, including functional correctness and edge cases
* Define and scope Vehicle Health monitor feature software needs for future Rivian programs
* Grow your skills with continual learning, workshops and conferences
**Qualifications**
* BS/MS in Computer Science, Software Engineering, or similar
* 3\-5 years of professional experience building and shipping complex, production\-quality embedded software
* Proficiency with Embedded C/C\+\+
* Deep understanding of embedded Linux and RTOS fundamentals including multithreading, concurrency, and performance optimization for resource\-constrained embedded systems
* Hands\-on experience debugging complex systems that involve interfaces to multiple sub\-systems and ECUs
* Experience with inter\-process/app messaging frameworks and Protobuf\-based contracts
* Knowledge of networking protocols (TCP/IP, UDP)
* Experience with code versioning and CI tools (GitLab CI, Bazel) working in multi\-repo structure; ability to read/fix build failures and resolve rebase conflicts quickly
 Bonus Skills
* Experience in Automotive, Aerospace or Consumer Electronics industry
* Experience with SW development in Kotlin, Java
* Experience working on vehicle communication protocols (e.g., CAN, Ethernet, UDS)
 Leadership \&amp; Influence
* Ability to spearhead development with minimal supervision, deadline driven mentality to keep progress moving along a producbon schedule
* Ability to collaborate with and influence a mulbdisciplinary team that includes data scienbsts, sodware engineers, and mechanical engineers within the company as well as external partners
**Pay Disclosure**
**Salary Range/Hourly Rate for California Based Applicants** 
 : $146,9000\-$183,600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36">
      <c r="A36" t="inlineStr">
        <is>
          <t>li-4354691598</t>
        </is>
      </c>
      <c r="B36" t="inlineStr">
        <is>
          <t>Software Engineer, Full Stack, Level 4</t>
        </is>
      </c>
      <c r="C36" t="inlineStr">
        <is>
          <t>Snap Inc.</t>
        </is>
      </c>
      <c r="D36" t="inlineStr">
        <is>
          <t>linkedin</t>
        </is>
      </c>
      <c r="E36" t="inlineStr"/>
      <c r="F36" t="inlineStr"/>
      <c r="G36" t="inlineStr">
        <is>
          <t>Palo Alto, CA</t>
        </is>
      </c>
      <c r="H36" t="inlineStr"/>
      <c r="I3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Full Stack Engineer to join Snap Inc!
 What you’ll do:
* Build State of the art mobile and desktop web software applications and/or systems
* Follow high\-quality design and implementation practices
* Implement features and user interfaces to optimize performance of user\-facing products
* Contribute to Snap’s engineering culture by working on shared libraries and systems
* Log and analyze operational and engagement metrics
 Knowledge, Skills \&amp; Abilities:
* Highly proficient in JavaScript (and/or TypeScript), HTML, and CSS
* Highly proficient in Java, Golang, NodeJs, and/or Python
* Experience developing front\-end software using Javascript UI Frameworks (i.e React, Angular, Vue)
* Strong knowledge of object\-oriented and functional programming principles
* Understanding of domain driven design principles
* Solid knowledge of unit testing
* Experience in front end design and/or web application development
* Writing code for User Interface components
* Experience optimizing JavaScript performance and browser layout rendering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with full stack web development
 Preferred Qualifications:
* MS degree in a technical field
* Experience with WebGL, Canvas, WebAssembly, Service workers, or other advanced front\-end technology
* Experience with GraphQL
* Experience with large\-scale microservices and distributed systems
* Experience with NoSQL solutions, Memcache/Redis, Kubernetes, or Google/AWS services
* Ability to identify and resolve performance and scalability issues
* Passion for building a rich and innovative user experience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37">
      <c r="A37" t="inlineStr">
        <is>
          <t>li-4367931296</t>
        </is>
      </c>
      <c r="B37" t="inlineStr">
        <is>
          <t>Sr Software Engineer</t>
        </is>
      </c>
      <c r="C37" t="inlineStr">
        <is>
          <t>Uber</t>
        </is>
      </c>
      <c r="D37" t="inlineStr">
        <is>
          <t>linkedin</t>
        </is>
      </c>
      <c r="E37" t="inlineStr"/>
      <c r="F37" t="inlineStr"/>
      <c r="G37" t="inlineStr">
        <is>
          <t>Seattle, WA</t>
        </is>
      </c>
      <c r="H37" t="inlineStr"/>
      <c r="I37" t="inlineStr">
        <is>
          <t>**About The Role**
 Uber is on the lookout for top\-notch backend/data/AI software engineers to join the Data Security \&amp; Governance engineering team within the Privacy, Security \&amp; Risk org. This role involves designing, building and handling robust distributed backend and AI\-powered systems that operate at Uber scale, enabling engineering teams to safely innovate with ML/GenAI in an open, decentralized environment. If you enjoy working on foundational platforms, production\-grade AI systems, and solving hard technical problems at scale, this role is for you.
**What The Candidate Will Need / Bonus Points**
 \-\-\-\- What the Candidate Will Do \-\-\-\-
* As a Senior Software Engineer at Uber, you'll work on systems that are closest to the business and foundational to the company's security posture. You will build user\-facing and platform products, handle and store thousands of transactions per second, and develop intelligent security, privacy, and risk prevention strategies that scale.
* You will lead the design, development, and maintenance of backend services, frameworks, and AI\-powered platforms that support user\-facing products, downstream services, and internal infrastructure across Uber. You are a passionate and pragmatic technologist, capable of designing highly scalable systems while delivering efficient, production\-quality code.
* As the privacy and security landscape continues to evolve\-with the rapid adoption of ML and AI systems operating over large, heterogeneous datasets\-the scope and sophistication of threats continue to grow. Leveraging your deep expertise across modern technology stacks, you will architect, implement, and scale industry\-leading AI, data security, and privacy solutions for the entire company.
**Basic Qualifications**
* 6\+ years of professional industry experience and BS or MS in Computer Science or a related technical discipline, or equivalent practical experience.
* Strong coding skills in one or more of Go, Java, Python, or C\+\+.
* Solid understanding of algorithms, data structures, and distributed systems.
* Proven experience building and operating production backend or AI systems at scale.
**Preferred Qualifications**
* Experience designing, building, and operating large\-scale backend and distributed systems in production (e.g., microservices, APIs, data\-intensive services).
* Solid understanding of distributed systems fundamentals, including consistency models, fault tolerance, scalability, and performance trade\-offs.
* Experience applying ML/AI techniques to security, privacy, or risk\-related domains (e.g., agentic workflow, data classification, PII or sensitive data detection) is a strong plus.
* Familiarity with LLM platforms, model serving, inference pipelines, or AI safety/guardrail systems.
* Experience designing evaluation frameworks, monitoring, and observability for complex systems (backend or AI).
* Proven track record of technical ownership, from design through production rollout and long\-term maintenance.
 For Seattle, WA\-based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8">
      <c r="A38" t="inlineStr">
        <is>
          <t>li-4376380250</t>
        </is>
      </c>
      <c r="B38" t="inlineStr">
        <is>
          <t>Software Engineer</t>
        </is>
      </c>
      <c r="C38" t="inlineStr">
        <is>
          <t>Hirenza</t>
        </is>
      </c>
      <c r="D38" t="inlineStr">
        <is>
          <t>linkedin</t>
        </is>
      </c>
      <c r="E38" t="inlineStr"/>
      <c r="F38" t="inlineStr"/>
      <c r="G38" t="inlineStr"/>
      <c r="H38" t="inlineStr"/>
      <c r="I38" t="inlineStr">
        <is>
          <t>**About The Company**
 Jobot is a dynamic and innovative technology firm specializing in AI\-powered solutions across various industries. Our mission is to leverage cutting\-edge artificial intelligence and machine learning technologies to solve complex problems and drive digital transformation for our clients. We are committed to fostering a collaborative and inclusive work environment where creativity, diversity, and continuous learning are highly valued. With a focus on growth and excellence, Jobot consistently seeks talented professionals who are passionate about technology and eager to make a meaningful impact in the AI space.
**About The Role**
 We are seeking a highly skilled and experienced Senior Software Engineer to join our fast\-growing team. In this role, you will be instrumental in designing, developing, and scaling our AI\-powered platform that delivers innovative solutions to our clients. You will work closely with cross\-functional teams, including data scientists, product managers, and other engineers, to build robust, scalable, and data\-intensive applications. The ideal candidate will have a strong background in software engineering, with expertise in Python, TypeScript, and cloud infrastructure, particularly AWS. This position offers an exciting opportunity to contribute to groundbreaking AI technology in a fast\-paced startup environment, with the potential for significant career growth and impact.
**Qualifications**
 To be successful in this role, candidates should possess the following qualifications:
* Six or more years of experience in software engineering, preferably within early to growth\-stage high\-velocity startups.
* Proficiency in Python, TypeScript, and experience working with AWS cloud infrastructure.
* Hands\-on experience in building and scaling data\-intensive applications and services.
* Familiarity with machine learning, natural language processing, and related AI concepts.
* Background or experience in the healthcare or life sciences industry is highly desirable.
* Strong problem\-solving skills, excellent communication, and the ability to work effectively in a collaborative team environment.
**Responsibilities**
 The successful candidate will be responsible for:
* Designing, developing, and maintaining scalable, high\-performance applications and APIs that support our AI platform.
* Implementing best practices for software development, testing, and deployment to ensure reliability and efficiency.
* Collaborating with data scientists and product teams to translate complex AI models into production\-ready applications.
* Optimizing data pipelines and infrastructure to handle large\-scale data processing and storage.
* Participating in code reviews, mentoring junior engineers, and fostering a culture of continuous improvement.
* Staying current with emerging technologies and industry trends to incorporate innovative solutions into our platform.
**Benefits**
 We offer a comprehensive benefits package designed to support our employees' health, well\-being, and professional growth, including:
* Competitive base salary ranging from $190,000 to $260,000, complemented by equity options.
* Health, dental, and vision insurance plans to ensure comprehensive coverage.
* 401(k) retirement plan with employer matching contributions.
* Unlimited paid time off to promote work\-life balance.
* Opportunities for professional development and career advancement within a rapidly growing organization.
* A collaborative and inclusive work environment that values diversity and innovation.
 Equal Opportunity
 Jobot is an equal opportunity employer. We celebrate diversity and are committed to creating an inclusive environment for all employees and applicants. We do not discriminate based on race, color, religion, sex, sexual orientation, gender identity, national origin, age (40 and over), disability, military status, genetic information, or any other protected characteristic under applicable federal, state, or local laws. We also prohibit harassment of any kind and ensure that all candidates and employees are treated with respect and fairness throughout the hiring and employment process. Jobot complies with all applicable laws regarding employment discrimination and is dedicated to fostering a workplace where everyone can thrive.</t>
        </is>
      </c>
    </row>
    <row r="39">
      <c r="A39" t="inlineStr">
        <is>
          <t>li-4328176689</t>
        </is>
      </c>
      <c r="B39" t="inlineStr">
        <is>
          <t>Senior Software Engineer - Full-Stack</t>
        </is>
      </c>
      <c r="C39" t="inlineStr">
        <is>
          <t>HappyRobot</t>
        </is>
      </c>
      <c r="D39" t="inlineStr">
        <is>
          <t>linkedin</t>
        </is>
      </c>
      <c r="E39" t="inlineStr"/>
      <c r="F39" t="inlineStr"/>
      <c r="G39" t="inlineStr">
        <is>
          <t>San Francisco, CA</t>
        </is>
      </c>
      <c r="H39" t="inlineStr"/>
      <c r="I39" t="inlineStr">
        <is>
          <t>**About HappyRobot**
 HappyRobot is the AI\-native operating system for the real economy—a system that closes the circuit between intelligence and action. By combining real\-time truth, specialized AI workers, and an orchestrating intelligence, we help enterprises run complex, mission\-critical operations with true autonomy.
 Our AI OS compounds knowledge, optimizes at every level, and evolves over time. We’re starting with supply chain and industrial\-scale operations, where resilience, speed, and continuous improvement matter most—freeing humans to focus on strategy, creativity, and other high\-value tasks.
 You can learn more about our vision in our Manifesto. HappyRobot has raised $62M to date, including our most recent $44M Series B in September 2025\. Our investors include Y Combinator (YC), Andreessen Horowitz (a16z), and Base10—partners who believe in our mission to redefine how enterprises operate. We’re channeling this investment into building a world\-class team: people with relentless drive, sharp problem\-solving skills, and the passion to push limits in a fast\-paced, high\-intensity environment. If this resonates, you belong at HappyRobot.
**About The Role**
 At
 **HappyRobot** 
 , Full Stack Engineers own meaningful parts of the product and infrastructure end\-to\-end.
 We’re looking for builders who thrive in ambiguity, care deeply about craft, and want real ownership over what they create.
 What We’re Looking For
* 5\+ years of professional experience
* Strong generalist — you’re excellent on either the front end or back end, and comfortable working across the stack
* Front\-end expertise with TypeScript and Next.js, including performance, UX, and clean architecture
* Back\-end experience with Go, building reliable, scalable systems
* Product\-minded engineer who understands tradeoffs between speed, quality, and scale.
 What You’ll Do
* Build and own entire sections of the product, including major parts of the web application
* Design, implement, and ship features end\-to\-end — from UI to APIs to infrastructure
* Help optimize and scale our voice AI infrastructure, improving latency, reliability, and cost
* Collaborate closely with founders and teammates to shape product direction
* Ship to production frequently and iterate based on real user feedback
**Why join us?**
* Opportunity to work at a high\-growth AI startup, backed by top investors.
* Rapidly growing and backed by top investors including a16z, Y Combinator, and Base10\.
* Ownership \&amp; Autonomy \- Take full ownership of projects and ship fast.
* Top\-Tier Compensation \- Competitive salary \+ equity in a high\-growth startup.
* Comprehensive Benefits \- Healthcare, dental, vision coverage.
* Work With the Best \- Join a world\-class team of engineers and builders.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is>
      </c>
    </row>
    <row r="40">
      <c r="A40" t="inlineStr">
        <is>
          <t>li-4312479602</t>
        </is>
      </c>
      <c r="B40" t="inlineStr">
        <is>
          <t>Senior Software Developer</t>
        </is>
      </c>
      <c r="C40" t="inlineStr">
        <is>
          <t>Oracle</t>
        </is>
      </c>
      <c r="D40" t="inlineStr">
        <is>
          <t>linkedin</t>
        </is>
      </c>
      <c r="E40" t="inlineStr"/>
      <c r="F40" t="inlineStr"/>
      <c r="G40" t="inlineStr">
        <is>
          <t>Burlington, MA</t>
        </is>
      </c>
      <c r="H40" t="inlineStr"/>
      <c r="I40" t="inlineStr">
        <is>
          <t>**Job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really smart, motivated, and diverse people and given the autonomy and support to do your best work. It is a dynamic and flexible workplace where you’ll belong and be encouraged.
 As Software Engineer, you will work with a team of software engineers responsible for the software design, development, and operations for our new and existing products. You should be able to architect broad systems interactions, be hands\-on, be able to dive deep into any part of the stack, You should value simplicity and impact, work comfortably in a collaborative, agile environment, and be excited to learn.
 Our software engineers are also the people who can work independently and provide technical leadership to the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4\+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services
* Systematic problem\-solving approach, strong communication skills, a sense of ownership, and drive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1">
      <c r="A41" t="inlineStr">
        <is>
          <t>li-4334660528</t>
        </is>
      </c>
      <c r="B41" t="inlineStr">
        <is>
          <t>Mobile Software Engineer</t>
        </is>
      </c>
      <c r="C41" t="inlineStr">
        <is>
          <t>DataAnnotation</t>
        </is>
      </c>
      <c r="D41" t="inlineStr">
        <is>
          <t>linkedin</t>
        </is>
      </c>
      <c r="E41" t="inlineStr"/>
      <c r="F41" t="inlineStr"/>
      <c r="G41" t="inlineStr">
        <is>
          <t>Washington, DC</t>
        </is>
      </c>
      <c r="H41" t="inlineStr"/>
      <c r="I41"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2">
      <c r="A42" t="inlineStr">
        <is>
          <t>li-4300074337</t>
        </is>
      </c>
      <c r="B42" t="inlineStr">
        <is>
          <t>Software Engineer, Infrastructure</t>
        </is>
      </c>
      <c r="C42" t="inlineStr">
        <is>
          <t>Doppel</t>
        </is>
      </c>
      <c r="D42" t="inlineStr">
        <is>
          <t>linkedin</t>
        </is>
      </c>
      <c r="E42" t="inlineStr"/>
      <c r="F42" t="inlineStr"/>
      <c r="G42" t="inlineStr">
        <is>
          <t>San Francisco, CA</t>
        </is>
      </c>
      <c r="H42" t="inlineStr"/>
      <c r="I42"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recognized brands (OpenAI, United Airlines, Coinbase, etc.),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looking for an experienced backend engineer to build out the infrastructure required to rapidly scale up our engineering organization. A few examples of the work we’ve done recently:
* Built self\-hosted Elasticsearch infrastructure on Kubernetes, enabling real\-time search across millions of alerts and associated metadata.
* Defined core infrastructure using Terraform (IaC), allowing reproducible, version\-controlled environments and faster onboarding for new engineers.
* Stood up a dedicated staging environment, enabling safer releases, feature validation, and automated integration testing before production rollouts.
* Introduced observability and tracing (metrics, logging, distributed tracing), improving our ability to debug performance issues and maintain reliability at scale.
**What We Offer**
 🚀 A mission\-driven culture with low ego, high ownership, deep customer obsession, and exceptional talent density
 🍽️ Free lunch and dinner in the office
 🌴 Flexible PTO
 ✈️ Quarterly team offsites
 Join Doppel
 Doppel is the first platform built to dismantle digital deception at scale. We scan over 150 billion entities daily and deploy continuously adaptive AI SOC agents, paired with expert human analysts, to uncover and disrupt the infrastructure behind phishing, impersonation, and online fraud before attacks can spread. Our Threat Grid turns every customer signal into shared intelligence, making each disruption smarter, faster, and more effective.
 We’re not just another cybersecurity company. We’re defining the future of social engineering defense, where trust is protected, and deception becomes unprofitable. Backed by top\-tier investors and trusted by some of the world’s most recognized brands, Doppel is growing fast. If you’re driven to solve real\-world problems with bold technology, we’d love to meet you.</t>
        </is>
      </c>
    </row>
    <row r="43">
      <c r="A43" t="inlineStr">
        <is>
          <t>li-4294262310</t>
        </is>
      </c>
      <c r="B43" t="inlineStr">
        <is>
          <t>Software Engineer III</t>
        </is>
      </c>
      <c r="C43" t="inlineStr">
        <is>
          <t>Scientific Research Corporation</t>
        </is>
      </c>
      <c r="D43" t="inlineStr">
        <is>
          <t>linkedin</t>
        </is>
      </c>
      <c r="E43" t="inlineStr"/>
      <c r="F43" t="inlineStr"/>
      <c r="G43" t="inlineStr">
        <is>
          <t>San Diego, CA</t>
        </is>
      </c>
      <c r="H43" t="inlineStr"/>
      <c r="I43" t="inlineStr">
        <is>
          <t>Estimated Starting Salary Range: USD $146,800\.00/Yr. \- USD $244,650\.00/Yr. Salary to be determined by the education, experience, knowledge, skills, and abilities of the applicant, internal equity, and alignment with market data.
**Description**
 Scientific Research Corporation (SRC) is an advanced information technology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is searching for a well\-rounded Configuration Specialists to support our customer at NIWC Pacific in San Diego, CA.
* Possessing a deep understanding of DoD configuration and data management policies and procedures, including familiarity with relevant regulations and instructions
**FILLING THIS POSITION IS CONTINGENT UPON FUNDING**
**Requirements**
* Bachelor's level degree in any field
* Three (3\) years of professional experience in configuration management
* Experience with configuration management and knowledge management concepts and tools
* Performing work in this job’s occupational field requires the application of professional disciplines requiring a four\-year degree or equivalent and the extensive, applied use of related concepts, practices, and methods
* The primary or most necessary skills required for this job are organizational skills, verbal and written communication skills, and computer skills
* Demonstrated ability to handle classified information and work within secure environments, adhering to strict security protocols, is essential
**Desired Skills**
* Experience with DoD\-specific knowledge management platforms and tools, such as Flank Speed and SharePoint, is highly desirable
* Knowledge of military communication systems and protocols is beneficial, particularly for roles involving technical documentation and support
* Strong communication and interpersonal skills are crucial for effectively collaborating with various stakeholders and providing training and support on configuration and knowledge management processes
**Clearance Information**
**SRC IS A CONTRACTOR FOR THE U.S. GOVERNMENT. THIS POSITION WILL REQUIRE U.S. CITIZENSHIP AS WELL AS A U.S. GOVERNMENT SECURITY CLEARANCE AT THE SECRET LEVEL**
**Travel Requirements**
* Occasional CONUS travel may be required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offers a generous benefit package, including medical, dental, and vision plans, 401(k) with a company match, life insurance, vacation and sick paid time off accruals starting at 10 days of vacation and 5 days of sick leave annually, 11 paid holidays, tuition reimbursement, and a work environment that encourages excellence and more. For positions requiring a security clearance, selected applicants will be subject to a government security investigation and must meet eligibility requirements for access to classified information.
**EEO**
 Scientific Research Corporation is an equal opportunity employer that does not discriminate in employment.
 All qualified applicants will receive consideration for employment without regard to their race, color, religion, sex, age, sexual orientation, gender identity, national origin, disability, protected veteran status, or any other protected characteristic under federal, state or local law.
 Scientific Research Corporation endeavors to make www.scires.com accessible to any and all users. If you would like to contact us regarding the accessibility of our website or need assistance completing the application process, please contact jobs@scires.com for assistance. This contact information is for accommodation requests only and cannot be used to inquire about the status of applications.</t>
        </is>
      </c>
    </row>
    <row r="44">
      <c r="A44" t="inlineStr">
        <is>
          <t>li-4359614734</t>
        </is>
      </c>
      <c r="B44" t="inlineStr">
        <is>
          <t>Senior Software Engineer</t>
        </is>
      </c>
      <c r="C44" t="inlineStr">
        <is>
          <t>Microsoft</t>
        </is>
      </c>
      <c r="D44" t="inlineStr">
        <is>
          <t>linkedin</t>
        </is>
      </c>
      <c r="E44" t="inlineStr"/>
      <c r="F44" t="inlineStr"/>
      <c r="G44" t="inlineStr"/>
      <c r="H44" t="inlineStr"/>
      <c r="I44" t="inlineStr">
        <is>
          <t>**Overview**
 The Microsoft Azure Host Networking and Hardware Acceleration team is responsible for building a high\-performance and reliable network in the cloud. Our organization develops and maintains the network layers between physical infrastructure and virtual machines. Current and future development focuses on Linux platforms and hardware design. We are seeking a Senior Software Engineer to design and develop innovative hyperscale observability tools and platforms that help diagnose complex software\-defined networking issues.In this role, you will build out a globally distributed OpenTelemetry data infrastructure that will process \&gt;\= 1 billion events per minute for all Azure regions. This data pipeline will be used to all for near real\-time attribution of packet loss in the Azure backend networks. Expertise should Include: understanding the fundamentals of networking and how packets traverse networks and knowledge in a distributed systems platform such as Kubernetes or Service Fabric. You will also build advanced tools for network debugging, mentor team members, interact with customers, and collaborate across organizations.This position requires curiosity about system internals, effective communication skills, and experience with low\-level networking technologies. This opportunity provides exposure to large\-scale distributed systems and cutting\-edge networking solutions, enabling you to make a significant impact on Azure’s reliability and performance while advancing your technical knowledge.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observability improvements.
* Contribute code to existing automation and monitoring frameworks.
* Build and deploy net new tools across production datacenters.
* Take ownership and drive mission critical customer escalations.
* Mentor and teach engineers across Azure to improve visibility, use of tools to diagnose, and scale learnings through improved documentation and training.
* Embody our culture and values
**Qualifications**
**Required Qualifications**
* Bachelor's Degree in Computer Science or related technical field AND 4\+ years technical engineering experience with coding in languages including, but not limited to, C, C\+\+, C\#, Rust, GO, TypeScript
+ OR equivalent experience.
* 1\+ years experience working with systems observability.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Rust, GO, TypeScript
+ OR Master's Degree in Computer Science or related technical field AND 6\+ years technical engineering experience with coding in languages including, but not limited to, C, C\+\+, C\#, Rust, GO, TypeScript
+ OR equivalent experience.
* 1\+ years experience with systems programming, distributed system, CI/CD, data pipelining, shipping products or services.
* 1\+ years experience working with multiple partner teams and external vendors.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5">
      <c r="A45" t="inlineStr">
        <is>
          <t>li-4295737351</t>
        </is>
      </c>
      <c r="B45" t="inlineStr">
        <is>
          <t>Robotic Software Engineer, Perception</t>
        </is>
      </c>
      <c r="C45" t="inlineStr">
        <is>
          <t>Applied Intuition</t>
        </is>
      </c>
      <c r="D45" t="inlineStr">
        <is>
          <t>linkedin</t>
        </is>
      </c>
      <c r="E45" t="inlineStr"/>
      <c r="F45" t="inlineStr"/>
      <c r="G45" t="inlineStr">
        <is>
          <t>San Diego, CA</t>
        </is>
      </c>
      <c r="H45" t="inlineStr"/>
      <c r="I45"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As a Perception Autonomy engineer, you will be pivotal in developing, integrating, and maintaining real\-time sensor software solutions deployed across a range of heterogenous autonomous vehicles and different domains (e.g., land, air, sea, and space). You will work with a team to continuously add capability and demonstrate the solution to customers in real\-world scenarios on a variety of hardware platforms. Your responsibility will primarily be designing, developing, and rapidly integrating AI/ML sensor algorithms to interface across different platforms, ingest relevant mission information, and support the autonomy team’s mission objectives. This work includes developing autonomous sensor controllers to optimally fuse information between state\-of\-the\-art sensor systems, such as EO, IR, acoustics, radar, and RF.
 At Applied Intuition, you will:
* Develop, integrate, and adapt cutting\-edge AI/ML algorithms running on the perception autonomy stack to collect relevant information across a suite of platform sensors
* Create interfacing software to autonomously control sensors (e.g., EO, IR, acoustics, radar, and RF)
* Collaborate across the sensor, tracking, and autonomy teams to ensure seamless deployment of heterogeneous platform swarms in on\-site DoD testing and demonstration events
* Deploy containerized solutions to embedded Linux devices, leveraging computer\-in\-the\-loop testing and profiling, and efficiently collecting performance data
* Interact with the DoD customer to understand their use cases, requirements, and triage needs during field events to deliver a superior customer experience
* Work closely with our existing team to internally triage technical problems and scope
* Carefully communicate and document ongoing work to ensure internal flexibility in a fast paced environment as well as clarify progress with external customers
* Drive execution of simulation tooling to playback sensors, platforms, and autonomy in post processing field test analysis
* Implement improvement plans for future integration efforts based on simulation analysis and customer feedback
 We're looking for someone who has:
* MS or PhD in Electrical Engineering, Computer Engineering, Robotic Engineering, Computer Science, Optimization, or equivalent OR 5\+ years of relevant experience working with sensor algorithms, hardware, and HIL software integration
* Experience with multiple sensor modalities (e.g., EO, IR, lidar, radar, sonar, acoustics, etc.)Core understanding of sensor physics and sensor control parameters
* Experience training and deploying ML algorithms (python, pytorch, tensorflow) onto integrated systems (onnx, C\+\+ models)
* Familiarity with tracking basics (e.g., Kalman filters) and optimal sensor fusion
* Experience working comfortably in Linux and Docker
* Prior experience with remote software development, ability to handle and process large datasets, and learn new software and algorithms as needed with little supervision
 Travel Requirements:
* Must be willing to travel as projects requires, usually for SW/HW integration and/or demonstrations; estimated average travel is every 1\-2 months for 2\-5 days (10\-20%)
* Travel\-adverse candidates are encouraged to inquire about relocation assistance to HQ in Poway, CA
 Security Requirements:
* Must be a U.S. Citizen
* Must hold or be eligible to obtain and maintain a U.S. security clearance
 For more information about U.S. security clearances: click here.
 Nice to have:
* Proficiency with modern C\+\+ development (2011, 2017, 2020, smart pointers, etc.), CMAKE, Python and Bash
* PhD in computer science or electrical engineering with AI/ML focus
* Experience with robotic swarm or multi\-agent systems and optimization
* Strong tracking and sensor fusion background
* Current U.S. SECRET security clearance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$140,000 to $220,000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46">
      <c r="A46" t="inlineStr">
        <is>
          <t>li-4334589237</t>
        </is>
      </c>
      <c r="B46" t="inlineStr">
        <is>
          <t>Software Engineer III- Data</t>
        </is>
      </c>
      <c r="C46" t="inlineStr">
        <is>
          <t>JPMorganChase</t>
        </is>
      </c>
      <c r="D46" t="inlineStr">
        <is>
          <t>linkedin</t>
        </is>
      </c>
      <c r="E46" t="inlineStr"/>
      <c r="F46" t="inlineStr"/>
      <c r="G46" t="inlineStr">
        <is>
          <t>New York, NY</t>
        </is>
      </c>
      <c r="H46" t="inlineStr"/>
      <c r="I46" t="inlineStr">
        <is>
          <t>**Job Description**
 We have an opportunity to impact your career and provide an adventure where you can push the limits of what's possible.
**Job Summary**
 As a Software Engineer III at JPMorgan Chase within the Wholesale Credit Risk team, you will play a pivotal role in designing and implementing scalable hybrid cloud solutions. You will collaborate with development leads and senior stakeholders to deliver robust solutions, while mentoring team members and fostering a collaborative environment. This opportunity allows you to leverage your technical expertise in hybrid cloud architecture and coding to promote technical excellence and innovation.
**Job Responsibilities**
* Architect, design, and implement scalable hybrid cloud solutions for transactional, analytics and RAD workloads.
* Write and review high\-quality code, ensuring adherence to best practices and standards.
* Collaborate with development leads and cross\-functional teams to deliver robust solutions.
* Conduct code reviews and provide constructive feedback to drive technical excellence.
* Present technical concepts and project updates to senior stakeholders.
* Prioritize tasks effectively, balancing urgent needs with strategic progress.
* Mentor and support team members, fostering a collaborative and helpful environment.
**Required Qualifications, Capabilities And Skills**
* Formal training or certification on hybrid cloud architecture concepts and 5\+ years applied experience
* Proven experience in hybrid cloud architecture (AWS, Azure, GCP, or private cloud).
* Strong coding skills in languages such as Java, Python, React or similar.
* Deep understanding of distributed systems, data pipelines, and analytics platforms.
* Experience with CI/CD, DevOps, and modern software engineering practices.
* Excellent interpersonal and presentation skills.
* Demonstrated ability to work with development leads and senior stakeholders.
**Preferred Qualifications, Capabilities And Skills**
* Action\-oriented, decisive, drives results systematically.
* Skilled at assessing risk and making decisions with a holistic, big\-picture perspective.
* Demonstrates a can\-do attitude and leads by example.
* Detail\-oriented, able to distinguish between important and urgent tasks.
* Prioritizes helpfulness, mentorship, and team development.
* Acts with integrity.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7">
      <c r="A47" t="inlineStr">
        <is>
          <t>li-4334670501</t>
        </is>
      </c>
      <c r="B47" t="inlineStr">
        <is>
          <t>Software Engineer (Mobile Focus)</t>
        </is>
      </c>
      <c r="C47" t="inlineStr">
        <is>
          <t>DataAnnotation</t>
        </is>
      </c>
      <c r="D47" t="inlineStr">
        <is>
          <t>linkedin</t>
        </is>
      </c>
      <c r="E47" t="inlineStr"/>
      <c r="F47" t="inlineStr"/>
      <c r="G47" t="inlineStr">
        <is>
          <t>Iowa, United States</t>
        </is>
      </c>
      <c r="H47" t="inlineStr"/>
      <c r="I47"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8">
      <c r="A48" t="inlineStr">
        <is>
          <t>li-4334720168</t>
        </is>
      </c>
      <c r="B48" t="inlineStr">
        <is>
          <t>Software Engineer (Mobile Focus)</t>
        </is>
      </c>
      <c r="C48" t="inlineStr">
        <is>
          <t>DataAnnotation</t>
        </is>
      </c>
      <c r="D48" t="inlineStr">
        <is>
          <t>linkedin</t>
        </is>
      </c>
      <c r="E48" t="inlineStr"/>
      <c r="F48" t="inlineStr"/>
      <c r="G48" t="inlineStr">
        <is>
          <t>West Virginia, United States</t>
        </is>
      </c>
      <c r="H48" t="inlineStr"/>
      <c r="I48"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9">
      <c r="A49" t="inlineStr">
        <is>
          <t>li-4352274849</t>
        </is>
      </c>
      <c r="B49" t="inlineStr">
        <is>
          <t>Senior Software Engineer, Product</t>
        </is>
      </c>
      <c r="C49" t="inlineStr">
        <is>
          <t>PushPress</t>
        </is>
      </c>
      <c r="D49" t="inlineStr">
        <is>
          <t>linkedin</t>
        </is>
      </c>
      <c r="E49" t="inlineStr"/>
      <c r="F49" t="inlineStr"/>
      <c r="G49" t="inlineStr"/>
      <c r="H49" t="inlineStr"/>
      <c r="I49" t="inlineStr">
        <is>
          <t>**About PushPress**
 PushPress is the AI\-powered gym management platform built for boutique fitness.
 We are transforming how boutique fitness owners operate and how the entire $100B global fitness industry connects, transacts, and grows. Trusted by more than 5,000 gyms and 500,000 members, PushPress processes \~$1B annually.
 We're a Series B company backed by Altos Ventures, StepStone, and Mucker Capital, and we're going all\-in on AI. Our AI Assistant, AI Member Intel, and AI\-powered reporting tools are already changing how gym owners and coaches operate. We believe AI should make the human side of fitness better, not replace it.
 By embedding intelligence directly into the product, we enable boutique fitness owners to make faster decisions, unlock new revenue streams, and collaborate across a connected network. As more gyms join the platform, data compounds, intelligence strengthens, and the value of the ecosystem increases for every owner.
 We are a global team of builders, operators, and fitness fanatics on a mission to level the playing field for independent fitness entrepreneurs. If you are ready to help reshape an industry, let's talk!
**About The Role**
 PushPress, at its core, is a technology company. We are building an elite engineering team that thrives on innovation, collaboration, and creating impactful, cutting edge solutions. We are seeking engineers across full stack, mobile, reliability, and data who bring a strong ownership mindset, operate comfortably across functions, and think beyond traditional role boundaries. We are particularly interested in builders who have experience shipping modern, intelligent products, including AI powered or agentic systems. You enjoy applying data driven thinking and thoughtful system design to solve real customer problems as part of our early journey.
**What You'll Do**
* Build and ship high quality, scalable software across our core platform
* Contribute to intelligent product capabilities that leverage data, automation, and AI driven workflows
* Collaborate closely with Product, Design, and cross functional partners to deliver end to end solutions
* Take ownership of systems and features from concept through production and iteration
* Help improve engineering standards, processes, and team culture as we scale
**What You'll Need**
* 5\-10 years of professional full\-stack web development experience, with proficiency in JavaScript, TypeScript, Node.js, Express, React, and Next.js .
* Experience building or contributing to intelligent, data driven, or AI enabled products is a strong plus
* Proficient in backend development, databases, third\-party integrations, frontend components, state management, performance optimization, and build tools.
* Proven ability to ship high\-quality products and features at scale, with a focus on performance, reliability, and user experience.
* Excellent problem\-solving skills with the ability to identify and resolve complex issues in full\-stack web applications using modern debugging techniques.
* Strong communication and collaboration skills, with the ability to work effectively in a distributed team, build consensus, and influence technical decisions.
* Optional: Contributions to open\-source projects or a strong portfolio of personal projects that demonstrate your skills and passion for software engineering.
**Why PushPress**
* Build a product from scratch that will impact thousands of fitness businesses
* Work with the latest AI technologies in a practical, user\-focused way
* Join at the ground floor of an exciting new product initiative
* Collaborate with a team that values both technical excellence and user impact
* Learn about our Operating Tenets here: The PushPress Way
**Benefits \&amp; Perks**
* Equity Incentive Plan
* Flexible Paid Time Off (and Public Holidays)
* Health Care Plan (Medical, Dental \&amp; Vision)
* Retirement Plan (Company Sponsored 401k with Match)
* Life Insurance
* Family Leave (Maternity, Paternity)
* Work From Home Stipend
* Wellness Stipend
 PushPress is dedicated to fostering an inclusive and dynamic workplace. We’re all about leveling up, and that means we don’t tolerate any form of discrimination or harassment. We’re committed to providing equal opportunities, regardless of race, color, religion, sex, sexual orientation, gender identity or expression, pregnancy, age, national origin, disability, genetic info, veteran status, or any other legally protected characteristic.
 At PushPress, we’re dedicated to helping both our technology and our team reach peak performance. Whether it’s with your proactive approach, eye for detail, or drive to make a meaningful impact, we’d love to hear from you. At PushPress, we’re all about pushing boundaries and achieving new personal bests—come join us and be part of our fitness\-tech journey!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0">
      <c r="A50" t="inlineStr">
        <is>
          <t>li-4350218005</t>
        </is>
      </c>
      <c r="B50" t="inlineStr">
        <is>
          <t>(USA) Senior, Software Engineer</t>
        </is>
      </c>
      <c r="C50" t="inlineStr">
        <is>
          <t>Sam's Club</t>
        </is>
      </c>
      <c r="D50" t="inlineStr">
        <is>
          <t>linkedin</t>
        </is>
      </c>
      <c r="E50" t="inlineStr"/>
      <c r="F50" t="inlineStr"/>
      <c r="G50" t="inlineStr">
        <is>
          <t>Sunnyvale, CA</t>
        </is>
      </c>
      <c r="H50" t="inlineStr"/>
      <c r="I50" t="inlineStr">
        <is>
          <t>Position Summary...As a Senior Software Engineer, you will be part of Sam's Eligibility \&amp; Post Enrichment team contributing to various catalog and gen AI initiatives for Digital Merch Org
 "IMMIGRATION SPONSORSHIP OR TRANSFERS ARE NOT AVAILABLE FOR THIS ROLE"
 What you'll do...
* Architect, design, and develop scalable backend services and APIs to support complex digital experiences.
* Collaborate with cross\-functional teams across domains, including product, frontend, data, and UX teams, to design solutions that enhance the customer journey.
* Lead technical initiatives, including solution architecture, performance tuning, and system scalability enhancements.
* Optimize application performance and ensure high code quality
* Mentor junior engineers and drive knowledge sharing within the team.
* Advocate for best practices in services architecture, security, and testing
* Implement and maintain secure, high\-performance, and fault\-tolerant distributed systems.
* Develop reusable frameworks and components for backend service integrations
* Maintain high code quality through automated testing, continuous integration, and code reviews.
* Troubleshoot and resolve production issues across complex services.
* Build scalable and reliable systems that handle large volumes of traffic and data
* Write clean, efficient, and maintainable code while following engineering best practices.
* Debug and troubleshoot issues in distributed systems across environments.
* Contribute to performance optimization, security improvements, and system resilience.
* Participate in code reviews and provide constructive feedback to peers.
* Leads the discovery phase of medium to large projects to come up with high level design by partnering with the product management, project management, business and user experience teams; and obtaining cross\-function approvals.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What you’ll bring:
* .Hands on development on building n\-tier applications using RESTful Services, Java/J2EE, JavaScript, Python, NoSql.
* Working knowledge of one or more cloud technologies such as AZURE, GCP, OpenStack
* Work with a team of highly skilled developers and testing professionals to deliver high quality test automation and products.
* Experience in internet\-scale distributed technologies (e.g. Solr, Kafka, Mem Cache, etc.)
* Relevant experience with relational and no\-sql databases (e.g. MySQL, Oracle, Cassandra, etc.)
* Advanced knowledge of complex software design, distributed system design, design patterns, data structures and algorithms.
* Analyze test results, triage tickets, and work closely with team members to debug and reproduce reported issues.
* Focus on automation first, with a goal of 100% automated test cases consisting of fast, reliable, API\-level tests that can be incorporated into a Continuous Integration environment.
* Experience and exposure working in a 24/7 operations support environment.
* Advocate for testability and quality throughout the entire feature development cycle
* Experience with distributed version control like Git or similar
* Familiarity with continuous integration/deployment processes and tools such as Jenkins and Maven.
* Strong experience interfacing with Web Services platforms
* Strong expertise in development of scalable cloud native microservices
* Strong expertise in designing and building APIs
* Strong expertise with Cloud Technologies like Azure and/or GCP
* Strong Expertise in Java, Scala, Object Oriented \&amp; Functional Programming, Design Patterns
* Experience in all areas of engineering including DevOps, Chaos Engineering, SRE, and on\-call rotations to assure service availability and operational excellence.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**Benefits**
 For information about benefits and eligibility, see One.Walmart.
 The annual salary range for this position is $117,000\.00 \- $234,000\.00 Additional compensation includes annual or quarterly performance bonuses. Additional compensation for certain positions may also include Regional Pay Zone (RPZ) (based on location).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or related field and 2 years' experience in software engineering or related field
 Primary Location...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51">
      <c r="A51" t="inlineStr">
        <is>
          <t>li-4345436878</t>
        </is>
      </c>
      <c r="B51" t="inlineStr">
        <is>
          <t>Software Engineer, Machine Learning</t>
        </is>
      </c>
      <c r="C51" t="inlineStr">
        <is>
          <t>Meta</t>
        </is>
      </c>
      <c r="D51" t="inlineStr">
        <is>
          <t>linkedin</t>
        </is>
      </c>
      <c r="E51" t="inlineStr"/>
      <c r="F51" t="inlineStr"/>
      <c r="G51" t="inlineStr">
        <is>
          <t>Mountain View, CA</t>
        </is>
      </c>
      <c r="H51" t="inlineStr"/>
      <c r="I51"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grasp of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2">
      <c r="A52" t="inlineStr">
        <is>
          <t>li-4334750075</t>
        </is>
      </c>
      <c r="B52" t="inlineStr">
        <is>
          <t>Software Engineer (Mobile Focus)</t>
        </is>
      </c>
      <c r="C52" t="inlineStr">
        <is>
          <t>DataAnnotation</t>
        </is>
      </c>
      <c r="D52" t="inlineStr">
        <is>
          <t>linkedin</t>
        </is>
      </c>
      <c r="E52" t="inlineStr"/>
      <c r="F52" t="inlineStr"/>
      <c r="G52" t="inlineStr">
        <is>
          <t>New Mexico, United States</t>
        </is>
      </c>
      <c r="H52" t="inlineStr"/>
      <c r="I52"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53">
      <c r="A53" t="inlineStr">
        <is>
          <t>li-4334720167</t>
        </is>
      </c>
      <c r="B53" t="inlineStr">
        <is>
          <t>Software Engineer (Mobile Focus)</t>
        </is>
      </c>
      <c r="C53" t="inlineStr">
        <is>
          <t>DataAnnotation</t>
        </is>
      </c>
      <c r="D53" t="inlineStr">
        <is>
          <t>linkedin</t>
        </is>
      </c>
      <c r="E53" t="inlineStr"/>
      <c r="F53" t="inlineStr"/>
      <c r="G53" t="inlineStr">
        <is>
          <t>Connecticut, United States</t>
        </is>
      </c>
      <c r="H53" t="inlineStr"/>
      <c r="I53"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54">
      <c r="A54" t="inlineStr">
        <is>
          <t>li-4212874321</t>
        </is>
      </c>
      <c r="B54" t="inlineStr">
        <is>
          <t>Staff Software Engineer, Middleware, Autonomy</t>
        </is>
      </c>
      <c r="C54" t="inlineStr">
        <is>
          <t>Rivian</t>
        </is>
      </c>
      <c r="D54" t="inlineStr">
        <is>
          <t>linkedin</t>
        </is>
      </c>
      <c r="E54" t="inlineStr"/>
      <c r="F54" t="inlineStr"/>
      <c r="G54" t="inlineStr">
        <is>
          <t>Palo Alto, CA</t>
        </is>
      </c>
      <c r="H54" t="inlineStr"/>
      <c r="I54"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a Software Engineer specializing in safety\-critical self\-driving middleware, you will play a vital role in the design, development, and deployment of software that underpins essential self\-driving features. Your responsibilities encompass a range of technical tasks, from software development to architecture analysis, all contributing to the successful implementation of robust and reliable self\-driving solutions.
**Responsibilities**
* Design, develop, and deploy software within hardware abstraction middleware to enable safety\-critical self\-driving features
* Develop software working on Linux as well as real\-time operating systems (QNX, FreeRTOS, etc.)
* Develop software working on a distributed and heterogeneous system (multiple processors/HW engines)
* Develop necessary tools to support development, debugging, and testing
* Assist in software\-design and code reviews while assisting other developers on technical issues, design choices, and decision making
* Analysis of requirements, architecture, design, development, code review, quality assurance, and deployment of entire software engineering life cycle
* Coordinate with application development and cross\-functional teams to enable and support middleware integration
**Qualifications**
* B.S. / M.S. in Computer Science, Engineering, or a related field
* 8\+ years of experience developing production\-grade software from requirements gathering
* Strong C\+\+ programming skills
* Familiarity with at least one scripting language (for example Bash, Lua, Python)
* Experience in automotive or robotics software development
* Experience in software development for x86\_64 and ARM architectures
* Experience working on heterogeneous systems with various types of hardware accelerators (GPU, ISP, Encoder, etc.)
* Experience using and/or building libraries for hardware accelerators (CUDA, TensorRT, OpenCL, etc.)
* Experience contributing to middleware and/or building abstraction layers
* Familiar with OpenCV, OpenVX, or relevant acceleration frameworks in perception applications
* Experience contributing to software tooling (for code auto\-generation, test automation, fault injection, etc.)
* Good team player with great communication skills to drive cross\-functional efforts in a fast\-paced development environment
* Passionately motivated to take ideas from R\&amp;D phase to a product
* Software Development life cycle experience: from requirements gathering through to implementation and maintenance.
**Pay Disclosure**
 Salary Range for California Based Applicants: \[$206,000\.00 \- $258,000\.00] (actual compensation will be determined based on experience, location, and other factors permitted by law).
**Benefits Summary** 
 : Rivian provides robust medical/Rx, dental and vision insurance packages for full\-time employees, their spouse or domestic partner, and children up to age 26\. Coverage is effective on the first day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55">
      <c r="A55" t="inlineStr">
        <is>
          <t>li-4334559921</t>
        </is>
      </c>
      <c r="B55" t="inlineStr">
        <is>
          <t>Software Engineer (Mobile Focus)</t>
        </is>
      </c>
      <c r="C55" t="inlineStr">
        <is>
          <t>DataAnnotation</t>
        </is>
      </c>
      <c r="D55" t="inlineStr">
        <is>
          <t>linkedin</t>
        </is>
      </c>
      <c r="E55" t="inlineStr"/>
      <c r="F55" t="inlineStr"/>
      <c r="G55" t="inlineStr">
        <is>
          <t>Nebraska, United States</t>
        </is>
      </c>
      <c r="H55" t="inlineStr"/>
      <c r="I55"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56">
      <c r="A56" t="inlineStr">
        <is>
          <t>li-4316042952</t>
        </is>
      </c>
      <c r="B56" t="inlineStr">
        <is>
          <t>Senior Backend Software Developer - AI Solutions (Remote US)</t>
        </is>
      </c>
      <c r="C56" t="inlineStr">
        <is>
          <t>Revvity</t>
        </is>
      </c>
      <c r="D56" t="inlineStr">
        <is>
          <t>linkedin</t>
        </is>
      </c>
      <c r="E56" t="inlineStr"/>
      <c r="F56" t="inlineStr"/>
      <c r="G56" t="inlineStr">
        <is>
          <t>Boston, MA</t>
        </is>
      </c>
      <c r="H56" t="inlineStr"/>
      <c r="I56" t="inlineStr">
        <is>
          <t>Revvity Signals makes market\-leading software that empowers scientists across life science R\&amp;D, clinical research, and specialty chemicals to make better medicines and products, faster. Our flagship offering is the SaaS Signals Research Platform that provides knowledge capture, collaboration, analysis and visualization tools across the full depth and breadth of scientific discovery workflows. The viral adoption of our software is accelerating innovation, expediting drug development for a healthier world, and facilitating the creation of sustainable materials.
 Join us as a
 **Senior Backend Software Developer \- AI Solutions** 
 , where you'll play a pivotal role in integrating advanced AI capabilities into our Signals Notebook product. This is your chance to shape the future of AI\-driven tools in a collaborative and innovative environment.
**Key Responsibilities**
* Develop and integrate AI\-driven features in Signals Notebook that enhance user experience and functionality
* Collaborate with cross\-functional teams to identify and prioritize AI opportunities
* Ensure the reliability, security, and performance of AI features
* Stay ahead of industry trends and bring innovative AI solutions to the table
* Craft well\-documented, reusable, and testable code
* Work with cloud\-based services and technologies to optimize scalability and performance
**Basic Qualifications:**
* 3\-5\+ years of experience using and implementing AI solutions
* 3\-5\+ years of professional software engineering experience
* 3\-5\+ years of experience with Java programming
* 3\-5\+ years of experience building Web Services and RESTful APIs
**Preferred Qualifications:**
* Bachelor’s degree in computer science or a related field
* Experience with Reactive Programming (specifically with vert.x)
* Exposure to CI/CD practices (Jenkins, GitHub)
* Experience with JDBC in transactional applications, preferably using PostgreSQL or any relational database management system
* Strong understanding of performance optimization for database queries and inserts/updates
* In\-depth experience with structured software development methodologies, including design, development, and testing in Agile environments
* Strong teamwork orientation and the ability to foster collaboration across teams
* Excellent work ethic, a strong sense of ownership, and a commitment to delivering quality results
* Entrepreneurial mindset, with a creative and innovative approach to problem\-solving
* Experience in life sciences or related fields is a plus
*The working hours for this position will be EST.*
*Candidates must have the capability to Interview In\-Person at our Headquarters in Waltham, MA USA.*
*Please include a valid LinkedIn profile and added work links, to your resume.*
*Fraud Prevention Notice: We are committed to a fair and transparent hiring process. All applicants must provide accurate and truthful information. Any use of impersonation, falsified identities, or AI\-generated deepfakes will result in immediate disqualification from consideration. We conduct identity verification as part of our hiring process to protect both candidates and our organization.*
*The base salary range for this full\-time position is* 
 $126,000 \- $178,000
 *. This range reflects the minimum and maximum target for a new hire in this position. The base pay actually offered to the successful candidate will take into account internal equity, work location, and additional factors, including job\-related skills, experience, and relevant education or training. Your recruiter can share more about the specific salary range for your preferred location during the hiring process.*
*Please note that base pay is only one part of our total compensation package and is determined within a range. This range allows for the successful candidate to have an opportunity to progress within the position and develop at our company. This base pay range does not take into account bonuses, equity, or other benefits which may be applicable and are dependent on the level and position offered.*
**What do we offer?**
 We provide competitive and comprehensive benefits to our employees. Below are some highlights of our benefits:
* Medical, Dental, and Vision Insurance Options
* Life and Disability Insurance
* Paid Time\-Off
* Parental Benefits
* Compassionate Care Leave
* 401k with Company Match
* Employee Stock Purchase Plan
 Learn more about Revvity’s benefits by visiting our Bswift page. Log\-In instructions are provided towards the bottom of the Bswift page.
*For benefit\-eligible roles only. Part\-time and temporary roles may not be eligible for all benefits listed. Please reach out to your recruiter for more information.*</t>
        </is>
      </c>
    </row>
    <row r="57">
      <c r="A57" t="inlineStr">
        <is>
          <t>li-4345501614</t>
        </is>
      </c>
      <c r="B57" t="inlineStr">
        <is>
          <t>Staff Software Engineer, Backend</t>
        </is>
      </c>
      <c r="C57" t="inlineStr">
        <is>
          <t>Intuit</t>
        </is>
      </c>
      <c r="D57" t="inlineStr">
        <is>
          <t>linkedin</t>
        </is>
      </c>
      <c r="E57" t="inlineStr"/>
      <c r="F57" t="inlineStr"/>
      <c r="G57" t="inlineStr">
        <is>
          <t>Mountain View, CA</t>
        </is>
      </c>
      <c r="H57" t="inlineStr"/>
      <c r="I57" t="inlineStr">
        <is>
          <t>**Overview**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Drive the design and implementation of durable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Work with global, cross\-functional teams across time zones.
* Communicate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Intuit provides a competitive compensation package with a strong pay for performance rewards approach. The expected base pay range for this position is Bay Area California $197,000\-266,500, New York $197,000 \-$266,500, San Diego $184,500\-$250,000, Atlanta $176,000\-$238,000\.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pay equity for employees, Intuit conducts regular comparisons across categories of ethnicity and gender.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Solid knowledge of algorithms and design patterns.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
 Southern California $ 184,500\- 250,000
 New York $ 197,000\- 266,500</t>
        </is>
      </c>
    </row>
    <row r="58">
      <c r="A58" t="inlineStr">
        <is>
          <t>li-4374978816</t>
        </is>
      </c>
      <c r="B58" t="inlineStr">
        <is>
          <t>Senior Software Engineer, Backend</t>
        </is>
      </c>
      <c r="C58" t="inlineStr">
        <is>
          <t>RemoteHunter</t>
        </is>
      </c>
      <c r="D58" t="inlineStr">
        <is>
          <t>linkedin</t>
        </is>
      </c>
      <c r="E58" t="inlineStr"/>
      <c r="F58" t="inlineStr"/>
      <c r="G58" t="inlineStr"/>
      <c r="H58" t="inlineStr"/>
      <c r="I58"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9">
      <c r="A59" t="inlineStr">
        <is>
          <t>li-4345161911</t>
        </is>
      </c>
      <c r="B59" t="inlineStr">
        <is>
          <t>Staff Software Engineer - Backend</t>
        </is>
      </c>
      <c r="C59" t="inlineStr">
        <is>
          <t>Intuit</t>
        </is>
      </c>
      <c r="D59" t="inlineStr">
        <is>
          <t>linkedin</t>
        </is>
      </c>
      <c r="E59" t="inlineStr"/>
      <c r="F59" t="inlineStr"/>
      <c r="G59" t="inlineStr">
        <is>
          <t>New York, NY</t>
        </is>
      </c>
      <c r="H59" t="inlineStr"/>
      <c r="I59" t="inlineStr">
        <is>
          <t>**Overview**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Drive the design and implementation of durable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Work with global, cross\-functional teams across time zones.
* Communicate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Solid knowledge of algorithms and design patterns.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$ 197,000\- 266,500</t>
        </is>
      </c>
    </row>
    <row r="60">
      <c r="A60" t="inlineStr">
        <is>
          <t>li-4334609327</t>
        </is>
      </c>
      <c r="B60" t="inlineStr">
        <is>
          <t>Software Engineer (Mobile Focus)</t>
        </is>
      </c>
      <c r="C60" t="inlineStr">
        <is>
          <t>DataAnnotation</t>
        </is>
      </c>
      <c r="D60" t="inlineStr">
        <is>
          <t>linkedin</t>
        </is>
      </c>
      <c r="E60" t="inlineStr"/>
      <c r="F60" t="inlineStr"/>
      <c r="G60" t="inlineStr">
        <is>
          <t>Vermont, United States</t>
        </is>
      </c>
      <c r="H60" t="inlineStr"/>
      <c r="I60"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61">
      <c r="A61" t="inlineStr">
        <is>
          <t>li-4259439741</t>
        </is>
      </c>
      <c r="B61" t="inlineStr">
        <is>
          <t>Principal Software Developer</t>
        </is>
      </c>
      <c r="C61" t="inlineStr">
        <is>
          <t>Oracle</t>
        </is>
      </c>
      <c r="D61" t="inlineStr">
        <is>
          <t>linkedin</t>
        </is>
      </c>
      <c r="E61" t="inlineStr"/>
      <c r="F61" t="inlineStr"/>
      <c r="G61" t="inlineStr">
        <is>
          <t>Nashville, TN</t>
        </is>
      </c>
      <c r="H61" t="inlineStr"/>
      <c r="I61" t="inlineStr">
        <is>
          <t>**Job Description**
 As a member of the software engineering division, you will apply intermediate to advanced knowledge of software architecture to perform software development tasks associated with developing, debugging, or designing software applications or operating systems according to provided design specifications. Build enhancements within an existing software architecture and suggest improvements to the architecture. Work involves problem solving, understanding, and applying company policies and processes. 6\+ years of software engineering or related experience.
 Career Level \- IC4
**Responsibilities**
**Basic Qualifications:**
* Computer Science fundamentals in object\-oriented design, data structures, \&amp; algorithm design, etc.
* 6\+ years of total experience with software development/ programming experience with at least one object\-oriented coding language such as Java, Python, C\+\+, C\#, etc.
* Systematic problem\-solving approach, strong communication skills, a sense of ownership, and drive.
* Experienced in building highly available and scalable distributed services.
* Experienced with microservice design patterns.
* Exhibits behaviors consistent with OCI values.
 Relocation is available to: Nashville, Tennessee \&amp; Austin, TX.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2">
      <c r="A62" t="inlineStr">
        <is>
          <t>li-4334690265</t>
        </is>
      </c>
      <c r="B62" t="inlineStr">
        <is>
          <t>Android Software Engineer</t>
        </is>
      </c>
      <c r="C62" t="inlineStr">
        <is>
          <t>DataAnnotation</t>
        </is>
      </c>
      <c r="D62" t="inlineStr">
        <is>
          <t>linkedin</t>
        </is>
      </c>
      <c r="E62" t="inlineStr"/>
      <c r="F62" t="inlineStr"/>
      <c r="G62" t="inlineStr">
        <is>
          <t>Rhode Island, United States</t>
        </is>
      </c>
      <c r="H62" t="inlineStr"/>
      <c r="I62"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63">
      <c r="A63" t="inlineStr">
        <is>
          <t>li-4314863768</t>
        </is>
      </c>
      <c r="B63" t="inlineStr">
        <is>
          <t>Staff Software Engineer, Trading Platforms</t>
        </is>
      </c>
      <c r="C63" t="inlineStr">
        <is>
          <t>The Voleon Group</t>
        </is>
      </c>
      <c r="D63" t="inlineStr">
        <is>
          <t>linkedin</t>
        </is>
      </c>
      <c r="E63" t="inlineStr"/>
      <c r="F63" t="inlineStr"/>
      <c r="G63" t="inlineStr">
        <is>
          <t>New York, NY</t>
        </is>
      </c>
      <c r="H63" t="inlineStr"/>
      <c r="I63"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As a Staff Software Engineer on our Trading Platforms Engineering team, you will be developing the company's production trading systems and the data pipelines that drive our machine learning in both production and research. You will be expected to work closely with both our finance and research teams to contribute to a platform that supports a diverse set of requirements and complex trading behaviors.
**Your Team**
 We look for brilliant people with a passion for solving problems through innovation and engineering fundamentals. You’ll work in a collaborative environment that encourages creative thinking and efficient implementation. We embrace experimentation. You’ll work alongside experienced engineers recruited from leading technology companies and universities. You and your team will collaborate closely with top machine learning researchers.
 Your colleagues will include internationally recognized experts in artificial intelligence and machine learning research as well as highly experienced finance and technology professionals. The people who shape our company come from other backgrounds, including concert music performances, humanitarian aid, opera singing, sports writing, and BMX racing. You will be part of a team that loves to succeed together.
 In addition to our enriching and collegial working environment, we offer highly competitive compensation and benefits packages, technology talks by our experts, a beautiful modern office, daily catered lunches, and more.
**Responsibilities**
* Design real\-time distributed trading systems that place orders across a global set of markets and asset classes (Go / C\+\+)
* Build and optimize large\-scale data infrastructure and stream processing systems for historical and real\-time machine learning feature pipelines (Python/Airflow/Go/beam)
* Own observability and remediation tooling used to analyze trading performance and risk (Go / Python / React)
* Integrate with new assets and markets and drive clarity on the resulting requirements
* Improve the resilience and performance of our trading systems
* Develop tooling to integrate data from diverse vendors, unifying symbol mappings for data consistency
* Lead company spanning complex projects. Collaborate across research, legal, trading, finance operations data, and infra teams to deliver end\-to\-end trading systems
* Mentor and develop other engineers on the team, and share your practices and knowledge with the team and company
**Requirements**
* Computer Science Degree or equivalent experience
* 7\+ years of software engineering experience building high\-performance systems
* Experience operating and scaling mission\-critical, large\-scale production systems in languages such as Python, Go and C\+\+
* Excellent communication and project management skills in complex technical domains
* Track record mentoring engineers and leading technical direction
**Preferred Qualifications**
* Expertise in building and optimizing data pipelines (e.g., Apache Airflow, Spark, Kafka)
* Experience with profiling and performance optimizations on distributed systems. (Go / C\+\+)
* Exposure to modern Python data science tooling. (pandas, polars, dask, duckdb etc)
**Compensation**
 The base salary range for this position is $270,000 to $300,000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$15,000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64">
      <c r="A64" t="inlineStr">
        <is>
          <t>li-4345291727</t>
        </is>
      </c>
      <c r="B64" t="inlineStr">
        <is>
          <t>Principal Software Engineer</t>
        </is>
      </c>
      <c r="C64" t="inlineStr">
        <is>
          <t>Intuit</t>
        </is>
      </c>
      <c r="D64" t="inlineStr">
        <is>
          <t>linkedin</t>
        </is>
      </c>
      <c r="E64" t="inlineStr"/>
      <c r="F64" t="inlineStr"/>
      <c r="G64" t="inlineStr">
        <is>
          <t>Mountain View, CA</t>
        </is>
      </c>
      <c r="H64" t="inlineStr"/>
      <c r="I64" t="inlineStr">
        <is>
          <t>**Overview**
 Come join Intuit as a Principal Software Engineer and help us power prosperity around the world. We are looking for engineers that love to take on new challenges, solve tough problems, and have deep empathy for our customers. You’ll work with a small group of passionate engineers, product managers and designers.
*Competitive relocation package included for qualified candidates.*
**Responsibilities**
* Drives velocity in the organization by accelerating customer, business, and technology outcomes by identifying and driving key opportunities across the company.
* Drives significant technology initiatives end\-to\-end, including horizontal layers of the architecture.
* Understands customer behaviors and partners with cross\-functional partners to influence and drive end\-to\-end solutions for customer problems.
* Drives design and implementation of durable software solutions that will solve critical customer problems in a fast\-paced environment.
* Executes with a boundaryless mindset and contributes to solutions outsideof their primary area of ownership.
* Knowledge of building AI native applications
+ Guides the applicability of AI to customer problems through a deep understanding of the value and limitations of AI technologies.
+ Understands evaluation tools to validate and measure the accuracy of solutions.
+ High\-level understanding of how AI models work, the different types of AI models that exist, and their pros and cons.
+ Understanding of the latest tools and technologies that apply AI to real\-world applications.
* Creates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**Team / Collaboration**
* Partners with other groups both inside and outside of Intuit for cross\-functional design, development, and integration.
* Works with cross\-functional team members from Architecture, Product Management, and Operations to design, develop, test, and release features.
**Community**
* Contributes to standards, patterns, and best practices that improve the engineering community.
* Provides perspective on leading industry trends, recommendations on new and emerging technologies, technology prototypes, patent proposals, and engineering process improvements.
**Qualifications**
* Ability to drive velocity in a highly matrixed environment, partnering with numerous stakeholders.
* 10\+ years of experience developing systems/software for large business environments.
* 7\+ years of experience designing complex distributed systems, management products, or business applications.
* Full\-stack development experience with AI technologies/tools and apply it to user experiences or backend solutions.
* Experience with AI technologies like SageMaker, Vert.x, LangChain, Large Language Models, Prompt Engineering, DialogFlow, Python.
* Experience with at least one of the following:
+ Front\-end technologies like React, Angular, SwiftUI (iOS), Kotlin (Android)
+ Back\-end technologies like Java, Typescript, Spring, Express (NodeJS)
* Prior working experience in a cloud computing environment like AWS/GCP is highly desired.
* Prior experience working in teams that have built AI native applications for 1\+ years.
* BS/MS in Computer Science or related area.
**Team / Leadership Qualifications**
* Team player possessing strong analytical, problem\-solving, and communication skills.
* Strong mentoring skills. Able to influence and communicate effectively with both technical and non\-technical people.
* Prefers working in a team and collaborates with other cross\-functional partners.
* Ability to work effectively in a fast\-paced, complex technical environment.
* Excellent communication skills. Communicates clearly, succinctly, and persuasively to all levels of employees, customers, and management (including executives).
* "Self\-starter" attitude and the ability to make decisions independently.
* Experience driving for results across cross\-functional teams while maintaining effective working relationships.
* Demonstrated ability to work with global teams across time zones.
*San Francisco Bay area,CA: $254,500 \- $344,000*</t>
        </is>
      </c>
    </row>
    <row r="65">
      <c r="A65" t="inlineStr">
        <is>
          <t>li-4259486501</t>
        </is>
      </c>
      <c r="B65" t="inlineStr">
        <is>
          <t>Software Engineer, Connected Warfare</t>
        </is>
      </c>
      <c r="C65" t="inlineStr">
        <is>
          <t>Anduril Industries</t>
        </is>
      </c>
      <c r="D65" t="inlineStr">
        <is>
          <t>linkedin</t>
        </is>
      </c>
      <c r="E65" t="inlineStr"/>
      <c r="F65" t="inlineStr"/>
      <c r="G65" t="inlineStr">
        <is>
          <t>Costa Mesa, CA</t>
        </is>
      </c>
      <c r="H65" t="inlineStr"/>
      <c r="I6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Connected Warfare division builds systems to support global command and control missions. We create joint, time sensitive, multi domain, ubiquitous, connected mesh ecosystems. Our ecosystem enables connected warfare with disproportional impact by connecting every robot, human, and sensor in every domain, bringing together hundreds of thousands of end points across the globe. We are the substrate that provides the source of truth for time sensitive decision, effectively transforming the way that militaries close kills chains and enable mission autonomy.
 The Menace Platform group is developing a first of it’s kind Platform built for the tactical edge, where connectivity is contested, latency costs lives, and resilience defines victory. Built on Anduril’s field\-proven Menace and Voyager systems, and powered by the company’s Lattice orchestration framework and distributed Fabric and Data Mesh, the Menace Platform allows warfighters, allies, and partners to deploy applications, share data, and make decisions at machine speed—even when disconnected.
 As a Software Engineer in the Menace Platform group, you will be responsible for solving novel problems aligned with the goal of creating the next generation distributed data layer and mesh ecosystem for the United States and its allies. You will build the foundation that supports this mission. We spend time thinking critically and designing intentionally against what the system’s end state needs to look like while making pragmatic tradeoffs to deliver against customers’ immediate needs. We keep the mission top\-of\-mind while making sound engineering decisions to deliver on\-time, high quality software and pre\-emptively meet the challenges of the future.
**What You’ll Do**
* Own software spanning Menace Platform: mesh platform, data interfaces, and release management
* Deliver well architected systems through clear interfaces across components, code reviews, design reviews and modern software engineering practices.
* Champion test\-ability, portability, monitoring, scalability, reliability, and maintainability as core parts of software delivery.
* Generate software solutions from problem definition and solution design, through to implementation and delivery to customers
* Collaborate across multiple teams to plan, build, and test complex functionality
* Triage issues, root cause failures, and coordinate next\-steps
* Travel up to 10% of time to collaborate with teammates and understand real world operating conditions
**Required Qualifications**
* 3\+ years experience designing and developing software
* A bias towards rapid delivery and iteration, extreme ownership, and strong opinions with low ego
* Ability to quickly understand and navigate complex systems and established code bases
* A desire to work on critical software that has a real\-world impact
* A bias towards rapid delivery and iteration, extreme ownership, and strong opinions with low ego
* Eligible to obtain and maintain an active U.S. Top Secret security clearance
**Preferred Qualifications**
* Experience designing APIs for use in distributed systems
* Experience building modeling and simulation environments for distributed systems operating in non\-standard networking conditions
* Familiarity with modern build and deployment tooling (e.g. NixOS, Terraform)
* Familiarity with industry standard cloud platforms (AWS, Azure) and software infrastructure fundamentals (networking, security, distributed systems)
* A deep, demonstrated understanding of how computers and networks work, from a single desktop to a multi\-cluster cloud node
* Professional software development lifecycle experience using tools such as version control, CICD systems, etc.
* Familiarity with industry standard monitoring, logging, and data management tools and best practices
 US Salary Range
 $129,000—$292,000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66">
      <c r="A66" t="inlineStr">
        <is>
          <t>li-4334631037</t>
        </is>
      </c>
      <c r="B66" t="inlineStr">
        <is>
          <t>Mobile Software Engineer</t>
        </is>
      </c>
      <c r="C66" t="inlineStr">
        <is>
          <t>DataAnnotation</t>
        </is>
      </c>
      <c r="D66" t="inlineStr">
        <is>
          <t>linkedin</t>
        </is>
      </c>
      <c r="E66" t="inlineStr"/>
      <c r="F66" t="inlineStr"/>
      <c r="G66" t="inlineStr">
        <is>
          <t>Hawaii, United States</t>
        </is>
      </c>
      <c r="H66" t="inlineStr"/>
      <c r="I66"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67">
      <c r="A67" t="inlineStr">
        <is>
          <t>li-4376364772</t>
        </is>
      </c>
      <c r="B67" t="inlineStr">
        <is>
          <t>Full Stack Engineer</t>
        </is>
      </c>
      <c r="C67" t="inlineStr">
        <is>
          <t>Calyptus</t>
        </is>
      </c>
      <c r="D67" t="inlineStr">
        <is>
          <t>linkedin</t>
        </is>
      </c>
      <c r="E67" t="inlineStr"/>
      <c r="F67" t="inlineStr"/>
      <c r="G67" t="inlineStr">
        <is>
          <t>California, United States</t>
        </is>
      </c>
      <c r="H67" t="inlineStr"/>
      <c r="I67"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68">
      <c r="A68" t="inlineStr">
        <is>
          <t>li-4334710197</t>
        </is>
      </c>
      <c r="B68" t="inlineStr">
        <is>
          <t>Software Engineer (Mobile Focus)</t>
        </is>
      </c>
      <c r="C68" t="inlineStr">
        <is>
          <t>DataAnnotation</t>
        </is>
      </c>
      <c r="D68" t="inlineStr">
        <is>
          <t>linkedin</t>
        </is>
      </c>
      <c r="E68" t="inlineStr"/>
      <c r="F68" t="inlineStr"/>
      <c r="G68" t="inlineStr">
        <is>
          <t>Tennessee, United States</t>
        </is>
      </c>
      <c r="H68" t="inlineStr"/>
      <c r="I68"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69">
      <c r="A69" t="inlineStr">
        <is>
          <t>li-4324609064</t>
        </is>
      </c>
      <c r="B69" t="inlineStr">
        <is>
          <t>Member of Technical Staff - Software Engineer</t>
        </is>
      </c>
      <c r="C69" t="inlineStr">
        <is>
          <t>Reflection AI</t>
        </is>
      </c>
      <c r="D69" t="inlineStr">
        <is>
          <t>linkedin</t>
        </is>
      </c>
      <c r="E69" t="inlineStr"/>
      <c r="F69" t="inlineStr"/>
      <c r="G69" t="inlineStr">
        <is>
          <t>New York, NY</t>
        </is>
      </c>
      <c r="H69" t="inlineStr"/>
      <c r="I69" t="inlineStr">
        <is>
          <t>**Our Mission**
 Reflection’s mission is to
 **build open superintelligence and make it accessible to all** 
 .
 We’re developing open weight models for individuals, agents, enterprises, and even nation states. Our team of AI researchers and company builders come from DeepMind, OpenAI, Google Brain, Meta, Character.AI, Anthropic and beyond.
**About The Role**
* Build the core software systems and tools that power our research, training, and production environments.
* Design and implement reliable, scalable, and secure services to support model development, deployment, and evaluation.
* Develop APIs, SDKs, and internal platforms that enable rapid experimentation and high\-velocity iteration.
* Drive engineering excellence and create the foundation for our next generation of AI models.
* Provide the foundational layers that unify data, compute, and workflow management across model development.
**About You**
* Strong software engineering background with experience shipping production\-grade systems.
* Experience designing APIs, services, or developer platforms that handle large\-scale data or compute.
* Comfortable navigating complex codebases, debugging hard problems, and optimizing for reliability and speed.
* Thrive in a high\-agency, fast\-paced startup environment; bias toward action and impact.
* Excited about zero to one challenges, building new systems rather than maintaining legacy ones.
* Collaborative, clear communicator, and comfortable working across research and infra boundaries.
* Motivated by creating the software backbone for the world’s most capable open\-weight AI systems.
**What We Offer**
 We believe that to build superintelligence that is truly open, you need to start at the foundation. Joining Reflection means building from the ground up as part of a small talent\-dense team. You will help define our future as a company, and help define the frontier of open foundational models.
 We want you to do the most impactful work of your career with the confidence that you and the people you care about most are supported.
* Top\-tier compensation: Salary and equity structured to recognize and retain the best talent globally.
* Health \&amp; wellness: Comprehensive medical, dental, vision, life, and disability insurance.
* Life \&amp; family: Fully paid parental leave for all new parents, including adoptive and surrogate journeys. Financial support for family planning.
* Benefits \&amp; balance: paid time off when you need it, relocation support, and more perks that optimize your time.
* Opportunities to connect with teammates: lunch and dinner are provided daily. We have regular off\-sites and team celebrations.</t>
        </is>
      </c>
    </row>
    <row r="70">
      <c r="A70" t="inlineStr">
        <is>
          <t>li-4334609297</t>
        </is>
      </c>
      <c r="B70" t="inlineStr">
        <is>
          <t>Mobile Software Engineer</t>
        </is>
      </c>
      <c r="C70" t="inlineStr">
        <is>
          <t>DataAnnotation</t>
        </is>
      </c>
      <c r="D70" t="inlineStr">
        <is>
          <t>linkedin</t>
        </is>
      </c>
      <c r="E70" t="inlineStr"/>
      <c r="F70" t="inlineStr"/>
      <c r="G70" t="inlineStr">
        <is>
          <t>Mississippi, United States</t>
        </is>
      </c>
      <c r="H70" t="inlineStr"/>
      <c r="I70"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71">
      <c r="A71" t="inlineStr">
        <is>
          <t>li-4328197028</t>
        </is>
      </c>
      <c r="B71" t="inlineStr">
        <is>
          <t>Senior Software Engineer</t>
        </is>
      </c>
      <c r="C71" t="inlineStr">
        <is>
          <t>Cisco</t>
        </is>
      </c>
      <c r="D71" t="inlineStr">
        <is>
          <t>linkedin</t>
        </is>
      </c>
      <c r="E71" t="inlineStr"/>
      <c r="F71" t="inlineStr"/>
      <c r="G71" t="inlineStr">
        <is>
          <t>Durham, NC</t>
        </is>
      </c>
      <c r="H71" t="inlineStr"/>
      <c r="I71" t="inlineStr">
        <is>
          <t>**Meet the Team**
 Splunk Metadata Catalog (MDC) team is part of the Splunk Platform. We are building Splunk’s Unified Catalog – a single catalog of all Splunk datasets and knowledge objects. We are building a Knowledge Graph that will not only help Splunk users discover their data easily but also help understand that relationships and lineage between different Splunk objects. You will be joining a team that is building a new product with fast paced innovation, cutting edge technology and is central to Cisco Data Fabric vision.
**Your Impact**
 As a Senior Software Engineer on the team, you will:
* Build high level design for multiple features by working in conjunction with technical leaders and architects
* Lead a small set of engineers in development, execution and delivery of above features within Splunk release cycle
* Partner with Product team to ensure that features delivered make significant customer impact
* Be responsible for overall quality of the product by driving Developer Owned Quality mindset within the team
* Mentor and guide junior engineers on the team
**Minimum Qualifications**
* Bachelors \+ 7 years of related experience, or Masters \+ 4 years of related experience, or PhD \+ 1 years of related experience
* Proven track record in building new services / features within a larger product in quick time working with cloud infrastructure services such as AWS/Azure/GCP, Kubernetes, CI/CD, etc.
* Hands\-on professional experience developing and debugging on an object\-oriented language like Golang, C\+\+, Java etc.
* Agile and lean practices that enable CI/CD and a fast\-paced environment for iterative product development
* Strong foundation in data structures, algorithms, software design, and architecture of modern distributed systems
* Highest sense of quality and performance for the products you develop and deliver
**Preferred Qualifications**
* Working experience in graph databases (Neo4j, AWS Neptune, Apache AGE, etc.) and/or building a knowledge graph for data objects/entities
* Strong communication skills that will help navigate your way through working with multiple other teams within the company
* Working knowledge of build products in the Data Catalog space (DataHub, Unity Catalog, Glue, etc.)
* Strong ability to navigate through uncertainty, change and adapt as per the needs of the hour
* Burning desire to learn, adapt and succeed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$137,000\.00 to $200,500\.00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72">
      <c r="A72" t="inlineStr">
        <is>
          <t>li-4315538092</t>
        </is>
      </c>
      <c r="B72" t="inlineStr">
        <is>
          <t>Quantum Applications Software Developer</t>
        </is>
      </c>
      <c r="C72" t="inlineStr">
        <is>
          <t>PsiQuantum</t>
        </is>
      </c>
      <c r="D72" t="inlineStr">
        <is>
          <t>linkedin</t>
        </is>
      </c>
      <c r="E72" t="inlineStr"/>
      <c r="F72" t="inlineStr"/>
      <c r="G72" t="inlineStr">
        <is>
          <t>Palo Alto, CA</t>
        </is>
      </c>
      <c r="H72" t="inlineStr"/>
      <c r="I72" t="inlineStr">
        <is>
          <t>PsiQuantum’s mission is to build the first useful quantum computers—machines capable of delivering the breakthroughs the field has long promised. Since our founding in 2016, our singular focus has been to build and deploy million\-qubit, fault\-tolerant quantum systems.
 Quantum computers harness the laws of quantum mechanics to solve problems that even the most advanced supercomputers or AI systems will never reach. Their impact will span energy, pharmaceuticals, finance, agriculture, transportation, materials, and other foundational industries.
 Our architecture and approach is based on silicon photonics. By leveraging the advanced semiconductor manufacturing industry—including partners like GlobalFoundries—we use the same high\-volume processes that already produce billions of chips for telecom and consumer electronics. Photonics offers natural advantages for scale: photons don’t feel heat, are immune to electromagnetic interference, and integrate with existing cryogenic cooling and standard fiber\-optic infrastructure.
 In 2024, PsiQuantum announced government\-funded projects to support the build\-out of our first utility\-scale quantum computers in Brisbane, Australia, and Chicago, Illinois. These initiatives reflect a growing recognition that quantum computing will be strategically and economically defining—and that now is the time to scale.
 PsiQuantum also develops the algorithms and software needed to make these systems commercially valuable. Our application, software, and industry teams work directly with leading Fortune 500 companies—including Lockheed Martin, Mercedes\-Benz, Boehringer Ingelheim, and Mitsubishi Chemical—to prepare quantum solutions for real\-world impact.
 Quantum computing is not an extension of classical computing. It represents a fundamental shift—and a path to mastering challenges that cannot be solved any other way. The potential is enormous, and we have a clear path to make it real.
 Come join us.
**Job Summary**
 PsiQuantum’s applications team is uniquely focused on algorithms in the fault tolerant regime and is very tightly integrated with quantum architecture development. Within that team, the role of a quantum applications software engineer is to design, build and deploy tools which drive the development of quantum applications for solving the world’s most pressing problems. As a crucial member within the team, a quantum application software engineer’s job is to work closely with quantum applications architects and engineers to develop software toolkits and workflows, without which the team could not do their job. Such tools include (but are not limited to): quantum simulators, quantum resource estimators, quantum circuit compilation, and domain\-specific quantum application integration. This work takes quantum algorithms from concept to reality, may involve close collaboration with external partners on specific use cases, and directly enables the discovery of both new quantum application use\-cases and novel algorithmic techniques.
**Responsibilities**
* Lead the design, development, and deployment of quantum applications software tools to support both internal and external users.
* Maintain, service and upgrade a high\-quality codebase supported by a fast and reliable simulation infrastructure.
* Work closely with internal and external partners and other members of the quantum applications team to design, implement and analyze quantum algorithms for real\-world use cases.
* Assist with full system analysis to evaluate and optimize resource requirements for fault tolerant computations.
* Assist with the optimization of quantum algorithms at the subroutine, circuit, and compiled gate\-set level.
**Experience/Qualifications**
* Graduate degree in Physics, Math, or Computer Science or equivalent required (MSc or PhD).
* Practical experience in quantum computing, programming quantum applications, or quantum circuit compilation.
* 5\+ years professional experience programming and releasing production code in Python, C\+\+, or similar languages.
* Experience with quantum algorithms or compiling in the regime of fault tolerant gates preferred.
* Experience with deployment of code in distributed environments, cloud application development, and RESTful API\-driven architectures.
* A results\-driven “doer”, preferably with experience in a high\-throughput, rapid\-delivery work environment.
* A problem solver, with an analytical mindset.
* Proven team player with an ability to work effectively across departments, sites, and time zones.
* Ability to work independently and contribute in fast\-moving start\-up environment.
 PsiQuantum provides equal employment opportunity for all applicants and employees. PsiQuantum does not unlawfully discriminate on the basis of race, color, religion, sex (including pregnancy, childbirth, or related medical conditions), gender identity, gender expression, national origin, ancestry, citizenship, age, physical or mental disability, military or veteran status, marital status, domestic partner status, sexual orientation, genetic information, or any other basis protected by applicable laws.
**Note: PsiQuantum will only reach out to you using an official PsiQuantum email address and will never ask you for bank account information as part of the interview process. Please report any suspicious activity to** 
**recruiting@psiquantum.com** 
**.**
 We are not accepting unsolicited resumes from employment agencies.
 The ranges below reflect the target ranges for a new hire base salary. One is for the Bay Area (within 50 miles of HQ, Palo Alto), the second one (if applicable) is for elsewhere in the US (beyond 50 miles of HQ, Palo Alto). If there is only one range, it is for the specific location of where the position will be located. Actual compensation may vary outside of these ranges and is dependent on various factors including but not limited to a candidate's qualifications including relevant education and training, competencies, experience, geographic location, and business needs. Base pay is only one part of the total compensation package. Full time roles are eligible for equity and benefits. Base pay is subject to change and may be modified in the future.
 U.S. Base Pay Range
 $140,000—$160,000 USD
 Bay Area Pay Range
 $170,000—$185,000 USD</t>
        </is>
      </c>
    </row>
    <row r="73">
      <c r="A73" t="inlineStr">
        <is>
          <t>li-4376500094</t>
        </is>
      </c>
      <c r="B73" t="inlineStr">
        <is>
          <t>Drone Software Engineer</t>
        </is>
      </c>
      <c r="C73" t="inlineStr">
        <is>
          <t>Dracoe</t>
        </is>
      </c>
      <c r="D73" t="inlineStr">
        <is>
          <t>linkedin</t>
        </is>
      </c>
      <c r="E73" t="inlineStr"/>
      <c r="F73" t="inlineStr"/>
      <c r="G73" t="inlineStr">
        <is>
          <t>Pinehurst, NC</t>
        </is>
      </c>
      <c r="H73" t="inlineStr"/>
      <c r="I73" t="inlineStr">
        <is>
          <t>Drone Software Engineer
**Dracoe HQ / North Carolina** 
**The Workshop** 
**Full Time**
 The Workshop
 The Workshop is where ideas are transformed into capability and problems are solved.
 It’s our engineering hub \- where autonomous systems are conceived, built, tested, and refined to address real operational challenges.
 Spanning the entire UAS ecosystem, our work covers software, platform design, RF, propulsion, and beyond \- all tightly integrated from concept to prototype.
 Our environment is transparent and experimentation\-driven. We encourage rapid iteration, early learning, and constructive challenge, creating space for bold thinking and technical excellence.
 By empowering exceptional engineers to explore, test, and improve without friction, The Workshop consistently delivers smarter, more resilient systems.
 Role
 * You will play a critical role in designing, developing, and delivering the software that supports Dracoe’s UAS platforms.
* You will develop, maintain and deploy software to support Dracoe’s UAS capabilities. You will shape mission planning software and system\-level behaviours to meet demanding operational and customer requirements.
* Working closely with hardware, flight test, and manufacturing teams, you will ensure Dracoe software is robust, scalable, and deployable across production aircraft.
* You will help create outstanding software that keeps Dracoe at the forefront of both the consumer and defence drone markets, delivering reliable, intelligent UAS at scale.
* You’ll play a key role in enabling autonomous systems that support industry and western democracies.
 Responsibilities
 * Develop and maintain core software libraries that will be utilized across all Dracoe Platforms.
* Support the development and implementation of software features for our products, addressing customer requirements and use cases
* Optimize the performance of mission planning and operational software, including tasks like improving battery consumption and route planning
* Collaborate closely with customers, hardware, and manufacturing teams throughout the product development lifecycle, providing timely feedback to influence and enhance final designs
* Troubleshoot and resolve complex issues in deployed systems, ensuring optimal performance in the field and addressing customer\-reported problems
* Contribute to the design and implementation of UAS software systems, including flight control, mission management, and payload integration
* Stay current with emerging technologies and industry trends, recommending and implementing innovations to improve our products and processes
 Experience
* 3\+ years experience developing UAS, robotics, or mission\-critical software in C\+\+ and/or Python, including building reusable libraries and integrating with larger system architectures (e.g. middleware, message\-passing frameworks).
* Hands\-on experience with UAV or robotics systems integration, including working with sensors, navigation stacks, or flight control systems, and validating software through simulation, hardware\-in\-the\-loop (HIL), and flight testing.
* Experience supporting customer deployments and resolving field issues, including diagnosing software problems in operational environments and implementing solutions that address real\-world use cases.
* Proven understanding of data structures, algorithms, concurrency, and code optimization
* Experience troubleshooting and analyzing remotely deployed software systems, including working with customers to identify root causes and develop fixes
 Skills
* Python / Golang / C\+\+
* Mavlink / BetaFlight / ArduPilot / PX4
* Docker
* SCRUM / AGILE / Kanban
* Excellent verbal, written, and presentation skills.
* Familiarity with the challenges of taking a concept through to mature prototype
* Attention to detail and critical thinking.
* Able to operate in ambiguity and take responsibility for delivery.
* Thriving in a fast paced environment.
 Qualifications
**Required:** 
* Demonstrated experience in UAS, aerospace, defence, automotive, or high\-reliability and relevant software development
**Desirable:** 
* Master’s degree in Computer Science, Software Engineering, Mathematics, or Physics.
***Equivalent practical experience designing and building complex hardware systems will be considered in lieu of formal qualifications.***
 Desirable
* Experience deploying containerized software via orchestration tools such as Docker or Kubernetes
* Background in multi\-agent coordination, particularly with UAVs
* Military experience or background in defence
* Experience with 3D geospatial analysis and mapping software frameworks such as Cesium, MapBox, or TAK.
* Experience developing software that does not require Internet access or has local/offline functionality.
* Exposure to technologies related to Uncrewed Systems such as fixed\-wing flight mechanics, UAV control, mesh networking, and launch systems.
 Compensation
 $100,000\-$130,000
 Benefits
 We offer comprehensive health insurance, generous paid time off, access to a company pension scheme and equity in a mission\-driven company.
 Stipends
 You'll receive an annual stipend for gym reimbursements for up to $1000 per year and approved role\-related learning credits for up to $1000 per year.</t>
        </is>
      </c>
    </row>
    <row r="74">
      <c r="A74" t="inlineStr">
        <is>
          <t>li-4334650803</t>
        </is>
      </c>
      <c r="B74" t="inlineStr">
        <is>
          <t>Android Software Engineer</t>
        </is>
      </c>
      <c r="C74" t="inlineStr">
        <is>
          <t>DataAnnotation</t>
        </is>
      </c>
      <c r="D74" t="inlineStr">
        <is>
          <t>linkedin</t>
        </is>
      </c>
      <c r="E74" t="inlineStr"/>
      <c r="F74" t="inlineStr"/>
      <c r="G74" t="inlineStr">
        <is>
          <t>Indiana, United States</t>
        </is>
      </c>
      <c r="H74" t="inlineStr"/>
      <c r="I74"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75">
      <c r="A75" t="inlineStr">
        <is>
          <t>li-4328272721</t>
        </is>
      </c>
      <c r="B75" t="inlineStr">
        <is>
          <t>Backend Engineer</t>
        </is>
      </c>
      <c r="C75" t="inlineStr">
        <is>
          <t>Veeam Software</t>
        </is>
      </c>
      <c r="D75" t="inlineStr">
        <is>
          <t>linkedin</t>
        </is>
      </c>
      <c r="E75" t="inlineStr"/>
      <c r="F75" t="inlineStr"/>
      <c r="G75" t="inlineStr"/>
      <c r="H75" t="inlineStr"/>
      <c r="I75" t="inlineStr">
        <is>
          <t>Veeam, the \#1 global market leader in data resilience, believes businesses should control all their data whenever and wherever they need it. Veeam provides data resilience through data backup, data recovery, data portability, data security, and data intelligence. Based in Seattle, Veeam protects over 550,000 customers worldwide who trust Veeam to keep their businesses running. Join us as we move forward together, growing, learning, and making a real impact for some of the world’s biggest brands. The future of data resilience is here \- go fearlessly forward with us.
**About The Role**
 We are looking for an experienced
 **Backend Engineer** 
 to join the Veeam Data Cloud (VDC) engineering team. You will be working with a global team to build the world’s next modern data protection platform for Veeam. This is an excellent opportunity for someone with SaaS experience to work with a cutting\-edge technology stack based on containers, serverless infrastructure, Golang, public cloud services in the SaaS domain.
 What You’ll Do
* Design and develop highly reliable and scalable SaaS microservices, integrated with a variety of cloud\-based managed services utilizing Golang
* Ensure your code is high\-quality, thoroughly tested, and secure
* Participate in on\-call rotation for product operations
* Take ownership of the reliability and efficiency of your services running in the cloud
* Participate in technical design discussions, reviewing code, and providing feedback to other engineers
* Collaborate with a distributed team of engineers to build the VDC platform and support it in production
 What You’ll Bring
* 5\+ years of experience in the software development industry
* Demonstrated expertise designing, building, and implementing SaaS or large\-scale cloud services on Azure, Amazon Web Services (AWS), or Google Cloud Platform (GCP)
* Expertise with a modern programming language like Java, Go, Scala, or Rust
* Experience designing and implementing event\-driven architectures
* Expertise in developing, testing, and debugging production\-quality, scalable, concurrent systems
* A strong knowledge of computer science fundamentals (data structures and algorithms)
* Passion for code quality, extensibility, coding standards, testing, and automation
 Bonus Skills
* Experience with Docker, Kubernetes or other container and orchestration tools
* Experience in the data protection industry
**Please Note:** 
 If the applicant is permanently located outside of the United States Veeam reserves the right to decline the application for the position. Remote work is only possible for employees located in the United States.
**What You'll Get**
* Unlimited paid time off, 12 paid holidays, plus 4 extra global VeeaMe Days for self\-care and 24 paid volunteer hours annually through Veeam Cares
* Paid parental leave: 8 weeks for all parents, 16 weeks for birthing parents
* Medical, dental, and vision coverage starting on your first day
* Mental health support, therapy sessions, and digital wellness tools via our Employee Assistance Program
* 401(k) retirement plan with company matching contributions
* Fertility, adoption, and surrogacy support through Maven, plus paid volunteer time
* AirVet: 24/7 virtual veterinary care at no cost
* Legal services, identity protection, and supplemental health insurance options
* Tax\-advantaged spending accounts for healthcare, dependent care, and commuting
* Opportunities to learn and grow through on\-demand libraries (LinkedIn Learning, O’Reilly), mentoring, workshops, and learning events like our annual Global Day of Learning
**Compensation Transparency**
 Veeam is committed to pay transparency and equitable compensation. For this role, the compensation range below reflects the expected total target compensation (TTC), inclusive of base pay and a competitive performance\-based bonus. For roles with a commission plan, the compensation range represents On Target Earnings (OTE), which includes base salary plus variable commission. When determining compensation, Veeam takes into consideration factors such as experience, education, skills, and geographic zone. Offers are typically made below the midpoint of the range.
 In addition to compensation, Veeam provides a comprehensive benefits package, including health coverage, retirement plans, and unlimited time off.
**U.S. Geographic Zones \&amp; Compensation Ranges (TTC / OTE)**
 Zone 1: San Francisco Bay Area, New York City Boroughs
 $208,500—$347,500 USD
 Zone 2: Washington, California (excluding San Francisco Bay Area)
 $191,100—$318,500 USD
 Zone 3: Texas, Illinois, North Carolina, Colorado, Massachusetts, Pennsylvania, Virginia, Oregon, Nevada, Hawaii, New York (excluding NYC boroughs); Sales roles located in Georgia, Ohio, and Arizona
 $173,800—$289,700 USD
 Zone 4: All other US locations
 $151,200—$251,900 USD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Please note that any personal data collected from you during the recruitment process will be processed in accordance with our Recruiting Privacy Notice.
 The Privacy Notice sets out the basis on which the personal data collected from you, or that you provide to us, will be processed by us in connection with our recruitment processes.
 By applying for this position, you consent to the processing of your personal data in accordance with our Recruiting Privacy Notice.
**By submitting your application, you acknowledge that the information provided in your job application and any supporting documents is complete and accurate to the best of your knowledge. Any misrepresentation, omission, or falsification of information may result in disqualification from consideration for employment or, if discovered after employment begins, termination of employment.**</t>
        </is>
      </c>
    </row>
    <row r="76">
      <c r="A76" t="inlineStr">
        <is>
          <t>li-4359781614</t>
        </is>
      </c>
      <c r="B76" t="inlineStr">
        <is>
          <t>Associate Software Engineer</t>
        </is>
      </c>
      <c r="C76" t="inlineStr">
        <is>
          <t>Liberty Mutual Insurance</t>
        </is>
      </c>
      <c r="D76" t="inlineStr">
        <is>
          <t>linkedin</t>
        </is>
      </c>
      <c r="E76" t="inlineStr"/>
      <c r="F76" t="inlineStr"/>
      <c r="G76" t="inlineStr">
        <is>
          <t>Boston, MA</t>
        </is>
      </c>
      <c r="H76" t="inlineStr"/>
      <c r="I76" t="inlineStr">
        <is>
          <t>**Description**
**Job 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**Job Introduction**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 This is a hybrid role requiring 2 days in the office a week. Plano, TX is the preferred office location, but we are open to Boston, MA and Portsmouth, NH as well. \*\*
 We encourage you to apply and bring your expertise if you’re a:
* Emerging technical contributor: Write clean, tested code with guidance while learning to create documentation and following deployment procedures to support reliable software.
* Customer\-aware developer: Support the translation of customer requirements into technical solutions and assist in implementing new features.
* Eager team player: Apply your growing technical skills while learning from senior engineers through code reviews, pair programming, and knowledge sharing.
* Learning\-focused contributor: Address immediate tasks effectively while developing skills to identify opportunities for improvement in code quality and processes.
 This is a fast\-paced environment providing rapid delivery for our business partners in delivering best in class Claims solutions. You will be working in a highly collaborative environment that values speed and quality, with a strong desire to drive change and foster positive work. You will have the opportunity to help lead this change with us as we grow this culture, mindset, and capability.
**In This Role You Will**
* Work closely with a team of software engineers to contribute to complex software solutions.
* Develop maintainable, scalable code that meets business requirements and team standards with guidance from senior team members.
* Participate in an agile environment with business stakeholders, product owners, solutions engineers and other software engineers to understand and implement stories using good engineering practices.
* Support speed to market by working on current product needs and learning long\-term strategic solutions using technologies such as React, TypeScript, JavaScript, Node.js, and other potential backend languages.
* Learn to utilize cloud services and tools, including AWS, Cloud Foundry, and CDNs like Akamai.
* Hands\-on development and problem resolution, writing clean, maintainable code and participating in peer code\-reviews.
* Assist in integrating AI/ML models and services into applications, learning about model deployment, monitoring, and optimization for production environments.
* Support collaboration with data science teams to help implement machine learning pipelines, data preprocessing workflows, and automated model training processes.
* Assist with production deployments and support under supervision.
* Learn to optimize performance for applications \&amp; web.
**Qualifications**
* 1\-2 years of software engineering experience.
* Interest in business operations and strategies, with curiosity about business IT.
* Demonstrated ability or eagerness to learn how to translate technical concepts into user\-facing features.
* Understanding of agile methodologies and willingness to adopt a design\-thinking mindset.
* Strong collaboration, adaptability, and flexibility with the ability to learn time management and prioritization skills in a globally distributed development team.
* Good oral and written communication skills with willingness to learn to explain technical decisions.
* Basic understanding of writing clean code with eagerness to learn maintainable and efficient practices.
* Developing understanding of how code changes affect different parts of a system.
* A bachelor’s degree in computer science, Engineering, or related technical discipline.
* You must have permanent work authorization in the United States.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77">
      <c r="A77" t="inlineStr">
        <is>
          <t>li-4374212072</t>
        </is>
      </c>
      <c r="B77" t="inlineStr">
        <is>
          <t>Principal Software Developer - OCI Security &amp; Identity Team</t>
        </is>
      </c>
      <c r="C77" t="inlineStr">
        <is>
          <t>Oracle</t>
        </is>
      </c>
      <c r="D77" t="inlineStr">
        <is>
          <t>linkedin</t>
        </is>
      </c>
      <c r="E77" t="inlineStr"/>
      <c r="F77" t="inlineStr"/>
      <c r="G77" t="inlineStr"/>
      <c r="H77" t="inlineStr"/>
      <c r="I77" t="inlineStr">
        <is>
          <t>**Job Description**
 As a member of the Security and Identity team, you will be part of a team responsible for the platform used by OCI service teams and external customers to transfer artifacts and data from one region to another within the Cloud. It is fundamental to OCI’s security posture and is a highly scalable system that works across hundreds of thousands of resources within each of the 60\+ regions worldwide. As a Principal Software Developer, you will work on developing new features to make deployment friction free while maintaining security and compliance. You will also provide technical leadership to junior engineers and will be a mentor to help grow engineering craft. Duties and tasks are varied and complex, requiring independent judgment and full competence in the area of expertise. May have project lead role and or supervise lower\-level personnel. BS or MS degree and equivalent experience relevant to functional area.
 Principal Software Development Engineer (Oracle Cloud Infrastructure Group):
 The Oracle Cloud Infrastructure organization designs, builds and operates OCI services that help bring a unified, state\-of\-the\-art, cloud native approach to Oracle OCI Native SaaS application development and operations. Our services strive to provide a simplified, developer\-friendly approach to SaaS application development that promotes the "Day 1" velocity, scale, reliability, and customer experience demanded of modern cloud applications.Values are OCI's foundation and how we deliver excellence. We strive for equity, inclusion, and respect for all. We are committed to the greater good in our products and our actions. We are continually learning and taking opportunities to grow our careers and ourselves. We challenge each other to stretch beyond our past to build our future.Are you interested in building the next generation of Oracle Cloud Infrastructure\-as\-a\-Service (IaaS) that supercharges modern cloud application development? Do you love the idea of working in a dynamic, modern agile environment with the excitement of a start\-up, but the financial backing of a Fortune 100 company? You’ll be joining an early\-stage, fast\-growing venture that offers a ton of autonomy and a lot of variety. This is a unique opportunity to work with smart people to solve complex problems in a geographically distributed, secure, multi\-tenant cloud Infrastructure\-as\-a\-Service (IaaS) environment at massive scale.We’re looking for a Principal Software Development Engineer with experience in cloud service development on a modern IaaS environment. This candidate has a natural excitement for building complex, highly distributed, and reliable cloud\-native services that reimagine what is possible in a cloud environment. This candidate understands current technologies and trends in modern cloud\-native service design but has a natural enthusiasm to think differently, push boundaries and take calculated risks to continuously drive value to our stakeholders.
 Qualifications: BS or MS degree in Computer Science, Computer Engineering, or related field, 5\+ years of experience in enterprise/large customer applications development, 5\+ years of experience in designing, delivering and operating large scale, highly available distributed systems. Proficient in Java, GoLang or a similar object\-oriented language (i.e., C\#, JavaScript, C\+\+). Working knowledge of common micro\-service design patterns and service\-to\-service communication protocols. Experience with production operations and good practices for putting quality code in production and troubleshoot issues when they arise. Comfortable and proficient in communicating technical ideas verbally and in writing (technical proposals, design specs, architecture diagrams). Experience with Agile Development (Scrum or Kanban). Ability to translate feature requirements into a development plan, and then execute on that planPreferred Qualifications. Proficiency in Java, or GoLang. Experience with Java micro\-service and serverless frameworks. Experience designing and building multi\-tenant distributed systems. Experience working in a DevOps environment. Security knowledge with TLS, PKI and SSH.
**Responsibilities**
* Build and operate modern, cloud native, fault tolerant and scalable cloud services
* Participate in the design and implementation of service API’s
* Participate in the entire software lifecycle: development, testing, CI/CD and operations
* Work productively in a fast\-paced, team\-oriented agile development environment
* Contribute to operational activities such as writing runbooks, troubleshooting, operations automation, and instrumentation for metrics and events
* Work with Product Management and other development teams to achieve goals
* Mentor junior team members
* Contribute to a healthy and supportive team culture
* Work with geographically distributed teams and contribute to the success of your team and other related teams
* Support both public and government (secure) environments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8">
      <c r="A78" t="inlineStr">
        <is>
          <t>li-4359903233</t>
        </is>
      </c>
      <c r="B78" t="inlineStr">
        <is>
          <t>Senior Lead Software Engineer - Data / Machine Learning Operations</t>
        </is>
      </c>
      <c r="C78" t="inlineStr">
        <is>
          <t>JPMorganChase</t>
        </is>
      </c>
      <c r="D78" t="inlineStr">
        <is>
          <t>linkedin</t>
        </is>
      </c>
      <c r="E78" t="inlineStr"/>
      <c r="F78" t="inlineStr"/>
      <c r="G78" t="inlineStr">
        <is>
          <t>Plano, TX</t>
        </is>
      </c>
      <c r="H78" t="inlineStr"/>
      <c r="I78" t="inlineStr">
        <is>
          <t>**Job Description**
 Be an integral part of an agile team that's constantly pushing the envelope to enhance, build, and deliver top\-notch technology products.
 As a Senior Lead Software Engineer at JPMorgan Chase within the Consumer and Community Banking \- Risk Technology Portfolio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Design and develop large\-scale solutions or platforms using Cloud services (i.e. AWS) in alignment with the firm wide strategies and security controls
* Deploy and enable cloud based solutions at firm level, supporting complex analytics and day to day business operations
* Migrate legacy an big data applications at Cloud native applications with zero downtime
* Drives decisions that influence the product design, application functionality, and technical operations and processes
* Develop solutions or tools to monitor, provision components for automation or the processes, services, and reports
* Actively contributes to the engineering community as an advocate of firmwide frameworks, tools, and practices of the Software Development Life Cycle
* Leverage your strong operational skills to develop impactful recommendations on upstream product, processes, or policy improvements that will optimize the user experience
* Influences peers and project decision\-makers to consider the use and application of leading\-edge technologies
* Adds to the team culture of diversity, opportunity, inclusion, and respect
**Required Qualifications, Capabilities, And Skills**
* Formal training and certification on software engineering concepts and 5\+ years applied experience. In addition, 2\+ years of experience leading technologists to manage and solve complex technical items within your domain of expertise
* Hands\-on practical experience delivering system design, application development, testing, and operational stability
* Good knowledge of Machine Learning modelling as an engineer
* Advanced in one or more programming language(s) and framework(s) (i.e., Python, Java, Big Data, Data pipeline, Machine Learning, etc.)
* Advanced knowledge of software applications and technical processes with considerable in\-depth knowledge in one or more technical disciplines (e.g., cloud, artificial intelligence, machine learning, mobile, etc.)
* Advanced knowledge of application, data, and infrastructure architecture disciplines
* Working experience in software development, OOPS and SDLC
* Ability to tackle design and functionality problems independently with little to no oversight
* Knowledge of the financial services industry and their TI systems
* Practical cloud native experience
* Experience in Computer Science, Computer Engineering, Mathematics, or a related technical field
**Preferred Qualifications, Capabilities, And Skills**
* AWS certifications (e.g. Solutions Architect Associate)
* Knowledge of RAG architectures and exposure to AI/Automation technologies that improve operations
* Experience with building Data Pipelines in Spark, Tuning Spark queries
* Understands Python Machine Learning libraries and ecosystems (i.e., Pandas, Numpy, etc.)
* Working knowledge with Big Data platforms (i.e., Hadoop preferred)
* Experience in Cloud Technologies (i.e., AWS \- Databricks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79">
      <c r="A79" t="inlineStr">
        <is>
          <t>li-4345482843</t>
        </is>
      </c>
      <c r="B79" t="inlineStr">
        <is>
          <t>ML Software Engineer</t>
        </is>
      </c>
      <c r="C79" t="inlineStr">
        <is>
          <t>Booz Allen Hamilton</t>
        </is>
      </c>
      <c r="D79" t="inlineStr">
        <is>
          <t>linkedin</t>
        </is>
      </c>
      <c r="E79" t="inlineStr"/>
      <c r="F79" t="inlineStr"/>
      <c r="G79" t="inlineStr">
        <is>
          <t>McLean, VA</t>
        </is>
      </c>
      <c r="H79" t="inlineStr"/>
      <c r="I79" t="inlineStr">
        <is>
          <t>**Job Number: R0231104**
 ML Software Engineer
**The Opportunity:**
 As a ML software developer, you know that a good site or system needs the right combination of clean code, APIs, analytics, and infrastructure to develop a user\-focused solution. We’re looking for an experienced back\-end developer with the software engineering skills it takes to identify potential risks, contribute to solution development utilizing machine learning libraries, and create efficient and effective systems for our clients.
 As a ML software developer at Booz Allen, you’ll use the latest architectural approaches and open\-source frameworks and tools to deliver solutions. Using your software engineering experience, you’ll work with the development team to create custom tools, systems, and sites with consistent performance and scalability.
 In this role, you’ll make a mission\-forward impact as you further your skillset and career. Work with us as we shape systems for the better.
 Join us. The world can’t wait.
**You Have:**
* 3\+ years of experience with machine learning software libraries, such as Tensorflow, Keras, PyTorch, or Onnx
* 3\+ years of experience in software development using programming languages, such as Python, C, or C\+\+
* Experience implementing, maintaining, and supporting agile software development to modernize systems
* Experience with Agile methodology, software engineering, product management, and software products
* Experience running performance testing and benchmarking of trained neural networks, and optimizing algorithm performance
* Experience creating solutions to complex problems within a collaborative, cross\-functional team
* TS/SCI clearance with a polygraph
* Bachelor's degree or 8\+ years of experience in software engineering in lieu of a degree
**Nice If You Have:** 
* Experience with RF theory or digital signal processing algorithms
* Experience with different neural network architectures
* Experience acquiring client requirements and resolving workflow problems through automation optimization
* Ability to work with automated testing tools to perform testing and maintenance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0">
      <c r="A80" t="inlineStr">
        <is>
          <t>li-4306280496</t>
        </is>
      </c>
      <c r="B80" t="inlineStr">
        <is>
          <t>Senior Full Stack Engineer, Solana</t>
        </is>
      </c>
      <c r="C80" t="inlineStr">
        <is>
          <t>Lazer Technologies</t>
        </is>
      </c>
      <c r="D80" t="inlineStr">
        <is>
          <t>linkedin</t>
        </is>
      </c>
      <c r="E80" t="inlineStr"/>
      <c r="F80" t="inlineStr"/>
      <c r="G80" t="inlineStr"/>
      <c r="H80" t="inlineStr"/>
      <c r="I80" t="inlineStr">
        <is>
          <t>**Lazer** 
 is a world\-class digital product studio composed of 180\+ senior engineers and designers with backgrounds from companies like
 **Apple, Google, Coinbase, and more.** 
 With our product experience, we have designed, engineered, and grown products
 **from $0 to $200M in revenue.**
 Clients seek out our help because we have the talent to deeply understand their needs and provide industry, technical, or product insights that are uniquely valuable to their efforts. Our clients range from early\-stage startups and venture studios to recognizable retail brands and exciting enterprises. Some of our notable clients include Google, Shopify, Coinbase, Alchemy, Hinge, OVO, Polymarket, and more.
 We are a remote\-first organization headquartered in Toronto, Ontario, with employees worldwide. We believe in providing the best experience possible for all Lazerites by fostering a strong community through regular events, company vacations, competitive compensation, unlimited PTO, and more!
 Join Lazer and help us solve problems and build the next generation of products!
**Lazer Crypto** 
 is a specialized team within Lazer, comprising more than 30 full stack, web3 native engineers dedicated to building modern dApps and web3 solutions. This team helps founders and growing teams accelerate their product launches across various blockchain ecosystems. Our notable web3 clients include OpenSea, Base, Privy, Polymarket, Uniswap, Alchemy, Monad and others.
**Who You Are**
* Solana ecosystem expert: 3\+ years of proven experience in Solana dApp development across the full stack, with deep understanding of the SVM and Solana fundamentals (account model, Sealevel runtime, Proof of History, CPI)
* Rust programming specialist: Strong proficiency in Rust programming language for Solana program development, with experience designing, implementing, and deploying smart contracts
* Full\-stack JavaScript developer: Expert experience in full\-stack development using JavaScript/TypeScript ecosystem (React, Node, Next.js) with modern tooling and best practices
* Solana tooling fluent: Deep familiarity with Solana\-specific libraries and tools including Anchor, Solana Web3\.js, Solana CLI, and development services like Phantom, SPL, and Metaplex
* Client\-focused professional: Experience working in consulting or contracting contexts with strong communication skills for managing client expectations and project timelines
* Integration expert: Proven ability to integrate Solana dApps with existing web2 systems, APIs, and other Solana programs, invoking functions as needed
* Cloud infrastructure experienced: Familiarity with major cloud providers (GCP, AWS, Azure) for deploying and scaling blockchain applications
* Problem\-solving oriented: Strong analytical skills for understanding complex client problems, needs, goals, and priorities in the blockchain space
* Nice to have: Active participation in the Solana ecosystem as a user, experience with program auditing and security best practices, familiarity with Serum DEX and DeFi protocols
**What You'll Do**
* Architect blockchain solutions: Design and develop decentralized applications (dApps) on the Solana blockchain, creating robust and scalable architectures tailored to client needs
* Build smart contracts: Develop, test, and deploy Solana programs using Rust, ensuring security, efficiency, and adherence to best practices
* Create seamless user experiences: Develop front\-end applications that interact smoothly with Solana programs using Web3 libraries and modern JavaScript frameworks
* Integrate across ecosystems: Connect Solana dApps with existing web2 systems, APIs, and other blockchain protocols to create comprehensive solutions
* Engage with clients directly: Work closely with clients to understand their problems, goals, and priorities, translating business requirements into technical solutions
* Manage project delivery: Oversee project timelines, communicate tradeoffs and risks clearly, and ensure client expectations are aligned throughout development
* Stay cutting\-edge: Keep up\-to\-date with the latest Solana ecosystem trends, tools, and technologies, continuously expanding technical expertise
* Drive team growth: Contribute to the development of Lazer's Solana expertise through knowledge sharing, mentoring, and best practice development
* Navigate complex challenges: Address technical obstacles intelligently while maintaining clear communication with clients about solutions and alternatives
**AI in our hiring process**
 We use AI to help us review and shortlist applications based on job\-related criteria. A human hiring manager always makes the call on who moves forward. As a company that builds with AI every day, we're all for candidates using it too — just be upfront about how it helped.
**Why Work With Us**
* 🚀 Accelerate Your Growth: Work across multiple industries and cutting\-edge projects with a team that ships fast.
* 💥 Maximum Impact: Shape the future of the tech industry by helping ambitious projects reach their potential.
* 🏅 True Ownership: Everyone ships code and has real autonomy with minimal meetings.
* 💡 Continuous Learning: Be part of a team of senior engineers and designers who love learning and knowledge sharing.
**Why This Might Not Be For You**
* 🤖 You Resist Modern Tools: We leverage AI and cutting\-edge technology to build rapidly and focus our energy on solving the most complex, high\-impact challenges for our clients.
* 🏗️ You Crave High Structure: We thrive in an autonomous, fast\-moving environment, which means you need to be comfortable with some ambiguity.
* 😴 You Prefer Conventional Careers: Our consulting approach involves varied projects and direct client interaction — it's not for everyone.
* 1️⃣ You Like Staying in One Lane: Our projects require adapting to different tech stacks and modern tooling quickly.
**Benefits \&amp; Perks**
* 🌐 Work From Anywhere: Choose your workspace — all you need is strong wifi and a passion for building!
* 🧘‍♂️ Work / Life Balance: We believe in our team’s ability to have it all; a great career, and time to unplug and live…you know...life.
* 🩺 Employee Care: We provide full benefits (healthcare, dental, vision) for our employees (401k for our US employees)
* 🏖️ Unlimited PTO: Everyone needs a break. Take at least 15 days off a year, and more if you need—just be cool about it and keep the team in mind.
* 🎉 Regular Team Retreat: Join us for a week of team bonding at amazing destinations. Recent trips include the Dominican Republic, Cancun, and Hawaii — plus ones welcome.</t>
        </is>
      </c>
    </row>
    <row r="81">
      <c r="A81" t="inlineStr">
        <is>
          <t>li-4350257691</t>
        </is>
      </c>
      <c r="B81" t="inlineStr">
        <is>
          <t>Senior Mobile Software Engineer</t>
        </is>
      </c>
      <c r="C81" t="inlineStr">
        <is>
          <t>SRAM</t>
        </is>
      </c>
      <c r="D81" t="inlineStr">
        <is>
          <t>linkedin</t>
        </is>
      </c>
      <c r="E81" t="inlineStr"/>
      <c r="F81" t="inlineStr"/>
      <c r="G81" t="inlineStr">
        <is>
          <t>Colorado Springs, CO</t>
        </is>
      </c>
      <c r="H81" t="inlineStr"/>
      <c r="I81" t="inlineStr">
        <is>
          <t>**Overview**
 Join the SRAM software engineering team and make a significant impact in the cycling industry. You'll develop cutting\-edge mobile applications, integrating advanced software with leading bicycle data systems. Be part of a team that's reshaping the world of cycling through efficient and high\-quality software development! At SRAM, we believe in expanding the potential of cycling. Home of RockShox, SRAM’s Colorado facility sits in the shadow of the foothills of the Rocky Mountains, more specifically Pikes Peak, and delivers some of the best bike riding in the US. Much of the brake and suspension development teams work in the office where gravity is primary to product development and testing. Colorado Springs blends a mountain town vibe with metropolitan access. Ranked as one of the best places to live by US News \&amp; World Report, Colorado Springs is located about an hour south of Denver. Not all SRAM Team Members are cyclists, but we all have a passion for creating our world class products. Enjoy a work environment focused on peer collaboration, continuous improvement, and hands\-on creation of high\-quality, robust bike components.
**Responsibilities**
* Build, deploy, test, and maintain mobile applications for iOS and/or Android using modern development paradigms.
* Lead creation of automation tools for infrastructure configuration, software deployment, continuous integration, and test. Contribute to system verification plans and quality assurance procedures.
* Provide supporting design documentation, including design specifications, design options, tradeoffs and choice rationale, experimental results, and tuning procedures.
* Model the creation, use, and adherence to evolving standards for design rigor and verification.
* Work to remove friction from the software development process.
* Provide technical guidance, mentor, and oversee team members on development and operations.
* Conduct and contribute to code reviews for software, as well as participate in design reviews for relevant adjacent designs.
* Effectively work with internal users and third\-parties to facilitate integration of features and services.
* Own, estimate, and track progress for tasks through all stages of a project to meet desired performance, cost, and time\-to\-market goals.
**Qualifications**
* B.S. degree in Computer Science, Computer Engineering or equivalent.
* 5\+ years professional software development experience, specifically using Swift and/or Kotlin.
* Excellent verbal and written English communication skills. Strong interpersonal and team skills are required.
* Mastery of source control technologies such as Git.
* Project experience having designed, analyzed, and improved the security of a communications network. Knowledge of security\-related topics such as authentication, data protection, encryption \&amp; cryptography, hashing, software attack methodologies, threat analysis, secure data transfer \&amp; storage.
* Knowledge and application of software development best practices, including creation of adequate tests and documentation.
* Development within an established agile software development workflow.
* Prior international cross\-functional team experience.
* A strong desire to make awesome software!
* This role is onsite in Colorado Springs, CO. Non\-local candidates will be expected to relocate.
* Competitive salary starting at $125,000 with potential up to 45% higher based on experience and skills.
* Comprehensive benefits package including: Medical, dental, and vision insurance, 401(k) with company match, life and disability insurance, paid time off.
**About SRAM**
 SRAM LLC is one of the world's largest suppliers of components to the bike industry. Established in Chicago in 1987, SRAM continues to promote cycling through its products, its advocacy, and its employees who are dedicated to improving the cycling experience. Today, SRAM employs more than 5,000\+ employees, in 20\+ locations, across 10\+ countries. SRAM is proud to be an equal opportunity employer.</t>
        </is>
      </c>
    </row>
    <row r="82">
      <c r="A82" t="inlineStr">
        <is>
          <t>li-4306296623</t>
        </is>
      </c>
      <c r="B82" t="inlineStr">
        <is>
          <t>Staff Software Engineer, Networking &amp; Observability</t>
        </is>
      </c>
      <c r="C82" t="inlineStr">
        <is>
          <t>MongoDB</t>
        </is>
      </c>
      <c r="D82" t="inlineStr">
        <is>
          <t>linkedin</t>
        </is>
      </c>
      <c r="E82" t="inlineStr"/>
      <c r="F82" t="inlineStr"/>
      <c r="G82" t="inlineStr"/>
      <c r="H82" t="inlineStr"/>
      <c r="I82" t="inlineStr">
        <is>
          <t>Join and be a part of leading the MongoDB Networking Observability team, helping build the core of a distributed database! Our team focuses on creating and enhancing components which facilitate communication between cooperating distributed processes and make these processes, and their communication, easily observable. Networking Observability’s responsibilities include improving MongoDB networking, improving the efficiency of resource utilization and building low\-overhead observability features.
 Our team currently consists of six engineers, some located in New York City and some fully remote. We operate close to the bottom of the stack, and have a lot of influence over the performance and robustness of our open source database as well as the development efficiency of the engineering team overall. Recently we’ve worked on POCs and performance tests for new architectural directions in our networking stack, and are integrating OpenTelemetry to accelerate investigation of issues or performance bottlenecks in our tests.
 Are you excited to help the MongoDB engineering team build a better database? We are! Join us today, and we can build a faster, more reliable, exceptionally observable, database system together.
 Note: This role can be based out of our NYC office or remotely from anywhere in North America.
 Candidate Profile
* 10\+ years of experience building distributed systems
* Experienced and passionate about delivering and deploying a product with cross\-team stakeholders
* Experience with building production\-level code with a large user base, robust design structure, and rigorous code quality. Experience in C\+\+ is required
* Understands modern computer architecture and internals to the degree that they can reason about how specific design choices play out in a system like MongoDB
* Excellent verbal and written communication skills and highly motivated to collaborate with colleagues and mentor junior engineers
* Excellent time and project management skills including the ability to make realistic assessments of project cost and complexity
* Good computer networking fundamentals and a desire to improve them
* Has demonstrated industry success or academic research in areas such as
+ High performance / low latency networking
+ Performance tuning
+ Building high performance distributed and concurrent systems.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3263251943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$151,000—$297,000 USD</t>
        </is>
      </c>
    </row>
    <row r="83">
      <c r="A83" t="inlineStr">
        <is>
          <t>li-4374988971</t>
        </is>
      </c>
      <c r="B83" t="inlineStr">
        <is>
          <t>Director of Software Engineering</t>
        </is>
      </c>
      <c r="C83" t="inlineStr">
        <is>
          <t>hackajob</t>
        </is>
      </c>
      <c r="D83" t="inlineStr">
        <is>
          <t>linkedin</t>
        </is>
      </c>
      <c r="E83">
        <f>HYPERLINK("https://www.linkedin.com/jobs/view/4374988971", "https://www.linkedin.com/jobs/view/4374988971")</f>
        <v/>
      </c>
      <c r="F83" t="inlineStr"/>
      <c r="G83" t="inlineStr">
        <is>
          <t>Wilmington, DE</t>
        </is>
      </c>
      <c r="H83" t="inlineStr"/>
      <c r="I83" t="inlineStr">
        <is>
          <t>***hackajob** 
 is collaborating with
 **J.P. Morgan** 
 to connect them with exceptional tech professionals for this role.*
**Job Description**
 If you are a software engineering leader ready to take the reins and drive impact, we’ve got an opportunity just for you.
 As a Director of Software Engineering at JPMorganChase within the Consumer and Community Banking group,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
**Job Responsibilities**
* Leads technology and process implementations to achieve functional technology objectives
* Makes decisions that influence teams’ resources, budget, tactical operations, and the execution and implementation of processes and procedures
* Carries governance accountability for coding decisions, control obligations, and measures of success such as cost of ownership, maintainability, and portfolio operations
* Delivers technical solutions that can be leveraged across multiple businesses and domains
* Influences peer leaders and senior stakeholders across the business, product, and technology teams
* Champions the firm’s culture of diversity, opportunity, inclusion, and respect
**Required Qualifications, Capabilities, And Skills**
* Formal training or certification on software engineering concepts and 10\+ years applied experience. In addition, 5\+ years of experience leading technologists to manage, anticipate and solve complex technical items within your domain of expertise
* Experience developing or leading cross\-functional teams of technologists
* Experience with hiring, developing, and recognizing talent
* Experience leading a product as a Product Owner or Product Manager
* Practical cloud native experience
* Expertise in Computer Science, Computer Engineering, Mathematics, or a related technical field
* Experience influencing senior stakeholders and peer leaders across business product and technology teams
* Experience with Distributed Datastores
* Experience with Big Data / Distributed / cloud technology
* Demonstrated knowledge of software applications and technical processes within a technical discipline
**Preferred Qualifications, Capabilities, And Skills**
* Strong communication and stakeholder management skills, especially in high\-visibility transformation programs
* Action\-oriented, decisive, drives results systematically.
* Master’s preferred.
* Skilled at assessing risk and making decisions with a holistic, big\-picture perspective.
* Demonstrates a can\-do attitude and leads by example.
* Detail\-oriented, able to distinguish between important and urgent tasks.
* Prioritizes helpfulness, mentorship, and team development.
* Acts with integrity.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4">
      <c r="A84" t="inlineStr">
        <is>
          <t>li-4328327452</t>
        </is>
      </c>
      <c r="B84" t="inlineStr">
        <is>
          <t>Principal Software Engineer</t>
        </is>
      </c>
      <c r="C84" t="inlineStr">
        <is>
          <t>Microsoft</t>
        </is>
      </c>
      <c r="D84" t="inlineStr">
        <is>
          <t>linkedin</t>
        </is>
      </c>
      <c r="E84">
        <f>HYPERLINK("https://www.linkedin.com/jobs/view/4328327452", "https://www.linkedin.com/jobs/view/4328327452")</f>
        <v/>
      </c>
      <c r="F84" t="inlineStr"/>
      <c r="G84" t="inlineStr">
        <is>
          <t>Redmond, WA</t>
        </is>
      </c>
      <c r="H84" t="inlineStr"/>
      <c r="I84"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seeking a Full stack
 **Principal Software Engineer** 
 to join the App Agents team within Power Apps.
 This team will build Agents and services that enable near real\-time insights and agentic assistance across model\-driven apps. You’ll work on highly scalable systems that empower makers to build intelligent agents per app, transforming how users interact with data and automation.
 This is a strategic opportunity to shape the future of agentic AI in business applications, driving innovation and impact across Microsoft’s low\-code platform. Individually, this is where you get to transform yourself to an AI Engineer.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develop scalable microservices, agents and SDKs that power agentic experiences in business apps.
* Lead technical design and implementation of existing and new features.
* Collaborate with product managers, designers, data scientists and partner teams to deliver high\-impact solutions with high\-reliability.
* Drive innovation in low\-code and pro\-code extensibility, enabling makers to build custom agents with ease.
* Drive users from an autonomy scale of 1 to 10 and maximize end\-user productivity.
* Mentor and guide engineers, fostering a high\-performing and inclusive team culture.
* Ensure security, compliance, and performance across all service components.
* Continuously improve developer experience and platform capabilities through experimentation and feedback loops.
**Qualifications**
**Required Qualifications:**
* Bachelor's Degree in Computer Science or related technical field AND 6\+ years technical engineering experience with coding in languages including, but not limited to, C, C\+\+, C\#, Java, JavaScript, or Python
+ OR equivalent experience.
* Proven experience in designing and building scalable services.
* Knowledge of Agentic Architecture and integration in products.
* Solid technical leadership and cross\-team collaboration skills.
* Deep understanding of service fundamentals: reliability, scalability, maintainability, and performance.
* 10\+ years of software development experience with a track record of shipping enterprise\-grade solutions.
* Front\-end experience in React, Javascript, HTML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5">
      <c r="A85" t="inlineStr">
        <is>
          <t>li-4373388280</t>
        </is>
      </c>
      <c r="B85" t="inlineStr">
        <is>
          <t>Software Engineer</t>
        </is>
      </c>
      <c r="C85" t="inlineStr">
        <is>
          <t>Jobs via Dice</t>
        </is>
      </c>
      <c r="D85" t="inlineStr">
        <is>
          <t>linkedin</t>
        </is>
      </c>
      <c r="E85">
        <f>HYPERLINK("https://www.linkedin.com/jobs/view/4373388280", "https://www.linkedin.com/jobs/view/4373388280")</f>
        <v/>
      </c>
      <c r="F85" t="inlineStr"/>
      <c r="G85" t="inlineStr">
        <is>
          <t>Woodbridge, NJ</t>
        </is>
      </c>
      <c r="H85" t="inlineStr"/>
      <c r="I85"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Woodbridge Township, New Jersey
 job type: Contract
 salary: $71\.40 \- 76\.40 per hour
 work hours: 8am to 5pm
 education: Bachelors
 responsibilities:
 The Lead Cyber Security Research Consultant will serve as the team's senior\-most subject matter expert on cybersecurity.
* Act as the primary technical consultant on all aspects of cybersecurity, including threat modeling, risk assessment, secure coding practices, and compliance.
* Conduct research on emerging threats and vulnerabilities, and translate this research into actionable requirements for the AI models and solutions.
* Define and own the data\-driven frameworks, like the Cyber Risk Rubric, that our AI models will use to triage and prioritize risks.
* Work closely with the Lead AI/ML Engineer to design experiments and validate the accuracy and effectiveness of the AI models from a security perspective.
* Mentor the entire team on cybersecurity concepts and best practices, raising the overall security acumen of the group.
* Serve as the bridge between the AI development team and the broader cybersecurity organization, ensuring alignment and collaboration.
 qualifications:
 Required Qualifications: 5\+ years of Software Engineering experience, or equivalent demonstrated through one or a combination of the following: work or consulting experience, training, military experience, education.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86">
      <c r="A86" t="inlineStr">
        <is>
          <t>li-4190707141</t>
        </is>
      </c>
      <c r="B86" t="inlineStr">
        <is>
          <t>Backend Engineer, Core Technology</t>
        </is>
      </c>
      <c r="C86" t="inlineStr">
        <is>
          <t>Stripe</t>
        </is>
      </c>
      <c r="D86" t="inlineStr">
        <is>
          <t>linkedin</t>
        </is>
      </c>
      <c r="E86">
        <f>HYPERLINK("https://www.linkedin.com/jobs/view/4190707141", "https://www.linkedin.com/jobs/view/4190707141")</f>
        <v/>
      </c>
      <c r="F86" t="inlineStr"/>
      <c r="G86" t="inlineStr">
        <is>
          <t>Seattle, WA</t>
        </is>
      </c>
      <c r="H86" t="inlineStr"/>
      <c r="I8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Stripe Infrastructure is responsible for the reliability, scale, performance, and cost of Stripe’s systems and the productivity and sentiment of Stripe’s people.
 You may work on a wide variety of critical business areas including:
* Core Infrastructure \- We’re the home for Stripe's critical tier0 infrastructure systems (Compute, Networking, DocumentDB, Distributed Caching and High assurance engineering). We build the foundational platform for Stripe products and services to allow them to operate at scale. We drive reliability, availability, efficiency and scalability of these systems.
* Developer Infrastructure \- We’re responsible for the productivity of all developers at Stripe. Ensure Stripe’s engineers have a reliable, fast, and easy\-to\-use inner dev loop to maximize productivity while building everything from low\-latency microservices to large\-scale data pipelines and machine learning models
* Data Infrastructure \- We’re responsible for offering data serving infrastructure spanning across data warehouse analytics, streaming analytics and search capabilities. The stack is supported by a collection of internally developed large scale distributed services and several popular open source technologies like Trino/Presto, Apache Pinot, Hive Metastore, ElasticSearch etc. The systems we own support all of the data serving needs of high scale services and thousands of individual Stripes across the company.
* Admin Platform \- We empower Stripes to quickly build secure and delightful internal products in service of their users.
* Service Platform \- We enable engineering teams at Stripe to easily write and ship useful services that correctly, reliably, and efficiently leverage platform capabilities.
 Team Matching: exact team matching for one of the subteams will begin during final stages. Please note we may also consider you for different orgs based on your experience, location, etc. More information on our team matching process can be found here.
 What you’ll do
 You will work on projects that span technologies, systems, and processes where you will design, build, test, and ship great code every day.
**Responsibilities**
* Build a great customer experience for internal and external Stripe teams using our infrastructure
* Participate in roadmap planning and prioritization
* Deliver value through a strong collaborative approach with multiple customers and stakeholders across Stripe
* Debug production issues across services and several levels of the stack
 Who you are
 We’re looking for someone who meets the minimum requirements to be considered for the role. If you meet these requirements, you are encouraged to apply. The preferred qualifications are a bonus, not a requirement.
**Minimum Requirements**
* Strong software engineering skills and a passion for one of the areas above.
* Ability to write high quality code (in programming languages like Go, Java, C/C\+\+ etc)
* 2\-12\+ years of professional hands\-on software development experience, able to write well\-factored algorithms and have experience with commonly used data structure and algorithms
* Hands\-on experience contributing to or building large scale distributed systems
* Strong collaboration skills, can work across workstreams within your team and contribute to your peers’ success
* Customer obsession, ability to articulate and represent customer experience in various forums to drive the right outcome
* Have the ability to thrive on a high level of autonomy, responsibility, and think of yourself as entrepreneurial
**Preferred Qualifications**
* Experience optimizing the end to end performance of distributed systems
* Focuses on the needs of our users, both internal and external
* Hold yourself and others to a high bar when working with production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$156,800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87">
      <c r="A87" t="inlineStr">
        <is>
          <t>li-4359413165</t>
        </is>
      </c>
      <c r="B87" t="inlineStr">
        <is>
          <t>Backend Engineer/API, Payments and Risk</t>
        </is>
      </c>
      <c r="C87" t="inlineStr">
        <is>
          <t>Stripe</t>
        </is>
      </c>
      <c r="D87" t="inlineStr">
        <is>
          <t>linkedin</t>
        </is>
      </c>
      <c r="E87">
        <f>HYPERLINK("https://www.linkedin.com/jobs/view/4359413165", "https://www.linkedin.com/jobs/view/4359413165")</f>
        <v/>
      </c>
      <c r="F87">
        <f>HYPERLINK("https://stripe.com/jobs/listing/backend-engineer-api-payments-and-risk/6692166?gh_src=73vnei&amp;urlHash=eGmB", "https://stripe.com/jobs/listing/backend-engineer-api-payments-and-risk/6692166?gh_src=73vnei&amp;urlHash=eGmB")</f>
        <v/>
      </c>
      <c r="G87" t="inlineStr">
        <is>
          <t>New York, United States</t>
        </is>
      </c>
      <c r="H87" t="inlineStr"/>
      <c r="I87"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88">
      <c r="A88" t="inlineStr">
        <is>
          <t>li-4359611417</t>
        </is>
      </c>
      <c r="B88" t="inlineStr">
        <is>
          <t>Full Stack Engineer, Collaboration</t>
        </is>
      </c>
      <c r="C88" t="inlineStr">
        <is>
          <t>Stripe</t>
        </is>
      </c>
      <c r="D88" t="inlineStr">
        <is>
          <t>linkedin</t>
        </is>
      </c>
      <c r="E88">
        <f>HYPERLINK("https://www.linkedin.com/jobs/view/4359611417", "https://www.linkedin.com/jobs/view/4359611417")</f>
        <v/>
      </c>
      <c r="F88" t="inlineStr"/>
      <c r="G88" t="inlineStr">
        <is>
          <t>San Francisco, CA</t>
        </is>
      </c>
      <c r="H88" t="inlineStr"/>
      <c r="I8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Collaboration team helps Stripe employees work smarter, find information and share knowledge, get to know each other, and request and receive help from one another. Many of our solutions come together in Stripe Home, our custom\-built intranet (read more about it here: https://stripe.com/blog/stripe\-home). The team is small and nimble, and works across a wide stack: on any given day, we discuss user interface design, data models, API design, infrastructure maintenance, search relevance, or all of the above. We’re excited to innovate in a space that traditionally isn’t thought of in the forefront of innovation.
 Being a small team, we carefully choose what we work on to have the highest leverage. This is not always easy: we work very cross\-functionally, at times partnering with various groups from engineering to HR to top management of the company. But one of our greatest rewards is getting to sit next to and see the impact our work has on our users: our fellow Stripe employees.
 What you’ll do
 As an engineer on Stripe’s Collaboration team, you will be a key member of a team that acts as a force multiplier on the internal tools that Stripe uses. You will focus on building innovative GenAI\-powered experiences that help Stripe employees be more productive across various tasks and activities. You will build these experiences by collaborating with multiple other teams across Stripe and experimenting with different ideas and newest technologies.
**Responsibilities**
* Work with a team of technically sophisticated engineers who put users first.
* Own solutions from end to end, managing complexity and engaging directly with stakeholders to think through everything from success metrics, to the ergonomics of individual API’s.
* Use both qualitative and quantitative metrics to determine priorities and measure effectiveness.
* Uphold Stripe’s high standards for engineering and product quality and mentor newer team members to do the same.
 Who you are
 We’re looking for someone who meets the minimum requirements to be considered for the role. If you meet these requirements, you are encouraged to apply. The preferred qualifications are a bonus, not a requirement.
**Minimum Requirements**
* You have 7\+ years of industry experience.
* You have 2\+ years of industry experience building rich web experiences using modern frameworks such as React, Vue, etc.
* You enjoy working across a full stack, from user experience, to API design, to reliability.
**Preferred Qualifications**
* \* You have a passion for enabling people to do their best work.
+ You have a track record of shipping LLM\-powered or information retrieval experiences with a strong understanding of how underlying technologies work.
+ You have industry experience working with Ruby, TypeScript, and React.
+ You have a healthy respect for corporate software, understanding where it shines and where it could be improved.
+ You never lose sight of the end\-user, and enjoy the quick feedback loops made possible by working (sometimes literally) next to your users.
+ You enjoy working together with your team toward common goals, but are able to drive your work forward autonomously.
+ You work very well cross\-functionally, and are able to think rigorously and make hard decisions and tradeoffs.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$187,500 \- $281,300\.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89">
      <c r="A89" t="inlineStr">
        <is>
          <t>li-4358589694</t>
        </is>
      </c>
      <c r="B89" t="inlineStr">
        <is>
          <t>Backend Engineer/API, Payments and Risk</t>
        </is>
      </c>
      <c r="C89" t="inlineStr">
        <is>
          <t>Stripe</t>
        </is>
      </c>
      <c r="D89" t="inlineStr">
        <is>
          <t>linkedin</t>
        </is>
      </c>
      <c r="E89">
        <f>HYPERLINK("https://www.linkedin.com/jobs/view/4358589694", "https://www.linkedin.com/jobs/view/4358589694")</f>
        <v/>
      </c>
      <c r="F89" t="inlineStr"/>
      <c r="G89" t="inlineStr"/>
      <c r="H89" t="inlineStr"/>
      <c r="I89"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90">
      <c r="A90" t="inlineStr">
        <is>
          <t>li-4376511028</t>
        </is>
      </c>
      <c r="B90" t="inlineStr">
        <is>
          <t>Software Developer</t>
        </is>
      </c>
      <c r="C90" t="inlineStr">
        <is>
          <t>Inherent Technologies</t>
        </is>
      </c>
      <c r="D90" t="inlineStr">
        <is>
          <t>linkedin</t>
        </is>
      </c>
      <c r="E90">
        <f>HYPERLINK("https://www.linkedin.com/jobs/view/4376511028", "https://www.linkedin.com/jobs/view/4376511028")</f>
        <v/>
      </c>
      <c r="F90" t="inlineStr"/>
      <c r="G90" t="inlineStr">
        <is>
          <t>Minnesota, United States</t>
        </is>
      </c>
      <c r="H90" t="inlineStr"/>
      <c r="I90" t="inlineStr">
        <is>
          <t>**Position: Software Developer**
**Location: Minneapolis, MN/Remote**
**Job Qualification**
 Software Engineer must possess strong written and oral communication skills.
 Must Have Technology Skills
 Clear and demonstrable understanding of Object\-Oriented Programming and distributed system architecture.
* NET, C\#, ASP.NET.
 JavaScript, TypeScript.
 CSS3, HTML5, AngularJS, Angular, ReactJS, and other modern web development frameworks.
 Experience in web services, Web Api, RESTful services, microservices and API security best practices.
 Service\-Oriented Architecture and Enterprise Service Bus NServiceBus, MSMQ, RabbitMQ, Kafka.
 NHibernate, Dapper, Entity Framework or equivalent ORM experience.
 Experience developing windows services.
 Experience creating stored procedures, database views, triggers, indexes.
 Understand the concepts and best practices of DevOps and modern CI/CD.
 Strongly Desired Technology Skills
 Ability to leverage AI in day\-to\-day engineering practices.
* NET Framework 3\.5 \- 4\.8, .NET Core, and .NET 5
 SOLID principles, Enterprise Design Patterns, Event Driven Architecture, designing distributed systems and architecture.
 NUnit, Test Driven Development (TDD).
 IIS (or equivalent).
 SQL Server Integration Services (SSIS), Reporting Services (SRSS).
 Agile development experience using SCRUM desired.
 XML, XSLT, PowerShell.</t>
        </is>
      </c>
    </row>
    <row r="91">
      <c r="A91" t="inlineStr">
        <is>
          <t>li-4376508255</t>
        </is>
      </c>
      <c r="B91" t="inlineStr">
        <is>
          <t>Backend Engineer, Data Centers</t>
        </is>
      </c>
      <c r="C91" t="inlineStr">
        <is>
          <t>Meter</t>
        </is>
      </c>
      <c r="D91" t="inlineStr">
        <is>
          <t>linkedin</t>
        </is>
      </c>
      <c r="E91">
        <f>HYPERLINK("https://www.linkedin.com/jobs/view/4376508255", "https://www.linkedin.com/jobs/view/4376508255")</f>
        <v/>
      </c>
      <c r="F91">
        <f>HYPERLINK("https://jobs.ashbyhq.com/meter/955b44cb-2308-49c4-9e11-25cfcf974ca2/application?utm_source=EgmRyyXAJb&amp;urlHash=Jo4Z", "https://jobs.ashbyhq.com/meter/955b44cb-2308-49c4-9e11-25cfcf974ca2/application?utm_source=EgmRyyXAJb&amp;urlHash=Jo4Z")</f>
        <v/>
      </c>
      <c r="G91" t="inlineStr">
        <is>
          <t>San Francisco, CA</t>
        </is>
      </c>
      <c r="H91" t="inlineStr"/>
      <c r="I91" t="inlineStr">
        <is>
          <t>**Meter’s mission and long term ambition**
 The internet runs the world–data centers, offices, manufacturing facilities, schools, etc., spend billions annually on computer networking to stay productive.
 However, these networks are messy and brittle. Traditional networking companies only build one piece of the puzzle—either hardware, software, or operations—but never all three, leading to inefficient silos and slow changes. Network engineers—the lifeblood of the industry—are often left scrambling to fix issues, hand editing configs, guess\-and\-checking solutions, and worrying how the ever\-increasing complexity of the system they manage will break.
 Meter has spent the last decade vertically integrating the fragmented computer networking industry across hardware (power, routing, switches, security, wireless), firmware, operating systems, and real\-world operations. By owning the full stack, we make it exceptionally easy for any business to have great networking, internet, and Wi\-Fi. We believe people who build hardware and software should be the ones responsible for it. Our ambition is to evolve internet infrastructure into a utility, and we recently raised a $170M Series C to advance our work.
**Why data centers?**
 Data centers are the next step in the evolution of Meter’s product line. We’ve built a strong business providing enterprise and campus networks to our customers, and now we need to build upon our platform to help customers move data into, out of, and across their data centers.
 Data centers are critical to the world. All traffic on the public internet and private clouds, including AI models’ training and inference, depends on data centers to process, store, and move data quickly. Our reliance on data centers will only grow, with Morgan Stanley estimating that between 2025 and 2029 global spending on data centers will hit $3 trillion.
**Why this role matters**
 Meter has ambitious growth goals as we build switching products for data center users.
 These networks have significant feature, reliability, performance, and monitoring requirements. We’ll also be heavily scrutinized as a new vendor in this market. Your job is to work closely with our firmware and frontend teams to ensure our infrastructure scales to meet these requirements.
**You will have an impact by**
* Working in Go and Python, ensure backwards compatibility and feature versioning across constantly evolving schemas
* Build scalable pipelines for ingesting, transforming, and serving petabytes of data across Kafka, Postgres, and Clickhouse
* Create CI/CD workflows that evolve the API in lockstep with changes to the underlying data schema
* Enable fine\-grained querying of historical and real\-time data for any network, at any point in time
* Help define and enforce the principle of "smart data, dumb functions": doing as much as possible in the data layer to keep downstream code minimal
* Collaborate with modelers to co\-design training and evaluation pipelines that are reproducible, debuggable, and fast
* Own performance across key endpoints to meet real\-time serving constraints
****Compensation****
 We think about Meter's compensation package as a combination of salary, equity, benefits, and the experience of working with a talented team to make the biggest impact of your career.
* The estimated salary range for this role is $170,000 \- $220,000\.
* Additionally, this role is eligible to participate in Meter's equity plan.
 The salary range represents the low and high end of the salary range for this job in the Bay Area. The actual salary offer will carefully consider a wide range of factors such as your skills, qualifications and experience.
****Benefits****
* Medical, dental \&amp; vision insurance coverage for you and your dependents
+ Annual memberships to One Medical, Headspace and Wellhub
* 401k (traditional and Roth options available)
* Flexible time off (FTO)
* Commuter reimbursement
* Parental Leave
* In\-house chef and onsite meals (San Francisco Office)
****Compensation****
* The estimated salary range for this role is $163,000 \- $220,000\.
* Additionally, this role is eligible to participate in Meter's equity plan.
 By applying to this job you acknowledge that you've read and understood Meter's Job Applicant Privacy Notice.</t>
        </is>
      </c>
    </row>
    <row r="92">
      <c r="A92" t="inlineStr">
        <is>
          <t>li-4376395840</t>
        </is>
      </c>
      <c r="B92" t="inlineStr">
        <is>
          <t>Software Engineer – Automation &amp; AI</t>
        </is>
      </c>
      <c r="C92" t="inlineStr">
        <is>
          <t>Rockhaven Homes</t>
        </is>
      </c>
      <c r="D92" t="inlineStr">
        <is>
          <t>linkedin</t>
        </is>
      </c>
      <c r="E92">
        <f>HYPERLINK("https://www.linkedin.com/jobs/view/4376395840", "https://www.linkedin.com/jobs/view/4376395840")</f>
        <v/>
      </c>
      <c r="F92" t="inlineStr"/>
      <c r="G92" t="inlineStr"/>
      <c r="H92" t="inlineStr"/>
      <c r="I92" t="inlineStr">
        <is>
          <t>**Software Engineer – Automation \&amp; AI** 
**Work Location:** 
 In person (Atlanta, GA)
**Pay:** 
 $100,000\.00 – $120,000\.00 per year
**About Rockhaven Homes** 
 At Rockhaven Homes, we’re dedicated to providing a superior home buying experience. We build vibrant communities of single\-family homes and townhomes pairing quality craftsmanship with a collaborative, forward\-thinking team culture.
 We utilize tools like Power BI, SQL, MarkSystems, Python, and Power Automate to streamline reporting/operations and empower every department with actionable insights.
**Role Overview** 
 This is a hands\-on, in\-office Software Engineer role reporting directly to the CTO. You’ll be our second software\-focused technical hire, working closely with leadership to design, build, and iterate on internal business applications and automation tools.
 Much of the work will be experimental and greenfield. Early versions may be rebuilt, refactored, or discarded as we learn. We value coachability, curiosity, and learning ability over rigid experience or fixed ways of working.
 You should be comfortable taking a loosely defined idea (for example:
 *“help us map and track our starts process across departments”* 
 ) and beginning to design and build practical solutions independently, with regular feedback and final code review from the CTO.
 This role is ideal for someone excited about new technology, applied AI, automation, and rapid development, who wants meaningful ownership and direct exposure to how a business operates. You will be working side\-by\-side with multiple teams and must be proficient in communication with non\-technical users. You will on occasion need to help with technical support, largely for the apps you will have helped create.
**Focus Areas** 
 \~50% internal application development (business tools, dashboards, workflows)
 \~30% automation \&amp; applied AI (APIs, agents, integrations)
 \~10% experimentation, prototyping, and technical R\&amp;D                                                                    
 \~10% Technical Support / Application Maintenance
**Key Responsibilities** 
 Application Development
 Design, build, and maintain internal business applications used across departments
 Support current internal business applications
 Translate loosely defined business needs into working technical solutions
 Develop data\-backed tools that support operations, reporting, and decision\-making
 Implement role\-based access, workflows, and basic authentication where needed
 Iterate quickly based on real user feedback and evolving requirements
**Automation \&amp; AI Integration** 
 Integrate third\-party APIs, webhooks, and internal systems
 Build automation workflows to reduce manual processes and operational friction
 Incorporate applied AI tools (LLMs, agents, summarization, recommendations) into internal apps where appropriate
 Prototype agent\-style tools that assist with monitoring, analysis, and task routing
 Evaluate new tools and technologies and recommend practical use cases
**Collaboration \&amp; Growth** 
 Work directly with the CTO on architecture, design decisions, and code reviews
 Communicate technical concepts clearly to non\-technical stakeholders
 Document systems, workflows, and decisions to ensure maintainability
 Continuously learn new tools, frameworks, and AI capabilities
 Help shape internal development standards and best practices as the team grows
**Growth \&amp; Development** 
 Direct mentorship from the CTO with frequent feedback and guidance
 Exposure to the full lifecycle of internal software—from idea to production
 Freedom to experiment, learn from failure, and propose new ideas
**Qualifications** 
 2–5 years of experience in software development or a similar technical role
 Strong fundamentals in at least one modern programming language (Python strongly preferred)
 Comfort working with APIs, integrations, and data\-driven applications
 Experience building or maintaining web applications, dashboards, or internal tools
 Ability to work independently with minimal initial requirements
 Strong curiosity and willingness to learn new technologies quickly
 Excellent communication skills and openness to feedback
**Bonus (Nice to Have)** 
 Experience with multiple frameworks
 Familiarity with modern modular or API\-first architectures
 Exposure to SQL databases and data modeling concepts
 Experience integrating AI/LLM APIs into applications
 Familiarity with Power BI, Power Automate, or internal business tooling
 Experience working in small teams or startup\-style environments
**Benefits:** 
 401(k)
 Dental insurance
 Health insurance
 Vision insurance
 Paid time off</t>
        </is>
      </c>
    </row>
    <row r="93">
      <c r="A93" t="inlineStr">
        <is>
          <t>li-4376388969</t>
        </is>
      </c>
      <c r="B93" t="inlineStr">
        <is>
          <t>Software Developer</t>
        </is>
      </c>
      <c r="C93" t="inlineStr">
        <is>
          <t>Unicorn Technologies LLC</t>
        </is>
      </c>
      <c r="D93" t="inlineStr">
        <is>
          <t>linkedin</t>
        </is>
      </c>
      <c r="E93">
        <f>HYPERLINK("https://www.linkedin.com/jobs/view/4376388969", "https://www.linkedin.com/jobs/view/4376388969")</f>
        <v/>
      </c>
      <c r="F93" t="inlineStr"/>
      <c r="G93" t="inlineStr">
        <is>
          <t>New York, United States</t>
        </is>
      </c>
      <c r="H93" t="inlineStr"/>
      <c r="I93" t="inlineStr">
        <is>
          <t>**Job Title: Software Developer (Expert)**
**Location: Schenectady, NY**
**Position Description**
 Maintains several OPWDD Java web applications including IRMA, SEMP, Respite, and Fire Portal. The role also supports new application design, development, testing, and implementation throughout the full System Development Life Cycle (SDLC). The position contributes to enterprise initiatives and provides training and mentoring to junior developers.
**Responsibilities**
* Design and create database scripts.
* Design, develop, maintain, and enhance Java applications.
* Perform application testing and validation.
* Create and maintain technical documentation.
* Assist with application implementation and ITSM incidents/work intake requests.
* Participate in full SDLC activities including research, design, coding, testing, and deployment.
* Support enterprise projects and modernization efforts as required.
* Provide mentoring and technical guidance to less experienced developers.
**Additional Environment \&amp; Tools**
* Java, Oracle Forms/Reports, .NET, Power Apps
* Platforms: Unix, Linux, AIX, Citrix, VMS
**Required Technologies \&amp; Qualifications**
* 84\+ months developing server\-side Java web applications in multi\-tier environments (JDK 1\.5\+).
* 60\+ months writing Oracle SQL, stored procedures, functions, packages, and triggers (Oracle 10g\+).
* 48\+ months experience in database design and object creation/modification for large Oracle databases (20\+ tables).
* 48\+ months experience with Java Server Faces (JSF).
* 36\+ months experience with Java Persistence API (JPA).
* 36\+ months experience with JavaScript / jQuery.</t>
        </is>
      </c>
    </row>
    <row r="94">
      <c r="A94" t="inlineStr">
        <is>
          <t>li-4374997687</t>
        </is>
      </c>
      <c r="B94" t="inlineStr">
        <is>
          <t>Junior Software Engineer – Java (Spring Boot)</t>
        </is>
      </c>
      <c r="C94" t="inlineStr">
        <is>
          <t>Complama</t>
        </is>
      </c>
      <c r="D94" t="inlineStr">
        <is>
          <t>linkedin</t>
        </is>
      </c>
      <c r="E94">
        <f>HYPERLINK("https://www.linkedin.com/jobs/view/4374997687", "https://www.linkedin.com/jobs/view/4374997687")</f>
        <v/>
      </c>
      <c r="F94" t="inlineStr"/>
      <c r="G94" t="inlineStr">
        <is>
          <t>Ann Arbor, MI</t>
        </is>
      </c>
      <c r="H94" t="inlineStr"/>
      <c r="I94" t="inlineStr">
        <is>
          <t>At
 **Complama** 
 , we use AI to enable fast\-growing companies to build secure, trustworthy products by turning cybersecurity, privacy, and AI governance requirements into clear, self\-service workflows. We’re looking for a
 **Back\-End Software Engineer** 
 to join our small, high\-trust team and contribute directly to our product development.
 This is a hands\-on role, great for highly skilled engineer early in their career who is extremely comfortable with Java/Springboot, knows how to effectively leverage AI tools, and is excited to work in a startup\-environment where they can move quickly, ship swiftly, and take real ownership.
 We are a remote\-first company, but
 *highly prefer* 
 candidates located near our hubs in
 **Ann Arbor, Michigan and New York, NY** 
 to facilitate regular, in\-person connection. and ease the possible move to a hybrid work environment as we grow.
**What We're Looking For:**
 We’re seeking a self\-starter who is technically capable, thoughtful in their approach, and highly motivated to grow in a fast\-paced environment.
 You are a strong candidate if you:
* Have built cloud applications using Java/Spring Boot
* Have deployed applications to Google Cloud Platform and used Firebase, Cloudrun, and Cloud SQL
* Have built and deployed using CI/CD pipelines, preferably using GitHub actions
* Are familiar with Serverless Architectures
* Are comfortable building APIs
 You are a stellar candidate if you also:
* Have built AI assistants like RAG agents
* Are familiar with cutting\-edge AI memory technologies like Supermemory or Mem0
* Are deeply passionate about democratizing cybersecurity and data privacy
* Are a proactive, excellent communicator who brings a positive energy and a “can\-do” attitude.
* Are looking for “more than just a job”
*We are open to candidates of all educational backgrounds; however, the typical candidate for this role would hold, or be nearing completion of, a bachelor’s or master’s degree in computer science or a related field. If you are a current student, recent graduate, or are graduating in May 2026 and are interested in starting in this role upon graduation, please feel welcome to apply.* 
**Why work for us:**
* You’d like to be part of a fast\-moving startup, revolutionizing a competitive, highly technical industry
* You are excited to build something and grow with company and are more motivated by that then base compensation.
* You want to be part of a flexible workplace that values presence and outcomes over appearances, and understands you may have commitments outside of work and will work with you around class schedules, child care schedules, or anything else that may come up.
**Other things to know:**
* We are open to both part\-time and full\-time candidates for this role, and hours may fluctuate over time.
* This role offers a compensation package that includes a combination of base\-pay and equity, but leans heavily toward equity.
* Our equity package is quite competitive, but base\-pay is unlikely to compete with what other, later\-stage companies can offer.
* We E\-Verify, and are open to candidates from all backgrounds, including those on OPT and STEM\-OPT; however, we are not able to sponsor candidates on H1\-B at this time for this role.</t>
        </is>
      </c>
    </row>
    <row r="95">
      <c r="A95" t="inlineStr">
        <is>
          <t>li-4374990899</t>
        </is>
      </c>
      <c r="B95" t="inlineStr">
        <is>
          <t>Senior Software Engineer</t>
        </is>
      </c>
      <c r="C95" t="inlineStr">
        <is>
          <t>Practice AI</t>
        </is>
      </c>
      <c r="D95" t="inlineStr">
        <is>
          <t>linkedin</t>
        </is>
      </c>
      <c r="E95">
        <f>HYPERLINK("https://www.linkedin.com/jobs/view/4374990899", "https://www.linkedin.com/jobs/view/4374990899")</f>
        <v/>
      </c>
      <c r="F95" t="inlineStr"/>
      <c r="G95" t="inlineStr">
        <is>
          <t>Los Angeles, CA</t>
        </is>
      </c>
      <c r="H95" t="inlineStr"/>
      <c r="I95" t="inlineStr">
        <is>
          <t>**Company:** 
 PracticeAI  
**Location:** 
 Woodland Hills, CA  
**Job Type:** 
 Full\-time
**Overview:** 
 PracticeAI is at the forefront of legal technology innovation. We are looking for a seasoned Senior Software Engineer to lead our development initiatives, crafting and refining microservices architecture and Blazor\-based frontend applications. This role is instrumental in driving our technology forward, collaborating closely with our CTO, and managing a team of talented developers.
**Responsibilities:** 
* Design, develop, and manage robust microservices and sophisticated Blazor\-based systems.
* Mentor a team of developers, overseeing their code check\-ins and ensuring compliance with industry standards through rigorous code reviews.
* Collaborate extensively with the CTO to strategize and architect new product features and system enhancements.
* Develop high\-quality, secure, and maintainable code in C\#, .NET, and Blazor.
* Utilize Azure services effectively to deploy and scale applications, ensuring high availability and reliability.
* Manage database integrations and operations with both SQL and MongoDB, focusing on performance and scalability.
* Coordinate with cross\-functional teams to ensure that projects align with strategic business goals and comply with regulatory standards.
* Oversee the software development lifecycle, from concept to deployment, and provide ongoing support and optimization.
**Qualifications:** 
* Bachelor’s degree in Computer Science or a related field; Master’s degree is preferred.
* Minimum of 5 years of experience in software development, with expertise in enterprise\-grade application development.
* Proficiency in C\#, .NET Core, Blazor, and microservices architecture.
* Strong experience with Azure cloud services, JSON, SQL databases, and MongoDB.
* Demonstrated ability in Object\-Oriented Design and complex software development project management.
* Extensive experience with Agile or Scrum software development methodologies.
* Excellent leadership skills, capable of mentoring and guiding a team towards achieving technical excellence.</t>
        </is>
      </c>
    </row>
    <row r="96">
      <c r="A96" t="inlineStr">
        <is>
          <t>li-4376504337</t>
        </is>
      </c>
      <c r="B96" t="inlineStr">
        <is>
          <t>Backend Engineer - Amari AI</t>
        </is>
      </c>
      <c r="C96" t="inlineStr">
        <is>
          <t>Pear VC</t>
        </is>
      </c>
      <c r="D96" t="inlineStr">
        <is>
          <t>linkedin</t>
        </is>
      </c>
      <c r="E96">
        <f>HYPERLINK("https://www.linkedin.com/jobs/view/4376504337", "https://www.linkedin.com/jobs/view/4376504337")</f>
        <v/>
      </c>
      <c r="F96" t="inlineStr"/>
      <c r="G96" t="inlineStr">
        <is>
          <t>Austin, CA</t>
        </is>
      </c>
      <c r="H96" t="inlineStr"/>
      <c r="I96" t="inlineStr">
        <is>
          <t>**About Us**
 Global trade still runs on outdated, manual workflows \- we are fixing that by building AI agents for the logistics industry. Our AI works alongside humans, automating document\-heavy tasks so companies can process shipments faster and with fewer errors.
 We have moved past the "zero\-to\-one" phase and have achieved clear product\-market fit. We are currently seeing rapid traction with \&gt;100% MoM revenue growth and are already deployed with customers processing meaningful operational volume. We've raised $5M from First Round Capital and Pear VC and are now scaling our platform's breadth and depth. Our deeply technical team comes from Google, LinkedIn, Salesforce and top schools and AI research labs.
**The Role**
 As a Backend Engineer at Amari AI, you aren't just writing code \- you are building the engine of a high\-growth AI startup. We are looking for a "builder" in the truest sense: someone with the professional experience to write clean and scalable code. You will play a key role in bringing our most important features to life. We’re looking for someone who enjoys the flow of building high\-quality backend systems and finds it rewarding to ship production\-ready code that solves real\-world logistics challenges at scale.
**What You’ll Do**
* Ship Fast \&amp; Often: Build and deploy production\-ready services across our logistics stack \- handling everything from AI integrations to API design.
* Own Feature Lifecycle: Take a product requirement from a whiteboard sketch to a fully monitored, scalable backend service.
* Optimize Data Flow: Implement and refine database schemas (SQL/NoSQL) and indexing strategies to ensure our real\-time logistics data remains lightning\-fast.
* Iterate on AI Infrastructure: Work closely with the AI team to build the "plumbing" that allows our models to process massive logistics datasets in real\-time.
* Maintain Excellence: Write tests and documentation that allow us to move fast without breaking things.
**Who We’re Looking For**
* 3–5 years of professional experience: You’ve moved past the "junior" phase and have a solid grasp of how to build and maintain production systems.
* Bias for Action: You prefer "shipping and iterating" over "over\-architecting and debating."
* Technical Toolkit: Proficiency inPython, experience with distributed systems, message queues (e.g., Redis, RabbitMQ), and cloud infrastructure.
* Pragmatic Problem Solver: You know when to use a simple solution to get a feature out the door and when a problem requires a deep architectural dive.
* In\-Person Collaboration: You want to be in the room where it happens, working side\-by\-side with the founding team in San Francisco.
**Success Metrics**
* Velocity: You consistently ship high\-quality features within sprint cycles.
* Execution Quality: Your code is modular, well\-tested, and doesn't require constant "babysitting" once in production.
* Problem Ownership: You identify bottlenecks in the backend and fix them without being asked.
* System Performance: The services you build meet latency and throughput targets as our data volume scales.
**Is This the Right Fit?**
**You Will Love This Role If**
* You get a dopamine hit from seeing your code hit production and solve real user problems.
* You are a "generalist" who is happy to jump into any part of the backend to unblock the team.
* You want to be a foundational member of a team where your individual output directly moves the company's valuation.
**This Might Not Be For You If**
* You prefer a slow, methodical pace with multiple layers of approval before shipping.
* You want to focus solely on high\-level architecture rather than daily implementation.
* You are uncomfortable with the "pivot and polish" nature of early\-stage startups.
**Perks**
* Meaningful equity in a fast\-growing, seed\-stage startup.
* Daily catered lunches and dinners in our SF office.
* Comprehensive health, dental, and vision insurance.
* 401k plan and all the tools you need to build at your best.</t>
        </is>
      </c>
    </row>
    <row r="97">
      <c r="A97" t="inlineStr">
        <is>
          <t>li-4364921338</t>
        </is>
      </c>
      <c r="B97" t="inlineStr">
        <is>
          <t>Software Engineer</t>
        </is>
      </c>
      <c r="C97" t="inlineStr">
        <is>
          <t>Lockheed Martin</t>
        </is>
      </c>
      <c r="D97" t="inlineStr">
        <is>
          <t>linkedin</t>
        </is>
      </c>
      <c r="E97">
        <f>HYPERLINK("https://www.linkedin.com/jobs/view/4364921338", "https://www.linkedin.com/jobs/view/4364921338")</f>
        <v/>
      </c>
      <c r="F97">
        <f>HYPERLINK("https://sjobs.brassring.com/TGnewUI/Search/home/HomeWithPreLoad?PageType=JobDetails&amp;partnerid=25037&amp;siteid=5010&amp;jobId=836352&amp;codes=ZA646&amp;utm_campaign=LM_Space&amp;utm_term=rm&amp;utm_source=LinkedIn&amp;utm_medium=Internet-Board&amp;urlHash=ybwp", "https://sjobs.brassring.com/TGnewUI/Search/home/HomeWithPreLoad?PageType=JobDetails&amp;partnerid=25037&amp;siteid=5010&amp;jobId=836352&amp;codes=ZA646&amp;utm_campaign=LM_Space&amp;utm_term=rm&amp;utm_source=LinkedIn&amp;utm_medium=Internet-Board&amp;urlHash=ybwp")</f>
        <v/>
      </c>
      <c r="G97" t="inlineStr">
        <is>
          <t>Littleton, CO</t>
        </is>
      </c>
      <c r="H97" t="inlineStr"/>
      <c r="I97" t="inlineStr">
        <is>
          <t>**Basic Qualifications**
* This software engineering position requires hands\-on software engineering skills and knowledge in Java and/or TypeScript/Angular
* Must be a US Citizen ; this position requires a government Top Secret security clearance. This position is located at a facility that requires special access.
 \#LMSpaceSoftwareEng
**Job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Erebus Program is a newly awarded 7\-year effort that delivers cutting\-edge intelligence and geospatial data management applications and services to the National Geospatial\-Intelligence Agency (NGA). As the premier geospatial intelligence program globally, Erebus supports over 14,000 intelligence analysts and decision\-makers at 50 distinct locations worldwide.
 The Program’s focus is on meeting the current mission needs of our customer, but also pioneering future automation solutions for the NGA based on agency directives. We are developing innovative solutions for geospatial analysis and production capabilities that will revolutionize the way intelligence is distributed to stakeholders. To achieve this, we need talented engineers who share our passion for excellence and innovation. If you're a skilled engineer looking for a challenging and rewarding opportunity, join the Erebus Team and help us build next generation of geospatial intelligence software and support critical national security missions.
 In this role, you will be part of a software development Scrum team assisting with software requirements verification, software development and operational support. The successful candidate will have experience and/or knowledge of SCRUM processes and System Requirements verification (such as Jira, Confluence).
 The applicant selected will be subject to a government security investigation and must meet eligibility requirements for access to classified information.
**Desired Skills**
* Angular
* Java
* Kubernetes
* Docker
* Continuous Integration and Deployment Tools: Git, Jenkins, Puppet, Docker
* Agile SW development methodologies
* SAFe processes
* JEE/Spring
* RESTfull and/or SOAP Web Services
* JSON, XML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98">
      <c r="A98" t="inlineStr">
        <is>
          <t>li-4376387995</t>
        </is>
      </c>
      <c r="B98" t="inlineStr">
        <is>
          <t>Software Engineer - AI</t>
        </is>
      </c>
      <c r="C98" t="inlineStr">
        <is>
          <t>Strativ Group</t>
        </is>
      </c>
      <c r="D98" t="inlineStr">
        <is>
          <t>linkedin</t>
        </is>
      </c>
      <c r="E98">
        <f>HYPERLINK("https://www.linkedin.com/jobs/view/4376387995", "https://www.linkedin.com/jobs/view/4376387995")</f>
        <v/>
      </c>
      <c r="F98" t="inlineStr"/>
      <c r="G98" t="inlineStr">
        <is>
          <t>San Francisco, CA</t>
        </is>
      </c>
      <c r="H98" t="inlineStr"/>
      <c r="I98" t="inlineStr">
        <is>
          <t>**Software Engineer \- AI** 
*\-\&gt; Comp; $170\-220k base DOE \+ stock \+ benefits* 
 We are currently partnered with a Unicorn Fintech who are transforming the world of Lending through Artificial Intelligence. Led by former Executives at some of the world's leading Tech businesses and Investment Banks, this is an opportunity to join an outstanding business who are nearing profitability and who are backed by top Tier\-1 investors.
 They are soon embarking on the build of an entirely new, industry\-first product that will involve extensive greenfield development in Generative AI \- they are looking to stand up an Agentic System and Application that will change the future of customer experience. Having seen 5x YoY growth for the past 3 years, you will be joining a business on an extremely strong upward trajectory.
 Working with a team of ex\-Google, Meta \&amp; Stripe Engineers, this role will see be multifaceted. Initially, you leverage strong Product Engineering skills and will working as part of a specialized team who build and ship features for the core platform. Down the line (6\-12 months) you will lead the design, development, and deployment of AI\-driven solutions, including document classification, call center analytics, and domain\-specific agentic AI. You will also identify and implement generative AI use cases to drive operational efficiency across business functions and will manage the architecture, training, and deployment of open\-source deep learning models on advanced infrastructure.
**What we are looking for?** 
* 2\+ Years'
 **commercial** 
 experience in Software Engineering \- ideally strong proficiency in Python and focus on AI\-driven Product Development
* Experience in AI Engineering, ML Engineering or similar, with a focus on building and shipping AI\-powered Applications
* Exceptional Software Engineering skills (particularly in Python coding) with a strong emphasis on AI, particularly large language models (LLMs).
 For this position, we are looking for individuals who have built and shipped AI products and solutions to customer bases. Your experience could be from a startup, major tech org (Databricks, Snowflake, Palantir etc) or from within Big Tech. We are also looking for people who are excited to work on a range of products \- from full\-stack Engineering through to AI/ML.
 This is ultimately an opportunity to be a core contributor in a brand new team where you will lead the development of a Product that could redefine the market and set new standards.
 Please apply ASAP for more info.</t>
        </is>
      </c>
    </row>
    <row r="99">
      <c r="A99" t="inlineStr">
        <is>
          <t>li-4376502428</t>
        </is>
      </c>
      <c r="B99" t="inlineStr">
        <is>
          <t>Full Stack Software Engineer</t>
        </is>
      </c>
      <c r="C99" t="inlineStr">
        <is>
          <t>BALIN TECHNOLOGIES LLC</t>
        </is>
      </c>
      <c r="D99" t="inlineStr">
        <is>
          <t>linkedin</t>
        </is>
      </c>
      <c r="E99">
        <f>HYPERLINK("https://www.linkedin.com/jobs/view/4376502428", "https://www.linkedin.com/jobs/view/4376502428")</f>
        <v/>
      </c>
      <c r="F99">
        <f>HYPERLINK("https://balin.conrep.com/conrep/web/reqm_sheet.php?encd_flg=2&amp;ncRms=UkVRSUQ9Mjg1MDcyOTM3ODY2JkNVU0lEPTM5OTk2Mzk5OTYyMTIxMCZsaWNzRmxnPTEmU291cmNlPUxJRCZKUFNJRD0yODUwNzI5NDg5NDE=&amp;urlHash=dKY9", "https://balin.conrep.com/conrep/web/reqm_sheet.php?encd_flg=2&amp;ncRms=UkVRSUQ9Mjg1MDcyOTM3ODY2JkNVU0lEPTM5OTk2Mzk5OTYyMTIxMCZsaWNzRmxnPTEmU291cmNlPUxJRCZKUFNJRD0yODUwNzI5NDg5NDE=&amp;urlHash=dKY9")</f>
        <v/>
      </c>
      <c r="G99" t="inlineStr"/>
      <c r="H99" t="inlineStr"/>
      <c r="I99" t="inlineStr">
        <is>
          <t>Full Stack Software Engineer with 5\+ years of experience building production web applications using React, Angular,
 TypeScript, and Node.js. Known for helping small teams outperform larger firms by delivering fast, high\-quality solutions.
 Built scalable event and marketing platforms supporting dozens of events and thousands of tradeshow attendees.
 Built and maintained end\-to\-end web platforms using React, Sanity, and Netlify to support event management,
 marketing, and content\-driven websites.
 Created a 50\+ component React design system using Storybook, standardizing UI patterns, enabling dynamic
 page generation, and ensuring WCAG\-compliant accessibility.
 Delivered three standalone event\-hosting platforms, allowing clients to create, manage, and showcase dozens
 of events through responsive, scalable user interfaces.
 Developed a highly customizable annual tradeshow marketing platform supporting thousands of attendees,
 including live streaming, video storage, and dynamic theming.
 Collaborated directly with clients to gather requirements, iterate on feedback, and deliver solutions aligned with
 business goals.
 Maintained and enhanced a secure data encryption portal using Angular and MariaDB, ensuring robust
 performance and data integrity.
 Rebuilt a legacy AngularJS codebase into Angular 11, improving application performance, maintainability, and
 reducing technical debt.
 Developed build scripts and comprehensive unit tests to accelerate development cycles and streamline
 debugging processes.
 Resolved 150\+ front\-end issues in the first 3 months, increasing web app stability and reducing user\-reported
 bugs by 60%.</t>
        </is>
      </c>
    </row>
    <row r="100">
      <c r="A100" t="inlineStr">
        <is>
          <t>li-4372735384</t>
        </is>
      </c>
      <c r="B100" t="inlineStr">
        <is>
          <t>Founding Backend Engineer</t>
        </is>
      </c>
      <c r="C100" t="inlineStr">
        <is>
          <t>Candle AI</t>
        </is>
      </c>
      <c r="D100" t="inlineStr">
        <is>
          <t>linkedin</t>
        </is>
      </c>
      <c r="E100">
        <f>HYPERLINK("https://www.linkedin.com/jobs/view/4372735384", "https://www.linkedin.com/jobs/view/4372735384")</f>
        <v/>
      </c>
      <c r="F100" t="inlineStr"/>
      <c r="G100" t="inlineStr">
        <is>
          <t>Austin, TX</t>
        </is>
      </c>
      <c r="H100" t="inlineStr"/>
      <c r="I100" t="inlineStr">
        <is>
          <t>**About us**
 Candle AI is a fast\-growing legal\-tech startup based in Austin, TX. We provide Email Context Intelligence that helps legal teams respond faster, stay consistent and capture more billable time.
 Backed by tier 1 investors including The Legal Tech Fund (TLTF), we’re building the infrastructure layer that makes AI\-driven legal workflows reliable, secure and scalable.
**The Role**
 We’re hiring a Founding Backend Engineer to own and scale the backend systems powering Candle. This is a backend\-first role: you’ll design APIs, data models and event\-driven services that support a multi\-tenant AI product with strict security and reliability requirements.
 You will be a key builder with real ownership, turning rough ideas into shipped features and shaping our architecture and engineering standards.
**What You'll Build** 
* Serverless backend platform: AWS Lambda APIs and async workflows powering the core product.
* Multi\-tenant architecture: secure data modeling and event\-driven pipelines.
* Auth and integrations: OAuth 2\.0 and OIDC flows and secure third\-party interfaces.
* Infrastructure and operations: IaC, CI/CD, observability, performance and cost optimization.
* AI enablement layer: backend primitives that power context assembly, orchestration and evals.
**Tech Stack** 
* Backend: Python (primary), TypeScript and Node.js (infra and tooling)
* AWS: Lambda, API Gateway, DynamoDB, SQS and EventBridge, S3, CloudWatch and X\-Ray
* IaC: AWS CDK (TypeScript)
* Auth: OAuth 2\.0, OIDC and AWS Cognito
**What We’re Looking For**
**Required** 
* 5\+ years building and owning production backend systems.
* Product\-oriented execution: you turn ambiguity into shipped measurable outcomes.
* Strong experience with AWS serverless architectures including Lambda, DynamoDB, API Gateway, SQS and EventBridge.
* Proven ability to design scalable multi\-tenant systems with security and cost efficiency in mind.
* Hands\-on experience implementing OAuth 2\.0 and OIDC integrations.
* Strong infrastructure mindset including IaC, observability, reliability and operational rigor.
**Highly Desired** 
* Experience with SOC 2 Type II, including IAM, encryption, tenant isolation and audit logging.
* Deep familiarity with AI tooling and LLM interfaces, including RAG patterns, embeddings, vector retrieval and orchestration workflows.
**Ideal Candidate** 
* Systems thinker with strong backend depth across latency, reliability, cost and maintainability.
* Self\-starter who ships quickly and raises the quality bar.
* Early\-stage or founding\-team experience.
**Why This Role** 
* Founding impact: shape architecture and engineering culture from day one.
* High ownership: own major systems end\-to\-end and see them in production quickly.
* Tight product loops: work directly with law firms and design partners.
**Location and Work Style** 
* Austin, TX (Hybrid)
* Small, highly technical team
* High ownership, fast iteration and strong bias toward shipping
* Hiring process may include a paid trial period to evaluate mutual fit</t>
        </is>
      </c>
    </row>
    <row r="101">
      <c r="A101" t="inlineStr">
        <is>
          <t>li-4374996873</t>
        </is>
      </c>
      <c r="B101" t="inlineStr">
        <is>
          <t>Principal Software Engineer</t>
        </is>
      </c>
      <c r="C101" t="inlineStr">
        <is>
          <t>Stord</t>
        </is>
      </c>
      <c r="D101" t="inlineStr">
        <is>
          <t>linkedin</t>
        </is>
      </c>
      <c r="E101">
        <f>HYPERLINK("https://www.linkedin.com/jobs/view/4374996873", "https://www.linkedin.com/jobs/view/4374996873")</f>
        <v/>
      </c>
      <c r="F101">
        <f>HYPERLINK("https://stord.wd503.myworkdayjobs.com/en-US/Stord_External_Career/job/Remote-United-States/Principal-Software-Engineer_JR101602&amp;urlHash=RuIt", "https://stord.wd503.myworkdayjobs.com/en-US/Stord_External_Career/job/Remote-United-States/Principal-Software-Engineer_JR101602&amp;urlHash=RuIt")</f>
        <v/>
      </c>
      <c r="G101" t="inlineStr"/>
      <c r="H101" t="inlineStr"/>
      <c r="I101" t="inlineStr">
        <is>
          <t>Stord is The Consumer Experience Company, powering seamless checkout through delivery for today's leading brands. Stord is rapidly growing and is on track to double our revenue in the next 18 months. To meet and exceed this target, Stord is strategically scaling teams across the entire company, and seeking energetic experts to help us achieve our mission.
 By combining comprehensive commerce\-enablement technology with high\-volume fulfillment services, Stord provides brands a platform to compete with retail giants. Stord manages over $10 billion of commerce annually through its fulfillment, warehousing, transportation, and operator\-built software suite including OMS, Pre\- and Post\-Purchase, and WMS platforms. Stord is leveling the playing field for all brands to deliver the best consumer experience at scale.
 With Stord, brands can increase cart conversion, improve unit economics, and drive sustained customer loyalty. Stord’s end\-to\-end commerce solutions combine best\-in\-class omnichannel fulfillment and shipping with leading technology to ensure fast shipping, reliable delivery promises, easy access to more channels, and improved margins on every order.
 Hundreds of leading DTC and B2B companies like AG1, True Classic, Native, Seed Health, quip, goodr, Sundays for Dogs, and more trust Stord to deliver industry\-leading consumer experiences on every order. Stord is headquartered in Atlanta with facilities across the United States, Canada, and Europe. Stord is backed by top\-tier investors including Kleiner Perkins, Franklin Templeton, Founders Fund, Strike Capital, Baillie Gifford, and Salesforce Ventures.
 We are seeking a highly experienced Principal Elixir Engineer to lead and guide one of our product groups. This role will require deep technical expertise in Elixir as well as leadership, strategic thinking, and exceptional collaboration skills. You will work closely with cross\-functional teams to solve complex challenges, define our technical roadmap, and significantly impact the success of our platform and the supply chain industry.
 At Stord, we believe in product\-centered engineering \- engineers who don't just build what they're told, but actively shape the future of our products through technical innovation and customer\-focused thinking. You'll be expected to contribute meaningfully to product strategy, leveraging your technical expertise to identify new opportunities and guide product evolution.
 This role will collaborate with the product development teams responsible for building, maintaining, and owning Stord's Order Management System (OMS), Transportation Management System (TMS), Warehouse Management System (WMS), and the Consumer Experience (CX) platform.
**Why This Role Is Great**
* Foundational Leadership \&amp; Technical Guidance: Opportunity for a green field project laying the foundation for an entire suite of products that drive revenue and the success of the company
* Team Building: This individual will work with Engineering leadership to build this team from the ground up
* Pivotal Role in Future of Software at Stord: This role will play an important role in building a new suite of software products here at Stord, while building a team that can maintain them
**What You'll Do**
 Strategic Leadership:
* Define and articulate technical vision and strategy for scalable systems, aligning with our business objectives and customer needs
* Identify and prioritize high\-impact technical initiatives across OMS, Billing, WMS, and other core systems
* Work closely with product management to develop and refine the technical roadmap
* Drive architectural decisions that will scale across multiple product teams
**Technical Execution**
* Write high\-quality, maintainable code in Elixir/Phoenix
* Architect and implement scalable, fault\-tolerant systems leveraging Elixir's concurrency model
* Build and maintain robust data pipelines for data ingestion, processing, and transformation
* Ensure the performance, reliability, and security of distributed systems
* Work hands\-on with GCP cloud services and modern infrastructure practices
* Design and implement event\-driven architectures and real\-time systems
**General Responsibilities**
* Technical Leadership: Provide technical direction and guidance to engineering teams, ensuring alignment with business goals and industry best practices
* System Design and Architecture: Lead the design and implementation of scalable, reliable, and secure systems, while maintaining a focus on simplicity and maintainability
* Problem\-Solving: Tackle complex technical challenges across the stack, driving innovation and delivering efficient solutions
* Mentorship: Guide and mentor engineers at various levels, fostering a culture of continuous learning and professional development. Act as a leader in the team
* Collaboration: Partner with Product, Design, and other stakeholders to define and prioritize work, ensuring the successful delivery of high\-quality features
* Code Quality: Set and uphold high standards for code quality, testing, and software development practices
* Cross\-Team Initiatives: Lead cross\-team technical initiatives and contribute to scaling processes, tools, and technologies
**Experience**
 What You'll Need:
* 10\+ years of experience in software engineering, with a strong focus (in recent years) on the Elixir programming language
* Proven track record of architecting and implementing complex, distributed systems in production environments
* Strong understanding of functional programming principles and concurrent system design
* Experience with cloud platforms, preferably GCP
* Experience building data pipelines and working with large datasets
* Demonstrated ability to learn and adapt to new technologies
* Experience with high\-throughput, low\-latency systems
**Technical Skills**
* Expert proficiency in Elixir/Phoenix and the OTP (Open Telecom Platform) ecosystem
* Strong understanding of data engineering principles and practices
* Experience with database systems, data warehousing, and event streaming platforms
* Familiarity with front\-end technologies (React, TypeScript) is a plus
* Experience with containerization (Docker) and orchestration (Kubernetes)
* Knowledge of distributed system patterns and microservices architecture
**Leadership And Communication**
* Ability to define and articulate a clear technical vision
* Excellent communication skills with ability to translate technical concepts to diverse audiences
* Ability to influence and guide technical teams without direct management authority
* Ability to translate business requirements into technical solutions
* Ability to collaborate effectively with other Principal Engineers and teams across the organization
**Bonus Points**
* Previous startup experience
* Previous Staff\+ positions
* Previous logistics or supply chain experience
* Experience with Order Management Systems (OMS), Warehouse Management Systems (WMS), or Transportation Management Systems (TMS)
* Experience with GenServer patterns and building fault\-tolerant, self\-healing systems
* Experience with Phoenix LiveView and real\-time web applications
* Knowledge of Erlang/OTP supervision trees and distributed Erlang clusters
* Experience with message queues and event streaming (Kafka, RabbitMQ, etc.)
* Experience with observability and monitoring tools (Prometheus, Grafana, etc.)
* Contributions to open\-source Elixir projects or the broader community</t>
        </is>
      </c>
    </row>
    <row r="102">
      <c r="A102" t="inlineStr">
        <is>
          <t>li-4375046634</t>
        </is>
      </c>
      <c r="B102" t="inlineStr">
        <is>
          <t>Software Engineer- Full Stack Python</t>
        </is>
      </c>
      <c r="C102" t="inlineStr">
        <is>
          <t>Zacks Intelligence</t>
        </is>
      </c>
      <c r="D102" t="inlineStr">
        <is>
          <t>linkedin</t>
        </is>
      </c>
      <c r="E102">
        <f>HYPERLINK("https://www.linkedin.com/jobs/view/4375046634", "https://www.linkedin.com/jobs/view/4375046634")</f>
        <v/>
      </c>
      <c r="F102" t="inlineStr"/>
      <c r="G102" t="inlineStr"/>
      <c r="H102" t="inlineStr"/>
      <c r="I102" t="inlineStr">
        <is>
          <t>**About Us** 
 Zacks Intelligence has built a modern, AI\-powered platform for financial research and retail investment management. We combine LLMs with proprietary investment reports, market data, and real\-time news to give investors a faster, more intuitive way to understand their investment options and portfolio positions.
 We operate as a small, high\-agency team connected to larger organizations, Zacks Investment Research and Zacks Investment Management, with the independence to move quickly and make product\-driven engineering decisions.
**The Role** 
 We're seeking a versatile Software Engineer to build and enhance our web application in a fast\-paced, startup\-like environment. While this role is backend\-focused, you'll also contribute to frontend development, giving you end\-to\-end ownership of features. You'll work closely with our Tech Lead in a fully remote, asynchronous work culture that values independence and continuous learning
**What You'll Do** 
 •Design, develop, and maintain backend services and APIs using Python
 •Build responsive user interfaces from design specifications using HTML5/CSS3
 •Integrate with third\-party platforms via REST APIs, webhooks, and other protocols
 •Collaborate with the team to architect and implement new customer\-facing features
 •Take ownership of features from conception through deployment
 • Participate in code reviews and contribute to engineering best practices
**Requirements** 
 • 3\-5 years of software engineering experience (or equivalent)
 • Strong proficiency in Python with hands\-on experience in asynchronous programming
 • Solid experience building user interfaces with HTML5/CSS3 from design specs
 • Comfortable with PostgreSQL or other SQL databases
 • Experience collaborating on projects using Git or similar version control
 • Self\-directed learner who thrives with autonomy and minimal supervision
 • Excellent written communication skills for asynchronous collaboration
 • Ability to manage your time effectively across distributed team interactions
**Nice to haves** 
 • Experience with HTMX, Datastar, or other hypermedia\-driven frameworks
 • Familiarity with modern frontend frameworks (React, Vue, etc.)
 • Previous experience in a startup or fast\-moving environment
 • Contributions to open source projects or technical writing
**Our work environment** 
 We’re a remote\-first team with asynchronous communication at our core. While we do
 have synchronous meetings, most work happens on your schedule. We value
 independence, clear communication, and engineers who take initiative.</t>
        </is>
      </c>
    </row>
    <row r="103">
      <c r="A103" t="inlineStr">
        <is>
          <t>li-4376509342</t>
        </is>
      </c>
      <c r="B103" t="inlineStr">
        <is>
          <t>Founding Frontend Engineer</t>
        </is>
      </c>
      <c r="C103" t="inlineStr">
        <is>
          <t>Rec Gen</t>
        </is>
      </c>
      <c r="D103" t="inlineStr">
        <is>
          <t>linkedin</t>
        </is>
      </c>
      <c r="E103">
        <f>HYPERLINK("https://www.linkedin.com/jobs/view/4376509342", "https://www.linkedin.com/jobs/view/4376509342")</f>
        <v/>
      </c>
      <c r="F103" t="inlineStr"/>
      <c r="G103" t="inlineStr"/>
      <c r="H103" t="inlineStr"/>
      <c r="I103" t="inlineStr">
        <is>
          <t>**Founding Frontend Software Engineer** 
 Full\-time \| On\-site \| San Francisco, CA
 Comp: $160k–$225k base \+ equity
 Visa sponsorship available
**The opportunity** 
 I’m working with a well\-funded, early\-stage technology company building mission\-critical software in a massive, non\-obvious industry. They’re hiring a Founding Frontend Software Engineer to own and scale core user\-facing product surfaces from the ground up.
 This is a rare role that combines founding\-level ownership with a business that already has real customers, revenue, and product\-market validation.
**What you’ll do** 
 Own the frontend architecture and implementation of new, customer\-facing products
 Build and ship complex UI on top of API\-driven systems and large data models
 Translate real\-world workflows into intuitive, scalable frontend experiences
 Refactor and modernise existing frontend code to improve performance and developer velocity
 Define frontend patterns, components, and best practices as the product surface area scales
 Work closely with backend engineers and product to deliver end\-to\-end features
**Tech environment** 
 TypeScript
 React
 Modern state management (MobX or similar)
 API\-heavy, data\-intensive products
 High\-scale production systems
**What they’re looking for** 
 3\+ years building production, user\-facing web applications
 Strong React and TypeScript experience
 Product\-minded engineer who cares deeply about UX and system design
 Comfortable operating in ambiguity and taking full ownership
 Experience at early\-stage startups (Seed–Series B) strongly preferred
 Ability to work on\-site in San Francisco, 5 days per week
**Why this role stands out** 
 Founding\-level ownership with real influence over product direction
 Early\-stage upside without early\-stage chaos
 Technically challenging problems that don’t exist at most companies
 Highly technical, in\-person engineering culture
 Backed by top\-tier investors and experienced operators
**Compensation \&amp; benefits** 
 $160k–$225k base salary
 Meaningful equity ownership
 Healthcare coverage
 401k with employer match
 Relocation support
 Visa sponsorship available (H1B, TN, etc.)</t>
        </is>
      </c>
    </row>
    <row r="104">
      <c r="A104" t="inlineStr">
        <is>
          <t>li-4360799807</t>
        </is>
      </c>
      <c r="B104" t="inlineStr">
        <is>
          <t>Full Stack Engineer, Money as a Service</t>
        </is>
      </c>
      <c r="C104" t="inlineStr">
        <is>
          <t>Stripe</t>
        </is>
      </c>
      <c r="D104" t="inlineStr">
        <is>
          <t>linkedin</t>
        </is>
      </c>
      <c r="E104">
        <f>HYPERLINK("https://www.linkedin.com/jobs/view/4360799807", "https://www.linkedin.com/jobs/view/4360799807")</f>
        <v/>
      </c>
      <c r="F104">
        <f>HYPERLINK("https://stripe.com/jobs/listing/full-stack-engineer-money-as-a-service/7325118?gh_src=73vnei&amp;urlHash=Lm6A", "https://stripe.com/jobs/listing/full-stack-engineer-money-as-a-service/7325118?gh_src=73vnei&amp;urlHash=Lm6A")</f>
        <v/>
      </c>
      <c r="G104" t="inlineStr">
        <is>
          <t>Atlanta, GA</t>
        </is>
      </c>
      <c r="H104" t="inlineStr"/>
      <c r="I104" t="inlineStr">
        <is>
          <t>Note: if you are an intern or new grad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Money as a Service (MaaS) Sub\-orgs within MaaS: Accounts and Connect, Money Movement and Storage (MMS), Stripe’s Banking\-as\-a\-Service (BaaS)
 Money as a Service (MaaS) oversees a diverse portfolio of Stripe's core products and platforms. These offerings facilitate the global movement and management of funds for users. The teams that fall under the MaaS umbrella include: Accounts and Connect, Money Movement and Storage (MMS), Crypto and Banking as a Service (BaaS). Together, these teams work to ensure Stripe users have the robust financial infrastructure and tools they need to power their businesses on a global scale.
 Team Matching: exact team matching for one of the subteams will begin during final stages. Please note we may also consider you for different orgs based on your experience, location, etc. More information on our team matching process can be found here.
 What you’ll do
 We’re looking for Full Stack engineers who are interested in building software services and platforms that impact thousands of employees and millions of Stripe users, regardless of whether they’re an end user, developer, or partner.
**Responsibilities**
* Build end\-to\-end experiences for Connect that make it as easy as possible to participate in the Internet economy and receive money online. Some of Stripe’s largest users are platforms that connect senders of payments with receivers of payments. Lyft connects riders to drivers, Kickstarter connects backers to projects, and Squarespace connects shoppers to online stores. All of them participate in doing business online, and all of them use Connect.
* Make it easy for Connect platforms to scale their business through leveraging the full power of Stripe’s products via the dashboard, adding to their business models and product functionality while reducing integration lift and complexity.
* Build great product experiences (integrate with Instant Payouts, Issuing, Capital, Terminal, etc) into all of Connect’s dashboard surfaces.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You enjoy data modeling challenges and have a high bar for keeping your solutions expressive yet simple to use
* Excellent written and verbal communication
* Enjoy being a generalist working on both the frontend, backend, and anything it takes to solve problems and delight users both internally and externally
* Thrive in a collaborative environment involving different stakeholders and subject matter experts
* Take pride in working on projects to successful completion involving a wide variety of technologies and systems
* Can stitch together many different services and processes together even if you have not worked with them before
* Can put yourself in the shoes of your users and be a steward of crafting great experiences
* Enjoy working with a diverse group of people with different expertise
* Uphold best practices in engineering, security, and design
**Preferred Qualifications**
* Experience working in high\-growth teams similar to Stripe.
* Experience building financial systems or tools for financial experts.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$173,000 \- $259,600\.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05">
      <c r="A105" t="inlineStr">
        <is>
          <t>li-4376502598</t>
        </is>
      </c>
      <c r="B105" t="inlineStr">
        <is>
          <t>Member of Technical Staff / Fullstack Engineer</t>
        </is>
      </c>
      <c r="C105" t="inlineStr">
        <is>
          <t>Clera</t>
        </is>
      </c>
      <c r="D105" t="inlineStr">
        <is>
          <t>linkedin</t>
        </is>
      </c>
      <c r="E105">
        <f>HYPERLINK("https://www.linkedin.com/jobs/view/4376502598", "https://www.linkedin.com/jobs/view/4376502598")</f>
        <v/>
      </c>
      <c r="F105">
        <f>HYPERLINK("https://jobs.ashbyhq.com/Clera/45216103-2247-46cb-b282-d9633a85c1f4/application?utm_source=yOQLOLqQ6j&amp;urlHash=I_50", "https://jobs.ashbyhq.com/Clera/45216103-2247-46cb-b282-d9633a85c1f4/application?utm_source=yOQLOLqQ6j&amp;urlHash=I_50")</f>
        <v/>
      </c>
      <c r="G105" t="inlineStr">
        <is>
          <t>San Francisco, CA</t>
        </is>
      </c>
      <c r="H105" t="inlineStr"/>
      <c r="I105" t="inlineStr">
        <is>
          <t>We're building the future of recruiting with AI – and we need an exceptional engineer to join our founding team in our San Francisco hackerhouse.
 We just raised a $3M pre\-seed from top\-tier investors and are looking for someone to be one of our first engineering hires. This is the real deal: meaningful equity, direct impact on product direction, and the chance to build something massive in a $600B industry ripe for disruption.
**What We're Building:**
 Clera is reimagining how top talent finds their dream jobs. We're already working with leading VC\-backed startups like Mintlify, Luminai, and Windsurf – automating the entire headhunting process end\-to\-end with AI agents.
 Thousands of talents engage with Clera every week. We've helped many land roles at companies they're genuinely excited about. Traditional recruiting is broken – we're fixing it with AI\-first automation that delivers better outcomes for both candidates and companies.
 We're at the perfect inflection point: early enough that you'll have massive ownership and impact, but far enough that we have a working product, paying customers, and strong traction.
**The Role:**
 You'll be
 **engineer \#4** 
 on the founding team, working directly with our CTO and the other founding engineers. You'll ship features to production daily and own entire product areas from concept to deployment.
 We're building fully agentic systems that automate complex workflows. It's technically challenging, fast\-paced, and high\-impact.
**Your Experience** 
 :
* Very strong software engineering background: Experience in TypeScript and React
* Strong practical experience working with AI: We work 24/7 in Cursor \- ideally you have experience coding with AI. Bonus if you have an experience working with LLM APIs
* Startup mindset \- high agency, resourceful, and obsessed with creating value
**Who You Are** 
 :
* Take full ownership of projects, from concept to deployment and do whatever it takes to get the job done.
* Write code fast and scrap it even faster, but know when to transition to building for scale and quality.
* Enjoy talking to customers and iterating based on feedback.
* Are willing to work hard, to create something new with a lot of impact, changing how millions of talents find their jobs in the future.
**Tech Stack:** 
 TypeScript, React, Cursor, Supabase, Prisma, Typesense, LLM APIs, Trigger.dev
**The SF Hackerhouse Setup:**
 We're living and building together in SF. Zero commute, 10× faster feedback loops, constant collaboration.
 It's intense, but it's also incredibly productive and fun. You'll be surrounded by A\-players who are all\-in on building something great.
**Why Join Now:**
* Be engineer \#4 – your decisions will shape the entire product
* True ownership, no micromanagement, shipping to production every day
* Experienced founders and a team of A Players
* Meaningful equity in a fast\-growing startup
* Join before we scale 10\-100×
* We can support with visa processes
**Compensation:** 
 Competitive salary \+ significant equity
 If you're the kind of engineer who wants to build fast, own outcomes, and create something that matters – let's talk.</t>
        </is>
      </c>
    </row>
    <row r="106">
      <c r="A106" t="inlineStr">
        <is>
          <t>li-4376503024</t>
        </is>
      </c>
      <c r="B106" t="inlineStr">
        <is>
          <t>Back End Software Developer - AI</t>
        </is>
      </c>
      <c r="C106" t="inlineStr">
        <is>
          <t>Wiraa</t>
        </is>
      </c>
      <c r="D106" t="inlineStr">
        <is>
          <t>linkedin</t>
        </is>
      </c>
      <c r="E106">
        <f>HYPERLINK("https://www.linkedin.com/jobs/view/4376503024", "https://www.linkedin.com/jobs/view/4376503024")</f>
        <v/>
      </c>
      <c r="F106" t="inlineStr"/>
      <c r="G106" t="inlineStr"/>
      <c r="H106" t="inlineStr"/>
      <c r="I106" t="inlineStr">
        <is>
          <t>**About The Company**
 Oracle Corporation is a global leader in enterprise technology, providing comprehensive cloud infrastructure, software, and hardware solutions. Renowned for its innovation and commitment to transforming industries, Oracle leverages cutting\-edge AI, data management, and cloud\-native technologies to empower organizations worldwide. The Oracle Health division exemplifies this commitment by pioneering advancements in healthcare technology, aiming to improve patient outcomes, streamline clinical workflows, and enable data\-driven decision\-making across healthcare systems. With a focus on integrating AI and cloud solutions, Oracle is at the forefront of healthcare digital transformation, delivering scalable, secure, and intelligent platforms that address the complex needs of modern healthcare providers and patients.
**About The Role**
 We are seeking an experienced and visionary Principal Member of Technical Staff to join our Clinical Digital Assistant (CDA) team within Oracle Health. In this strategic role, you will be instrumental in designing, developing, and deploying our next\-generation CDA platform, which harnesses the power of generative AI and cloud\-native architectures. Your expertise in data platform engineering will be vital in creating a resilient, scalable, and intelligent system that enhances the healthcare experience by enabling advanced data analytics, natural language processing, and conversational interfaces for clinicians and patients alike. This role offers an exciting opportunity to contribute to groundbreaking healthcare innovations, working alongside multidisciplinary teams of AI researchers, software engineers, and healthcare domain experts to shape the future of digital health solutions.
**Qualifications**
* Bachelor’s or Master’s degree in Computer Science, Software Engineering, or a related field
* 4 to 12 years of relevant experience in software development, with a focus on backend and data\-centric applications
* Proficiency in programming languages such as Java, Python, or similar object\-oriented languages
* Strong understanding of software engineering fundamentals including data structures, algorithms, RESTful services, and microservices architecture
* Hands\-on experience with cloud\-native development on platforms like AWS, Azure, GCP, or Oracle Cloud Infrastructure (OCI)
* Deep knowledge of data architecture, including database design, data modeling, and data access controls
* Experience working with Oracle Database and search technologies such as Opensearch, Pinecone, and Oracle Golden Gate Replication
* Expertise in data pipeline orchestration tools like Kafka, Flink, and RabbitMQ
* Understanding of distributed systems, system design, and cloud engineering infrastructure including Kubernetes and Docker
* Excellent communication skills, capable of conveying complex technical concepts to diverse audiences
* Proven leadership in mentoring junior engineers and fostering a culture of innovation and technical excellence
**Responsibilities**
* Lead the design, development, and implementation of a scalable, secure, and high\-performance CDA data platform leveraging cloud\-native and AI technologies
* Collaborate with cross\-functional teams including AI researchers, software developers, and healthcare experts to define platform architecture and features
* Develop and maintain backend infrastructure supporting data ingestion, storage, processing, and retrieval systems
* Design data models and database schemas to support complex healthcare data relationships and analytics
* Integrate advanced search capabilities and natural language processing (NLP) functionalities to enable conversational and semantic search features
* Build and optimize data pipelines utilizing ETL/ELT processes with tools such as Kafka, Flink, and RabbitMQ for efficient data flow
* Ensure data security, compliance, and privacy by implementing access controls, encryption, and adhering to healthcare regulations
* Mentor and guide junior engineers, fostering technical growth and best practices within the team
* Stay abreast of emerging cloud\-native AI/ML advancements and propose innovative solutions to enhance platform capabilities
**Benefits**
* Comprehensive medical, dental, and vision insurance plans
* Short\-term and long\-term disability coverage
* Life insurance and AD\&amp;D benefits
* Flexible Spending Accounts for healthcare and dependent care
* Pre\-tax commuter and parking benefits
* 401(k) retirement savings plan with company matching
* Paid time off including flexible vacation, holidays, and sick leave
* Paid parental leave and adoption assistance programs
* Employee Stock Purchase Plan and financial planning resources
* Voluntary benefits such as auto, homeowner, and pet insurance
* Opportunities for professional development and career growth
 Equal Opportunity
 Oracle is an Equal Employment Opportunity Employer. We celebrate diversity and are committed to creating an inclusive environment for all employees. All qualified applicants will receive consideration for employment without regard to race, color, religion, sex, national origin, sexual orientation, gender identity, disability, veteran status, or any other protected characteristic under applicable law. We are dedicated to providing accommodations for individuals with disabilities throughout the recruitment and employment process.</t>
        </is>
      </c>
    </row>
    <row r="107">
      <c r="A107" t="inlineStr">
        <is>
          <t>li-4376395364</t>
        </is>
      </c>
      <c r="B107" t="inlineStr">
        <is>
          <t>Fullstack Software Engineer</t>
        </is>
      </c>
      <c r="C107" t="inlineStr">
        <is>
          <t>Wiraa</t>
        </is>
      </c>
      <c r="D107" t="inlineStr">
        <is>
          <t>linkedin</t>
        </is>
      </c>
      <c r="E107">
        <f>HYPERLINK("https://www.linkedin.com/jobs/view/4376395364", "https://www.linkedin.com/jobs/view/4376395364")</f>
        <v/>
      </c>
      <c r="F107" t="inlineStr"/>
      <c r="G107" t="inlineStr"/>
      <c r="H107" t="inlineStr"/>
      <c r="I107" t="inlineStr">
        <is>
          <t>**About The Company**
 Nada is an innovative and award\-winning FinTech platform dedicated to transforming the way homeowners access and leverage their wealth. Our pioneering mission is to unlock the estimated $34 trillion in wealth trapped within homeowner equity by originating Home Equity Agreements (HEAs). These agreements allow homeowners to receive upfront cash in exchange for a share of their home's future appreciation, thereby eliminating monthly loan payments and providing financial flexibility. As the first platform to secure SEC qualification for this novel asset class, Nada empowers investors to participate in the residential real estate market through our managed funds at homeshares.co. Backed by venture capital in our Series A funding round, our team is focused on building the infrastructure for the next major category in consumer finance, fostering innovation and inclusivity in the financial ecosystem.
**About The Role**
 We are looking for a talented Fullstack Software Engineer to join our dynamic, high\-velocity product squad. Reporting directly to the Head of Engineering, you will be the second engineering team member, working closely with our Head of Product and Head of Design. Your primary responsibility will be to develop and maintain a seamless user experience for homeowners to explore, secure, and manage their home equity agreements. Additionally, you will play a key role in maintaining and enhancing our investment platform, homeshares.co, ensuring it remains robust, scalable, and user\-friendly. This role offers a unique opportunity to build a product from the ground up, drive fintech innovation, and solve complex technical challenges. Your expertise in full\-stack development, particularly in front\-end architecture and user experience, combined with a strong sense of ownership and commitment to best practices, will be critical to our success.
**Qualifications**
* Bachelor’s degree in Computer Science or a related field, or equivalent experience
* Minimum of 3\+ years of professional experience as a software developer
* Proficiency in web development with React, Next.js, and CSS
* Hands\-on experience working with cloud platforms, preferably AWS
* Strong knowledge of PostgreSQL database management
* Experience developing RESTful APIs and integrating third\-party APIs
* Familiarity with Docker and Kubernetes for containerization and orchestration
* Excellent problem\-solving skills and a strong work ethic
* Self\-motivated with a passion for software development
* Strong verbal and written communication skills, adaptable to diverse teams
* Ability to estimate tasks accurately and deliver high\-quality code within deadlines
* Proficiency in using AI coding tools such as Cursor, Copilot, Claude, ChatGPT, etc.
* Ability to prompt, iterate, and refine AI\-generated code effectively
* Experience reviewing and validating AI output to ensure quality and accuracy
**Responsibilities**
* Develop and maintain seamless, user\-centric web applications using Next.js, React, TypeScript, Tailwind CSS, and Vercel\-backed services
* Collaborate with the design team to translate high\-fidelity prototypes into responsive, accessible web experiences
* Partner with product managers to rapidly implement features that enhance user experience and platform capabilities
* Leverage AI development tools to improve coding efficiency and code quality
* Stay informed of emerging technology trends and recommend new tools and practices to improve development processes
* Maintain and enhance our HEA investment platform, ensuring stability, security, and scalability
* Participate in code reviews, testing, and documentation to uphold best practices
* Contribute to a collaborative team environment, sharing knowledge and supporting peers
**Benefits**
* Competitive salary and equity package
* Flexible remote work options and a supportive work environment
* Health, dental, and vision insurance plans
* Paid time off and holidays
* Professional development opportunities and continuous learning support
* Participation in innovative projects at the forefront of fintech
* Collaborative and inclusive company culture that values diversity
 Equal Opportunity
 Nada is committed to creating a diverse and inclusive workplace. We provide equal employment opportunities to all qualified applicants without regard to race, age, creed, color, religion, national origin, ancestry, sex, gender, disability, veteran status, genetic information, sexual orientation, gender identity or expression, pregnancy, or any other characteristic protected by applicable law. We encourage individuals from all backgrounds to apply and are dedicated to providing accommodations during the interview process to ensure a fair and accessible experience for all candidates.</t>
        </is>
      </c>
    </row>
    <row r="108">
      <c r="A108" t="inlineStr">
        <is>
          <t>li-4355800783</t>
        </is>
      </c>
      <c r="B108" t="inlineStr">
        <is>
          <t>Full Stack C# Developer – Software Engineer</t>
        </is>
      </c>
      <c r="C108" t="inlineStr">
        <is>
          <t>Applied Materials</t>
        </is>
      </c>
      <c r="D108" t="inlineStr">
        <is>
          <t>linkedin</t>
        </is>
      </c>
      <c r="E108">
        <f>HYPERLINK("https://www.linkedin.com/jobs/view/4355800783", "https://www.linkedin.com/jobs/view/4355800783")</f>
        <v/>
      </c>
      <c r="F108">
        <f>HYPERLINK("https://dsp.prng.co/x88bAUb?source=LinkedIn&amp;urlHash=4HH-", "https://dsp.prng.co/x88bAUb?source=LinkedIn&amp;urlHash=4HH-")</f>
        <v/>
      </c>
      <c r="G108" t="inlineStr">
        <is>
          <t>Chandler, AZ</t>
        </is>
      </c>
      <c r="H108" t="inlineStr"/>
      <c r="I108"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$132,000\.00 \- $181,500\.00
 Location:
 Chandler,AZ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As a Software Engineer at Applied Materials, you’ll dive deep into ground\-breaking technologies—like machine learning and AI—to craft novel software solutions that solve our customers’ high\-value problems. Our Software Engineers are responsible for designing, prototyping, developing, and debugging software solutions for semiconductor equipment components and devices to ensure quality and functionality. You'll develop software documentation and test procedures, troubleshoot software problems, and communicate with internal customers to understand project requirements. As part of our team, you'll contribute your expertise in intricate systems, deciphering code, and anticipating software behaviors to ensure Applied remains the leader in the semiconductor and display sectors.
**What You’ll Do**
 As a Software Engineer at Applied Materials, you’ll dive deep into ground\-breaking technologies—like machine learning and AI—pushing the boundaries to craft novel software solutions that solve our customers’ high\-value problems. You’ll design, develop, and debug software programs for enhancements and new products—and work on challenging projects, contributing your expertise in intricate systems, deciphering code, and anticipating software behaviors to ensure Applied remains the leader in the semiconductor and display sectors.
**R** 
**ole Responsibilities:**
* Design, prototype and develop software solutions for semiconductor equipment components and devices with limited complexity.
* Develop software documentation and code for a variety of software projects, and design and implement bug fixes.
* Troubleshoot software problems and perform software tests on code and enhancements.
* Communicate with internal and external customers for an understanding of project requirements .
* Compile data for regularly scheduled or special reports, analysis and statements.
**Minimum Qualifications:**
* Bachelor’s degree in a related field, such as computer science, information management, software/system engineering, cyber security or mathematics.
* Familiarity with the basic theories and concepts of software engineering.
* Proficiency in .Net, C\#
* Experience in Python and any AI/ML Platform is a plus.
* Comfortable with Agile development and rapid prototyping
* Parallel programing/multi\-threading
* Windows Communication Framework (WCF)
* Windows Forms based UIs Object Oriented programming (OOP) and Object\-Oriented Design (OOD) Design Patterns
* Experience in semiconductor industry is a plus.
**Additional Information**
**Time Type:**
 Full time
**Employee Type:**
 Assignee / Regular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109">
      <c r="A109" t="inlineStr">
        <is>
          <t>li-4376388955</t>
        </is>
      </c>
      <c r="B109" t="inlineStr">
        <is>
          <t>Front-End Software Developer</t>
        </is>
      </c>
      <c r="C109" t="inlineStr">
        <is>
          <t>Northstrat Incorporated</t>
        </is>
      </c>
      <c r="D109" t="inlineStr">
        <is>
          <t>linkedin</t>
        </is>
      </c>
      <c r="E109">
        <f>HYPERLINK("https://www.linkedin.com/jobs/view/4376388955", "https://www.linkedin.com/jobs/view/4376388955")</f>
        <v/>
      </c>
      <c r="F109">
        <f>HYPERLINK("https://www.adzuna.com/details/5368978712?v=0EE5EF99A151E1E31A1B153A0C81B1C2B4C681CB&amp;ccd=467e4a5952557befed60a4c163a182c5&amp;r=21312399&amp;frd=8bf3e5201f1209c4301419896bb99d2b&amp;utm_source=linkedin7&amp;utm_medium=organic&amp;chnlid=1931&amp;title=Front-End%20Software%20Developer&amp;a=e&amp;urlHash=OBih", "https://www.adzuna.com/details/5368978712?v=0EE5EF99A151E1E31A1B153A0C81B1C2B4C681CB&amp;ccd=467e4a5952557befed60a4c163a182c5&amp;r=21312399&amp;frd=8bf3e5201f1209c4301419896bb99d2b&amp;utm_source=linkedin7&amp;utm_medium=organic&amp;chnlid=1931&amp;title=Front-End%20Software%20Developer&amp;a=e&amp;urlHash=OBih")</f>
        <v/>
      </c>
      <c r="G109" t="inlineStr">
        <is>
          <t>Sterling, VA</t>
        </is>
      </c>
      <c r="H109" t="inlineStr"/>
      <c r="I109" t="inlineStr">
        <is>
          <t>Northstrat is seeking an experienced and driven Senior Front\-End Software Developer to join our dynamic team. The ideal candidate will have extensive experience in front\-end development, bringing a wealth of knowledge in multiple programming languages and frameworks. This role demands a self\-starter who can take vaguely defined tasks and independently deliver high\-quality solutions.
****Requirements****
* Must have at least 8 plus years of relevant experience with a master’s in computer science, or 10 plus years of relevant experiencewith a bachelor’s in computer science.
* Must be U.S. citizen with the ability to obtain a government clearance no exception.
* Must be proficient in JavaScript frameworks including React, Angular, and Node.js (Front\-End Development).
* Proficient in developing and supporting production systems that run on Amazon Web Services (AWS).
* Strong understanding and experience working with data structures.
* Strong analytical skills and the ability to troubleshoot complex issues.
* Must be a self\-starter that can work independently as well as with a team.
* Proficient in designing and implementing comprehensive unit and integration tests.
**Preferred Qualifications**
* Experience with at least one of the following programming languages: Java, C\+\+, Rust, or advanced Python (Back\-End Development).
* Tangible experience designing, programming, and implementing large complex systems.
* Experience with Cypress, Playwright, or Jest.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professional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periodic company sponsored training events, and the ability to use IBA funds for reimbursement of work\-related education expenses you will have the opportunity to continually grow your skills and abilities.
**Join Our Talented Team**
 We hire the BEST employees and value each one. Since 2021, The Washington Post has recognized Northstrat among its "Top Workplaces". We think that your friends and family will like it here too, so we offer employee referral incentives.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110">
      <c r="A110" t="inlineStr">
        <is>
          <t>li-4373912919</t>
        </is>
      </c>
      <c r="B110" t="inlineStr">
        <is>
          <t>Robotics Software Engineer III - Infrastructure</t>
        </is>
      </c>
      <c r="C110" t="inlineStr">
        <is>
          <t>ArcBest Technologies</t>
        </is>
      </c>
      <c r="D110" t="inlineStr">
        <is>
          <t>linkedin</t>
        </is>
      </c>
      <c r="E110">
        <f>HYPERLINK("https://www.linkedin.com/jobs/view/4373912919", "https://www.linkedin.com/jobs/view/4373912919")</f>
        <v/>
      </c>
      <c r="F110" t="inlineStr"/>
      <c r="G110" t="inlineStr">
        <is>
          <t>Fort Smith, AR</t>
        </is>
      </c>
      <c r="H110" t="inlineStr"/>
      <c r="I110" t="inlineStr">
        <is>
          <t>**Job Description**
 The Robotics Software Engineer III \- Infrastructure is responsible for designing and enabling the foundational infrastructure that supports the full lifecycle of autonomous robotic systems, from source code to deployment and field observability. This position provides high leverage across perception, planning, controls, simulation, and safety teams by delivering durable platforms, shared workflows, and guardrails that allow product teams to move quickly without compromising reliability, traceability, or compliance. The Robotics Software Engineer III \- Infrastructure sits at the intersection of robotics software, DevOps, simulation, and MLOps. This position focuses on building scalable systems and standards rather than acting as a first responder for day\-to\-day operational issues. Success is measured by reduced friction for autonomy engineers, improved release confidence, and infrastructure becoming a competitive advantage rather than a bottleneck.
**Responsibilities**
* Enable traceability for safety\-critical systems, including the ability to identify what software, model, and configuration ran on a specific vehicle at a given time.
* Provide infrastructure and tooling to improve correlation between simulation results and real\-world vehicle behavior in collaboration with simulation and vehicle integration teams.
* Mentor engineers on platform usage, infrastructure best practices, and scalable system design.
* Build and maintain reliable pipelines for deploying software and models to development vehicles, test fleets, and production systems.
* Enable large\-scale Software\-in\-the\-Loop (SIL), Hardware\-in\-the\-Loop (HIL), and regression simulation workflows.
* Collaborate closely with Functional Safety Engineering to ensure infrastructure aligns with compliance and certification needs.
* Enable dataset versioning, lineage tracking, training reproducibility, and model promotion workflows.
* Standardize build systems and CI/CD pipelines across robotics software, embedded systems, and simulation environments.
* Support rapid diagnosis of field issues and feedback loops into development, testing, and simulation environments.
* Support scenario\-based testing, coverage tracking, and regression analysis.
* Make pragmatic trade\-offs between development velocity, system reliability, and safety requirements.
* Partner with perception and autonomy teams to enable safe and performant model deployment, while domain teams retain ownership of model design and performance outcomes.
* Establish platform standards, reference architectures, and best practices used across multiple product teams.
* Support functional safety requirements by enabling reproducible builds, preserving validation evidence, and supporting audits and certification activities (e.g., ISO 3691\-4, ISO 13849\).
* Design and evolve shared infrastructure supporting the lifecycle of machine learning models used in autonomy systems.
* Design and enable shared infrastructure supporting the end\-to\-end robotics software lifecycle: Source, Build, Test, Simulate, Deploy, Monitor.
* Influence technical direction across teams without direct people management responsibility.
* Enable vehicle\-level observability through logging, metrics, and distributed tracing.
* Integrate simulation results into CI pipelines with clear pass/fail criteria and reporting.
* Act as a force multiplier for autonomy engineers by reducing duplicated tooling and infrastructure maintenance overhead.
* Define standards for model packaging, deployment to vehicles, runtime monitoring, and rollback mechanisms.
* Define and manage artifact versioning strategies for software binaries, firmware, configuration, calibration data, maps, and vehicle\-specific parameters.
* Other duties and projects, as assigned.
**Requirements**
 Education:
* Bachelor's Degree in Computer Science, Robotics, Electrical Engineering, Mechanical Engineering, or related field, required
* Master's Degree or equivalent industry experience in robotics, autonomous systems, or distributed systems, preferred
**Experience**
* 5 years of experience in software infrastructure, platform engineering, or DevOps position(s).
**Computer Skills**
* Hands\-on experience with Linux\-based systems and containerized environments, required
* Experience working with CI/CD systems, build tooling, and artifact management solutions, required
* Familiar with Bitbucket and Jira automation, preferred
* Practical experience with MLOps, including dataset and model versioning and deployment pipelines, preferred
* Familiar with robotics middleware such as ROS or ROS2, preferred
* Experience supporting complex, distributed, real\-time, or hardware\-integrated systems, required
* Proven ability to design and maintain systems used by multiple teams and products, preferred
**Additional Requirements**
* Exposure to simulation\-heavy environments or systems that integrate tightly with physical hardware.
* Experience in robotics, autonomous systems, or embedded software development, preferred
* Experience with SIL and HIL testing methodologies, preferred
* Experience working in safety\-critical or regulated environments, preferred
* Understanding of vehicle systems, sensors, and real\-world deployment constraints, preferred
**Other Details**
 Work Hours:
* Generally, 8:00 am \- 5:00 pm with occasional irregular hours depending on workload.
**Travel Requirements**
* Occasional (25%\-50%) Travel may be required to support field testing and collaboration.
**Compensation**
* This is a salary position paid biweekly.
**About Us**
 ArcBest Technologies, ArcBest's tech and innovation team, provides custom\-built solutions and leading\-edge technologies that help our customers successfully navigate the complex supply chain landscape. The team is made up of highly engaged, creative tech and analytics professionals who create smart solutions that help keep the global supply chain moving.</t>
        </is>
      </c>
    </row>
    <row r="111">
      <c r="A111" t="inlineStr">
        <is>
          <t>li-4373774612</t>
        </is>
      </c>
      <c r="B111" t="inlineStr">
        <is>
          <t>Software Engineer–Developer (Development)</t>
        </is>
      </c>
      <c r="C111" t="inlineStr">
        <is>
          <t>Boeing</t>
        </is>
      </c>
      <c r="D111" t="inlineStr">
        <is>
          <t>linkedin</t>
        </is>
      </c>
      <c r="E111">
        <f>HYPERLINK("https://www.linkedin.com/jobs/view/4373774612", "https://www.linkedin.com/jobs/view/4373774612")</f>
        <v/>
      </c>
      <c r="F111">
        <f>HYPERLINK("https://ad.doubleclick.net/ddm/clk/517492914;325447798;a?https://jobs.boeing.com/job/-/-/185/91961417408?utm_source=linkedin&amp;utm_medium=job_posting&amp;utm_campaign=ra-us&amp;urlHash=Q122", "https://ad.doubleclick.net/ddm/clk/517492914;325447798;a?https://jobs.boeing.com/job/-/-/185/91961417408?utm_source=linkedin&amp;utm_medium=job_posting&amp;utm_campaign=ra-us&amp;urlHash=Q122")</f>
        <v/>
      </c>
      <c r="G111" t="inlineStr">
        <is>
          <t>Daytona Beach, FL</t>
        </is>
      </c>
      <c r="H111" t="inlineStr"/>
      <c r="I111"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**Entry\-Level Software Engineers** 
 to support our
 **Air Dominance Mission Systems Engineering** 
 team located in
 **Daytona Beach, FL** 
 . This position will focus on supporting the Boeing Defense, Space \&amp; Security (BDS) business organization.
 The candidate will assist software systems development on cloud infrastructures following modern DevSecOps and Agile execution processes Support all phases of the software development lifecycle including requirements and interface definition, design, development, and integration of Cloud Native Software for Collaborative Mission Planning including:
* Common Operating Picture: Contributing to the creation and maintenance of a shared, up\-to\-date display of relevant information for all stakeholders.
* Data Fusion: Integrating and processing data from multiple sources to provide a comprehensive and coherent view of the operational environment.
* Integration of Open API Interfaces: Collaborating on the integration of open API interfaces to facilitate interoperability and data exchange.
* Mission Debrief: Assisting in the development of software solutions for post\-mission analysis and debriefing processes.
 The selected candidate will be responsible for and has ownership of the Software Design, Code, and Test ensuring performance, interfaces, and functional and non\-functional requirements are met for the capabilities listed above.
**Position Responsibilities:**
* Develop software design, coding and unit/integration testing of features/user stories
* Collaborate with product managers, designers, and other stakeholders to understand project requirements and translate them into technical specifications
* Develop scalable and resilient front and backend solutions using cloud technologies
* Assist in the design, development and maintenance of software pipelines and tools
* Participate in code reviews to ensure adherence to architectural principles and coding standards
* Support the Ground software verification/validation using the selected testing tools, laboratories, and simulators
**Basic Qualifications (Required Skills/ Experience):**
* Bachelor’s Degree in an engineering discipline or 8\+ years equivalent related experience
* Ability to acquire a U.S. Secret Security Clearance (Post\-Start)
* Proficiency in software development languages (e.g. Java, Python, JavaScript, and C\#)
* Experience with SDLC and Agile methodologies, with focus on Scrum and Kanban
**Preferred Qualifications (Desired Skills/Experience):**
* Have or have held an active U.S. Security Clearance in the past 24 months
* Proficiency in backend programming languages (e.g. Python, C\+\+, Node.js, and C\#)
* Proficiency in frontend programming languages (e.g. JavaScript, TypeScript, Angular, React)
* Familiar with containerization technologies such as Docker and Kubernetes
* Experience utilizing commercial Cloud Providers such as AWS, Azure or Google Cloud Platform
* Knowledge of microservices architecture and related frameworks
* Experience working in an Agile Environment (e.g. Jira, Confluence)
* Familiarity with creating and maintaining a Common Operating Picture for operational environments
* Experience in integrating Open API interfaces for interoperability
* Ability to design and develop software solutions for mission debriefing and analysis
* Knowledge of Model Based Systems Engineering principles and tools (e.g. Ops analysis, subsystem/sensor models, Cameo, Rhapsody, etc.)
* Bachelor of Science degree from an accredited course of study in engineering, engineering technology (includes manufacturing engineering technology), chemistry, physics, mathematics, data science, or computer science.
**Travel:** 
 10%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$73,100 \- $98,900
 Applications for this position will be accepted until
 **Feb. 23,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12">
      <c r="A112" t="inlineStr">
        <is>
          <t>li-4376190045</t>
        </is>
      </c>
      <c r="B112" t="inlineStr">
        <is>
          <t>Front End Software Engineer</t>
        </is>
      </c>
      <c r="C112" t="inlineStr">
        <is>
          <t>Wiraa</t>
        </is>
      </c>
      <c r="D112" t="inlineStr">
        <is>
          <t>linkedin</t>
        </is>
      </c>
      <c r="E112">
        <f>HYPERLINK("https://www.linkedin.com/jobs/view/4376190045", "https://www.linkedin.com/jobs/view/4376190045")</f>
        <v/>
      </c>
      <c r="F112">
        <f>HYPERLINK("https://www.wiraa.com/job-description/usBDC32D12DF9504CC4D6EF6AB8C15751B?source=Linkedin&amp;urlHash=T-6s", "https://www.wiraa.com/job-description/usBDC32D12DF9504CC4D6EF6AB8C15751B?source=Linkedin&amp;urlHash=T-6s")</f>
        <v/>
      </c>
      <c r="G112" t="inlineStr"/>
      <c r="H112" t="inlineStr"/>
      <c r="I112" t="inlineStr">
        <is>
          <t>**About The Company**
 At Bloomfield, we are revolutionizing the way crops are monitored and managed. Our AI\-powered imaging technology provides continuous, plant\-level health and performance insights from seed to harvest. Our mission is to empower farmers with the tools they need to increase crop productivity and quality while using fewer scarce resources, ultimately contributing to a more sustainable and food\-secure future.
 In 2024, Kubota Corporation, a global leader in agricultural machinery and solutions, through its North American subsidiary, Kubota North America Corporation, acquired Bloomfield. This acquisition unites Bloomfield's innovative technology with Kubota's extensive resources and commitment to provide comprehensive smart agriculture solutions to farmers worldwide. Our combined expertise and resources will drive innovation and deliver benefits to farmers, ensuring a more sustainable and prosperous agricultural industry.
**About The Role**
 As a Front End Engineer, you will be responsible for developing and implementing user interface components and enhancing the user experience of our web mobile applications. You will work closely with our AI and Backend teams to build and present state\-of\-the\-art plant insights for crops worldwide. In this role, you will be primarily focused on building and supporting React\-based applications such as our Bloomfield Dashboard \- where our customers see and interact with our data. You will collaborate closely with our design and back\-end teams to translate UI/UX design wireframes into functional and responsive web interfaces.
 This role offers hybrid or fully remote flexibility, though we have a Lawrenceville, PA office.
**Qualifications**
* 2 \- 4 years of experience in front\-end or other software engineering roles
* Bachelor's degree in Computer Science, a related field, or equivalent practical experience
* Proficiency in React and TypeScript, with a strong portfolio showcasing your work and projects
* Experience with other front\-end technologies like MUI and Progressive Web Apps
* Demonstrated experience in building responsive and visually appealing web applications
* Solid understanding of HTML5, CSS3, and JavaScript
* Familiarity with git and common git workflows
* Stay up\-to\-date with industry trends, best practices, and emerging technologies in front\-end development
**Responsibilities**
* Develop and maintain high\-quality, reusable, and scalable front\-end components for both the Bloomfield Dashboard and our internal component library using React, TypeScript, and other technologies like Material UI, Redux, and LaunchDarkly
* Collaborate with UI/UX designers to ensure the technical feasibility of designs
* Participate in code reviews to maintain code quality, share knowledge, and enforce best practices
* Work closely with back\-end developers to integrate front\-end components and help guide API design
* Translate UI/UX wireframes into functional, responsive, and user\-friendly web interfaces
* Stay informed of industry trends and incorporate best practices into development processes
* Assist in troubleshooting and resolving front\-end issues to ensure optimal application performance
**Benefits**
* Competitive salary and comprehensive benefits package
* Flexible work arrangements including hybrid and fully remote options
* Opportunities for professional growth and development
* Collaborative and innovative work environment
* Access to cutting\-edge technologies and projects in smart agriculture
* Health, dental, and vision insurance
* Paid time off and holidays
* Participation in company\-sponsored training and events
 Equal Opportunity
 Bloomfield is an equal opportunity employer. We celebrate diversity and are committed to creating an inclusive environment for all employees. We do not discriminate based on race, religion, color, national origin, gender, sexual orientation, age, disability, or any other protected status in accordance with applicable laws.</t>
        </is>
      </c>
    </row>
    <row r="113">
      <c r="A113" t="inlineStr">
        <is>
          <t>li-4376395631</t>
        </is>
      </c>
      <c r="B113" t="inlineStr">
        <is>
          <t>Software Engineer</t>
        </is>
      </c>
      <c r="C113" t="inlineStr">
        <is>
          <t>Inside Higher Ed</t>
        </is>
      </c>
      <c r="D113" t="inlineStr">
        <is>
          <t>linkedin</t>
        </is>
      </c>
      <c r="E113">
        <f>HYPERLINK("https://www.linkedin.com/jobs/view/4376395631", "https://www.linkedin.com/jobs/view/4376395631")</f>
        <v/>
      </c>
      <c r="F113" t="inlineStr"/>
      <c r="G113" t="inlineStr">
        <is>
          <t>Hanover, NH</t>
        </is>
      </c>
      <c r="H113" t="inlineStr"/>
      <c r="I113" t="inlineStr">
        <is>
          <t>****Posting Date:****
 10/17/2025
****Open Until Filled:****
 Yes
****Position Number:****
 0163700
****Position Title:****
 Software Engineer
****Hiring Range Minimum:****
 $101,500
****Hiring Range Maximum:****
 $119,000
****Union Type:****
 Not a Union Position
****SEIU Level:****
 Not an SEIU Position
****FLSA Status:****
 Exempt
****Employment Category:****
 Regular Full Time
****Scheduled Months Per Year:****
 12
****Scheduled Hours Per Week:****
 40
****Schedule:****
 Join us at our convenient location at 41 Centerra Parkway in Lebanon, NH, where you’ll find a perfect balance of on\-site engagement and remote flexibility. This position is part of a team that primarily works remotely but values intentional onsite engagement. Depending upon projects, you could be in the office daily for a period, or it could be 1\-2 days in a month. When onsite, you will typically work out of 41 Centerra Parkway in Lebanon, NH where nearly 80 of your colleagues in Advancement have office space. Periodically, meetings are held in Hanover or on the Dartmouth campus, which is 3 miles from the Centerra Parkway location. Living within commutable distance to Hanover, NH, is preferred, allowing you to integrate smoothly into our team and community.
**Location of Position:**
 Lebanon, NH 03766
 41 Centerra Parkway
**Remote Work Eligibility?:**
 Hybrid
**Is this a term position?:**
 No
**Is this a grant funded position?:**
 No
****Position Purpose:****
 The Software Engineer for Advancement is a full\-stack developer who designs, develops, tests, and maintains software applications that advance the mission of Dartmouth’s Advancement division. This role requires a strong combination of technical expertise across multiple platforms and programming languages, alongside a deep understanding of our business objectives. The successful candidate will apply both business acumen and technical skills to deliver high\-quality, maintainable solutions within an agile team environment This role independently executes moderate to complex technical work and actively contributes to team\-based architecture and implementation efforts. The Software Engineer collaborates with teammates, clients, vendors, and campus partners to develop custom applications, enhance vendor systems, and support integrations that connect Advancement systems to broader institutional platforms. This includes involvement in system design, database development, API creation and consumption, testing, and support for both on\-premise and cloud\-based solutions. The role also supports deployment automation, infrastructure maintenance, and DevOps practices in partnership with more senior team members. Strong analytical, problem\-solving, and communication skills are essential for working effectively within a cross\-functional team. The Software Engineer contributes to team growth through knowledge sharing, code review participation, and process improvement efforts.
****Description:****
 Are you a full\-stack developer passionate about purpose\-driven technology? Dartmouth’s Advancement Systems and Services team is looking for two
 **Software Engineers** 
 to help design and build innovative solutions that support our institutional mission.
 We are looking to hire
 **two** 
 talented individuals into this role.
 Make an impact. Grow your skills. Join a team that values innovation, collaboration, and team engagement.
****Required Qualifications \- Education And Yrs Exp:****
 Bachelor's degree
****Required Qualifications \- Skills, Knowledge And Abilities:****
* Bachelor’s degree in Computer Science or a related field
* 5–8 years of professional software engineering experience
* Demonstrated experience in:
+ Full\-stack application development
+ Oracle PL/SQL, SQL, APEX, with proven ability to develop and manage complex queries and manage data migrations, administer, navigate and manage multiple schemas, data replication, backup/recovery, troubleshooting, development, and performance tuning in complex, consolidated Oracle environment
+ One or more programming languages (e.g., Python, JavaScript, Java, C\#)
+ Front\-end development (HTML, CSS, JavaScript)
+ RESTful APIs and system integration
+ Version control (Git, SVN), release pipelines, and collaborative development workflows
+ Working with and troubleshooting internet communication components, such as DNS, DNAME, SMTP with a solid understanding of security certificates (SSL/TLS) and other authentication methods and encryption that ensure compliance with privacy regulations
* Familiarity with DevOps principles and CI/CD tools
* Strong problem\-solving, communication, and teamwork skills
* Ability to work independently on technical tasks and contribute to team solutions
****Preferred Qualifications:****
* Experience with vendor system integration and support of ERP platforms (e.g., Advancement, SIS, Finance, HR)
* Familiarity with data governance, privacy, and compliance standards (e.g., FERPA, HIPAA, GDPR)
* Knowledge of cloud platforms (AWS, Azure, or GCP), containerization (Docker, Kubernetes)
* Exposure to Agile development methodologies and tools
* Understanding of institutional workflows in higher education
* Strong knowledge and practical experience in database administration tasks
* Proficiency in application upgrade, cloning, and installation procedures
****Department Contact For Recruitment Inquiries:****
 Lesa Knapp
****Department Contact Phone Number:****
 603\-646\-1317
****Department Contact For Cover Letter And Title:****
 Lesa Knapp, Assistant Vice President for Advancement Administration
****Department Contact's Phone Number:****
 603\-646\-1317
****Equal Opportunity Employer:****
 Dartmouth College is an equal opportunity employer under federal law. We prohibit discrimination on the basis of race, color, religion, sex, age, national origin, sexual orientation, gender identity or expression, disability, veteran status, marital status, or any other legally protected status. Applications are welcome from all.
****Background Check:****
 Employment in this position is contingent upon consent to and successful completion of a pre\-employment background check, which may include a criminal background check, reference checks, verification of work history, conduct review, and verification of any required academic credentials, licenses, and/or certifications, with results acceptable to Dartmouth College. A criminal conviction will not automatically disqualify an applicant from employment. Background check information will be used in a confidential, non\-discriminatory manner consistent with state and federal law.
**Is Driving a Vehicle (e.g. Dartmouth Vehicle Or Off Road Vehicle, Rental Car, Personal Car) An Essential Function Of This Job?:**
 Not an essential function
****Special Instructions To Applicants:****
 Dartmouth College has a Tobacco\-Free Policy. Smoking and the use of tobacco\-based products (including smokeless tobacco) are prohibited in all facilities, grounds, vehicles or other areas owned, operated or occupied by Dartmouth College with no exceptions. For details, please see our policy.
 **https://policies.dartmouth.edu/policy/tobacco\-free\-policy**
****Additional Instructions:****
 This position is not visa sponsorship eligible.
****Quick Link:****
 https://searchjobs.dartmouth.edu/postings/83371
****Description:****
**Software Development**
* Designs, develops, tests, and maintains custom software solutions that meet user needs and align with institutional standards.
* Translates technical requirements into functional software components.
* Participates in solution design and architecture discussions, contributing to decisions on system structure, integration approaches, and performance optimization.
* Develops and consumes APIs and web services for system interoperability.
* Maintains and enhances database\-driven applications using tools such as Oracle PL/SQL and APEX.
* Implements unit testing, automated testing frameworks, and follows version control and release management best practices.
* Participates in infrastructure and application support for both on\-premises and cloud environments.
* Collaborates on deployments and contributes to automation and DevOps workflows.
* Collaborates on teams and leads team initiatives.
* Develops and enhances documentation supporting systems, integrations, and processes, contributing to a shared knowledge base that informs the work of Advancement Systems and Services.
****Percentage Of Time:****
 60
****Description:****
**Collaboration and Client Support**
* Works closely with team members to complete tasks aligned to team goals and delivery timelines.
* Partners with stakeholders to understand business needs, clarify requirements, and deliver value through technical solutions.
* Supports vendor system implementations and integrations; engages with vendors on issue resolution.
* Maintains strong working relationships with functional teams, end users, and other IT professionals across the institution.
****Percentage Of Time:****
 20
****Description:****
**Team Engagement and Continuous Learning**
* Participates in agile ceremonies, sprint planning, retrospectives, and team\-based prioritization.
* Shares technical knowledge through documentation, code reviews, cross training, and informal mentoring of colleagues.
* Engages in continuous professional development to stay current with tools, languages, frameworks, and higher education technology practices.
* Contributes to team culture through collaboration, knowledge sharing, and continuous improvement efforts.
****Percentage Of Time:****
 20
* : Demonstrates a commitment to diversity, inclusion, and cultural awareness through actions, interactions, and communications with others.
* : Performs other duties as assigned.</t>
        </is>
      </c>
    </row>
    <row r="114">
      <c r="A114" t="inlineStr">
        <is>
          <t>li-4376501619</t>
        </is>
      </c>
      <c r="B114" t="inlineStr">
        <is>
          <t>Lead Senior Software Engineer</t>
        </is>
      </c>
      <c r="C114" t="inlineStr">
        <is>
          <t>Gifthealth</t>
        </is>
      </c>
      <c r="D114" t="inlineStr">
        <is>
          <t>linkedin</t>
        </is>
      </c>
      <c r="E114">
        <f>HYPERLINK("https://www.linkedin.com/jobs/view/4376501619", "https://www.linkedin.com/jobs/view/4376501619")</f>
        <v/>
      </c>
      <c r="F114" t="inlineStr"/>
      <c r="G114" t="inlineStr"/>
      <c r="H114" t="inlineStr"/>
      <c r="I114" t="inlineStr">
        <is>
          <t>**Description**
**About Us**
 At Gifthealth, we're revolutionizing the way people experience healthcare by simplifying the process of managing prescriptions and health services. Our mission is to provide a seamless, personalized, and efficient healthcare experience for all our customers. We're a dynamic, innovative, and customer\-centric company dedicated to making a positive impact on people's lives.
**Position Summary**
 Reporting to the Director of Engineering, the Lead Senior Software Engineer is responsible for leading the design, development, and delivery of scalable software solutions while providing technical leadership and people management for a team of 2–8 software engineers. This role combines hands\-on engineering with team leadership, mentorship, and cross\-functional collaboration to ensure high\-quality, secure, and reliable systems that support Gifthealth’s mission to improve access to affordable healthcare.
 We are seeking a Lead Senior Software Engineer to play a critical part in setting technical direction, driving execution, and fostering a strong engineering culture, ensuring alignment with organizational goals, operational excellence, and compliance standards.
**Key Responsibilities**
* Leads design, development, and delivery of scalable, high\-quality software solutions aligned with business priorities
* Provides technical leadership, code reviews, and architectural guidance to engineering team
* Manages, mentors, and supports a team of 2–8 software engineers, including performance feedback and career development
* Collaborates with product, design, operations, and other stakeholders to translate business requirements into technical solutions
* Oversees system reliability, performance monitoring, testing strategies, and production support
* Contributes to documentation, development standards, and continuous improvement of engineering processes
**Qualifications**
* Education: Bachelor’s degree in computer science, engineering, or related field OR equivalent professional experience (Required)
* Licensure/Certification: None
* Experience:
* 5–10 years of professional software engineering experience (Required)
* Demonstrated experience leading technical projects or small engineering teams (Required)
* Experience leading teams using Agile or similar delivery methodologies (Required)
* Experience with CI/CD pipelines and DevOps practices (Required)
* Prior experience managing or formally leading engineers (Preferred)
* Experience in high\-growth startups or healthcare technology organizations (Preferred)
* Knowledge, Skills, \&amp; Abilities:
* Knowledge of Ruby and Ruby on Rails (Rails 7 or similar frameworks); modern web application architecture and RESTful APIs; relational databases (Postgres) and data modeling; and cloud platforms and production systems (Required)
* Knowledge of healthcare or regulated industry environments and scalable distributed systems and service\-oriented architectures (Preferred)
* Strong software design and coding skills with emphasis on clean, maintainable, and testable code (Required)
* Technical leadership, code review, and architectural decision\-making skills (Required)
* Team leadership, coaching, and mentoring skills (Required)
* Cross\-functional communication and collaboration skills (Required)
* Ability to translate abstract business problems into technical solutions (Required)
* Ability to prioritize work and balance hands\-on coding with leadership responsibilities (Required)
* Ability to influence technical direction and drive alignment across teams (Required)
* Ability to scale teams and systems in a high\-growth environment (Preferred)
**Work Environment**
* Location: Remote
* Schedule: Daytime hours, Monday through Friday with night and weekend hours on occasion as determined by the needs of the business.
* Regular meetings with internal Product Management, Design/UX, Engineering, Operation and Client Services teams. This role may also have meetings with external third\-party API vendor and technology partner representatives.
**Key Essential Functions**
* Must be able to remain in a stationary position for extended periods while writing or reviewing documentation
* Must be able to work on a computer for the entire shift
* Must be able to attend virtual meetings with cross\-functional teams.
**Employment Classification**
**Status:** 
 Full\-time
**FLSA:** 
 Exempt
**Equal Employment Opportunity (EEO) Statement**
 Gifthealth is an Equal Opportunity Employer and prohibits discrimination and harassment of any kind. All employment decisions are made without regard to race, color, religion, sex, sexual orientation, gender identity, transgender status, national origin, age, disability, veteran status, or any other legally protected status.
 We celebrate diversity and are committed to creating an inclusive environment for all employees. If you do not meet every requirement but still feel you would be a great fit for this role, we encourage you to apply!
**Disclaimer**
 This job description is intended to describe the general nature and level of work being performed. It is not intended to be an exhaustive list of all responsibilities, duties, or skills required of personnel. Gifthealth reserves the right to modify job duties or descriptions at any time.
 Salary Description
 $142,000 \- $177,500</t>
        </is>
      </c>
    </row>
    <row r="115">
      <c r="A115" t="inlineStr">
        <is>
          <t>li-4374210781</t>
        </is>
      </c>
      <c r="B115" t="inlineStr">
        <is>
          <t>Senior software engineer/Architect</t>
        </is>
      </c>
      <c r="C115" t="inlineStr">
        <is>
          <t>SOLTECH</t>
        </is>
      </c>
      <c r="D115" t="inlineStr">
        <is>
          <t>linkedin</t>
        </is>
      </c>
      <c r="E115">
        <f>HYPERLINK("https://www.linkedin.com/jobs/view/4374210781", "https://www.linkedin.com/jobs/view/4374210781")</f>
        <v/>
      </c>
      <c r="F115" t="inlineStr"/>
      <c r="G115" t="inlineStr">
        <is>
          <t>Brentwood, TN</t>
        </is>
      </c>
      <c r="H115" t="inlineStr"/>
      <c r="I115" t="inlineStr">
        <is>
          <t>Our client, a leading fintech innovator serving banks and credit unions nationwide, is seeking a Senior Software Engineer / Architect to provide technical leadership across a modern, Microsoft\-centric technology ecosystem. This is a high\-impact opportunity to design and deliver secure, scalable identity and integration solutions that power digital banking experiences across the U.S.
**Position Overview** 
 Our client is looking for a highly experienced Senior Software Engineer / Architect to lead the design and implementation of secure identity, authentication, and integration solutions across a growing platform ecosystem.
 This is a hands\-on engineering role with architectural ownership. The ideal candidate will drive Single Sign\-On (SSO) integrations with digital banking platforms and third\-party benefit providers while actively contributing to application development and delivery. This role requires deep expertise in modern .NET development, Azure cloud architecture, and enterprise identity frameworks within regulated environments.
**Key Responsibilities** 
* Lead architecture and hands\-on development of secure, scalable, cloud\-based software solutions
* Design and implement Single Sign\-On (SSO) integrations with digital banking systems and third\-party platforms
* Architect and support identity management solutions using OAuth 2\.0, OpenID Connect, and SAML
* Design, implement, and maintain Identity Provider (IdP) capabilities
* Develop and manage authentication and token services leveraging Azure AD B2C and Duende IdentityServer
* Collaborate with product, engineering, and external integration partners to define secure integration patterns
* Guide architectural strategy for APIs, microservices, and new feature development
* Write clean, maintainable, production\-ready code within a modern Microsoft technology stack
* Mentor engineering team members and elevate development best practices
* Ensure all solutions meet security, compliance, scalability, and performance requirements—particularly within financial services environments
**Required Technical Expertise** 
* 7\+ years of software engineering experience with demonstrated architectural leadership
* Strong hands\-on experience with:
* .NET Core / ASP.NET Core
* React
* Microsoft SQL Server
* Azure Cloud (App Services, Azure AD, Azure AD B2C, etc.)
* Deep expertise in:Auth 2\.0
* OpenID Connect
* SAML
* Single Sign\-On (SSO) integrations
* Identity Provider (IdP) design and implementation
* Azure AD B2C
* Duende IdentityServer (successor to IdentityServer4\)
* Experience building and securing APIs and microservices architectures
* Strong understanding of authentication flows, token issuance, claims\-based identity, and federation
* Experience in financial services, fintech, or other regulated industries strongly preferred
**What Our Client Is Looking For** 
* A senior\-level engineer who combines architectural thinking with a passion for hands\-on coding
* A leader comfortable owning identity strategy, security design, and execution
* A collaborative partner who can work effectively with banking platforms and fintech integration partners
* Strong communicator capable of explaining complex authentication and integration concepts clearly
* A pragmatic problem solver focused on security, performance, scalability, and maintainability
**Why Join Our Client?** 
* Make a meaningful impact in the financial services and fintech industry
* Lead mission\-critical identity and SSO integration initiatives
* Work within a modern Microsoft and Azure\-based technology stack
* Collaborate with a forward\-thinking team focused on innovation and growth
* Competitive compensation and comprehensive benefits package</t>
        </is>
      </c>
    </row>
    <row r="116">
      <c r="A116" t="inlineStr">
        <is>
          <t>li-4358218915</t>
        </is>
      </c>
      <c r="B116" t="inlineStr">
        <is>
          <t>Senior Software Engineer</t>
        </is>
      </c>
      <c r="C116" t="inlineStr">
        <is>
          <t>Cox Automotive Inc.</t>
        </is>
      </c>
      <c r="D116" t="inlineStr">
        <is>
          <t>linkedin</t>
        </is>
      </c>
      <c r="E116">
        <f>HYPERLINK("https://www.linkedin.com/jobs/view/4358218915", "https://www.linkedin.com/jobs/view/4358218915")</f>
        <v/>
      </c>
      <c r="F116" t="inlineStr"/>
      <c r="G116" t="inlineStr">
        <is>
          <t>Atlanta, GA</t>
        </is>
      </c>
      <c r="H116" t="inlineStr"/>
      <c r="I116" t="inlineStr">
        <is>
          <t>**Job Summary**
 As part of the Cox Automotive family, Central Dispatch is evolving the nation's largest self\-managed auto transportation platform. Our logistics solutions connect shippers with a nationwide network of carriers, enabling vehicles to move efficiently across the country.
 The Senior Software Engineer applies secure software engineering principles to the design, development, testing, maintenance, and evaluation of software and cloud infrastructure. This role independently delivers complex features, supports architectural decisions, and ensures systems are built for scalability, resilience, and long\-term maintainability. Senior Engineers also use AI\-assisted development tools to accelerate design, coding, testing, and troubleshooting across the SDLC, ensuring all AI\-generated output is reviewed and validated to meet engineering standards.
 This position emphasizes strong software craftsmanship, cross\-team collaboration, continuous improvement, and mentoring less experienced engineers. Senior Software Engineers help guide technical practices within the team and contribute meaningfully to the evolution of the Central Dispatch platform.
**Our Teams**
 Cox Automotive's Central Dispatch teams are based primarily in Atlanta, GA. We have cultivated a group of versatile, hardworking, and creative team members with diverse skill sets who can adapt to the rapid changes in the automotive and technology industries. We are committed to supporting our logistics businesses and building for the future with a best\-in\-class platform.
**Primary Duties And Key Responsibilities**
* Serve as a contributing engineer on teams responsible for delivering complex product features and system enhancements, incorporating AI\-assisted development tools into daily workflows to increase effectiveness and reduce manual effort.
* Break down functional and business requirements into clear, estimable technical tasks, using both traditional analysis and AI\-enabled exploration to evaluate complexity and potential implementation paths.
* Write high\-quality, maintainable code along with end\-to\-end automated tests for business\-critical components. Use AI responsibly to support test generation, documentation, and refactoring tasks while validating all output.
* Ensure quality, performance, observability, security, and adherence to specifications for assigned development tasks and adjacent systems. Use AI\-supported analysis tools to detect vulnerabilities, code\-quality issues, or performance bottlenecks.
* Work with fellow engineers to ensure design and implementation decisions align with architectural standards, system constraints, and long\-term platform strategy.
* Evaluate alternative technical approaches and provide input on patterns, frameworks, and secure coding practices, including leveraging AI to compare solution options or analyze tradeoffs.
* Troubleshoot complex issues using a combination of traditional debugging, log analysis, and AI\-assisted root\-cause exploration to accelerate diagnosis and remediation.
* Contribute to modernization efforts by refactoring legacy components, supporting migration plans, and using AI tools to analyze older code and propose updated patterns.
* Help define, promote, and support team coding standards, development patterns, and best practices, including proper use of AI in development workflows.
* Provide informal technical leadership and mentorship to Software Engineers I and II, including coaching them on responsible AI usage, prompt strategies, and validation techniques.
* Document processes, designs, and best practices and leverage AI tools when appropriate to improve clarity, consistency, and completeness.
* Communicate status, risks, and technical considerations clearly to teammates, managers, and product stakeholders.
* Contribute insights and improvements from prompt experimentation and AI\-augmented workflows to help refine team standards and engineering practices.
**Required Experience, Knowledge, And Skills**
* Applicants must currently be authorized to work in the United States for any employer without current or future sponsorship. No OPT, CPT, STEM/OPT or visa sponsorship now or in future.
* Bachelor's degree in a related discipline and 4 years of experience in a related field, or equivalent combinations such as a master's degree and 2 years of experience, a PhD and 1 year of experience, or 16 years of experience with no degree.
* Skilled in analytical thinking, requirements analysis, technical troubleshooting, software installation and support, and system or technology integration.
* Strong hands\-on development experience using modern programming languages, frameworks, and cloud\-based architectures.
* Proven ability to evaluate technical requirements, design maintainable solutions, and deliver high\-quality implementations that support system scalability and reliability.
* Skilled in building partnerships, driving innovation, focusing on execution, and striving for excellence in engineering.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17">
      <c r="A117" t="inlineStr">
        <is>
          <t>li-4375313009</t>
        </is>
      </c>
      <c r="B117" t="inlineStr">
        <is>
          <t>Senior AI Software Engineer</t>
        </is>
      </c>
      <c r="C117" t="inlineStr">
        <is>
          <t>Bishop Fox</t>
        </is>
      </c>
      <c r="D117" t="inlineStr">
        <is>
          <t>linkedin</t>
        </is>
      </c>
      <c r="E117">
        <f>HYPERLINK("https://www.linkedin.com/jobs/view/4375313009", "https://www.linkedin.com/jobs/view/4375313009")</f>
        <v/>
      </c>
      <c r="F117">
        <f>HYPERLINK("http://www.bishopfox.com/jobs?gh_jid=7554574&amp;urlHash=0-mo", "http://www.bishopfox.com/jobs?gh_jid=7554574&amp;urlHash=0-mo")</f>
        <v/>
      </c>
      <c r="G117" t="inlineStr"/>
      <c r="H117" t="inlineStr"/>
      <c r="I117" t="inlineStr">
        <is>
          <t>Bishop Fox is the leading authority in offensive security, providing solutions ranging from continuous penetration testing, red teaming, and attack surface management to product, cloud, and application security assessments. We’ve worked with more than a quarter of the Fortune 100, half of the Fortune 10, eight of the top 10 global technology companies, and all of the top global media companies. Our managed service platform, service innovation, and culture of excellence continue to gather accolades from industry award programs including Fast Company, Inc., SC Media, and others. For more than 16 years, we've been contributing and giving back to the security community. We’ve published more than 16 open source tools and 50 security advisories in the last five years alone. Learn more at bishopfox.com or follow us on social media.
**Who You Are**
 This isn't just another engineering role. You'll be joining what's essentially a startup within Bishop Fox – all the innovation and rapid iteration of an early\-stage venture, powered by the resources and reputation of an established security leader.
 You are an experienced AI engineer who thrives on building real systems that operate in messy, unpredictable environments. You care deeply about reliability, evaluation, and scale—not just whether something works once, but whether it works consistently in production.
 Your mission? Build autonomous AI agents that identify genuine vulnerabilities in production applications, capable of thinking, adapting, and hacking like the world's top penetration testers.
**What You Will Do**
 Pioneer AI\-Driven Security Testing
* Design and build intelligent autonomous security testing agents using large language models and cutting\-edge AI/ML techniques
* Create systems that can autonomously perform reconnaissance, identify vulnerabilities, and execute sophisticated attack chains
* Push the boundaries of what's possible when artificial intelligence meets offensive security
* Build robust planning, tool\-use, and failure\-handling mechanisms for agents operating in real\-world, unpredictable applications
 Revolutionize Pen testing at Scale
* Develop services that think and act like elite attackers, but operate 24/7 across thousands of targets
* Transform manual testing processes into intelligent, scalable automation pipelines
* Build systems that continuously evolve and improve their attack strategies
* Implement long\-running agent memory and context management so agents retain state, avoid redundant actions, and accumulate application knowledge
 Integrate with Enterprise\-Grade Infrastructure
* Connect your AI agents into Bishop Fox's Cosmos cloud platform
* Scale your creations to serve Fortune 100 clients with enterprise\-level reliability
* Design architectures that can handle massive concurrent testing operations
* Develop browser and application interaction infrastructure that enables agents to navigate, interact with, and test modern web applications
 Experiment \&amp; Innovate Rapidly
* Prototype breakthrough approaches to AI\-driven security testing
* Build sophisticated feedback loops that make your agents smarter over time
* Implement safety mechanisms and ethical guardrails for responsible AI deployment
* Measure, iterate, and continuously enhance agent performance
* Design evaluation and monitoring systems that distinguish real vulnerabilities from false positives or hallucinated findings
 Collaborate with Elite Security Minds
* Work directly with world\-class penetration testers and security researchers
* Partner with data scientists and AI specialists to solve novel technical challenges
* Contribute to a team culture where hacking expertise meets cutting\-edge artificial intelligence
* Apply real\-world production feedback from customer environments to refine agent behavior and system reliability
**Your Experience**
* 6\+ years of software engineering experience with a track record of shipping production systems
* Deep AI/ML expertise – hands\-on experience with LLMs, agent frameworks (LangChain, AutoGPT, CrewAI), or autonomous AI systems
* Advanced programming skills in Python and Golang with clean, scalable code practices
* Full\-stack capabilities – comfortable building robust APIs, designing database schemas, and working with modern frontend frameworks (React/TypeScript experience valued)
* Practical experience designing, evaluating, and improving agent reliability, including handling failures, edge cases, and non\-deterministic behavior
* Experience with cloud platforms (AWS, GCP, or Azure) and containerization (Docker/Kubernetes)
* Understanding of CI/CD pipelines and DevOps practices for reliable deployments
* Ability to architect systems that can scale from prototype to enterprise\-grade solutions
* Must be based in the San Francisco Bay Area; remote\-first with occasional, ad hoc in\-office meetings only when necessary.
 The Right Mindset
* Portfolio over pedigree – we care more about what you've built than where you learned it
* Excitement about autonomous systems and AI agents that can operate independently
* Comfort with ambiguity and rapid iteration in a fast\-moving environment
* Strong judgment in choosing the right tools, models, and architectural approaches for real\-world constraints
 Bonus Multipliers
* Experience in penetration testing, red teaming, ethical hacking, or security research
* Understanding of common vulnerabilities, attack vectors, and security frameworks
* Knowledge of security tools and methodologies (but we'll teach you what you don't know!)
* Open\-source contributions, especially in AI/automation or security domains
* Hackathon victories or compelling side projects that demonstrate your creativity
* Experience in startup environments or greenfield product development
* Publications, talks, or thought leadership in AI or security communities
* Familiarity with multi\-agent systems, reinforcement learning, or swarm intelligence
* Experience with vector databases, RAG pipelines, or advanced prompt engineering
* Understanding of AI safety, alignment, and responsible AI development practices
**Our Values**
 We strive to live by our values every day, in support of our core tenets, which are to deliver the highest quality of work for our clients, quality of life for our team, and quality of business for our industry and our future.
* Be Excellent to Each Other
* Do the Right Thing
* Do What You’ll Say You’ll Do
* Get Better Together
* Give a Sh\*t
**We offer a variety of benefits and perks, such as:**
* Generous Time Off and Company\-Wide Holidays
* Health Insurance options including Medical, Dental, Vision
* Retirement; 401k matching for Traditional and Roth accounts in the US
* Work From Home Support
* Monthly allowance for cell phone and internet
* Training Budget
* Paid Parental Leave
 Bishop Fox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All new hires must pass a background check as a condition of employment.
 Interested? Apply today!</t>
        </is>
      </c>
    </row>
    <row r="118">
      <c r="A118" t="inlineStr">
        <is>
          <t>li-4376513249</t>
        </is>
      </c>
      <c r="B118" t="inlineStr">
        <is>
          <t>Full Stack Engineer</t>
        </is>
      </c>
      <c r="C118" t="inlineStr">
        <is>
          <t>Savage Innovations</t>
        </is>
      </c>
      <c r="D118" t="inlineStr">
        <is>
          <t>linkedin</t>
        </is>
      </c>
      <c r="E118">
        <f>HYPERLINK("https://www.linkedin.com/jobs/view/4376513249", "https://www.linkedin.com/jobs/view/4376513249")</f>
        <v/>
      </c>
      <c r="F118" t="inlineStr"/>
      <c r="G118" t="inlineStr">
        <is>
          <t>Cleveland, OH</t>
        </is>
      </c>
      <c r="H118" t="inlineStr"/>
      <c r="I118" t="inlineStr">
        <is>
          <t>**Summary** 
 Savage Innovations is looking for a talented mid\-level Full\-Stack Developer who is ready to take on more.
 Led by a team of top\-tier product leaders and engineers, we are looking for someone who wants to solve complex challenges, ship meaningful software, and grow into a technical leader.
 This role is for someone who thrives under tight deadlines, can operate across multiple workstreams at once, and embraces a true “get it done” mentality. You will be responsible for building full features from product requirements to production — leveraging AI tooling to operate as an elite developer.
 We believe a small, elite team can outperform large bureaucratic organizations. We value delivery and innovation over internal politics. That mindset fuels growth and creates real value.
 Innovate. Elevate. Dominate.
**About Savage Innovations** 
 Savage Innovations is a Cleveland\-based digital engineering firm building high\-performance software systems for automotive, real estate/title insurance, insurance, and operationally complex industries.
 We specialize in:
* Custom SaaS development
* .NET API architecture
* Modern React applications
* Cloud\-native systems
* AI\-driven software platforms
 We also operate a leading AI SaaS product with active growth initiatives. Team members contributing to that product may qualify for profit share incentives based on performance and impact.
**We run lean, move fast, and expect ownership.** 
**Responsibilities** 
* Design and develop scalable .NET Core APIs
* Build responsive front\-end applications using React (TypeScript)
* Design and optimize SQL Server schemas and queries
* Deploy and maintain cloud infrastructure in Azure or AWS
* Contribute to CI/CD workflows using GitHub and modern DevOps practices
* Take full ownership of features from requirement to release
* Work across multiple client projects simultaneously
* Communicate effectively with senior executives, CIOs, and operational end\-users
* Travel as required for client meetings, workshops, or onsite collaboration
* Leverage AI development tools (e.g., Cursor, Copilot) to accelerate delivery and improve code quality
* Contribute to architecture and feature development for our AI product
**Qualifications** 
**Required Skills \&amp; Experience** 
* Prior experience working in an agency or fast\-paced client services environment
* 3–6\+ years of full\-stack development experience
* Strong proficiency in:
* .NET Core / C\# APIs
* React JS (TypeScript preferred)
* SQL Server
* Experience deploying to Azure or AWS
* Experience with GitHub and CI/CD workflows
* Demonstrated ability to work across multiple projects simultaneously
* Experience using AI\-assisted development tools (Cursor, Copilot, or similar)
**Professional Attributes** 
* Strong communicator across technical and non\-technical audiences
* Comfortable speaking with senior\-level leadership
* Self\-starter with ownership mentality
* Bias toward action and delivery
* Growth\-oriented mindset with desire to evolve into Senior, Lead, or Principal roles
**Education** 
* Bachelor’s degree in Computer Science, Engineering, or related field preferred (Equivalent practical experience will be considered)
**What You Get** 
* Competitive base salary: $90,000\+
* Performance bonus opportunities
* AI product profit share potential
* Exposure to executive\-level client interactions
* Accelerated technical leadership growth path
* High ownership, low bureaucracy environment
* Hybrid flexibility with travel opportunities
**If you want to build real systems, solve complex problems, grow into leadership, and be part of a high\-performance AI\-forward team — Apply.** 
**Savage Innovations** 
**Innovate. Elevate. Dominate.**</t>
        </is>
      </c>
    </row>
    <row r="119">
      <c r="A119" t="inlineStr">
        <is>
          <t>li-4376512271</t>
        </is>
      </c>
      <c r="B119" t="inlineStr">
        <is>
          <t>Senior Backend Engineer</t>
        </is>
      </c>
      <c r="C119" t="inlineStr">
        <is>
          <t>Novig</t>
        </is>
      </c>
      <c r="D119" t="inlineStr">
        <is>
          <t>linkedin</t>
        </is>
      </c>
      <c r="E119">
        <f>HYPERLINK("https://www.linkedin.com/jobs/view/4376512271", "https://www.linkedin.com/jobs/view/4376512271")</f>
        <v/>
      </c>
      <c r="F119" t="inlineStr"/>
      <c r="G119" t="inlineStr">
        <is>
          <t>New York, NY</t>
        </is>
      </c>
      <c r="H119" t="inlineStr"/>
      <c r="I119" t="inlineStr">
        <is>
          <t>$225k – $270k
* meaningful equity
**About Novig**
 Novig is building America's \#1 sports prediction market. Founded by Jacob Fortinsky and Kelechi Ukah, we are the only platform to offer commission\-free sports trading. We deliver better pricing, full transparency, and a more efficient market structure for users by eliminating the traditional sportsbook model.
 Backed by the best \- Novig has raised over $100M from some of Silicon Valley’s top investors including Pantera, Forerunner, Lux, NFX, Paul Graham, and Joe Montana.
**Who We Are**
 We’re here to fix a rigged system where the house always wins and sports fans always lose. Novig is building the future of sports betting. Our mission is to financialize and democratize sports betting \- transforming it from a closed, casino\-controlled system into a two\-sided, fair, efficient market where users have the power.
**Who you are and why this role will excite you**
* Excited to apply state\-of\-the\-art technologies from modern financial exchanges to enforce transparent and efficient market practices in the future of sports betting
* Work across infrastructure, data layer, networking, and application logic, depending on your familiarity with different components of our tech stack
* Contribute to frontend product development to maintain an outstanding user experience
* Build out a developer\-first API experience for algorithmic trading integrations
* Scale real\-time data ingestion and distribution pipelines
* Expand product features by extending modular service logic on top of existing core functionality
* Bring a passion for sports, markets, and technology, with curiosity about complex computer science challenges
* Hold a Bachelor's or Master's degree in Computer Science or a related technical field
* Possess 5\-6\+ years of experience developing distributed systems with cloud\-based architecture
* Proficient in a systems programming language such as Rust, Go, or C\+\+
* Understand trade\-offs between technical decisions and business requirements
* Exhibit strong leadership, problem\-solving, and communication skills
* Thrive independently and in small teams responsible for a large technical surface area
**Why work here, in the words of the people who do**
*“I work with extremely stellar people, I own real systems, and decisions happen fast. No politics, no waiting for needless red tape. If something's broken, I fix it. If I build something good, it ships.”*
*“The people! So smart, thoughtful, fun to work with, passionate about their craft, etc”*
*“I'm having the most fun I've had in my entire career.”*
 If you want responsibility, trust, and the chance to help build the future of sports prediction markets \- take your shot, we’d love to connect.
**Not for everyone**
* Our work is tied to live sports \- that means potential nights, weekends, and pressure included.
* If you need clear swim lanes, a heavy process, or someone to tell you what to do, this won’t be the right environment.
**Compensation \&amp; Benefits**
* $225k – $270k base, benchmarked at top\-tier tech companies
* Meaningful equity for every employee, regardless of role
* 100% health premiums covered
* 99% dental \&amp; vision covered
* 401(k) with 4% company match
* HSA \+ $1,080 annual company contribution
* $27/day lunch stipend when working from our NYC office
* $35/day dinner stipend when working from the NYC office after 6:30pm
**Homebase**
 Union Square, NYC
 In\-person 4 days a week \- we like being around each other (don’t worry there are snacks).</t>
        </is>
      </c>
    </row>
    <row r="120">
      <c r="A120" t="inlineStr">
        <is>
          <t>li-4315241506</t>
        </is>
      </c>
      <c r="B120" t="inlineStr">
        <is>
          <t>Senior Principal Software Engineer</t>
        </is>
      </c>
      <c r="C120" t="inlineStr">
        <is>
          <t>Cadence</t>
        </is>
      </c>
      <c r="D120" t="inlineStr">
        <is>
          <t>linkedin</t>
        </is>
      </c>
      <c r="E120">
        <f>HYPERLINK("https://www.linkedin.com/jobs/view/4315241506", "https://www.linkedin.com/jobs/view/4315241506")</f>
        <v/>
      </c>
      <c r="F120">
        <f>HYPERLINK("https://cadence.wd1.myworkdayjobs.com/External_Careers/job/Burlington-MA/Senior-Principal-Software-Engineer_R51299?source=LinkedIn&amp;urlHash=EqnI", "https://cadence.wd1.myworkdayjobs.com/External_Careers/job/Burlington-MA/Senior-Principal-Software-Engineer_R51299?source=LinkedIn&amp;urlHash=EqnI")</f>
        <v/>
      </c>
      <c r="G120" t="inlineStr">
        <is>
          <t>Burlington, MA</t>
        </is>
      </c>
      <c r="H120" t="inlineStr"/>
      <c r="I120" t="inlineStr">
        <is>
          <t>**At Cadence, we hire and develop leaders and innovators who want to make an impact on the world of technology.**
 We are seeking a highly skilled and motivated Senior Principal Engineer to join Xcelium Compiler Team. The responsibilities will include implementing advanced compiler algorithms, profiling and analyzing current implementation and rearchitecting for efficient solutions in time and space.
 The candidate will collaborate with a team of experienced senior architects on strategic architectural and infrastructural initiatives to shape the future of our simulation technologies.
**Job Responsibilities**
* Develop Software solutions that are efficient in time and memory complexity
* Analyze and improve existing algorithms
* Collaborate with Senior architects on next generation architectural projects
* Participate in code reviews, design discussions, and performance benchmarking
* Document solutions with functional and design specifications
* Write tests to rigorously test the developed code
**Required Qualifications**
* BS with a minimum of 10 years of experience OR MS with a minimum of 7 years of experience OR PhD with a minimum of 5 years of experience
* Strong proficiency in C/C\+\+ programming.
* Strong software engineering and problem solving skills
* Deep understanding of data structures, algorithms, and databases
* Understanding of compilers, parsing and code generation, static elaboration, event driven or parallel simulation
* Excellent verbal and written communication skills
* Proven problem\-solving skills and creativity in tackling complex technical challenges.
* Ability to work effectively in a collaborative, fast\-paced environment.
**Preferred Qualifications**
* Experience with large\-scale software systems and performance tuning
* Knowledge of simulation engines and EDA tools
* Knowledge of SystemVerilog Hardware Description Language
*The annual salary range for Massachusetts is $140,000 to $260,000\.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121">
      <c r="A121" t="inlineStr">
        <is>
          <t>li-4374992833</t>
        </is>
      </c>
      <c r="B121" t="inlineStr">
        <is>
          <t>Software Engineer</t>
        </is>
      </c>
      <c r="C121" t="inlineStr">
        <is>
          <t>Haystack</t>
        </is>
      </c>
      <c r="D121" t="inlineStr">
        <is>
          <t>linkedin</t>
        </is>
      </c>
      <c r="E121">
        <f>HYPERLINK("https://www.linkedin.com/jobs/view/4374992833", "https://www.linkedin.com/jobs/view/4374992833")</f>
        <v/>
      </c>
      <c r="F121">
        <f>HYPERLINK("https://haystack.cv/jobs/3abd520d-8461-4c3b-a7ad-b0f9bb026815?src=job-alert&amp;urlHash=bcJh", "https://haystack.cv/jobs/3abd520d-8461-4c3b-a7ad-b0f9bb026815?src=job-alert&amp;urlHash=bcJh")</f>
        <v/>
      </c>
      <c r="G121" t="inlineStr"/>
      <c r="H121" t="inlineStr"/>
      <c r="I121" t="inlineStr">
        <is>
          <t>Full Stack Software Engineer (TS/SCI) \| Herndon, Virginia, United States \| Hybrid \| $113,000\-$188,000 USD yearly
 We're working with Vantor on this exciting opportunity. Vantor is at the forefront of spatial intelligence, empowering decision\-makers to understand the present and shape the future. Be part of a mission\-driven team, influencing real\-world impact.
 The Role
 • Develop web applications for real\-time querying and analysis of petabyte\-scale data.
 • Create distributed analytics solutions tailored to support mission partners.
 • Construct and maintain new and existing data pipelines for automatic data retrieval and ingestion.
 • Collaborate closely with other software developers, infrastructure, and cybersecurity teams.
 • Leverage open\-source tools to build and maintain diverse applications for thousands of users.
 What You'll Need
 • Active TS/SCI clearance and willingness to obtain a CI Polygraph; Must be a U.S. Citizen.
 • Bachelor’s degree in Computer Science or a related field (or 4 additional years of experience).
 • 5 years of demonstrated experience in programming, design, and development.
 • In\-depth knowledge of Python, Java, or similar programming languages.
 • Working knowledge of containerization (Docker, Podman) and orchestration (Kubernetes).
 • Experience with ORM software (Django, SQLAlchemy, Hibernate) and Linux operating systems.
 What's On Offer
 • Competitive annual salary between $113,000 and $188,000 USD.
 • Robust 401(k) with company match and comprehensive mental health resources.
 • Unique perks including student loan repayment assistance, adoption reimbursement, and pet insurance.
 Apply via Haystack today!</t>
        </is>
      </c>
    </row>
    <row r="122">
      <c r="A122" t="inlineStr">
        <is>
          <t>li-4375310027</t>
        </is>
      </c>
      <c r="B122" t="inlineStr">
        <is>
          <t>Senior Java Software Engineer</t>
        </is>
      </c>
      <c r="C122" t="inlineStr">
        <is>
          <t>hackajob</t>
        </is>
      </c>
      <c r="D122" t="inlineStr">
        <is>
          <t>linkedin</t>
        </is>
      </c>
      <c r="E122">
        <f>HYPERLINK("https://www.linkedin.com/jobs/view/4375310027", "https://www.linkedin.com/jobs/view/4375310027")</f>
        <v/>
      </c>
      <c r="F122">
        <f>HYPERLINK("https://www.hackajob.com/job/fe1f6714-0f27-11f1-b544-0a05e249917d-senior-java-software-engineer?utm_source=LinkedIn&amp;utm_medium=JobAds&amp;utm_term=Automated&amp;utm_campaign=american-express-senior-java-software-engineer&amp;job_name=senior-java-software-engineer&amp;company=american-express&amp;workplace_type=hybrid&amp;city=new-york&amp;country=united-states&amp;urlHash=2td2", "https://www.hackajob.com/job/fe1f6714-0f27-11f1-b544-0a05e249917d-senior-java-software-engineer?utm_source=LinkedIn&amp;utm_medium=JobAds&amp;utm_term=Automated&amp;utm_campaign=american-express-senior-java-software-engineer&amp;job_name=senior-java-software-engineer&amp;company=american-express&amp;workplace_type=hybrid&amp;city=new-york&amp;country=united-states&amp;urlHash=2td2")</f>
        <v/>
      </c>
      <c r="G122" t="inlineStr">
        <is>
          <t>New York, NY</t>
        </is>
      </c>
      <c r="H122" t="inlineStr"/>
      <c r="I122"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American Express is looking for a hands\-on Software Engineer in the Risk Decision Technologies (RDT) organization for the Data Engineering team. The RDT team is responsible for cross\-domain, configurable platforms to enable best\-in\-class risk management and American Express growth with strong governance. The Data Engineering team is embarking on a journey to build Next\-gen data platform to support critical Risk Business functions like payments authorization, new account fulfilment, credit collections and underwriting risk.
 Risk Data Management (RDM) platform is critical for Authorization Modernization Program (AMP) and powers the risk assessment engine with large volumes of data. The platform also includes cloud native applications to support low latency, scalable and modular architecture. This role of Senior Engineer will be an integral part of a team that designs and builds large\-scale, cloud\-native applications and drive us closer to the vision of a robust Risk data platform.
**As a Senior Java Software Engineer, You Will**
* Function as a member of an agile team and helps drive consistent development and test practices with respect to tools, common components, and documentation.
* Have primary focus (80%\+) on writing quality code, perform unit testing, test automation, quality assurance \&amp; automation testing in ongoing sprints.
* Build new micro\-services that help manages our rapidly growing data hub.
* Improve efficiency, reliability, and scalability of our data pipelines.
* Work on cross\-functional initiatives and collaborate with Engineers across organizations.
* Build CICD pipelines for continuous integration and delivery.
* Build automation for application changes and deployment for faster time to market Develops deep understanding of tie\-ins with other systems and platforms within the supported domains
* Perform ongoing refactoring of code, quality assurance and testing, applying best practice methodologies and processes.
* Identify opportunities to adopt innovative technologies \&amp; ideas in development / test area.
* Provide continuous support for ongoing application availability
* Collaborate/influence within and across teams to create successes with an innovative mindset and challenge the status quo.
**Minimum Qualifications**
* Bachelor’s degree in computer science, Electronics, or other related field (or has equivalent work experience).
* 10\+ years of experience in software development and quality assurance.
* 5\+ years of experience in building large scale distributed applications with object\-oriented design using backend Java related tech stack
* Good knowledge of REST API development ,database technologies, Spring and Spring Boot.
* Solid understanding of data structures and common algorithms.
* Experience with Netty, gRPC, Junit and Oracle.
* Good knowledge of REST API development and database technologies
* Solid understanding of data structures and common algorithms.
* Experience with Netty, gRPC, Junit and Oracle.
* Experience with automated release management using Maven, Git
**Preferred Qualifications**
* Proficient in identifying and applying software design patterns.
* Looks proactively beyond the obvious for continuous improvement opportunities.
* Willingness to learn new technologies and exploit them to their optimal potential.
* Experience with Docker/Openshift based deployment
 Salary Range: $123,000\.00 to $215,250\.00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123">
      <c r="A123" t="inlineStr">
        <is>
          <t>li-4374205763</t>
        </is>
      </c>
      <c r="B123" t="inlineStr">
        <is>
          <t>Senior Frontend Engineer, Unity Ads SDK</t>
        </is>
      </c>
      <c r="C123" t="inlineStr">
        <is>
          <t>Unity South APAC (SEA, ANZ, IND Subcont.)</t>
        </is>
      </c>
      <c r="D123" t="inlineStr">
        <is>
          <t>linkedin</t>
        </is>
      </c>
      <c r="E123">
        <f>HYPERLINK("https://www.linkedin.com/jobs/view/4374205763", "https://www.linkedin.com/jobs/view/4374205763")</f>
        <v/>
      </c>
      <c r="F123">
        <f>HYPERLINK("https://unity.com/careers/positions/7051307&amp;urlHash=k4vX", "https://unity.com/careers/positions/7051307&amp;urlHash=k4vX")</f>
        <v/>
      </c>
      <c r="G123" t="inlineStr">
        <is>
          <t>San Francisco, CA</t>
        </is>
      </c>
      <c r="H123" t="inlineStr"/>
      <c r="I123" t="inlineStr">
        <is>
          <t>The opportunity
 We are hiring a Senior Frontend Engineer to join as a senior individual contributor on the Ad Unit team. You will own the frontend implementation of ad units and formats, delivering polished, interactive UI/UX experiences from design through production.
 What you'll be doing
* Act as a senior individual contributor on the Ad Unit team, owning the frontend implementation of ad units and formats, delivering polished, interactive UI/UX experiences from design through production.
* Design, implement, and iterate on interactive ad experiences, including UI, layout, animation, and user interaction flows.
* Translate product and design concepts into high\-quality, performant frontend implementations.
* Own and drive improvements in the rendering and presentation layer of ad units, ensuring correctness, visual polish, and consistent behavior across devices.
* Optimize frontend performance to ensure smooth animations, responsive interactions, and minimal rendering overhead.
* Identify and resolve frontend bugs, rendering issues, and UX regressions in production.
* Proactively improve frontend architecture, component reuse, and development practices to support rapid iteration and maintainability.
* Exercise sound technical judgment when balancing UI/UX quality, performance, complexity, and delivery timelines.
* Collaborate closely with product managers, designers, backend engineers, and mobile SDK teams to ensure ad formats are technically feasible and well\-integrated.
* Participate actively in design and code reviews, raising the bar for frontend engineering quality across the team.
 What we're looking for
* Experience working on Ads platforms, ad rendering systems, or monetization\-related products.
* Familiarity with animation frameworks (e.g., CSS animations, Web Animations API, canvas, or WebGL).
* Experience building highly dynamic or data\-driven UI flows, including experimentation or feature\-gated behavior.
* Knowledge of frontend performance tooling and debugging (e.g., browser dev tools, profiling, performance timelines).
* Experience collaborating closely with designers on interaction design, motion, and visual polish.
* Familiarity with A/B testing or experimentation frameworks and iterating on UI based on metrics.
* Experience working with mobile webviews or embedded rendering environments.
* Understanding of accessibility best practices and inclusive UI design.
* Experience operating in large, mature codebases with a focus on maintainability and stability.
 Additional information
* Relocation support is not available for this position.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salary$157,800—$236,800 USD</t>
        </is>
      </c>
    </row>
    <row r="124">
      <c r="A124" t="inlineStr">
        <is>
          <t>li-4371926313</t>
        </is>
      </c>
      <c r="B124" t="inlineStr">
        <is>
          <t>Staff Software Engineer - Mobile</t>
        </is>
      </c>
      <c r="C124" t="inlineStr">
        <is>
          <t>Precision Neuroscience</t>
        </is>
      </c>
      <c r="D124" t="inlineStr">
        <is>
          <t>linkedin</t>
        </is>
      </c>
      <c r="E124">
        <f>HYPERLINK("https://www.linkedin.com/jobs/view/4371926313", "https://www.linkedin.com/jobs/view/4371926313")</f>
        <v/>
      </c>
      <c r="F124">
        <f>HYPERLINK("https://precisionneuro.pinpointhq.com/postings/eb78aa6b-511f-4b83-b5c0-a7ddaa1454f7/applications/new?utm_medium=job_board&amp;utm_source=linkedIn&amp;urlHash=DaQT", "https://precisionneuro.pinpointhq.com/postings/eb78aa6b-511f-4b83-b5c0-a7ddaa1454f7/applications/new?utm_medium=job_board&amp;utm_source=linkedIn&amp;urlHash=DaQT")</f>
        <v/>
      </c>
      <c r="G124" t="inlineStr">
        <is>
          <t>Santa Clara, CA</t>
        </is>
      </c>
      <c r="H124" t="inlineStr"/>
      <c r="I124" t="inlineStr">
        <is>
          <t>**Department:** 
 Precision
**Location:** 
 United States
**Compensation:** 
 $200,000 \- $210,000 / year
**Description**
 Precision Neuroscience is building a next\-generation brain–computer interface (BCI) to heal and empower millions of people living with neurological conditions.
 Our first product,
 *Layer 7* 
 , is designed to help people with severe paralysis operate digital devices using only their thoughts—opening up new possibilities for daily life.
 Our team brings together experts in neurosurgery, AI and machine learning, microfabrication, electrical engineering, clinical science, and more. We combine deep technical rigor with a people\-first mindset to turn breakthrough research into real\-world medical solutions.
 As a Precision employee, you’ll join one of the fastest\-moving and best\-capitalized companies in the emerging field of brain–computer interfaces. Since our founding in 2021, we have raised more than $180 million, advanced our technology through validation, and initiated human trials with leading hospitals across the country.
**Our Values:**
 We
 **build for human impact** 
 , measuring progress by the lives our work can change.
 We
 **do no harm** 
 , holding ourselves to the highest standards of safety, integrity, and responsibility.
 We
 **innovate with urgency** 
 , because the stakes are high and our users can’t wait.
 We bring
 **sharp minds, open ears** 
 , pairing expertise with curiosity, humility, and respect.
 And we
 **lead the way** 
 , taking ownership of our work and helping to shape the future of our field.
 We are seeking an exceptional
 **Staff Software Engineer \- Mobile** 
 to join our mission of advancing brain\-computer interface technology. As the sole mobile developer on the team, you will own the design and development of a new mobile application at the heart of a groundbreaking neural control platform, combining fully customizable patient workflows, Bluetooth device control, and a bidirectional cloud data path. The right candidate will get the unique opportunity to lead large\-scale efforts from rapid prototyping through deployment in a transformational space. This position reports into the Senior Director, Software Engineering.
 This position will be based in our Manhattan, Santa Clara, Indianapolis, or Chicago office. We are unable to consider remote workers or people not currently based in the United States, and who have employment authorization.
**Key Responsibilities**
* Work with engineering leadership, product management and the software team to design and develop mobile app infrastructure to serve as Precision’s BCI patient control hub
* Implement device interaction towards continuous, cloud\-connected telemetry, control, and data streaming
* Work with design and clinical teams to develop novel task\-based neural model training framework
* Perform rapid prototyping cycles to discover and evaluate new concepts and de\-risk technical pathways
* Serve as mobile technology subject matter expert for Precision Neuroscience
* Operate within an IEC 62304\-compliant Software Development Life Cycle, meeting necessary compliance and regulatory requirements
* Provide necessary training and support for field and clinical teams (up to 10% travel)
* Generate supporting documentation as needed
**Skills, Knowledge and Expertise**
 Required:
 * Bachelor's degree or equivalent in Computer Science, Computer Engineering, or related field
* 5\+ years' experience in mobile app development, both iOS and Android
* Proven track record of full\-lifecycle development through deployment to production
* 1\+ years’ experience working with AI tooling in a commercial setting
* Experience with connected device technology (ex. Bluetooth)
 Preferred:
 * Experience working in a regulated space
* Experience working with real\-time or time\-sensitive applications
*We prioritize candidate security. Please be aware that job offers will only come from emails ending with @* 
*precisionneuro.io*
*Diverse workforces create the best culture, company, and products. We at Precision are committed to an inclusive culture that celebrates the uniqueness and contributions of everyone.
 As an equal opportunity employer, Precision does not discriminate on the basis of sex, race, religion, national origin, disability status, protected veteran status, or any other characteristic protected by law.*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***For roles based in Massachusetts***
*: it is unlawful in Massachusetts to require or administer a lie detector test as a condition of employment or continued employment. An employer who violates this law shall be subject to criminal penalties and civil liability.*</t>
        </is>
      </c>
    </row>
    <row r="125">
      <c r="A125" t="inlineStr">
        <is>
          <t>li-4374990932</t>
        </is>
      </c>
      <c r="B125" t="inlineStr">
        <is>
          <t>Lead Software Engineer - Python</t>
        </is>
      </c>
      <c r="C125" t="inlineStr">
        <is>
          <t>hackajob</t>
        </is>
      </c>
      <c r="D125" t="inlineStr">
        <is>
          <t>linkedin</t>
        </is>
      </c>
      <c r="E125">
        <f>HYPERLINK("https://www.linkedin.com/jobs/view/4374990932", "https://www.linkedin.com/jobs/view/4374990932")</f>
        <v/>
      </c>
      <c r="F125" t="inlineStr"/>
      <c r="G125" t="inlineStr">
        <is>
          <t>Columbus, OH</t>
        </is>
      </c>
      <c r="H125" t="inlineStr"/>
      <c r="I125" t="inlineStr">
        <is>
          <t>***hackajob** 
 is collaborating with
 **J.P. Morgan** 
 to connect them with exceptional tech professionals for this role.*
**Job Description**
 We have an opportunity to impact your career and provide an adventure where you can push the limits of what's possible.
 As a Lead Software Engineer \- Python at JPMorganChase within the Corporate Sector,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implement software solutions to address complex business and technical challenges within the storage product domain.
* Collaborate with cross\-functional teams to gather requirements, architect solutions, and deliver products that meet customer needs and business objectives.
* Develop secure, high\-quality production code and participate in code reviews, debugging, and troubleshooting to ensure adherence to coding standards.
* Identify opportunities to automate and remediate recurring issues to improve operational stability and efficiency.
* Manage the full software development lifecycle (SDLC), including requirements analysis, design, development, testing, deployment, and maintenance.
* Evaluate and integrate new technologies, tools, and frameworks to enhance system performance, scalability, and reliability.
* Lead technical sessions with internal teams and external vendors to assess architectural designs and technical solutions for integration.
* Mentor and guide junior engineers, fostering a culture of learning, growth, and technical excellence.
* Stay informed about the latest advancements in software engineering, programming languages, and infrastructure technologies.
* Champion agile methodologies and practices, driving continuous improvement and innovation across the team.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including Python, RabbitMQ, Cockerroach, React, Django, FastAPI, Flask, Django, and AWS
* Experience in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Modern emerging technologies
* Familiarity with infrastructure technologies, storage systems, or related domains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26">
      <c r="A126" t="inlineStr">
        <is>
          <t>li-4374338113</t>
        </is>
      </c>
      <c r="B126" t="inlineStr">
        <is>
          <t>Senior Software Engineer</t>
        </is>
      </c>
      <c r="C126" t="inlineStr">
        <is>
          <t>Zachary Piper Solutions</t>
        </is>
      </c>
      <c r="D126" t="inlineStr">
        <is>
          <t>linkedin</t>
        </is>
      </c>
      <c r="E126">
        <f>HYPERLINK("https://www.linkedin.com/jobs/view/4374338113", "https://www.linkedin.com/jobs/view/4374338113")</f>
        <v/>
      </c>
      <c r="F126">
        <f>HYPERLINK("https://careers.zacharypiper.com/details/102329/senior_software_engineer&amp;urlHash=Ll9-", "https://careers.zacharypiper.com/details/102329/senior_software_engineer&amp;urlHash=Ll9-")</f>
        <v/>
      </c>
      <c r="G126" t="inlineStr">
        <is>
          <t>Springfield, VA</t>
        </is>
      </c>
      <c r="H126" t="inlineStr"/>
      <c r="I126" t="inlineStr">
        <is>
          <t>Zachary Piper Solutions is seeking a talented Senior Software Engineer to join our team in Springfield, VA. As a Senior Software Engineer, you will play a key role in supporting the Geospatial Intelligence Agency (NGA) by designing, developing, and maintaining geospatial intelligence applications. Your primary focus will be modernizing legacy systems and optimizing operational efficiency. The role requires an active TS/SCI clearance.
 Responsibilities:
* Collaborate with a multidisciplinary team to modernize legacy applications, with a specific focus on migrating from JavaScript to Angular 12\.
* Design and develop robust Spring Boot applications using Angular Typescript and Java, facilitating the import, editing, and export of Tenable audit files used for Nessus vulnerability scans.
* Conduct thorough testing of software using server instances hosted on AWS EC2, ensuring the reliability and stability of the applications.
* Utilize AWS S3 to securely store software and facilitate seamless transfer between servers operating at different classification levels.
* Troubleshoot and enhance Kibana visualizations and alerts by leveraging logs ingested into an Elasticsearch database, employing Ansible playbooks to accurately monitor system operations.
 Requirements:
* Bachelor's degree in Computer Science, Software Engineering, or a related field (or equivalent work experience).
* Minimum of 4 years of experience in software development, with expertise in modernizing legacy applications and utilizing Angular, Spring Boot, and Java.
* Active TS/SCI security clearance.
* Strong proficiency in AWS services, including EC2, S3, and client VPN.
* Experience with vulnerability scanning tools such as Nessus.
* Proficiency in log analysis and visualization using Kibana and Elasticsearch.
* Ability to work effectively in an Agile environment, collaborating with cross\-functional teams to deliver high\-quality software solutions.
* Excellent problem\-solving and communication skills, with a strong attention to detail.
 Compensation:
* $140,000 \- $160,000
* Medical, Dental, Vision, 401k, Paid Time off, Holidays</t>
        </is>
      </c>
    </row>
    <row r="127">
      <c r="A127" t="inlineStr">
        <is>
          <t>li-4375307572</t>
        </is>
      </c>
      <c r="B127" t="inlineStr">
        <is>
          <t>AWS Software Engineer III - Python/Data Pipeline</t>
        </is>
      </c>
      <c r="C127" t="inlineStr">
        <is>
          <t>hackajob</t>
        </is>
      </c>
      <c r="D127" t="inlineStr">
        <is>
          <t>linkedin</t>
        </is>
      </c>
      <c r="E127">
        <f>HYPERLINK("https://www.linkedin.com/jobs/view/4375307572", "https://www.linkedin.com/jobs/view/4375307572")</f>
        <v/>
      </c>
      <c r="F127">
        <f>HYPERLINK("https://www.hackajob.com/job/ea871c6d-f3a4-11f0-b544-0a05e249917d-aws-software-engineer-iii-python-data-pipeline?utm_source=LinkedIn&amp;utm_medium=JobAds&amp;utm_term=Automated&amp;utm_campaign=jp-morgan-aws-software-engineer-iii-python-data-pipeline&amp;job_name=aws-software-engineer-iii-python-data-pipeline&amp;company=jp-morgan&amp;workplace_type=on-site&amp;city=atlanta&amp;country=united-states&amp;urlHash=bmyj", "https://www.hackajob.com/job/ea871c6d-f3a4-11f0-b544-0a05e249917d-aws-software-engineer-iii-python-data-pipeline?utm_source=LinkedIn&amp;utm_medium=JobAds&amp;utm_term=Automated&amp;utm_campaign=jp-morgan-aws-software-engineer-iii-python-data-pipeline&amp;job_name=aws-software-engineer-iii-python-data-pipeline&amp;company=jp-morgan&amp;workplace_type=on-site&amp;city=atlanta&amp;country=united-states&amp;urlHash=bmyj")</f>
        <v/>
      </c>
      <c r="G127" t="inlineStr">
        <is>
          <t>Atlanta, GA</t>
        </is>
      </c>
      <c r="H127" t="inlineStr"/>
      <c r="I127" t="inlineStr">
        <is>
          <t>***hackajob** 
 is collaborating with
 **J.P. Morgan** 
 to connect them with exceptional tech professionals for this role.*
**Job Description**
 We have an exciting and rewarding opportunity for you to take your software engineering career to the next level.
 As an AWS Software Engineer III \- Python/Data Pipeline at JPMorgan Chase within the Corporate Investment Banking Payments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 architecture and design artifacts for complex data platforms and pipelines, ensuring design constraints are met throughout software code development
* Build and maintain end\-to\-end data pipelines, including ingestion, transformation, quality, and reliability
* Enables downstream analytics and BI consumers through well designed pipelines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Experience in developing, debugging, and maintaining code in a large corporate environment, with extensive experience in Python as the primary development language, and database querying languages
* Hands\-on practical experience working in cloud technologies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Demonstrate production\-grade data engineering expertise with databases and data pipelines, including SQL, schema design, and end\-to\-end data flows
* Experience building BI solution on top of those pipelines, including dash boarding, as well as underlying data engineering work required to feed tools like ThoughtSpot
**Preferred Qualifications, Capabilities, And Skills**
* Familiarity with modern front\-end technologies
* Exposure to AWS cloud technologies and frameworks
* Strong experience in one or more programming languages (e.g., Java, Python, C\#, JavaScript/TypeScript).
* Agile best practices, methodologies and Project Management experience
* Familiarity with modern frameworks and libraries relevant to the team’s tech stack.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28">
      <c r="A128" t="inlineStr">
        <is>
          <t>li-4358254091</t>
        </is>
      </c>
      <c r="B128" t="inlineStr">
        <is>
          <t>AWS Sr Software Engineer</t>
        </is>
      </c>
      <c r="C128" t="inlineStr">
        <is>
          <t>Cox Automotive Inc.</t>
        </is>
      </c>
      <c r="D128" t="inlineStr">
        <is>
          <t>linkedin</t>
        </is>
      </c>
      <c r="E128">
        <f>HYPERLINK("https://www.linkedin.com/jobs/view/4358254091", "https://www.linkedin.com/jobs/view/4358254091")</f>
        <v/>
      </c>
      <c r="F128">
        <f>HYPERLINK("https://click.appcast.io/t/Q79Rq-w_ZrKS_zA0klXDYhkwM7VHLCqVR6SaZp8U9CQH6s6PxZIvEB5zgY8CperJ&amp;urlHash=rIYP", "https://click.appcast.io/t/Q79Rq-w_ZrKS_zA0klXDYhkwM7VHLCqVR6SaZp8U9CQH6s6PxZIvEB5zgY8CperJ&amp;urlHash=rIYP")</f>
        <v/>
      </c>
      <c r="G128" t="inlineStr">
        <is>
          <t>Atlanta, GA</t>
        </is>
      </c>
      <c r="H128" t="inlineStr"/>
      <c r="I128" t="inlineStr">
        <is>
          <t>Cox Automotive is seeking a
 **Senior Software Engineer** 
 to join our agile development team in Atlanta, GA. This role is ideal for a curious, adaptable engineer who thrives in a fast\-paced environment, enjoys working across the stack, and is excited to explore emerging technologies, particularly artificial intelligence (AI) to help drive the next generation of our core products.
 As a senior team member, you will drive technical excellence, mentor junior engineers, and champion best practices in cloud\-native, DevOps\-focused software engineering. You'll work in a collaborative, cross\-functional Agile environment using Scrum or Kanban, partnering closely with product owners, QA engineers, and other teams.
 Key Responsibilities
* Design, develop, and deploy robust, scalable software solutions that meet user story requirements and acceptance criteria.
* Write and maintain unit, integration, and automated tests to ensure software quality and reliability.
* Support functional testing efforts for applications, modules, or new features.
* Troubleshoot and resolve software defects and production issues.
* Break down epics and stories into technical tasks and provide accurate estimates.
* Build expertise in the applications, systems, and services you support.
* Participate actively in Agile ceremonies and collaborate within a cross\-functional team.
* Effectively document your work and share knowledge with the team.
* Monitor and manage cloud infrastructure (cost, performance, security) within AWS.
* Enhance infrastructure and CI/CD pipelines to improve performance, security, and deployment cycles.
* Stay current on new tools, technologies, and trends relevant to your technical domain.
* Explore and incorporate AI capabilities to improve code quality, deployment processes, and innovation within our engineering practice.
* Mentor and support junior and mid\-level engineers through technical guidance and peer programming.
 Senior\-Software Level Expectations
* Mentorship \&amp; Leadership: Provide technical mentorship on design patterns, code quality, and career growth.
* Ownership \&amp; Initiative: Take full ownership of features or systems; proactively identify and solve problems.
* Continuous Learning: Stay up to date with advancements in cloud computing, DevOps, AI, and software best practices.
* Adaptability: Thrive in dynamic environments and pivot easily when priorities shift.
* Collaboration \&amp; Communication: Communicate technical concepts clearly to both technical and non\-technical stakeholders.
* Decision\-Making: Influence architectural decisions and contribute to the long\-term technical strategy.
**Minimum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4\+ years hands\-on building and running systems in AWS in production.
* Excellent interpersonal, leadership, presentation, and collaborative skills to work effectively with teams throughout organization
* AWS\-specific background: (Significant hands\-on experience with several of: Compute: EC2, EKS, Lambda Storage \&amp; Data: S3, RDS, DynamoDB, ElastiCache, Aurora Networking \&amp; Edge: VPC, ALB/NLB, Route 53, CloudFront, API Gateway Messaging \&amp; Integration: SQS, SNS, EventBridge, Kinesis Observability \&amp; Management: CloudWatch, X\-Ray, CloudTrail, Config
* Proven track record designing at least one mission\-critical system on AWS (large scale, high availability, or stringent security).
**Preferred Qualifications**
* Experience or familiarity with development using Dart and the Flutter framework.
* AWS certifications (Developer, Solutions Architect, or DevOps) highly preferred.
* Experience working with AI technologies or strong curiosity to incorporate AI into development.
 Technology We Use
* Languages: JavaScript, Dart and Flutter, Pega, SQL
* Cloud \&amp; DevOps: AWS Lambda, EKS/EC2, SQS, SNS, API Gateway, CloudFormation, Docker, Git, CDK, TerraForm
* Databases: DynamoDB, AuroraDB
* Tools \&amp; Practices: CoPilot, VS, Agile (Scrum/Kanban/SAFE), DevOps, CI/CD
* Special Focus: Serverless architecture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29">
      <c r="A129" t="inlineStr">
        <is>
          <t>li-4374031138</t>
        </is>
      </c>
      <c r="B129" t="inlineStr">
        <is>
          <t>Software Engineer-Embedded (Associate or Experienced) (Virtual)</t>
        </is>
      </c>
      <c r="C129" t="inlineStr">
        <is>
          <t>Jobs via Dice</t>
        </is>
      </c>
      <c r="D129" t="inlineStr">
        <is>
          <t>linkedin</t>
        </is>
      </c>
      <c r="E129">
        <f>HYPERLINK("https://www.linkedin.com/jobs/view/4374031138", "https://www.linkedin.com/jobs/view/4374031138")</f>
        <v/>
      </c>
      <c r="F129" t="inlineStr"/>
      <c r="G129" t="inlineStr"/>
      <c r="H129" t="inlineStr"/>
      <c r="I129" t="inlineStr">
        <is>
          <t>**Company:**
 The Boeing Company
 The Boeing Company is currently seeking a
 **Software Engineer\-Embedded (Associate or Experienced) (Virtual)** 
 to support our
 **Boeing Software Factory** 
 team located in
 **Centennial, Colorado Springs, Colorado.** 
 This position will focus on supporting the Boeing Engineering Test and Technology (ET\&amp;T) business organization.
 The ideal Software Engineer will be responsible for developing tools and supporting devops tasks related to Boeing Software Factory Integration. They will be responsible for developing Python based devops tools, supporting devops tasks related across the Boeing Software Factory, and developing tooling that automates the orchestration, packaging, and testing of software products across the company.
**Our teams are currently hiring for a broad range of experience levels including Associate, and Experienced Level Software Engineers.**
**This position has been identified as a virtual opportunity and will not require the selected candidate to relocate.**
**Position Responsibilities:**
* A fast paced, small team that automates common development tasks in the Boeing Software Factory by providing devops support that includes (but not limited to):
* Gitlab CI Pipeline implementation and updates to existing pipelines
* Bazel module updates and implementation to support various development languages (Python, C, C\+\+, Java, Rust, etc...)
* Python tool development
* Works under general direction with various teams to help with their migration into the Boeing Software Factory
**Basic Qualifications (Required Skills/ Experience):**
* 3\+ years of experience developing Python modules and/or scripts
* 3\+ years of experience developing CI/CD pipelines (Gitlab CI preferred)
* 1\+ years of experience developing in Java or Rust
**Preferred Qualifications (Desired Skills/Experience):**
* Bachelor of Science degree from an accredited course of study in engineering, engineering technology (includes manufacturing engineering technology), chemistry, physics, mathematics, data science, or computer science.
* Level 2: 1 or more years' related work experience or an equivalent combination of education and experience
* Level 3: 3 or more years' related work experience or an equivalent combination of education and experience
* 3\+ years of experience developing software for embedded systems, using one or more real\-time operating systems (RTOS).
* 1\+ years of experience with Bazel (Module development preferred)
* Familiarity with Agile software development methodologies
**Drug Free Workplace:**
 Boeing is a Drug Free Workplace (DFW) where post offer applicants and employees are subject to testing for marijuana, cocaine, opioids, amphetamines, PCP, and alcohol when criteria is met as outlined in our policies.
**Travel:**
 10%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(Level 2\): $91,800 \- $142,600
 Summary pay range for Experienced Level (Level 3\): $114,750 \- $178,250
**Language Requirements:**
 Not Applicable
**Education:**
 Not Applicable
**Relocation:**
 Relocation assistance is not a negotiable benefit for this position.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does not require a Security Clearance.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130">
      <c r="A130" t="inlineStr">
        <is>
          <t>li-4373391258</t>
        </is>
      </c>
      <c r="B130" t="inlineStr">
        <is>
          <t>Frontend Engineer</t>
        </is>
      </c>
      <c r="C130" t="inlineStr">
        <is>
          <t>Jobs via Dice</t>
        </is>
      </c>
      <c r="D130" t="inlineStr">
        <is>
          <t>linkedin</t>
        </is>
      </c>
      <c r="E130">
        <f>HYPERLINK("https://www.linkedin.com/jobs/view/4373391258", "https://www.linkedin.com/jobs/view/4373391258")</f>
        <v/>
      </c>
      <c r="F130" t="inlineStr"/>
      <c r="G130" t="inlineStr">
        <is>
          <t>New York, NY</t>
        </is>
      </c>
      <c r="H130" t="inlineStr"/>
      <c r="I130" t="inlineStr">
        <is>
          <t>**Well\-Funded, General Catalyst Backed Startup Revolutionizing Hardware Testing**
 This Jobot Job is hosted by: Caitlyn Hardy
 Are you a fit? Easy Apply now by clicking the "Apply Now" button and sending us your resume.
 Salary: $120,000 \- $200,000 per year
**A bit about us:**
 Join a fast\-growing, well\-funded Series A startup at the forefront of building the modern test stack for hardware engineering teams. Founded by MIT and Harvard alumni and backed by top\-tier investors like Founders Fund and General Catalyst, this company is revolutionizing how aerospace, autonomy, clean energy, and advanced manufacturing teams collect, validate, and act on real\-time data.
 As a Frontend Engineer, you'll work with a modern tech stack (React, Next.js, tRPC, Radix UI, Tailwind) to design and launch high\-impact features from the ground up. You'll play a key role in shaping product direction while working closely with a world\-class team on complex, real\-time systems that power the future of hardware development.
 If you're passionate about building elegant UIs for complex systems, and excited by the idea of shaping the future of hardware development, this is a rare opportunity worth exploring.
**Why join us?**
 High\-growth startup with long runway and serious backing
 Ownership and impact: Build features from scratch, influence the roadmap
 Deeply technical product serving cutting\-edge industries
 Competitive salary \+ meaningful equity
 100% covered health benefits, 401(k), unlimited PTO, learning stipends
**Job Details**
* 3\+ years of experience in frontend software engineering
* Strong knowledge of modern frontend technologies such as React, Next.js, and TypeScript.
* An enthusiasm for building intuitive, visually polished frontends that prioritize user experience.
* Background in developing tools for expert users, including interfaces for data\-heavy applications like dashboards, time\-based data explorers, or intricate editing workflows.
* Experience with APIs (RESTful, GraphQL, or tRPC) and integrating them into frontend applications seamlessly.
* Familiar with optimizing complex UIs for speed and scalability, including strategies for efficiently handling and displaying large volumes of data while maintaining a fluid user experience.
* WebGL/Graphics: Experience with or interest in WebGL and working on data visualization projects is a plus!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1">
      <c r="A131" t="inlineStr">
        <is>
          <t>li-4373388281</t>
        </is>
      </c>
      <c r="B131" t="inlineStr">
        <is>
          <t>Software Engineer</t>
        </is>
      </c>
      <c r="C131" t="inlineStr">
        <is>
          <t>Jobs via Dice</t>
        </is>
      </c>
      <c r="D131" t="inlineStr">
        <is>
          <t>linkedin</t>
        </is>
      </c>
      <c r="E131">
        <f>HYPERLINK("https://www.linkedin.com/jobs/view/4373388281", "https://www.linkedin.com/jobs/view/4373388281")</f>
        <v/>
      </c>
      <c r="F131">
        <f>HYPERLINK("https://click.appcast.io/t/gUeFioMAd_mkOM208VVodRwBO5Ce1SWBBVS5AWZVcpg=&amp;urlHash=IwW7", "https://click.appcast.io/t/gUeFioMAd_mkOM208VVodRwBO5Ce1SWBBVS5AWZVcpg=&amp;urlHash=IwW7")</f>
        <v/>
      </c>
      <c r="G131" t="inlineStr">
        <is>
          <t>St Louis, MO</t>
        </is>
      </c>
      <c r="H131" t="inlineStr"/>
      <c r="I131"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St. Louis, Missouri
 job type: Contract
 salary: $48\.59 \- 53\.59 per hour
 work hours: 8am to 5pm
 education: Bachelors
 responsibilities:
 In this contingent resource assignment, you may: Consult on or participate in moderately complex initiatives and deliverables within Software Engineering and contribute to large\-scale planning related to Software Engineering deliverables. Review and analyze moderately complex Software Engineering challenges that require an in\-depth evaluation of variable factors. Contribute to the resolution of moderately complex issues and consult with others to meet Software Engineering deliverables while leveraging solid understanding of the function, policies, procedures, and compliance requirements. Collaborate with client personnel in Software Engineering.
 qualifications:
 Required Qualifications: 4\+ years of Software Engineering experience, or equivalent demonstrated through one or a combination of the following: work or consulting experience, training, military experience, education.
 Preferred Skills:
* Spring Framework, including Spring Boot (Building JSON REST APIs)
* ReactJS \+ TypeScript
* MongoDB
* Apache Kafka
* Experience with full\-stack development
* Experience writing unit tests, e.g. JUnit with Mockito, Jest
* Experience with automated testing, e.g. Rest Assured, Selenium or Playwright
* Familiarity with cloud technologies
* Experience with GitHub hooks and automation
* Familiarity with AI\-assisted development tools like Microsoft Copilot and GitHub Copilot
* Robust delivery mindset with the ability to lead while contributing directly to code
* Passion for technology, including interests outside of work
 \_\_\_\_\_\_\_\_\_\_\_\_\_\_\_\_\_\_\_\_\_\_\_\_\_\_\_\_\_\_\_\_\_\_\_\_\_\_\_\_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32">
      <c r="A132" t="inlineStr">
        <is>
          <t>li-4373630139</t>
        </is>
      </c>
      <c r="B132" t="inlineStr">
        <is>
          <t>Senior/Principal Software Engineer - Growth (CoreAI)</t>
        </is>
      </c>
      <c r="C132" t="inlineStr">
        <is>
          <t>Jobs via Dice</t>
        </is>
      </c>
      <c r="D132" t="inlineStr">
        <is>
          <t>linkedin</t>
        </is>
      </c>
      <c r="E132">
        <f>HYPERLINK("https://www.linkedin.com/jobs/view/4373630139", "https://www.linkedin.com/jobs/view/4373630139")</f>
        <v/>
      </c>
      <c r="F132">
        <f>HYPERLINK("https://click.appcast.io/t/b_HzqFyTWt8IYW35f0Gc2ylIe64FaObih_JdDk5QVEE=&amp;urlHash=u9yg", "https://click.appcast.io/t/b_HzqFyTWt8IYW35f0Gc2ylIe64FaObih_JdDk5QVEE=&amp;urlHash=u9yg")</f>
        <v/>
      </c>
      <c r="G132" t="inlineStr">
        <is>
          <t>Mountain View, CA</t>
        </is>
      </c>
      <c r="H132" t="inlineStr"/>
      <c r="I132" t="inlineStr">
        <is>
          <t>**Overview**
**About the Role**
* We're building AI\-first engineering systems that power growth at Microsoft \- designing, shipping, and scaling code that directly shapes how millions of developers experience and adopt AI.
* As a Growth Engineer in CoreAI, you'll sit at the intersection of product, engineering, and data, driving experimentation, learning velocity, and real business impact across world\-class developer and AI products.
* This role is about shipping fast, learning faster, and scaling what works \- all while upholding Microsoft's commitment to responsible, inclusive, and trustworthy AI.
**About CoreAI**
* CoreAI \- Platform and Tools is Microsoft's AI\-first engineering organization, created to build the end\-to\-end Copilot \&amp; AI stack powering products like GitHub Copilot and Visual Studio Code.
* Our mission is to empower every developer to shape the future with AI, accelerating how AI applications are built, deployed, and improved at global scale.
**Why This Role Is Exciting**
* This is not growth at the edges \- this is growth at the core.
* Build AI\-powered growth loops on world\-class products like VS Code and GitHub
* Operate inside a high\-velocity, AI\-first engineering organization where learning speed matters
* Influence how hundreds of millions of users discover, adopt, and succeed with AI
* Drive real business impact \- measured, shipped, and scaled
* Help define what responsible growth looks like in the AI organisation
**Our Culture \&amp; Values**
* At Microsoft, how we build matters as much as what we build.
* We are guided by our mission to empower every person and every organization on the planet to achieve more, and we show up every day with:
* A growth mindset
* Respect, integrity, and accountability
* A commitment to inclusive, responsible AI that earns trust and benefits everyone
* We believe diverse perspectives make our products \- and our teams \- stronger.
**Impact You'll Have**
* Raise the bar for experimentation quality across CoreAI
* Help define AI growth best practices for Microsoft
* Turn learning into leverage \- faster adoption, better experiences, measurable results
**Responsibilities**
**What You'll Do**
* Own growth through engineering excellence and experimentation
* Design, ship, and iterate on growth experiments across acquisition, activation, engagement, and retention
* Build and evolve A/B testing frameworks, metrics, and tooling that raise experimentation quality and confidence
* Partner closely with Product, Data Science, Design, and Research to turn hypotheses into shipped learnings
* Use data and telemetry to guide decisions \- from experiment design to rollout strategy
* Scale successful growth patterns across high\-traffic, global AI products
* Balance speed and rigor in a fast\-paced, AI\-first engineering environment
**What We're Looking For**
* Software engineering fundamentals with experience building, shipping, and operating production services or client applications
* Proficiency in designing scalable, reliable systems that support rapid iteration and experimentation
* Experience writing high\-quality, maintainable code and owning services end\-to\-end in a live environment
* Ability to reason about performance, reliability, and correctness in high\-traffic systems
* Experience supporting or driving experimentation (A/B testing) in production environments
* Understanding of experimentation quality, including guardrails, metrics selection, and rollout strategies
* Engineering mindset grounded in hypothesis\-driven development and learning through iteration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shipping A/B tests end\-to\-end in production (design instrumentation analysis rollout), including improving experiment quality and guardrails
* 4\+ years building and shipping high\-availability features for multi\-region, globally distributed systems (resiliency, failover, capacity planning)
* Demonstrated experience leaning heavily on AI to accelerate engineering velocity, including using AI tools to prototype, implement, debug, and iterate on production features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3">
      <c r="A133" t="inlineStr">
        <is>
          <t>li-4374076163</t>
        </is>
      </c>
      <c r="B133" t="inlineStr">
        <is>
          <t>Software Engineer</t>
        </is>
      </c>
      <c r="C133" t="inlineStr">
        <is>
          <t>Jobs via Dice</t>
        </is>
      </c>
      <c r="D133" t="inlineStr">
        <is>
          <t>linkedin</t>
        </is>
      </c>
      <c r="E133">
        <f>HYPERLINK("https://www.linkedin.com/jobs/view/4374076163", "https://www.linkedin.com/jobs/view/4374076163")</f>
        <v/>
      </c>
      <c r="F133">
        <f>HYPERLINK("https://click.appcast.io/t/5VX81X4d-Ge3QNkUUB4H-7wX87DnhhFJ8Wh2sEdrn1Q=&amp;urlHash=0AVM", "https://click.appcast.io/t/5VX81X4d-Ge3QNkUUB4H-7wX87DnhhFJ8Wh2sEdrn1Q=&amp;urlHash=0AVM")</f>
        <v/>
      </c>
      <c r="G133" t="inlineStr">
        <is>
          <t>Woodbridge, NJ</t>
        </is>
      </c>
      <c r="H133" t="inlineStr"/>
      <c r="I133"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Woodbridge Township, New Jersey
 job type: Contract
 salary: $71\.40 \- 76\.40 per hour
 work hours: 8am to 5pm
 education: Bachelors
 responsibilities:
 you may: Consult on complex initiatives with broad impact and large\-scale planning for Software Engineering. Review and analyze complex multi\-faceted, larger scale or longer\-term Software Engineering challenges that require in\-depth evaluation of multiple factors including intangibles or unprecedented factors. Contribute to the resolution of complex and multi\-faceted situations requiring solid understanding of the function, policies, procedures, and compliance requirements that meet deliverables. Strategically collaborate and consult with client personnel.
 qualifications:
 Required Qualifications: 5\+ years of Software Engineering experience, or equivalent demonstrated through one or a combination of the following: work or consulting experience, training, military experience, education.
 Additional Skills: React JS, Google Cloud Platform, Big Query.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34">
      <c r="A134" t="inlineStr">
        <is>
          <t>li-4375303621</t>
        </is>
      </c>
      <c r="B134" t="inlineStr">
        <is>
          <t>Lead Software Engineer</t>
        </is>
      </c>
      <c r="C134" t="inlineStr">
        <is>
          <t>Jobs via Dice</t>
        </is>
      </c>
      <c r="D134" t="inlineStr">
        <is>
          <t>linkedin</t>
        </is>
      </c>
      <c r="E134">
        <f>HYPERLINK("https://www.linkedin.com/jobs/view/4375303621", "https://www.linkedin.com/jobs/view/4375303621")</f>
        <v/>
      </c>
      <c r="F134" t="inlineStr"/>
      <c r="G134" t="inlineStr">
        <is>
          <t>Arlington, TX</t>
        </is>
      </c>
      <c r="H134" t="inlineStr"/>
      <c r="I134" t="inlineStr">
        <is>
          <t>**Fully remote leadership in SaaS company!!!**
 This Jobot Job is hosted by: Garrett Mathison
 Are you a fit? Easy Apply now by clicking the "Apply Now" button and sending us your resume.
 Salary: $140,000 \- $160,000 per year
**A bit about us:**
 We are a rapidly growing SaaS company focused on the energy space. We help energy companies manage their assets, train their employees and manage their contractors virtually.
**Why join us?**
 We offer a fully remote environment with flexible hours, full benefits and a 401k match!
**Job Details**
 We are seeking a highly accomplished Lead Software Engineer to join our dynamic team in the Energy industry. The successful candidate will be instrumental in driving the design, development, and implementation of cutting\-edge software solutions. This exciting role offers the opportunity to work on challenging projects, using the latest technologies in the industry.
 Responsibilities:
* Lead a team of software engineers in the design, development, testing, and implementation of high\-quality software solutions.
* Collaborate with business analysts and product owners to understand business requirements and translate them into technical specifications.
* Develop and maintain web applications using C\# 8\.0, .NET 4\.8, ASP.NET Web API 2, JavaScript, Angular, and other modern web technologies.
* Utilize Azure cloud services for application deployment and management.
* Ensure the performance, quality, and responsiveness of applications.
* Identify and correct bottlenecks and fix bugs.
* Maintain code quality, organization, and automatization.
* Mentor junior team members and provide constructive feedback to improve their skills and capabilities.
* Stay updated with the latest industry trends and technologies to ensure our software solutions remain current and competitive.
 Qualifications:
* A Bachelor's degree in Computer Science, Information Technology, or a related field preferred.
* A minimum of 8 years of experience in software development with a focus on ASP.NET, C\#, JavaScript and Angular.
* Proven experience as a senior software engineer or similar role.
* Strong knowledge of web development technologies, including JavaScript, Angular, Vue and other modern web technologies.
* Extensive experience with Azure cloud services.
* Excellent understanding of software design and programming principles.
* A team player with excellent communication and leadership skills.
* Strong analytical and problem\-solving skills.
* Proven ability to manage a software development team and lead projects to completion.
* A commitment to continuous professional development.
* Strong organizational and time\-management skills.
 Join us and be a part of a team that values innovation, creativity, and quality. If you are a who lives in Indiana, Kentucky, Michigan, Minnesota, Missouri, Pennsylvania, Connecticut, Tennessee, Texas, Arkansas, Colorado, New Mexico, Oklahoma or Florida who thrives in a fast\-paced, challenging environment, and has a passion for delivering top\-notch software solutions, we want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5">
      <c r="A135" t="inlineStr">
        <is>
          <t>li-4373641002</t>
        </is>
      </c>
      <c r="B135" t="inlineStr">
        <is>
          <t>Lead Software Engineer (Java/AWS)</t>
        </is>
      </c>
      <c r="C135" t="inlineStr">
        <is>
          <t>Jobs via Dice</t>
        </is>
      </c>
      <c r="D135" t="inlineStr">
        <is>
          <t>linkedin</t>
        </is>
      </c>
      <c r="E135">
        <f>HYPERLINK("https://www.linkedin.com/jobs/view/4373641002", "https://www.linkedin.com/jobs/view/4373641002")</f>
        <v/>
      </c>
      <c r="F135" t="inlineStr"/>
      <c r="G135" t="inlineStr">
        <is>
          <t>Rockville, MD</t>
        </is>
      </c>
      <c r="H135" t="inlineStr"/>
      <c r="I135" t="inlineStr">
        <is>
          <t>Software Guidance \&amp; Assistance, Inc., (SGA), is searching for a
 **Lead Software** 
**Engineer (Java/AWS)** 
 for a
 **Contract** 
 assignment with one of our premier
 **Regulatory** 
 clients in
 **Rockville, MD.
 This position is hybrid (3 days per week onsite) \- Rockville or Tysons
 Must be local to DC Metro area.**
**Responsibilities** 
 :
* GraphQL API Development: Design, develop, and maintain GraphQL APIs to enable efficient data exchange between COTS platforms and the firm's systems
* Integration Architecture: Architect scalable integration solutions that connect external products with the firm's internal databases, applications, and services
* Systems Connectivity: Build and maintain middleware, integration layers, and data pipelines to ensure reliable system\-to\-system communication
* Vendor Technical Collaboration: Work with COTS vendors on technical integration requirements, API specifications, and troubleshooting
* Data Integration: Implement data mapping, transformation, and synchronization processes while maintaining data integrity and security standards
* Technical Leadership: Mentor engineers on integration patterns, GraphQL best practices, and guide technical decisions for the investigations technology stack
**Required** 
**Skills** 
 :
* Bachelor's degree in Computer Science, Software Engineering, or related field (Master's preferred)
* 7\+ years of software engineering experience with 3\+ years focused on enterprise system integration
* Strong expertise in GraphQL: schema design, query optimization, resolver implementation, and federation patterns
* Proficiency in Java and Python
* Experience with REST APIs, authentication protocols (OAuth 2\.0, JWT, SAML), and API gateway technologies
* Strong understanding of Oracle and SQL Server databases
* Experience with AWS cloud services and containerization
* Knowledge of CI/CD practices and DevOps principles
**Preferred** 
**Skills** 
 :
* Experience with GraphQL federation and implementing federated GraphQL architectures
* Background integrating case management, analytics, or enterprise software platforms
* Experience with message brokers and event\-driven architectures
* Understanding of security best practices for API integration in regulated environments
**Skills \&amp; Competencies:**
* API Design Excellence: Deep understanding of GraphQL schema design, query performance, and API versioning strategies
* Integration Architecture: Ability to design and implement robust, scalable integration solutions
* Technical Problem\-Solving: Strong troubleshooting skills for complex integration challenges
* Vendor Collaboration: Effective technical communication with external vendors and internal stakeholders
* Documentation: Clear technical documentation for APIs, integration architectures, and system interfaces
* Quality Focus: Commitment to code quality, testing, and monitoring best practices
**Key Technologies:**
* GraphQL (Apollo Server/Client, GraphQL Federation)
* Programming Languages: Java, Python
* Databases: DocumentDB, Mongo
* Cloud Platform: AWS (Lambda, API Gateway, ECS, S3, RDS, etc.)
* Integration \&amp; Messaging: AWS services for integration patterns
* Containerization: Docker, container orchestration on AWS
* DevOps: CI/CD pipelines, monitoring, logging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to request an accommodation or assistance regarding our policy.</t>
        </is>
      </c>
    </row>
    <row r="136">
      <c r="A136" t="inlineStr">
        <is>
          <t>li-4373657545</t>
        </is>
      </c>
      <c r="B136" t="inlineStr">
        <is>
          <t>Software Engineer -GSPS</t>
        </is>
      </c>
      <c r="C136" t="inlineStr">
        <is>
          <t>Jobs via Dice</t>
        </is>
      </c>
      <c r="D136" t="inlineStr">
        <is>
          <t>linkedin</t>
        </is>
      </c>
      <c r="E136">
        <f>HYPERLINK("https://www.linkedin.com/jobs/view/4373657545", "https://www.linkedin.com/jobs/view/4373657545")</f>
        <v/>
      </c>
      <c r="F136" t="inlineStr"/>
      <c r="G136" t="inlineStr">
        <is>
          <t>Papillion, NE</t>
        </is>
      </c>
      <c r="H136" t="inlineStr"/>
      <c r="I136" t="inlineStr">
        <is>
          <t>**Description**
 Job Description Program: Global Strike and Product Support 2 (GSPS2\) Agile / DevSecOps environment, web\-based and Java mission systems for the Intelligence, Global Strike, and Nuclear Planning communities. Experience developing and testing full\-stack Java\-based web applications in an Agile / DevSecOps team environment Desired Skills: \- Familiarity with development tooling Eclipse, Jenkins, GitLab, Gradle, GIT, JUnit, Selenium, JIRA \- Experience with JavaScript Frameworks / Libraries (Ext JS, React/Angular/Vue), CSS, and HTML \- Experience with CI / CD Pipelines \- Experience with Web Services (REST) or JSON/XML experience. Clearance Level:Top Secret \- can start with a secret and upgrade through TEK
**Skills**
 Java, Springboot, Javascript, CICD, DevOps
**Top Skills Details**
 Java,Springboot,Javascript,CICD,DevOps
**Additional Skills \&amp; Qualifications**
 This team meets with the PM and the government so good communication and needs to be very professional. They like quick go getters that want to learn and can pick up their fast paced environment quickly. 1\) Experience with JUnit, MagicDraw, Crucible, Fisheye, Subversion, JIRA. 2\) Development experience using agile methods such as SCRUM/XP. 3\) Understanding of Test Driven Development (TDD) methodology. 4\) Experience with USSTRATCOM Mission Planning/Strike applications. 5\) Recent experience on Global Strike and/or Data Services applications is a plus. 6\) An understanding of domain\-specific Models and algorithms such as ballistic missile flight models, earth models, fratricide models and multiple fratricide models and algorithms. 7\) Capable of multi\-functional engineering disciplines (beyond software code and unit testing) that span a standard development life\-cycle \- experience in Systems Engineering (requirements definition, analysis and decomposition), software cost estimation, architecture design principles such as UML, DoDAF views, OOA\&amp;D and use of common design tools (such as System Architect, Rational products, and Visio). 8\) Capable of developing software test plans and software test descriptions and reports. 9\) Thorough understanding of continuous integration \&amp; test and the ability to support in parallel with other assigned tasks.
**Experience Level**
 Intermediate Level
**Job Type \&amp; Location**
 This is a Contract position based out of Papillion, NE.
**Pay And Benefits**
 The pay range for this position is $40\.00 \- $60\.00/hr.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Papillion,NE.
**Application Deadline**
 This position is anticipated to close on Mar 3,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37">
      <c r="A137" t="inlineStr">
        <is>
          <t>li-4375306516</t>
        </is>
      </c>
      <c r="B137" t="inlineStr">
        <is>
          <t>Senior Embedded Software Engineer</t>
        </is>
      </c>
      <c r="C137" t="inlineStr">
        <is>
          <t>Jobs via Dice</t>
        </is>
      </c>
      <c r="D137" t="inlineStr">
        <is>
          <t>linkedin</t>
        </is>
      </c>
      <c r="E137">
        <f>HYPERLINK("https://www.linkedin.com/jobs/view/4375306516", "https://www.linkedin.com/jobs/view/4375306516")</f>
        <v/>
      </c>
      <c r="F137">
        <f>HYPERLINK("https://click.appcast.io/t/vDunwDTb3GYOfEzbHXWnmiubzhl3Yt8Mnna6T0C0BB4=&amp;urlHash=aQZw", "https://click.appcast.io/t/vDunwDTb3GYOfEzbHXWnmiubzhl3Yt8Mnna6T0C0BB4=&amp;urlHash=aQZw")</f>
        <v/>
      </c>
      <c r="G137" t="inlineStr">
        <is>
          <t>Schaumburg, IL</t>
        </is>
      </c>
      <c r="H137" t="inlineStr"/>
      <c r="I137" t="inlineStr">
        <is>
          <t>Dice is the leading career destination for tech experts at every stage of their careers. Our client, ISCO International LLC, is seeking the following. Apply via Dice today!
**Position Description**
 ISCO is looking for a Senior Embedded Software Engineer to help architect, develop and implement ISCO's new telecommunications products. This role has a wide scope that may include implementation of DSP algorithms, development of drivers and APIs, design of O\&amp;M functions, and even support of automated test development efforts. This role requires a Senior level Software Engineer with a broad range of skills, innovative spirit, and desire to work in a fast\-paced, entrepreneurial environment. Candidate should have a background in wireless communication with experience working with embedded Linux at application and kernel levels and practical knowledge of ARM processors.
 This is an excellent position for a talented, motivated engineer seeking the opportunity to make a strong impact.
**Education/Experience**
 BS in Engineering, MSEE is a plus, and a minimum of seven to ten years related experience.
**Necessary Skills**
* Proficiency in C\+\+ programming in an embedded Linux environment.
* Proficiency in object\-oriented design with a focus on designing modular, maintainable, and reusable software.
* Proficiency in developing multi\-process and multi\-threaded embedded Linux applications.
* Experience in embedded software/driver design and implementation for Linux platforms which interface to FPGAs and other hardware devices such as PCIe cards, NICs, etc.
* Experience with Ethernet protocols including hands\-on experience debugging networking issues.
* Experience with embedded Linux platforms such as Yocto.
* Experience in C programming in an embedded Linux environment.
* Experience with version control systems such as Git.
* Knowledge of the complete software development life cycle, from requirements to design, implementation, testing, and release.
* Strong work ethic and the ability to work both independently and part of a team.
* Ability to effectively communicate via oral and written communications with senior management and technical staff.
**Recommended Skills**
* Knowledge and experience in adjacent areas \- FPGA and DSP
* Experience with LTE and/or 5G protocol stack software and data plane drivers.
* Proficiency in Python programming in an embedded systems environment.
* Familiarity with Python mathematical and data analysis packages.
* Experience with Linux server platforms including Ubuntu.
* Experience with Linux kernel device driver development and debugging
* Familiarity with PCIe, SPI, I2C, GPIO, DMA flash devices, and other hardware interfaces.
* Knowledge of security best practices in embedded systems development.
* Ability to test, validate and debug issues using RF measurement equipment like Spectrum Analyzer.
* Experience with automated system testing.
* Familiarity with ISO 9001:2015 quality standard requirements for documenting all phases of development is a plus but not necessary.
**Additional Requirements**
* Occasional domestic travel in support of customer meetings or product trials is required. The travel is estimated at about 10% of the time.
* Since ISCO makes equipment for cellular operators and cellular networks operate 24/7, on rare occasions some work may have to be performed during off hours between 12am \- 4 am or on weekends.
**Location**
 This position is at ISCO headquarters in Schaumburg, IL. Remote candidates are also strongly considered given the right set of skills and experience.
**Residency Requirement**
**Reports To**
 Vice President \-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2026-02-22T22:18:15Z</dcterms:created>
  <dcterms:modified xsi:type="dcterms:W3CDTF">2026-02-22T22:18:15Z</dcterms:modified>
</cp:coreProperties>
</file>