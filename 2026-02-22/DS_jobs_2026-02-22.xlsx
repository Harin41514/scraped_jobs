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in-bff177c966db34fa</t>
        </is>
      </c>
      <c r="B2" t="inlineStr">
        <is>
          <t>Sr. Applied Scientist, Amazon Ads</t>
        </is>
      </c>
      <c r="C2" t="inlineStr">
        <is>
          <t>Amazon.com</t>
        </is>
      </c>
      <c r="D2" t="inlineStr">
        <is>
          <t>indeed</t>
        </is>
      </c>
      <c r="E2" t="inlineStr"/>
      <c r="F2" t="inlineStr"/>
      <c r="G2" t="inlineStr">
        <is>
          <t>Brooklyn,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in-a52dc5f313307908</t>
        </is>
      </c>
      <c r="B3" t="inlineStr">
        <is>
          <t>Sr. Applied Scientist, Amazon Ads</t>
        </is>
      </c>
      <c r="C3" t="inlineStr">
        <is>
          <t>Amazon.com</t>
        </is>
      </c>
      <c r="D3" t="inlineStr">
        <is>
          <t>indeed</t>
        </is>
      </c>
      <c r="E3" t="inlineStr"/>
      <c r="F3" t="inlineStr"/>
      <c r="G3" t="inlineStr">
        <is>
          <t>Palo Alto, CA,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in-a13eb60b3d18f361</t>
        </is>
      </c>
      <c r="B4" t="inlineStr">
        <is>
          <t>Sr. Applied Scientist, Amazon Ads</t>
        </is>
      </c>
      <c r="C4" t="inlineStr">
        <is>
          <t>Amazon.com</t>
        </is>
      </c>
      <c r="D4" t="inlineStr">
        <is>
          <t>indeed</t>
        </is>
      </c>
      <c r="E4" t="inlineStr"/>
      <c r="F4" t="inlineStr"/>
      <c r="G4" t="inlineStr">
        <is>
          <t>Boulder, CO,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in-195592dc26bd756b</t>
        </is>
      </c>
      <c r="B5" t="inlineStr">
        <is>
          <t>Sr. Applied Scientist, Amazon Ads</t>
        </is>
      </c>
      <c r="C5" t="inlineStr">
        <is>
          <t>Amazon.com</t>
        </is>
      </c>
      <c r="D5" t="inlineStr">
        <is>
          <t>indeed</t>
        </is>
      </c>
      <c r="E5" t="inlineStr"/>
      <c r="F5" t="inlineStr"/>
      <c r="G5" t="inlineStr">
        <is>
          <t>Boston, MA,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in-1ff75ff61d855f64</t>
        </is>
      </c>
      <c r="B6" t="inlineStr">
        <is>
          <t>Sr. Applied Scientist, Amazon Ads</t>
        </is>
      </c>
      <c r="C6" t="inlineStr">
        <is>
          <t>Amazon.com</t>
        </is>
      </c>
      <c r="D6" t="inlineStr">
        <is>
          <t>indeed</t>
        </is>
      </c>
      <c r="E6" t="inlineStr"/>
      <c r="F6" t="inlineStr"/>
      <c r="G6" t="inlineStr">
        <is>
          <t>Santa Monica, CA,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in-1a6a0e6d8b3a292d</t>
        </is>
      </c>
      <c r="B7" t="inlineStr">
        <is>
          <t>Sr. Applied Scientist, Amazon Ads</t>
        </is>
      </c>
      <c r="C7" t="inlineStr">
        <is>
          <t>Amazon.com</t>
        </is>
      </c>
      <c r="D7" t="inlineStr">
        <is>
          <t>indeed</t>
        </is>
      </c>
      <c r="E7" t="inlineStr"/>
      <c r="F7" t="inlineStr"/>
      <c r="G7" t="inlineStr">
        <is>
          <t>Tukwila, WA,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in-2953c928a7af8413</t>
        </is>
      </c>
      <c r="B8" t="inlineStr">
        <is>
          <t>Sr. Applied Scientist, Amazon Ads</t>
        </is>
      </c>
      <c r="C8" t="inlineStr">
        <is>
          <t>Amazon.com</t>
        </is>
      </c>
      <c r="D8" t="inlineStr">
        <is>
          <t>indeed</t>
        </is>
      </c>
      <c r="E8" t="inlineStr"/>
      <c r="F8" t="inlineStr"/>
      <c r="G8" t="inlineStr">
        <is>
          <t>Sunnyvale, CA,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in-a0ea8db3e116a541</t>
        </is>
      </c>
      <c r="B9" t="inlineStr">
        <is>
          <t>Sr. Applied Scientist, Amazon Ads</t>
        </is>
      </c>
      <c r="C9" t="inlineStr">
        <is>
          <t>Amazon.com</t>
        </is>
      </c>
      <c r="D9" t="inlineStr">
        <is>
          <t>indeed</t>
        </is>
      </c>
      <c r="E9" t="inlineStr"/>
      <c r="F9" t="inlineStr"/>
      <c r="G9" t="inlineStr">
        <is>
          <t>New York, NY,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in-c7cf527ab60a9b38</t>
        </is>
      </c>
      <c r="B10" t="inlineStr">
        <is>
          <t>Sr. Applied Scientist, Amazon Ads</t>
        </is>
      </c>
      <c r="C10" t="inlineStr">
        <is>
          <t>Amazon.com</t>
        </is>
      </c>
      <c r="D10" t="inlineStr">
        <is>
          <t>indeed</t>
        </is>
      </c>
      <c r="E10" t="inlineStr"/>
      <c r="F10" t="inlineStr"/>
      <c r="G10" t="inlineStr">
        <is>
          <t>Seattle, WA,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in-b7ea565d2d2cb7d4</t>
        </is>
      </c>
      <c r="B11" t="inlineStr">
        <is>
          <t>Sr. Applied Scientist, Amazon Ads</t>
        </is>
      </c>
      <c r="C11" t="inlineStr">
        <is>
          <t>Amazon.com</t>
        </is>
      </c>
      <c r="D11" t="inlineStr">
        <is>
          <t>indeed</t>
        </is>
      </c>
      <c r="E11" t="inlineStr"/>
      <c r="F11" t="inlineStr"/>
      <c r="G11" t="inlineStr">
        <is>
          <t>Corvallis, OR,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in-713cab7a89dac84d</t>
        </is>
      </c>
      <c r="B12" t="inlineStr">
        <is>
          <t>Applied Scientist II, Prime Video - Personalization and Discovery Science, Personalization and Discovery Science</t>
        </is>
      </c>
      <c r="C12" t="inlineStr">
        <is>
          <t>Amazon.com</t>
        </is>
      </c>
      <c r="D12" t="inlineStr">
        <is>
          <t>indeed</t>
        </is>
      </c>
      <c r="E12" t="inlineStr"/>
      <c r="F12" t="inlineStr"/>
      <c r="G12" t="inlineStr">
        <is>
          <t>New York, NY, US</t>
        </is>
      </c>
      <c r="H12" s="1"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in-d0ffe2c1e24d708e</t>
        </is>
      </c>
      <c r="B13" t="inlineStr">
        <is>
          <t>Applied Scientist II, Prime Video - Personalization and Discovery Science, Personalization and Discovery Science</t>
        </is>
      </c>
      <c r="C13" t="inlineStr">
        <is>
          <t>Amazon.com</t>
        </is>
      </c>
      <c r="D13" t="inlineStr">
        <is>
          <t>indeed</t>
        </is>
      </c>
      <c r="E13" t="inlineStr"/>
      <c r="F13" t="inlineStr"/>
      <c r="G13" t="inlineStr">
        <is>
          <t>Seattle, WA,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in-e399d6a6fbaeca10</t>
        </is>
      </c>
      <c r="B14" t="inlineStr">
        <is>
          <t>Applied Scientist II, Prime Video - Personalization and Discovery Science, Personalization and Discovery Science</t>
        </is>
      </c>
      <c r="C14" t="inlineStr">
        <is>
          <t>Amazon.com</t>
        </is>
      </c>
      <c r="D14" t="inlineStr">
        <is>
          <t>indeed</t>
        </is>
      </c>
      <c r="E14" t="inlineStr"/>
      <c r="F14" t="inlineStr"/>
      <c r="G14" t="inlineStr">
        <is>
          <t>Sunnyvale, CA,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in-978298be40088cec</t>
        </is>
      </c>
      <c r="B15" t="inlineStr">
        <is>
          <t>Applied Scientist II, Prime Video - Personalization and Discovery Science</t>
        </is>
      </c>
      <c r="C15" t="inlineStr">
        <is>
          <t>Amazon.com</t>
        </is>
      </c>
      <c r="D15" t="inlineStr">
        <is>
          <t>indeed</t>
        </is>
      </c>
      <c r="E15" t="inlineStr"/>
      <c r="F15" t="inlineStr"/>
      <c r="G15" t="inlineStr">
        <is>
          <t>Sunnyvale, CA, US</t>
        </is>
      </c>
      <c r="H15" s="1"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in-325739e3c6eab474</t>
        </is>
      </c>
      <c r="B16" t="inlineStr">
        <is>
          <t>Applied Scientist II, Prime Video - Personalization and Discovery Science</t>
        </is>
      </c>
      <c r="C16" t="inlineStr">
        <is>
          <t>Amazon.com</t>
        </is>
      </c>
      <c r="D16" t="inlineStr">
        <is>
          <t>indeed</t>
        </is>
      </c>
      <c r="E16" t="inlineStr"/>
      <c r="F16" t="inlineStr"/>
      <c r="G16" t="inlineStr">
        <is>
          <t>New York, NY,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in-7aa908b24873a15d</t>
        </is>
      </c>
      <c r="B17" t="inlineStr">
        <is>
          <t>Applied Scientist II, Prime Video - Personalization and Discovery Science</t>
        </is>
      </c>
      <c r="C17" t="inlineStr">
        <is>
          <t>Amazon.com</t>
        </is>
      </c>
      <c r="D17" t="inlineStr">
        <is>
          <t>indeed</t>
        </is>
      </c>
      <c r="E17" t="inlineStr"/>
      <c r="F17" t="inlineStr"/>
      <c r="G17" t="inlineStr">
        <is>
          <t>Seattle, WA,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in-f85a1999e0d05b3b</t>
        </is>
      </c>
      <c r="B18" t="inlineStr">
        <is>
          <t>Sr. Applied Scientist, Prime Video - Personalization and Discovery Science</t>
        </is>
      </c>
      <c r="C18" t="inlineStr">
        <is>
          <t>Amazon.com</t>
        </is>
      </c>
      <c r="D18" t="inlineStr">
        <is>
          <t>indeed</t>
        </is>
      </c>
      <c r="E18" t="inlineStr"/>
      <c r="F18" t="inlineStr"/>
      <c r="G18" t="inlineStr">
        <is>
          <t>New York, NY,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in-44a9ab74efd2a08c</t>
        </is>
      </c>
      <c r="B19" t="inlineStr">
        <is>
          <t>Sr. Applied Scientist, Prime Video - Personalization and Discovery Science</t>
        </is>
      </c>
      <c r="C19" t="inlineStr">
        <is>
          <t>Amazon.com</t>
        </is>
      </c>
      <c r="D19" t="inlineStr">
        <is>
          <t>indeed</t>
        </is>
      </c>
      <c r="E19" t="inlineStr"/>
      <c r="F19" t="inlineStr"/>
      <c r="G19" t="inlineStr">
        <is>
          <t>Seattle, WA,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in-7ee37055719935bc</t>
        </is>
      </c>
      <c r="B20" t="inlineStr">
        <is>
          <t>Sr. Applied Scientist, Prime Video - Personalization and Discovery Science</t>
        </is>
      </c>
      <c r="C20" t="inlineStr">
        <is>
          <t>Amazon.com</t>
        </is>
      </c>
      <c r="D20" t="inlineStr">
        <is>
          <t>indeed</t>
        </is>
      </c>
      <c r="E20" t="inlineStr"/>
      <c r="F20" t="inlineStr"/>
      <c r="G20" t="inlineStr">
        <is>
          <t>Sunnyvale, CA,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in-be7dd318ad310b20</t>
        </is>
      </c>
      <c r="B21" t="inlineStr">
        <is>
          <t>Data Scientist, AWS Infrastructure Services Science</t>
        </is>
      </c>
      <c r="C21" t="inlineStr">
        <is>
          <t>Amazon.com</t>
        </is>
      </c>
      <c r="D21" t="inlineStr">
        <is>
          <t>indeed</t>
        </is>
      </c>
      <c r="E21" t="inlineStr"/>
      <c r="F21" t="inlineStr"/>
      <c r="G21" t="inlineStr">
        <is>
          <t>Herndon, VA, US</t>
        </is>
      </c>
      <c r="H21" s="1" t="n">
        <v>46065</v>
      </c>
      <c r="I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2">
      <c r="A22" t="inlineStr">
        <is>
          <t>in-1c007c686a094fa3</t>
        </is>
      </c>
      <c r="B22" t="inlineStr">
        <is>
          <t>Data Scientist, AWS Infrastructure Services Science</t>
        </is>
      </c>
      <c r="C22" t="inlineStr">
        <is>
          <t>Amazon.com</t>
        </is>
      </c>
      <c r="D22" t="inlineStr">
        <is>
          <t>indeed</t>
        </is>
      </c>
      <c r="E22" t="inlineStr"/>
      <c r="F22" t="inlineStr"/>
      <c r="G22" t="inlineStr">
        <is>
          <t>Seattle, WA, US</t>
        </is>
      </c>
      <c r="H22" s="1" t="n">
        <v>46065</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3">
      <c r="A23" t="inlineStr">
        <is>
          <t>in-7d0b8cb3ac4fa3d9</t>
        </is>
      </c>
      <c r="B23" t="inlineStr">
        <is>
          <t>Applied Scientist II, Physics Simulation, Amazon Industrial Robotics</t>
        </is>
      </c>
      <c r="C23" t="inlineStr">
        <is>
          <t>Amazon.com</t>
        </is>
      </c>
      <c r="D23" t="inlineStr">
        <is>
          <t>indeed</t>
        </is>
      </c>
      <c r="E23" t="inlineStr"/>
      <c r="F23" t="inlineStr"/>
      <c r="G23" t="inlineStr">
        <is>
          <t>Reading, MA, US</t>
        </is>
      </c>
      <c r="H23" s="1" t="n">
        <v>46057</v>
      </c>
      <c r="I2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4">
      <c r="A24" t="inlineStr">
        <is>
          <t>in-9b40cc7f610bf2cb</t>
        </is>
      </c>
      <c r="B24" t="inlineStr">
        <is>
          <t>Applied Scientist II, Physics Simulation, Amazon Industrial Robotics</t>
        </is>
      </c>
      <c r="C24" t="inlineStr">
        <is>
          <t>Amazon.com</t>
        </is>
      </c>
      <c r="D24" t="inlineStr">
        <is>
          <t>indeed</t>
        </is>
      </c>
      <c r="E24" t="inlineStr"/>
      <c r="F24" t="inlineStr"/>
      <c r="G24" t="inlineStr">
        <is>
          <t>Reading, MA, US</t>
        </is>
      </c>
      <c r="H24" s="1" t="n">
        <v>46057</v>
      </c>
      <c r="I2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5">
      <c r="A25" t="inlineStr">
        <is>
          <t>in-cafec17e9eb5de06</t>
        </is>
      </c>
      <c r="B25" t="inlineStr">
        <is>
          <t>Sr. Applied Scientist - SLAM, Amazon Industrial Robotics</t>
        </is>
      </c>
      <c r="C25" t="inlineStr">
        <is>
          <t>Amazon.com</t>
        </is>
      </c>
      <c r="D25" t="inlineStr">
        <is>
          <t>indeed</t>
        </is>
      </c>
      <c r="E25" t="inlineStr"/>
      <c r="F25" t="inlineStr"/>
      <c r="G25" t="inlineStr">
        <is>
          <t>Reading, MA, US</t>
        </is>
      </c>
      <c r="H25" s="1" t="n">
        <v>46050</v>
      </c>
      <c r="I25"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6">
      <c r="A26" t="inlineStr">
        <is>
          <t>in-8eabd06b0d68e17a</t>
        </is>
      </c>
      <c r="B26" t="inlineStr">
        <is>
          <t>Sr. Applied Scientist - SLAM, Amazon Industrial Robotics</t>
        </is>
      </c>
      <c r="C26" t="inlineStr">
        <is>
          <t>Amazon.com</t>
        </is>
      </c>
      <c r="D26" t="inlineStr">
        <is>
          <t>indeed</t>
        </is>
      </c>
      <c r="E26" t="inlineStr"/>
      <c r="F26" t="inlineStr"/>
      <c r="G26" t="inlineStr">
        <is>
          <t>Reading, MA, US</t>
        </is>
      </c>
      <c r="H26" s="1" t="n">
        <v>46050</v>
      </c>
      <c r="I2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7">
      <c r="A27" t="inlineStr">
        <is>
          <t>in-c46c7a248be93beb</t>
        </is>
      </c>
      <c r="B27" t="inlineStr">
        <is>
          <t>Principal Applied Scientist, Sensing, Industrial Robotics Group</t>
        </is>
      </c>
      <c r="C27" t="inlineStr">
        <is>
          <t>Amazon.com</t>
        </is>
      </c>
      <c r="D27" t="inlineStr">
        <is>
          <t>indeed</t>
        </is>
      </c>
      <c r="E27" t="inlineStr"/>
      <c r="F27" t="inlineStr"/>
      <c r="G27" t="inlineStr">
        <is>
          <t>Reading, MA, US</t>
        </is>
      </c>
      <c r="H27" s="1" t="n">
        <v>46050</v>
      </c>
      <c r="I27"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28">
      <c r="A28" t="inlineStr">
        <is>
          <t>in-b966b2030729563b</t>
        </is>
      </c>
      <c r="B28" t="inlineStr">
        <is>
          <t>Principal Applied Scientist, Sensing, Industrial Robotics Group</t>
        </is>
      </c>
      <c r="C28" t="inlineStr">
        <is>
          <t>Amazon.com</t>
        </is>
      </c>
      <c r="D28" t="inlineStr">
        <is>
          <t>indeed</t>
        </is>
      </c>
      <c r="E28" t="inlineStr"/>
      <c r="F28" t="inlineStr"/>
      <c r="G28" t="inlineStr">
        <is>
          <t>Reading, MA, US</t>
        </is>
      </c>
      <c r="H28" s="1" t="n">
        <v>46050</v>
      </c>
      <c r="I28"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29">
      <c r="A29" t="inlineStr">
        <is>
          <t>in-ece6627bf74b9a44</t>
        </is>
      </c>
      <c r="B29" t="inlineStr">
        <is>
          <t>Sr. Applied Scientist, Sponsored Products Off-Search Sourcing</t>
        </is>
      </c>
      <c r="C29" t="inlineStr">
        <is>
          <t>Amazon.com</t>
        </is>
      </c>
      <c r="D29" t="inlineStr">
        <is>
          <t>indeed</t>
        </is>
      </c>
      <c r="E29" t="inlineStr"/>
      <c r="F29" t="inlineStr"/>
      <c r="G29" t="inlineStr">
        <is>
          <t>New York, NY, US</t>
        </is>
      </c>
      <c r="H29" s="1" t="n">
        <v>46049</v>
      </c>
      <c r="I2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0">
      <c r="A30" t="inlineStr">
        <is>
          <t>in-e78fe6a0ab0cc48d</t>
        </is>
      </c>
      <c r="B30" t="inlineStr">
        <is>
          <t>Sr. Applied Scientist, Sponsored Products Off-Search Sourcing</t>
        </is>
      </c>
      <c r="C30" t="inlineStr">
        <is>
          <t>Amazon.com</t>
        </is>
      </c>
      <c r="D30" t="inlineStr">
        <is>
          <t>indeed</t>
        </is>
      </c>
      <c r="E30" t="inlineStr"/>
      <c r="F30" t="inlineStr"/>
      <c r="G30" t="inlineStr">
        <is>
          <t>Seattle, WA, US</t>
        </is>
      </c>
      <c r="H30" s="1" t="n">
        <v>46049</v>
      </c>
      <c r="I3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1">
      <c r="A31" t="inlineStr">
        <is>
          <t>in-2c76d0869cc33587</t>
        </is>
      </c>
      <c r="B31" t="inlineStr">
        <is>
          <t>Sr. Applied Scientist, Sponsored Products Off-Search Sourcing</t>
        </is>
      </c>
      <c r="C31" t="inlineStr">
        <is>
          <t>Amazon.com</t>
        </is>
      </c>
      <c r="D31" t="inlineStr">
        <is>
          <t>indeed</t>
        </is>
      </c>
      <c r="E31" t="inlineStr"/>
      <c r="F31" t="inlineStr"/>
      <c r="G31" t="inlineStr">
        <is>
          <t>Palo Alto, CA, US</t>
        </is>
      </c>
      <c r="H31" s="1" t="n">
        <v>46049</v>
      </c>
      <c r="I3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2">
      <c r="A32" t="inlineStr">
        <is>
          <t>in-4753339681c511bd</t>
        </is>
      </c>
      <c r="B32" t="inlineStr">
        <is>
          <t>Principal Applied Scientist, AWS Science of Security</t>
        </is>
      </c>
      <c r="C32" t="inlineStr">
        <is>
          <t>Amazon.com</t>
        </is>
      </c>
      <c r="D32" t="inlineStr">
        <is>
          <t>indeed</t>
        </is>
      </c>
      <c r="E32" t="inlineStr"/>
      <c r="F32" t="inlineStr"/>
      <c r="G32" t="inlineStr">
        <is>
          <t>Seattle, WA, US</t>
        </is>
      </c>
      <c r="H32" s="1" t="n">
        <v>46049</v>
      </c>
      <c r="I32"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3">
      <c r="A33" t="inlineStr">
        <is>
          <t>in-e726dfc94842eb8b</t>
        </is>
      </c>
      <c r="B33" t="inlineStr">
        <is>
          <t>Principal Applied Scientist, AWS Science of Security</t>
        </is>
      </c>
      <c r="C33" t="inlineStr">
        <is>
          <t>Amazon.com</t>
        </is>
      </c>
      <c r="D33" t="inlineStr">
        <is>
          <t>indeed</t>
        </is>
      </c>
      <c r="E33" t="inlineStr"/>
      <c r="F33" t="inlineStr"/>
      <c r="G33" t="inlineStr">
        <is>
          <t>New York, NY, US</t>
        </is>
      </c>
      <c r="H33" s="1" t="n">
        <v>46049</v>
      </c>
      <c r="I33"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4">
      <c r="A34" t="inlineStr">
        <is>
          <t>in-76b1b82eb3dd408d</t>
        </is>
      </c>
      <c r="B34" t="inlineStr">
        <is>
          <t>Principal Applied Scientist, AWS Science of Security</t>
        </is>
      </c>
      <c r="C34" t="inlineStr">
        <is>
          <t>Amazon.com</t>
        </is>
      </c>
      <c r="D34" t="inlineStr">
        <is>
          <t>indeed</t>
        </is>
      </c>
      <c r="E34" t="inlineStr"/>
      <c r="F34" t="inlineStr"/>
      <c r="G34" t="inlineStr">
        <is>
          <t>Arlington, VA, US</t>
        </is>
      </c>
      <c r="H34" s="1" t="n">
        <v>46049</v>
      </c>
      <c r="I34"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5">
      <c r="A35" t="inlineStr">
        <is>
          <t>in-c503e076f6a96a69</t>
        </is>
      </c>
      <c r="B35" t="inlineStr">
        <is>
          <t>Senior Applied Scientist, Amazon Industrial Robotics</t>
        </is>
      </c>
      <c r="C35" t="inlineStr">
        <is>
          <t>Amazon.com</t>
        </is>
      </c>
      <c r="D35" t="inlineStr">
        <is>
          <t>indeed</t>
        </is>
      </c>
      <c r="E35" t="inlineStr"/>
      <c r="F35" t="inlineStr"/>
      <c r="G35" t="inlineStr">
        <is>
          <t>Reading, MA, US</t>
        </is>
      </c>
      <c r="H35" s="1" t="n">
        <v>46048</v>
      </c>
      <c r="I3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6">
      <c r="A36" t="inlineStr">
        <is>
          <t>in-1cc78d0c6b0ea6b0</t>
        </is>
      </c>
      <c r="B36" t="inlineStr">
        <is>
          <t>Senior Applied Scientist, Amazon Industrial Robotics</t>
        </is>
      </c>
      <c r="C36" t="inlineStr">
        <is>
          <t>Amazon.com</t>
        </is>
      </c>
      <c r="D36" t="inlineStr">
        <is>
          <t>indeed</t>
        </is>
      </c>
      <c r="E36" t="inlineStr"/>
      <c r="F36" t="inlineStr"/>
      <c r="G36" t="inlineStr">
        <is>
          <t>Reading, MA, US</t>
        </is>
      </c>
      <c r="H36" s="1" t="n">
        <v>46048</v>
      </c>
      <c r="I3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7">
      <c r="A37" t="inlineStr">
        <is>
          <t>in-071077ffc5461db5</t>
        </is>
      </c>
      <c r="B37" t="inlineStr">
        <is>
          <t>Applied Scientist II, Prime Video Personalization and Discovery Science</t>
        </is>
      </c>
      <c r="C37" t="inlineStr">
        <is>
          <t>Amazon.com</t>
        </is>
      </c>
      <c r="D37" t="inlineStr">
        <is>
          <t>indeed</t>
        </is>
      </c>
      <c r="E37" t="inlineStr"/>
      <c r="F37" t="inlineStr"/>
      <c r="G37" t="inlineStr">
        <is>
          <t>Seattle, WA, US</t>
        </is>
      </c>
      <c r="H37" s="1" t="n">
        <v>46047</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8">
      <c r="A38" t="inlineStr">
        <is>
          <t>in-a1228f47d0938c09</t>
        </is>
      </c>
      <c r="B38" t="inlineStr">
        <is>
          <t>Applied Scientist II, Prime Video Personalization and Discovery Science</t>
        </is>
      </c>
      <c r="C38" t="inlineStr">
        <is>
          <t>Amazon.com</t>
        </is>
      </c>
      <c r="D38" t="inlineStr">
        <is>
          <t>indeed</t>
        </is>
      </c>
      <c r="E38" t="inlineStr"/>
      <c r="F38" t="inlineStr"/>
      <c r="G38" t="inlineStr">
        <is>
          <t>New York, NY, US</t>
        </is>
      </c>
      <c r="H38" s="1" t="n">
        <v>46047</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9">
      <c r="A39" t="inlineStr">
        <is>
          <t>in-33659434ac4db379</t>
        </is>
      </c>
      <c r="B39" t="inlineStr">
        <is>
          <t>Applied Scientist II, Prime Video Personalization and Discovery Science</t>
        </is>
      </c>
      <c r="C39" t="inlineStr">
        <is>
          <t>Amazon.com</t>
        </is>
      </c>
      <c r="D39" t="inlineStr">
        <is>
          <t>indeed</t>
        </is>
      </c>
      <c r="E39" t="inlineStr"/>
      <c r="F39" t="inlineStr"/>
      <c r="G39" t="inlineStr">
        <is>
          <t>Sunnyvale, CA, US</t>
        </is>
      </c>
      <c r="H39" s="1" t="n">
        <v>46047</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0">
      <c r="A40" t="inlineStr">
        <is>
          <t>in-d358a817133b21af</t>
        </is>
      </c>
      <c r="B40" t="inlineStr">
        <is>
          <t>Applied Scientist, Amazon Connect</t>
        </is>
      </c>
      <c r="C40" t="inlineStr">
        <is>
          <t>Amazon Web Services</t>
        </is>
      </c>
      <c r="D40" t="inlineStr">
        <is>
          <t>indeed</t>
        </is>
      </c>
      <c r="E40" t="inlineStr"/>
      <c r="F40" t="inlineStr"/>
      <c r="G40" t="inlineStr">
        <is>
          <t>New York, NY, US</t>
        </is>
      </c>
      <c r="H40" s="1" t="n">
        <v>46047</v>
      </c>
      <c r="I4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1">
      <c r="A41" t="inlineStr">
        <is>
          <t>in-7383dc51d48f1f5c</t>
        </is>
      </c>
      <c r="B41" t="inlineStr">
        <is>
          <t>Applied Scientist, Amazon Connect</t>
        </is>
      </c>
      <c r="C41" t="inlineStr">
        <is>
          <t>Amazon Web Services</t>
        </is>
      </c>
      <c r="D41" t="inlineStr">
        <is>
          <t>indeed</t>
        </is>
      </c>
      <c r="E41" t="inlineStr"/>
      <c r="F41" t="inlineStr"/>
      <c r="G41" t="inlineStr">
        <is>
          <t>Seattle, WA, US</t>
        </is>
      </c>
      <c r="H41" s="1" t="n">
        <v>46047</v>
      </c>
      <c r="I4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2">
      <c r="A42" t="inlineStr">
        <is>
          <t>in-1fed20c79b7d3f66</t>
        </is>
      </c>
      <c r="B42" t="inlineStr">
        <is>
          <t>Applied Scientist II, Prime Video Personalization and Discovery Science</t>
        </is>
      </c>
      <c r="C42" t="inlineStr">
        <is>
          <t>Amazon.com</t>
        </is>
      </c>
      <c r="D42" t="inlineStr">
        <is>
          <t>indeed</t>
        </is>
      </c>
      <c r="E42" t="inlineStr"/>
      <c r="F42" t="inlineStr"/>
      <c r="G42" t="inlineStr">
        <is>
          <t>New York, NY, US</t>
        </is>
      </c>
      <c r="H42" s="1" t="n">
        <v>46038</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3">
      <c r="A43" t="inlineStr">
        <is>
          <t>in-4c67f0ee8b7380bf</t>
        </is>
      </c>
      <c r="B43" t="inlineStr">
        <is>
          <t>Applied Scientist II, Prime Video Personalization and Discovery Science</t>
        </is>
      </c>
      <c r="C43" t="inlineStr">
        <is>
          <t>Amazon.com</t>
        </is>
      </c>
      <c r="D43" t="inlineStr">
        <is>
          <t>indeed</t>
        </is>
      </c>
      <c r="E43" t="inlineStr"/>
      <c r="F43" t="inlineStr"/>
      <c r="G43" t="inlineStr">
        <is>
          <t>Seattle, WA, US</t>
        </is>
      </c>
      <c r="H43" s="1" t="n">
        <v>46038</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4">
      <c r="A44" t="inlineStr">
        <is>
          <t>in-f9d456555670bd94</t>
        </is>
      </c>
      <c r="B44" t="inlineStr">
        <is>
          <t>Applied Scientist II, Prime Video Personalization and Discovery Science</t>
        </is>
      </c>
      <c r="C44" t="inlineStr">
        <is>
          <t>Amazon.com</t>
        </is>
      </c>
      <c r="D44" t="inlineStr">
        <is>
          <t>indeed</t>
        </is>
      </c>
      <c r="E44" t="inlineStr"/>
      <c r="F44" t="inlineStr"/>
      <c r="G44" t="inlineStr">
        <is>
          <t>Sunnyvale, CA, US</t>
        </is>
      </c>
      <c r="H44" s="1" t="n">
        <v>46038</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5">
      <c r="A45" t="inlineStr">
        <is>
          <t>in-f06fc2835f26c159</t>
        </is>
      </c>
      <c r="B45" t="inlineStr">
        <is>
          <t>Applied Scientist, Safety ML</t>
        </is>
      </c>
      <c r="C45" t="inlineStr">
        <is>
          <t>Amazon.com</t>
        </is>
      </c>
      <c r="D45" t="inlineStr">
        <is>
          <t>indeed</t>
        </is>
      </c>
      <c r="E45" t="inlineStr"/>
      <c r="F45" t="inlineStr"/>
      <c r="G45" t="inlineStr">
        <is>
          <t>Seattle, WA, US</t>
        </is>
      </c>
      <c r="H45" s="1" t="n">
        <v>46037</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6">
      <c r="A46" t="inlineStr">
        <is>
          <t>in-3fb8bd97ddd013ed</t>
        </is>
      </c>
      <c r="B46" t="inlineStr">
        <is>
          <t>Applied Scientist, Safety ML</t>
        </is>
      </c>
      <c r="C46" t="inlineStr">
        <is>
          <t>Amazon.com</t>
        </is>
      </c>
      <c r="D46" t="inlineStr">
        <is>
          <t>indeed</t>
        </is>
      </c>
      <c r="E46" t="inlineStr"/>
      <c r="F46" t="inlineStr"/>
      <c r="G46" t="inlineStr">
        <is>
          <t>San Francisco, CA, US</t>
        </is>
      </c>
      <c r="H46" s="1" t="n">
        <v>46037</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7">
      <c r="A47" t="inlineStr">
        <is>
          <t>in-79fdefb77215a039</t>
        </is>
      </c>
      <c r="B47" t="inlineStr">
        <is>
          <t>Applied Scientist II, Measurement, AdTech and Data Science (NYC/Seattle/Palo Alto), Performance Measurement</t>
        </is>
      </c>
      <c r="C47" t="inlineStr">
        <is>
          <t>Amazon.com</t>
        </is>
      </c>
      <c r="D47" t="inlineStr">
        <is>
          <t>indeed</t>
        </is>
      </c>
      <c r="E47" t="inlineStr"/>
      <c r="F47" t="inlineStr"/>
      <c r="G47" t="inlineStr">
        <is>
          <t>New York, NY, US</t>
        </is>
      </c>
      <c r="H47" s="1" t="n">
        <v>46037</v>
      </c>
      <c r="I47" t="inlineStr">
        <is>
          <t>**DESCRIPTION**
---------------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an Applied Scientist II on the team, you will develop modeled measurement solutions end\-to\-end from inception to production. You will propose, design, analyze, and productionize models to provide novel measurement insights to our customers. Your work will directly enable advertisers to continue optimizing their campaigns effectively as the digital ecosystem undergoes significant privacy\-driven changes, and provide event\-level attribution signals that empower ad optimization teams to enhance campaign performance and monetization on traffic without identity.  
Key job responsibilities  
* Leverage deep expertise in one or more scientific disciplines to invent solutions to ambiguous ads measurement problems
* Disambiguate problems to propose clear evaluation frameworks and success criteria
* Develop modeled attribution solutions using deep learning, transformers, and large language models to fill measurement gaps in privacy\-constrained environments
* Work autonomously, write high\-quality technical documentation and present findings to both technical and business stakeholders
* Implement a significant portion of critical\-path code, and partner with engineers to directly carry solutions into production
* Partner closely with other scientists to deliver large, multi\-faceted technical projects
* Share and publish works with the broader scientific community through meetings and conferences
* Communicate clearly to both technical and non\-technical audiences
* Partner with engineers to optimize model performance, reduce latency, and ensure operational excellence for systems serving millions of customers
* Contribute to the team's scientific direction by proposing novel approaches to measurement challenges
* Mentor junior scientists and participate in the hiring process to raise the team's technical bar
About the team  
We are a team of scientists across Applied, Research, Data Science and Economist disciplines. You will work with colleagues with deep expertise in ML, NLP, CV, Gen AI, and Causal Inference with a diverse range of backgrounds. Our work combines rigorous scientific experimentation with practical engineering. We publish at top\-tier conferences while building production systems that process trillions of events annually. We partner closely with top\-notch engineers, product managers, sales leaders, and other scientists with expertise in the ads industry and on building scalable modeling and software solutions.**BASIC QUALIFICATIONS**
------------------------
* 2\+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popular deep learning frameworks such as MxNet and Tensor Flow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\- 171,600\.00 \- 222,200\.00 USD annually  
USA, NY, New York \- 172,400\.00 \- 223,400\.00 USD annually  
USA, WA, Seattle \- 142,800\.00 \- 193,200\.00 USD annually</t>
        </is>
      </c>
    </row>
    <row r="48">
      <c r="A48" t="inlineStr">
        <is>
          <t>in-2b4c8f7ff0a49035</t>
        </is>
      </c>
      <c r="B48" t="inlineStr">
        <is>
          <t>Applied Scientist II, Measurement, AdTech and Data Science (NYC/Seattle/Palo Alto), Performance Measurement</t>
        </is>
      </c>
      <c r="C48" t="inlineStr">
        <is>
          <t>Amazon.com</t>
        </is>
      </c>
      <c r="D48" t="inlineStr">
        <is>
          <t>indeed</t>
        </is>
      </c>
      <c r="E48" t="inlineStr"/>
      <c r="F48" t="inlineStr"/>
      <c r="G48" t="inlineStr">
        <is>
          <t>Seattle, WA, US</t>
        </is>
      </c>
      <c r="H48" s="1" t="n">
        <v>46037</v>
      </c>
      <c r="I48" t="inlineStr">
        <is>
          <t>**DESCRIPTION**
---------------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an Applied Scientist II on the team, you will develop modeled measurement solutions end\-to\-end from inception to production. You will propose, design, analyze, and productionize models to provide novel measurement insights to our customers. Your work will directly enable advertisers to continue optimizing their campaigns effectively as the digital ecosystem undergoes significant privacy\-driven changes, and provide event\-level attribution signals that empower ad optimization teams to enhance campaign performance and monetization on traffic without identity.  
Key job responsibilities  
* Leverage deep expertise in one or more scientific disciplines to invent solutions to ambiguous ads measurement problems
* Disambiguate problems to propose clear evaluation frameworks and success criteria
* Develop modeled attribution solutions using deep learning, transformers, and large language models to fill measurement gaps in privacy\-constrained environments
* Work autonomously, write high\-quality technical documentation and present findings to both technical and business stakeholders
* Implement a significant portion of critical\-path code, and partner with engineers to directly carry solutions into production
* Partner closely with other scientists to deliver large, multi\-faceted technical projects
* Share and publish works with the broader scientific community through meetings and conferences
* Communicate clearly to both technical and non\-technical audiences
* Partner with engineers to optimize model performance, reduce latency, and ensure operational excellence for systems serving millions of customers
* Contribute to the team's scientific direction by proposing novel approaches to measurement challenges
* Mentor junior scientists and participate in the hiring process to raise the team's technical bar
About the team  
We are a team of scientists across Applied, Research, Data Science and Economist disciplines. You will work with colleagues with deep expertise in ML, NLP, CV, Gen AI, and Causal Inference with a diverse range of backgrounds. Our work combines rigorous scientific experimentation with practical engineering. We publish at top\-tier conferences while building production systems that process trillions of events annually. We partner closely with top\-notch engineers, product managers, sales leaders, and other scientists with expertise in the ads industry and on building scalable modeling and software solutions.**BASIC QUALIFICATIONS**
------------------------
* 2\+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popular deep learning frameworks such as MxNet and Tensor Flow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\- 171,600\.00 \- 222,200\.00 USD annually  
USA, NY, New York \- 172,400\.00 \- 223,400\.00 USD annually  
USA, WA, Seattle \- 142,800\.00 \- 193,200\.00 USD annually</t>
        </is>
      </c>
    </row>
    <row r="49">
      <c r="A49" t="inlineStr">
        <is>
          <t>in-b85c5dbefb044560</t>
        </is>
      </c>
      <c r="B49" t="inlineStr">
        <is>
          <t>Applied Scientist, LLM Code Agents, Kiro Science</t>
        </is>
      </c>
      <c r="C49" t="inlineStr">
        <is>
          <t>Amazon.com</t>
        </is>
      </c>
      <c r="D49" t="inlineStr">
        <is>
          <t>indeed</t>
        </is>
      </c>
      <c r="E49" t="inlineStr"/>
      <c r="F49" t="inlineStr"/>
      <c r="G49" t="inlineStr">
        <is>
          <t>Seattle, WA, US</t>
        </is>
      </c>
      <c r="H49" s="1" t="n">
        <v>46035</v>
      </c>
      <c r="I4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0">
      <c r="A50" t="inlineStr">
        <is>
          <t>in-067584fba35a7232</t>
        </is>
      </c>
      <c r="B50" t="inlineStr">
        <is>
          <t>Applied Scientist, LLM Code Agents, Kiro Science</t>
        </is>
      </c>
      <c r="C50" t="inlineStr">
        <is>
          <t>Amazon.com</t>
        </is>
      </c>
      <c r="D50" t="inlineStr">
        <is>
          <t>indeed</t>
        </is>
      </c>
      <c r="E50" t="inlineStr"/>
      <c r="F50" t="inlineStr"/>
      <c r="G50" t="inlineStr">
        <is>
          <t>Santa Clara, CA, US</t>
        </is>
      </c>
      <c r="H50" s="1" t="n">
        <v>46035</v>
      </c>
      <c r="I5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1">
      <c r="A51" t="inlineStr">
        <is>
          <t>in-85b2c49e7eb0d65d</t>
        </is>
      </c>
      <c r="B51" t="inlineStr">
        <is>
          <t>Applied Scientist II, Prime Video Personalization and Discovery Science</t>
        </is>
      </c>
      <c r="C51" t="inlineStr">
        <is>
          <t>Amazon.com</t>
        </is>
      </c>
      <c r="D51" t="inlineStr">
        <is>
          <t>indeed</t>
        </is>
      </c>
      <c r="E51" t="inlineStr"/>
      <c r="F51" t="inlineStr"/>
      <c r="G51" t="inlineStr">
        <is>
          <t>Seattle, WA, US</t>
        </is>
      </c>
      <c r="H51" s="1" t="n">
        <v>46034</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2">
      <c r="A52" t="inlineStr">
        <is>
          <t>in-4b2565d13aeeed39</t>
        </is>
      </c>
      <c r="B52" t="inlineStr">
        <is>
          <t>Applied Scientist II, Prime Video Personalization and Discovery Science</t>
        </is>
      </c>
      <c r="C52" t="inlineStr">
        <is>
          <t>Amazon.com</t>
        </is>
      </c>
      <c r="D52" t="inlineStr">
        <is>
          <t>indeed</t>
        </is>
      </c>
      <c r="E52" t="inlineStr"/>
      <c r="F52" t="inlineStr"/>
      <c r="G52" t="inlineStr">
        <is>
          <t>Sunnyvale, CA, US</t>
        </is>
      </c>
      <c r="H52" s="1" t="n">
        <v>46034</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3">
      <c r="A53" t="inlineStr">
        <is>
          <t>in-572ef1c82afc36cc</t>
        </is>
      </c>
      <c r="B53" t="inlineStr">
        <is>
          <t>Applied Scientist, Alexa Smart Home</t>
        </is>
      </c>
      <c r="C53" t="inlineStr">
        <is>
          <t>Amazon.com</t>
        </is>
      </c>
      <c r="D53" t="inlineStr">
        <is>
          <t>indeed</t>
        </is>
      </c>
      <c r="E53" t="inlineStr"/>
      <c r="F53" t="inlineStr"/>
      <c r="G53" t="inlineStr">
        <is>
          <t>Seattle, WA, US</t>
        </is>
      </c>
      <c r="H53" s="1" t="n">
        <v>46033</v>
      </c>
      <c r="I5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4">
      <c r="A54" t="inlineStr">
        <is>
          <t>in-adb73701697b423f</t>
        </is>
      </c>
      <c r="B54" t="inlineStr">
        <is>
          <t>Applied Scientist, Alexa Smart Home</t>
        </is>
      </c>
      <c r="C54" t="inlineStr">
        <is>
          <t>Amazon.com</t>
        </is>
      </c>
      <c r="D54" t="inlineStr">
        <is>
          <t>indeed</t>
        </is>
      </c>
      <c r="E54" t="inlineStr"/>
      <c r="F54" t="inlineStr"/>
      <c r="G54" t="inlineStr">
        <is>
          <t>Sunnyvale, CA, US</t>
        </is>
      </c>
      <c r="H54" s="1" t="n">
        <v>46033</v>
      </c>
      <c r="I5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5">
      <c r="A55" t="inlineStr">
        <is>
          <t>in-8b09c431b6fa5b71</t>
        </is>
      </c>
      <c r="B55" t="inlineStr">
        <is>
          <t>Applied Scientist, AWS Applied AI Solutions</t>
        </is>
      </c>
      <c r="C55" t="inlineStr">
        <is>
          <t>Amazon Web Services</t>
        </is>
      </c>
      <c r="D55" t="inlineStr">
        <is>
          <t>indeed</t>
        </is>
      </c>
      <c r="E55" t="inlineStr"/>
      <c r="F55" t="inlineStr"/>
      <c r="G55" t="inlineStr">
        <is>
          <t>New York, NY, US</t>
        </is>
      </c>
      <c r="H55" s="1" t="n">
        <v>46030</v>
      </c>
      <c r="I5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6">
      <c r="A56" t="inlineStr">
        <is>
          <t>in-c720d3413bf11974</t>
        </is>
      </c>
      <c r="B56" t="inlineStr">
        <is>
          <t>Applied Scientist, AWS Applied AI Solutions</t>
        </is>
      </c>
      <c r="C56" t="inlineStr">
        <is>
          <t>Amazon Web Services</t>
        </is>
      </c>
      <c r="D56" t="inlineStr">
        <is>
          <t>indeed</t>
        </is>
      </c>
      <c r="E56" t="inlineStr"/>
      <c r="F56" t="inlineStr"/>
      <c r="G56" t="inlineStr">
        <is>
          <t>Seattle, WA, US</t>
        </is>
      </c>
      <c r="H56" s="1" t="n">
        <v>46030</v>
      </c>
      <c r="I5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7">
      <c r="A57" t="inlineStr">
        <is>
          <t>in-a1ebf20ade849a56</t>
        </is>
      </c>
      <c r="B57" t="inlineStr">
        <is>
          <t>Senior Data Scientist, Amazon Global Logistics</t>
        </is>
      </c>
      <c r="C57" t="inlineStr">
        <is>
          <t>Amazon.com</t>
        </is>
      </c>
      <c r="D57" t="inlineStr">
        <is>
          <t>indeed</t>
        </is>
      </c>
      <c r="E57" t="inlineStr"/>
      <c r="F57" t="inlineStr"/>
      <c r="G57" t="inlineStr">
        <is>
          <t>Boston, MA, US</t>
        </is>
      </c>
      <c r="H57" s="1" t="n">
        <v>46029</v>
      </c>
      <c r="I57"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58">
      <c r="A58" t="inlineStr">
        <is>
          <t>in-bd8cd0a2b09d4c00</t>
        </is>
      </c>
      <c r="B58" t="inlineStr">
        <is>
          <t>Senior Data Scientist, Amazon Global Logistics</t>
        </is>
      </c>
      <c r="C58" t="inlineStr">
        <is>
          <t>Amazon.com</t>
        </is>
      </c>
      <c r="D58" t="inlineStr">
        <is>
          <t>indeed</t>
        </is>
      </c>
      <c r="E58" t="inlineStr"/>
      <c r="F58" t="inlineStr"/>
      <c r="G58" t="inlineStr">
        <is>
          <t>Bellevue, WA, US</t>
        </is>
      </c>
      <c r="H58" s="1" t="n">
        <v>46029</v>
      </c>
      <c r="I58"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59">
      <c r="A59" t="inlineStr">
        <is>
          <t>in-ea59cd20c83cd4bb</t>
        </is>
      </c>
      <c r="B59" t="inlineStr">
        <is>
          <t>Applied Scientist II, Prime Video Personalization and Discovery Science</t>
        </is>
      </c>
      <c r="C59" t="inlineStr">
        <is>
          <t>Amazon.com</t>
        </is>
      </c>
      <c r="D59" t="inlineStr">
        <is>
          <t>indeed</t>
        </is>
      </c>
      <c r="E59" t="inlineStr"/>
      <c r="F59" t="inlineStr"/>
      <c r="G59" t="inlineStr">
        <is>
          <t>Seattle, WA, US</t>
        </is>
      </c>
      <c r="H59" s="1" t="n">
        <v>46028</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0">
      <c r="A60" t="inlineStr">
        <is>
          <t>in-863a9fbd86b4bb79</t>
        </is>
      </c>
      <c r="B60" t="inlineStr">
        <is>
          <t>Applied Scientist II, Prime Video Personalization and Discovery Science</t>
        </is>
      </c>
      <c r="C60" t="inlineStr">
        <is>
          <t>Amazon.com</t>
        </is>
      </c>
      <c r="D60" t="inlineStr">
        <is>
          <t>indeed</t>
        </is>
      </c>
      <c r="E60" t="inlineStr"/>
      <c r="F60" t="inlineStr"/>
      <c r="G60" t="inlineStr">
        <is>
          <t>New York, NY, US</t>
        </is>
      </c>
      <c r="H60" s="1" t="n">
        <v>46028</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1">
      <c r="A61" t="inlineStr">
        <is>
          <t>in-8814767341780b74</t>
        </is>
      </c>
      <c r="B61" t="inlineStr">
        <is>
          <t>Applied Scientist II, Prime Video Personalization and Discovery Science</t>
        </is>
      </c>
      <c r="C61" t="inlineStr">
        <is>
          <t>Amazon.com</t>
        </is>
      </c>
      <c r="D61" t="inlineStr">
        <is>
          <t>indeed</t>
        </is>
      </c>
      <c r="E61" t="inlineStr"/>
      <c r="F61" t="inlineStr"/>
      <c r="G61" t="inlineStr">
        <is>
          <t>Sunnyvale, CA, US</t>
        </is>
      </c>
      <c r="H61" s="1" t="n">
        <v>46028</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2">
      <c r="A62" t="inlineStr">
        <is>
          <t>in-e97427c6a603cadd</t>
        </is>
      </c>
      <c r="B62" t="inlineStr">
        <is>
          <t>Applied Scientist, Last Mile Delivery Automation</t>
        </is>
      </c>
      <c r="C62" t="inlineStr">
        <is>
          <t>Amazon.com</t>
        </is>
      </c>
      <c r="D62" t="inlineStr">
        <is>
          <t>indeed</t>
        </is>
      </c>
      <c r="E62" t="inlineStr"/>
      <c r="F62" t="inlineStr"/>
      <c r="G62" t="inlineStr">
        <is>
          <t>Bellevue, WA, US</t>
        </is>
      </c>
      <c r="H62" s="1" t="n">
        <v>46026</v>
      </c>
      <c r="I6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in-3cd7c8f0a44c0c94</t>
        </is>
      </c>
      <c r="B63" t="inlineStr">
        <is>
          <t>Applied Scientist, Last Mile Delivery Automation</t>
        </is>
      </c>
      <c r="C63" t="inlineStr">
        <is>
          <t>Amazon.com</t>
        </is>
      </c>
      <c r="D63" t="inlineStr">
        <is>
          <t>indeed</t>
        </is>
      </c>
      <c r="E63" t="inlineStr"/>
      <c r="F63" t="inlineStr"/>
      <c r="G63" t="inlineStr">
        <is>
          <t>Santa Clara, CA, US</t>
        </is>
      </c>
      <c r="H63" s="1" t="n">
        <v>46026</v>
      </c>
      <c r="I6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in-da9005cb9d7cec63</t>
        </is>
      </c>
      <c r="B64" t="inlineStr">
        <is>
          <t>Senior Applied Scientist, Sponsored Products and Brands, Off-Search</t>
        </is>
      </c>
      <c r="C64" t="inlineStr">
        <is>
          <t>Amazon.com</t>
        </is>
      </c>
      <c r="D64" t="inlineStr">
        <is>
          <t>indeed</t>
        </is>
      </c>
      <c r="E64" t="inlineStr"/>
      <c r="F64" t="inlineStr"/>
      <c r="G64" t="inlineStr">
        <is>
          <t>Palo Alto, CA, US</t>
        </is>
      </c>
      <c r="H64" s="1" t="n">
        <v>46017</v>
      </c>
      <c r="I6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in-182c8f3f911aad08</t>
        </is>
      </c>
      <c r="B65" t="inlineStr">
        <is>
          <t>Senior Applied Scientist, Sponsored Products and Brands, Off-Search</t>
        </is>
      </c>
      <c r="C65" t="inlineStr">
        <is>
          <t>Amazon.com</t>
        </is>
      </c>
      <c r="D65" t="inlineStr">
        <is>
          <t>indeed</t>
        </is>
      </c>
      <c r="E65" t="inlineStr"/>
      <c r="F65" t="inlineStr"/>
      <c r="G65" t="inlineStr">
        <is>
          <t>New York, NY, US</t>
        </is>
      </c>
      <c r="H65" s="1" t="n">
        <v>46017</v>
      </c>
      <c r="I6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in-44a4e4eea0f9df75</t>
        </is>
      </c>
      <c r="B66" t="inlineStr">
        <is>
          <t>Senior Applied Scientist, Sponsored Products and Brands, Off-Search</t>
        </is>
      </c>
      <c r="C66" t="inlineStr">
        <is>
          <t>Amazon.com</t>
        </is>
      </c>
      <c r="D66" t="inlineStr">
        <is>
          <t>indeed</t>
        </is>
      </c>
      <c r="E66" t="inlineStr"/>
      <c r="F66" t="inlineStr"/>
      <c r="G66" t="inlineStr">
        <is>
          <t>Seattle, WA, US</t>
        </is>
      </c>
      <c r="H66" s="1" t="n">
        <v>46017</v>
      </c>
      <c r="I66"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in-58073a18cc887f4b</t>
        </is>
      </c>
      <c r="B67" t="inlineStr">
        <is>
          <t>Applied Scientist II, Prime Video - Personalization and Discovery Science</t>
        </is>
      </c>
      <c r="C67" t="inlineStr">
        <is>
          <t>Amazon.com</t>
        </is>
      </c>
      <c r="D67" t="inlineStr">
        <is>
          <t>indeed</t>
        </is>
      </c>
      <c r="E67" t="inlineStr"/>
      <c r="F67" t="inlineStr"/>
      <c r="G67" t="inlineStr">
        <is>
          <t>Sunnyvale, CA, US</t>
        </is>
      </c>
      <c r="H67" s="1" t="n">
        <v>46012</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8">
      <c r="A68" t="inlineStr">
        <is>
          <t>in-4428b3862523571f</t>
        </is>
      </c>
      <c r="B68" t="inlineStr">
        <is>
          <t>Applied Scientist II, Prime Video - Personalization and Discovery Science</t>
        </is>
      </c>
      <c r="C68" t="inlineStr">
        <is>
          <t>Amazon.com</t>
        </is>
      </c>
      <c r="D68" t="inlineStr">
        <is>
          <t>indeed</t>
        </is>
      </c>
      <c r="E68" t="inlineStr"/>
      <c r="F68" t="inlineStr"/>
      <c r="G68" t="inlineStr">
        <is>
          <t>Seattle, WA, US</t>
        </is>
      </c>
      <c r="H68" s="1" t="n">
        <v>46012</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9">
      <c r="A69" t="inlineStr">
        <is>
          <t>in-de56c0a39aa02465</t>
        </is>
      </c>
      <c r="B69" t="inlineStr">
        <is>
          <t>Applied Scientist, Delivery Foundation Model</t>
        </is>
      </c>
      <c r="C69" t="inlineStr">
        <is>
          <t>Amazon.com</t>
        </is>
      </c>
      <c r="D69" t="inlineStr">
        <is>
          <t>indeed</t>
        </is>
      </c>
      <c r="E69" t="inlineStr"/>
      <c r="F69" t="inlineStr"/>
      <c r="G69" t="inlineStr">
        <is>
          <t>Bellevue, WA, US</t>
        </is>
      </c>
      <c r="H69" s="1" t="n">
        <v>46009</v>
      </c>
      <c r="I6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0">
      <c r="A70" t="inlineStr">
        <is>
          <t>in-5c163c2d54142b7e</t>
        </is>
      </c>
      <c r="B70" t="inlineStr">
        <is>
          <t>Applied Scientist, Delivery Foundation Model</t>
        </is>
      </c>
      <c r="C70" t="inlineStr">
        <is>
          <t>Amazon.com</t>
        </is>
      </c>
      <c r="D70" t="inlineStr">
        <is>
          <t>indeed</t>
        </is>
      </c>
      <c r="E70" t="inlineStr"/>
      <c r="F70" t="inlineStr"/>
      <c r="G70" t="inlineStr">
        <is>
          <t>Santa Clara, CA, US</t>
        </is>
      </c>
      <c r="H70" s="1" t="n">
        <v>46009</v>
      </c>
      <c r="I7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1">
      <c r="A71" t="inlineStr">
        <is>
          <t>in-ca249b679ead1435</t>
        </is>
      </c>
      <c r="B71" t="inlineStr">
        <is>
          <t>Principal Applied Scientist, Kiro Science</t>
        </is>
      </c>
      <c r="C71" t="inlineStr">
        <is>
          <t>Amazon Web Services</t>
        </is>
      </c>
      <c r="D71" t="inlineStr">
        <is>
          <t>indeed</t>
        </is>
      </c>
      <c r="E71" t="inlineStr"/>
      <c r="F71" t="inlineStr"/>
      <c r="G71" t="inlineStr">
        <is>
          <t>New York, NY, US</t>
        </is>
      </c>
      <c r="H71" s="1" t="n">
        <v>45999</v>
      </c>
      <c r="I7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2">
      <c r="A72" t="inlineStr">
        <is>
          <t>in-f63674fecf529d78</t>
        </is>
      </c>
      <c r="B72" t="inlineStr">
        <is>
          <t>Principal Applied Scientist, Kiro Science</t>
        </is>
      </c>
      <c r="C72" t="inlineStr">
        <is>
          <t>Amazon Web Services</t>
        </is>
      </c>
      <c r="D72" t="inlineStr">
        <is>
          <t>indeed</t>
        </is>
      </c>
      <c r="E72" t="inlineStr"/>
      <c r="F72" t="inlineStr"/>
      <c r="G72" t="inlineStr">
        <is>
          <t>Santa Clara, CA, US</t>
        </is>
      </c>
      <c r="H72" s="1" t="n">
        <v>45999</v>
      </c>
      <c r="I7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3">
      <c r="A73" t="inlineStr">
        <is>
          <t>in-1bfc2acb21b3beea</t>
        </is>
      </c>
      <c r="B73" t="inlineStr">
        <is>
          <t>Sr. Applied Scientist, SPB Advertiser Guidance</t>
        </is>
      </c>
      <c r="C73" t="inlineStr">
        <is>
          <t>Amazon.com</t>
        </is>
      </c>
      <c r="D73" t="inlineStr">
        <is>
          <t>indeed</t>
        </is>
      </c>
      <c r="E73" t="inlineStr"/>
      <c r="F73" t="inlineStr"/>
      <c r="G73" t="inlineStr">
        <is>
          <t>Palo Alto, CA, US</t>
        </is>
      </c>
      <c r="H73" s="1" t="n">
        <v>45981</v>
      </c>
      <c r="I7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4">
      <c r="A74" t="inlineStr">
        <is>
          <t>in-5b2181ddd44b558a</t>
        </is>
      </c>
      <c r="B74" t="inlineStr">
        <is>
          <t>Sr. Applied Scientist, SPB Advertiser Guidance</t>
        </is>
      </c>
      <c r="C74" t="inlineStr">
        <is>
          <t>Amazon.com</t>
        </is>
      </c>
      <c r="D74" t="inlineStr">
        <is>
          <t>indeed</t>
        </is>
      </c>
      <c r="E74" t="inlineStr"/>
      <c r="F74" t="inlineStr"/>
      <c r="G74" t="inlineStr">
        <is>
          <t>New York, NY, US</t>
        </is>
      </c>
      <c r="H74" s="1" t="n">
        <v>45981</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5">
      <c r="A75" t="inlineStr">
        <is>
          <t>in-a4d60a9e672f629e</t>
        </is>
      </c>
      <c r="B75" t="inlineStr">
        <is>
          <t>Sr. Applied Scientist, SPB Advertiser Guidance</t>
        </is>
      </c>
      <c r="C75" t="inlineStr">
        <is>
          <t>Amazon.com</t>
        </is>
      </c>
      <c r="D75" t="inlineStr">
        <is>
          <t>indeed</t>
        </is>
      </c>
      <c r="E75" t="inlineStr"/>
      <c r="F75" t="inlineStr"/>
      <c r="G75" t="inlineStr">
        <is>
          <t>Seattle, WA, US</t>
        </is>
      </c>
      <c r="H75" s="1" t="n">
        <v>45981</v>
      </c>
      <c r="I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6">
      <c r="A76" t="inlineStr">
        <is>
          <t>in-b8bdcc438f2cc6a2</t>
        </is>
      </c>
      <c r="B76" t="inlineStr">
        <is>
          <t>Principal Applied Scientist, Sponsored Products and Brands</t>
        </is>
      </c>
      <c r="C76" t="inlineStr">
        <is>
          <t>Amazon.com</t>
        </is>
      </c>
      <c r="D76" t="inlineStr">
        <is>
          <t>indeed</t>
        </is>
      </c>
      <c r="E76" t="inlineStr"/>
      <c r="F76" t="inlineStr"/>
      <c r="G76" t="inlineStr">
        <is>
          <t>Seattle, WA, US</t>
        </is>
      </c>
      <c r="H76" s="1" t="n">
        <v>45979</v>
      </c>
      <c r="I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in-26447761c8968f7d</t>
        </is>
      </c>
      <c r="B77" t="inlineStr">
        <is>
          <t>Principal Applied Scientist, Sponsored Products and Brands</t>
        </is>
      </c>
      <c r="C77" t="inlineStr">
        <is>
          <t>Amazon.com</t>
        </is>
      </c>
      <c r="D77" t="inlineStr">
        <is>
          <t>indeed</t>
        </is>
      </c>
      <c r="E77" t="inlineStr"/>
      <c r="F77" t="inlineStr"/>
      <c r="G77" t="inlineStr">
        <is>
          <t>New York, NY, US</t>
        </is>
      </c>
      <c r="H77" s="1" t="n">
        <v>45979</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in-32eb39652e0f0726</t>
        </is>
      </c>
      <c r="B78" t="inlineStr">
        <is>
          <t>Applied Scientist, Personalization, DTx Science</t>
        </is>
      </c>
      <c r="C78" t="inlineStr">
        <is>
          <t>Amazon.com</t>
        </is>
      </c>
      <c r="D78" t="inlineStr">
        <is>
          <t>indeed</t>
        </is>
      </c>
      <c r="E78" t="inlineStr"/>
      <c r="F78" t="inlineStr"/>
      <c r="G78" t="inlineStr">
        <is>
          <t>New York, NY, US</t>
        </is>
      </c>
      <c r="H78" s="1" t="n">
        <v>45979</v>
      </c>
      <c r="I7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9">
      <c r="A79" t="inlineStr">
        <is>
          <t>in-c4d676b4e9ee5f48</t>
        </is>
      </c>
      <c r="B79" t="inlineStr">
        <is>
          <t>Applied Scientist, Personalization, DTx Science</t>
        </is>
      </c>
      <c r="C79" t="inlineStr">
        <is>
          <t>Amazon.com</t>
        </is>
      </c>
      <c r="D79" t="inlineStr">
        <is>
          <t>indeed</t>
        </is>
      </c>
      <c r="E79" t="inlineStr"/>
      <c r="F79" t="inlineStr"/>
      <c r="G79" t="inlineStr">
        <is>
          <t>Seattle, WA, US</t>
        </is>
      </c>
      <c r="H79" s="1" t="n">
        <v>45979</v>
      </c>
      <c r="I7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0">
      <c r="A80" t="inlineStr">
        <is>
          <t>in-6ec9b7f7d5418cd0</t>
        </is>
      </c>
      <c r="B80" t="inlineStr">
        <is>
          <t>Senior Applied Scientist, Sponsored Products and Brands</t>
        </is>
      </c>
      <c r="C80" t="inlineStr">
        <is>
          <t>Amazon.com</t>
        </is>
      </c>
      <c r="D80" t="inlineStr">
        <is>
          <t>indeed</t>
        </is>
      </c>
      <c r="E80" t="inlineStr"/>
      <c r="F80" t="inlineStr"/>
      <c r="G80" t="inlineStr">
        <is>
          <t>New York, NY, US</t>
        </is>
      </c>
      <c r="H80" s="1" t="n">
        <v>45979</v>
      </c>
      <c r="I8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1">
      <c r="A81" t="inlineStr">
        <is>
          <t>in-3866dae23d99805b</t>
        </is>
      </c>
      <c r="B81" t="inlineStr">
        <is>
          <t>Senior Applied Scientist, Sponsored Products and Brands</t>
        </is>
      </c>
      <c r="C81" t="inlineStr">
        <is>
          <t>Amazon.com</t>
        </is>
      </c>
      <c r="D81" t="inlineStr">
        <is>
          <t>indeed</t>
        </is>
      </c>
      <c r="E81" t="inlineStr"/>
      <c r="F81" t="inlineStr"/>
      <c r="G81" t="inlineStr">
        <is>
          <t>Seattle, WA, US</t>
        </is>
      </c>
      <c r="H81" s="1" t="n">
        <v>45979</v>
      </c>
      <c r="I8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2">
      <c r="A82" t="inlineStr">
        <is>
          <t>in-4adbb0f3a8f38c06</t>
        </is>
      </c>
      <c r="B82" t="inlineStr">
        <is>
          <t>Sr. Applied Scientist, Sponsored Products</t>
        </is>
      </c>
      <c r="C82" t="inlineStr">
        <is>
          <t>Amazon.com</t>
        </is>
      </c>
      <c r="D82" t="inlineStr">
        <is>
          <t>indeed</t>
        </is>
      </c>
      <c r="E82" t="inlineStr"/>
      <c r="F82" t="inlineStr"/>
      <c r="G82" t="inlineStr">
        <is>
          <t>New York, NY, US</t>
        </is>
      </c>
      <c r="H82" s="1" t="n">
        <v>45976</v>
      </c>
      <c r="I8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3">
      <c r="A83" t="inlineStr">
        <is>
          <t>in-8cb9fd0ccf2b540f</t>
        </is>
      </c>
      <c r="B83" t="inlineStr">
        <is>
          <t>Sr. Applied Scientist, Sponsored Products</t>
        </is>
      </c>
      <c r="C83" t="inlineStr">
        <is>
          <t>Amazon.com</t>
        </is>
      </c>
      <c r="D83" t="inlineStr">
        <is>
          <t>indeed</t>
        </is>
      </c>
      <c r="E83" t="inlineStr"/>
      <c r="F83" t="inlineStr"/>
      <c r="G83" t="inlineStr">
        <is>
          <t>Arlington, VA, US</t>
        </is>
      </c>
      <c r="H83" s="1" t="n">
        <v>45976</v>
      </c>
      <c r="I8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4">
      <c r="A84" t="inlineStr">
        <is>
          <t>in-cbe73a72c5547ab7</t>
        </is>
      </c>
      <c r="B84" t="inlineStr">
        <is>
          <t>Sr. Applied Scientist, Sponsored Products</t>
        </is>
      </c>
      <c r="C84" t="inlineStr">
        <is>
          <t>Amazon.com</t>
        </is>
      </c>
      <c r="D84" t="inlineStr">
        <is>
          <t>indeed</t>
        </is>
      </c>
      <c r="E84" t="inlineStr"/>
      <c r="F84" t="inlineStr"/>
      <c r="G84" t="inlineStr">
        <is>
          <t>Seattle, WA, US</t>
        </is>
      </c>
      <c r="H84" s="1" t="n">
        <v>45976</v>
      </c>
      <c r="I8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5">
      <c r="A85" t="inlineStr">
        <is>
          <t>in-97c6825b95aad6ab</t>
        </is>
      </c>
      <c r="B85" t="inlineStr">
        <is>
          <t>Zappos Data Scientist III, Zappos/Shopbop Catalog Engineering</t>
        </is>
      </c>
      <c r="C85" t="inlineStr">
        <is>
          <t>Amazon.com</t>
        </is>
      </c>
      <c r="D85" t="inlineStr">
        <is>
          <t>indeed</t>
        </is>
      </c>
      <c r="E85" t="inlineStr"/>
      <c r="F85" t="inlineStr"/>
      <c r="G85" t="inlineStr">
        <is>
          <t>New York, NY, US</t>
        </is>
      </c>
      <c r="H85" s="1" t="n">
        <v>45965</v>
      </c>
      <c r="I85"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86">
      <c r="A86" t="inlineStr">
        <is>
          <t>in-9f18d1388059c70d</t>
        </is>
      </c>
      <c r="B86" t="inlineStr">
        <is>
          <t>Zappos Data Scientist III, Zappos/Shopbop Catalog Engineering</t>
        </is>
      </c>
      <c r="C86" t="inlineStr">
        <is>
          <t>Amazon.com</t>
        </is>
      </c>
      <c r="D86" t="inlineStr">
        <is>
          <t>indeed</t>
        </is>
      </c>
      <c r="E86" t="inlineStr"/>
      <c r="F86" t="inlineStr"/>
      <c r="G86" t="inlineStr">
        <is>
          <t>Madison, WI, US</t>
        </is>
      </c>
      <c r="H86" s="1" t="n">
        <v>45965</v>
      </c>
      <c r="I86"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87">
      <c r="A87" t="inlineStr">
        <is>
          <t>in-6e9e4686ff9bc4b3</t>
        </is>
      </c>
      <c r="B87" t="inlineStr">
        <is>
          <t>Applied Scientist, AWS Agentic AI</t>
        </is>
      </c>
      <c r="C87" t="inlineStr">
        <is>
          <t>Amazon Web Services</t>
        </is>
      </c>
      <c r="D87" t="inlineStr">
        <is>
          <t>indeed</t>
        </is>
      </c>
      <c r="E87" t="inlineStr"/>
      <c r="F87" t="inlineStr"/>
      <c r="G87" t="inlineStr">
        <is>
          <t>New York, NY, US</t>
        </is>
      </c>
      <c r="H87" s="1" t="n">
        <v>45962</v>
      </c>
      <c r="I8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in-893a94449700bf9a</t>
        </is>
      </c>
      <c r="B88" t="inlineStr">
        <is>
          <t>Applied Scientist, AWS Agentic AI</t>
        </is>
      </c>
      <c r="C88" t="inlineStr">
        <is>
          <t>Amazon Web Services</t>
        </is>
      </c>
      <c r="D88" t="inlineStr">
        <is>
          <t>indeed</t>
        </is>
      </c>
      <c r="E88" t="inlineStr"/>
      <c r="F88" t="inlineStr"/>
      <c r="G88" t="inlineStr">
        <is>
          <t>Santa Clara, CA, US</t>
        </is>
      </c>
      <c r="H88" s="1" t="n">
        <v>45962</v>
      </c>
      <c r="I8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in-2a48f748359491f3</t>
        </is>
      </c>
      <c r="B89" t="inlineStr">
        <is>
          <t>Applied Scientist, AWS Agentic AI</t>
        </is>
      </c>
      <c r="C89" t="inlineStr">
        <is>
          <t>Amazon Web Services</t>
        </is>
      </c>
      <c r="D89" t="inlineStr">
        <is>
          <t>indeed</t>
        </is>
      </c>
      <c r="E89" t="inlineStr"/>
      <c r="F89" t="inlineStr"/>
      <c r="G89" t="inlineStr">
        <is>
          <t>Seattle, WA, US</t>
        </is>
      </c>
      <c r="H89" s="1" t="n">
        <v>45962</v>
      </c>
      <c r="I8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in-ce64c86e5b65cb15</t>
        </is>
      </c>
      <c r="B90" t="inlineStr">
        <is>
          <t>Applied Scientist, Prime Video - Content Understanding, Localization &amp; Enrichment Team</t>
        </is>
      </c>
      <c r="C90" t="inlineStr">
        <is>
          <t>Amazon.com</t>
        </is>
      </c>
      <c r="D90" t="inlineStr">
        <is>
          <t>indeed</t>
        </is>
      </c>
      <c r="E90" t="inlineStr"/>
      <c r="F90" t="inlineStr"/>
      <c r="G90" t="inlineStr">
        <is>
          <t>Seattle, WA, US</t>
        </is>
      </c>
      <c r="H90" s="1" t="n">
        <v>45943</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1">
      <c r="A91" t="inlineStr">
        <is>
          <t>in-7ff5193d4747f1bb</t>
        </is>
      </c>
      <c r="B91" t="inlineStr">
        <is>
          <t>Principal Applied Scientist, Advertiser Growth, Amazon Sponsored Products &amp; Brands</t>
        </is>
      </c>
      <c r="C91" t="inlineStr">
        <is>
          <t>Amazon.com</t>
        </is>
      </c>
      <c r="D91" t="inlineStr">
        <is>
          <t>indeed</t>
        </is>
      </c>
      <c r="E91" t="inlineStr"/>
      <c r="F91" t="inlineStr"/>
      <c r="G91" t="inlineStr">
        <is>
          <t>New York, NY, US</t>
        </is>
      </c>
      <c r="H91" s="1" t="n">
        <v>45942</v>
      </c>
      <c r="I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in-c04f56cd9dfa44cc</t>
        </is>
      </c>
      <c r="B92" t="inlineStr">
        <is>
          <t>Principal Applied Scientist, Advertiser Growth, Amazon Sponsored Products &amp; Brands</t>
        </is>
      </c>
      <c r="C92" t="inlineStr">
        <is>
          <t>Amazon.com</t>
        </is>
      </c>
      <c r="D92" t="inlineStr">
        <is>
          <t>indeed</t>
        </is>
      </c>
      <c r="E92" t="inlineStr"/>
      <c r="F92" t="inlineStr"/>
      <c r="G92" t="inlineStr">
        <is>
          <t>Palo Alto, CA, US</t>
        </is>
      </c>
      <c r="H92" s="1" t="n">
        <v>45942</v>
      </c>
      <c r="I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in-81bd26cd30582f96</t>
        </is>
      </c>
      <c r="B93" t="inlineStr">
        <is>
          <t>Principal Applied Scientist, Advertiser Growth, Amazon Sponsored Products &amp; Brands</t>
        </is>
      </c>
      <c r="C93" t="inlineStr">
        <is>
          <t>Amazon.com</t>
        </is>
      </c>
      <c r="D93" t="inlineStr">
        <is>
          <t>indeed</t>
        </is>
      </c>
      <c r="E93" t="inlineStr"/>
      <c r="F93" t="inlineStr"/>
      <c r="G93" t="inlineStr">
        <is>
          <t>Seattle, WA, US</t>
        </is>
      </c>
      <c r="H93" s="1" t="n">
        <v>45942</v>
      </c>
      <c r="I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in-ede8e1855fd0590a</t>
        </is>
      </c>
      <c r="B94" t="inlineStr">
        <is>
          <t>Applied Scientist, Workplace Health &amp; Safety</t>
        </is>
      </c>
      <c r="C94" t="inlineStr">
        <is>
          <t>Amazon.com</t>
        </is>
      </c>
      <c r="D94" t="inlineStr">
        <is>
          <t>indeed</t>
        </is>
      </c>
      <c r="E94" t="inlineStr"/>
      <c r="F94" t="inlineStr"/>
      <c r="G94" t="inlineStr">
        <is>
          <t>Nashville, TN, US</t>
        </is>
      </c>
      <c r="H94" s="1" t="n">
        <v>45917</v>
      </c>
      <c r="I9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in-4979c7001d88e609</t>
        </is>
      </c>
      <c r="B95" t="inlineStr">
        <is>
          <t>Applied Scientist, Workplace Health &amp; Safety</t>
        </is>
      </c>
      <c r="C95" t="inlineStr">
        <is>
          <t>Amazon.com</t>
        </is>
      </c>
      <c r="D95" t="inlineStr">
        <is>
          <t>indeed</t>
        </is>
      </c>
      <c r="E95" t="inlineStr"/>
      <c r="F95" t="inlineStr"/>
      <c r="G95" t="inlineStr">
        <is>
          <t>Bellevue, WA, US</t>
        </is>
      </c>
      <c r="H95" s="1" t="n">
        <v>45917</v>
      </c>
      <c r="I9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in-cc74be4118834058</t>
        </is>
      </c>
      <c r="B96" t="inlineStr">
        <is>
          <t>Senior Applied Scientist, AWS Marketplace &amp; Partner Services</t>
        </is>
      </c>
      <c r="C96" t="inlineStr">
        <is>
          <t>Amazon Web Services</t>
        </is>
      </c>
      <c r="D96" t="inlineStr">
        <is>
          <t>indeed</t>
        </is>
      </c>
      <c r="E96" t="inlineStr"/>
      <c r="F96" t="inlineStr"/>
      <c r="G96" t="inlineStr">
        <is>
          <t>Austin, TX, US</t>
        </is>
      </c>
      <c r="H96" s="1" t="n">
        <v>45902</v>
      </c>
      <c r="I96"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in-7a2790b407ec2799</t>
        </is>
      </c>
      <c r="B97" t="inlineStr">
        <is>
          <t>Senior Applied Scientist, AWS Marketplace &amp; Partner Services</t>
        </is>
      </c>
      <c r="C97" t="inlineStr">
        <is>
          <t>Amazon Web Services</t>
        </is>
      </c>
      <c r="D97" t="inlineStr">
        <is>
          <t>indeed</t>
        </is>
      </c>
      <c r="E97" t="inlineStr"/>
      <c r="F97" t="inlineStr"/>
      <c r="G97" t="inlineStr">
        <is>
          <t>Seattle, WA, US</t>
        </is>
      </c>
      <c r="H97" s="1" t="n">
        <v>45902</v>
      </c>
      <c r="I97"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in-11ab67d9b048486d</t>
        </is>
      </c>
      <c r="B98" t="inlineStr">
        <is>
          <t>Sr. Applied Scientist, Prime Video - Personalization and Discovery Science</t>
        </is>
      </c>
      <c r="C98" t="inlineStr">
        <is>
          <t>Amazon.com</t>
        </is>
      </c>
      <c r="D98" t="inlineStr">
        <is>
          <t>indeed</t>
        </is>
      </c>
      <c r="E98" t="inlineStr"/>
      <c r="F98" t="inlineStr"/>
      <c r="G98" t="inlineStr">
        <is>
          <t>New York, NY, US</t>
        </is>
      </c>
      <c r="H98" s="1" t="n">
        <v>45896</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9">
      <c r="A99" t="inlineStr">
        <is>
          <t>in-e7c5d15ccb1714ea</t>
        </is>
      </c>
      <c r="B99" t="inlineStr">
        <is>
          <t>Sr. Applied Scientist, Prime Video - Personalization and Discovery Science</t>
        </is>
      </c>
      <c r="C99" t="inlineStr">
        <is>
          <t>Amazon.com</t>
        </is>
      </c>
      <c r="D99" t="inlineStr">
        <is>
          <t>indeed</t>
        </is>
      </c>
      <c r="E99" t="inlineStr"/>
      <c r="F99" t="inlineStr"/>
      <c r="G99" t="inlineStr">
        <is>
          <t>Seattle, WA, US</t>
        </is>
      </c>
      <c r="H99" s="1" t="n">
        <v>45896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0">
      <c r="A100" t="inlineStr">
        <is>
          <t>in-24ed6920825feaae</t>
        </is>
      </c>
      <c r="B100" t="inlineStr">
        <is>
          <t>Sr. Applied Scientist, Prime Video - Personalization and Discovery Science</t>
        </is>
      </c>
      <c r="C100" t="inlineStr">
        <is>
          <t>Amazon.com</t>
        </is>
      </c>
      <c r="D100" t="inlineStr">
        <is>
          <t>indeed</t>
        </is>
      </c>
      <c r="E100" t="inlineStr"/>
      <c r="F100" t="inlineStr"/>
      <c r="G100" t="inlineStr">
        <is>
          <t>Sunnyvale, CA, US</t>
        </is>
      </c>
      <c r="H100" s="1" t="n">
        <v>45896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1">
      <c r="A101" t="inlineStr">
        <is>
          <t>in-78794b055feccfe7</t>
        </is>
      </c>
      <c r="B101" t="inlineStr">
        <is>
          <t>Applied Scientist II, Prime Video , Personalization and Discovery Science</t>
        </is>
      </c>
      <c r="C101" t="inlineStr">
        <is>
          <t>Amazon.com</t>
        </is>
      </c>
      <c r="D101" t="inlineStr">
        <is>
          <t>indeed</t>
        </is>
      </c>
      <c r="E101" t="inlineStr"/>
      <c r="F101" t="inlineStr"/>
      <c r="G101" t="inlineStr">
        <is>
          <t>New York, NY, US</t>
        </is>
      </c>
      <c r="H101" s="1" t="n">
        <v>45886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2">
      <c r="A102" t="inlineStr">
        <is>
          <t>in-f12fcb0042edea3b</t>
        </is>
      </c>
      <c r="B102" t="inlineStr">
        <is>
          <t>Applied Scientist II, Prime Video , Personalization and Discovery Science</t>
        </is>
      </c>
      <c r="C102" t="inlineStr">
        <is>
          <t>Amazon.com</t>
        </is>
      </c>
      <c r="D102" t="inlineStr">
        <is>
          <t>indeed</t>
        </is>
      </c>
      <c r="E102" t="inlineStr"/>
      <c r="F102" t="inlineStr"/>
      <c r="G102" t="inlineStr">
        <is>
          <t>Seattle, WA, US</t>
        </is>
      </c>
      <c r="H102" s="1" t="n">
        <v>45886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3">
      <c r="A103" t="inlineStr">
        <is>
          <t>in-93841cb8a8695ba7</t>
        </is>
      </c>
      <c r="B103" t="inlineStr">
        <is>
          <t>Applied Scientist II, Prime Video , Personalization and Discovery Science</t>
        </is>
      </c>
      <c r="C103" t="inlineStr">
        <is>
          <t>Amazon.com</t>
        </is>
      </c>
      <c r="D103" t="inlineStr">
        <is>
          <t>indeed</t>
        </is>
      </c>
      <c r="E103" t="inlineStr"/>
      <c r="F103" t="inlineStr"/>
      <c r="G103" t="inlineStr">
        <is>
          <t>Sunnyvale, CA, US</t>
        </is>
      </c>
      <c r="H103" s="1" t="n">
        <v>45886</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4">
      <c r="A104" t="inlineStr">
        <is>
          <t>in-edf72208ba3c79a1</t>
        </is>
      </c>
      <c r="B104" t="inlineStr">
        <is>
          <t>Sr. Applied Scientist, Prime Video - Personalization and Discovery Science</t>
        </is>
      </c>
      <c r="C104" t="inlineStr">
        <is>
          <t>Amazon.com</t>
        </is>
      </c>
      <c r="D104" t="inlineStr">
        <is>
          <t>indeed</t>
        </is>
      </c>
      <c r="E104" t="inlineStr"/>
      <c r="F104" t="inlineStr"/>
      <c r="G104" t="inlineStr">
        <is>
          <t>Sunnyvale, CA, US</t>
        </is>
      </c>
      <c r="H104" s="1" t="n">
        <v>45886</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in-0fdbae900508483b</t>
        </is>
      </c>
      <c r="B105" t="inlineStr">
        <is>
          <t>Sr. Applied Scientist, Prime Video - Personalization and Discovery Science</t>
        </is>
      </c>
      <c r="C105" t="inlineStr">
        <is>
          <t>Amazon.com</t>
        </is>
      </c>
      <c r="D105" t="inlineStr">
        <is>
          <t>indeed</t>
        </is>
      </c>
      <c r="E105" t="inlineStr"/>
      <c r="F105" t="inlineStr"/>
      <c r="G105" t="inlineStr">
        <is>
          <t>Seattle, WA, US</t>
        </is>
      </c>
      <c r="H105" s="1" t="n">
        <v>45886</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in-a90feb1f89544269</t>
        </is>
      </c>
      <c r="B106" t="inlineStr">
        <is>
          <t>Sr. Applied Scientist, Prime Video - Personalization and Discovery Science</t>
        </is>
      </c>
      <c r="C106" t="inlineStr">
        <is>
          <t>Amazon.com</t>
        </is>
      </c>
      <c r="D106" t="inlineStr">
        <is>
          <t>indeed</t>
        </is>
      </c>
      <c r="E106" t="inlineStr"/>
      <c r="F106" t="inlineStr"/>
      <c r="G106" t="inlineStr">
        <is>
          <t>New York, NY, US</t>
        </is>
      </c>
      <c r="H106" s="1" t="n">
        <v>45886</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in-c9e9d56b423ad181</t>
        </is>
      </c>
      <c r="B107" t="inlineStr">
        <is>
          <t>Applied Scientist III, StoreGen</t>
        </is>
      </c>
      <c r="C107" t="inlineStr">
        <is>
          <t>Amazon.com</t>
        </is>
      </c>
      <c r="D107" t="inlineStr">
        <is>
          <t>indeed</t>
        </is>
      </c>
      <c r="E107" t="inlineStr"/>
      <c r="F107" t="inlineStr"/>
      <c r="G107" t="inlineStr">
        <is>
          <t>Seattle, WA, US</t>
        </is>
      </c>
      <c r="H107" s="1" t="n">
        <v>45868</v>
      </c>
      <c r="I10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in-6750f6e7e512ffd6</t>
        </is>
      </c>
      <c r="B108" t="inlineStr">
        <is>
          <t>Applied Scientist III, StoreGen</t>
        </is>
      </c>
      <c r="C108" t="inlineStr">
        <is>
          <t>Amazon.com</t>
        </is>
      </c>
      <c r="D108" t="inlineStr">
        <is>
          <t>indeed</t>
        </is>
      </c>
      <c r="E108" t="inlineStr"/>
      <c r="F108" t="inlineStr"/>
      <c r="G108" t="inlineStr">
        <is>
          <t>Sunnyvale, CA, US</t>
        </is>
      </c>
      <c r="H108" s="1" t="n">
        <v>45868</v>
      </c>
      <c r="I10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in-ec6b017540434020</t>
        </is>
      </c>
      <c r="B109" t="inlineStr">
        <is>
          <t>Sr. Applied Scientist, Amazon Advertising</t>
        </is>
      </c>
      <c r="C109" t="inlineStr">
        <is>
          <t>Amazon.com</t>
        </is>
      </c>
      <c r="D109" t="inlineStr">
        <is>
          <t>indeed</t>
        </is>
      </c>
      <c r="E109" t="inlineStr"/>
      <c r="F109" t="inlineStr"/>
      <c r="G109" t="inlineStr">
        <is>
          <t>Simi Valley, CA, US</t>
        </is>
      </c>
      <c r="H109" s="1"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in-f8b4c09562a733d5</t>
        </is>
      </c>
      <c r="B110" t="inlineStr">
        <is>
          <t>Sr. Applied Scientist, Amazon Advertising</t>
        </is>
      </c>
      <c r="C110" t="inlineStr">
        <is>
          <t>Amazon.com</t>
        </is>
      </c>
      <c r="D110" t="inlineStr">
        <is>
          <t>indeed</t>
        </is>
      </c>
      <c r="E110" t="inlineStr"/>
      <c r="F110" t="inlineStr"/>
      <c r="G110" t="inlineStr">
        <is>
          <t>West Hollywood, CA, US</t>
        </is>
      </c>
      <c r="H110" s="1"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in-f329bf39784d8d9e</t>
        </is>
      </c>
      <c r="B111" t="inlineStr">
        <is>
          <t>Sr. Applied Scientist, Amazon Advertising</t>
        </is>
      </c>
      <c r="C111" t="inlineStr">
        <is>
          <t>Amazon.com</t>
        </is>
      </c>
      <c r="D111" t="inlineStr">
        <is>
          <t>indeed</t>
        </is>
      </c>
      <c r="E111" t="inlineStr"/>
      <c r="F111" t="inlineStr"/>
      <c r="G111" t="inlineStr">
        <is>
          <t>Arlington, VA, US</t>
        </is>
      </c>
      <c r="H111" s="1"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in-2683bbfdbaec9628</t>
        </is>
      </c>
      <c r="B112" t="inlineStr">
        <is>
          <t>Sr. Applied Scientist, Amazon Advertising</t>
        </is>
      </c>
      <c r="C112" t="inlineStr">
        <is>
          <t>Amazon.com</t>
        </is>
      </c>
      <c r="D112" t="inlineStr">
        <is>
          <t>indeed</t>
        </is>
      </c>
      <c r="E112" t="inlineStr"/>
      <c r="F112" t="inlineStr"/>
      <c r="G112" t="inlineStr">
        <is>
          <t>Los Angeles, CA, US</t>
        </is>
      </c>
      <c r="H112" s="1"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in-9dacd5001ff1d595</t>
        </is>
      </c>
      <c r="B113" t="inlineStr">
        <is>
          <t>Sr. Applied Scientist, Amazon Advertising</t>
        </is>
      </c>
      <c r="C113" t="inlineStr">
        <is>
          <t>Amazon.com</t>
        </is>
      </c>
      <c r="D113" t="inlineStr">
        <is>
          <t>indeed</t>
        </is>
      </c>
      <c r="E113" t="inlineStr"/>
      <c r="F113" t="inlineStr"/>
      <c r="G113" t="inlineStr">
        <is>
          <t>Seattle, WA, US</t>
        </is>
      </c>
      <c r="H113" s="1"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in-a6445564510ffa35</t>
        </is>
      </c>
      <c r="B114" t="inlineStr">
        <is>
          <t>Sr. Applied Scientist, Amazon Advertising</t>
        </is>
      </c>
      <c r="C114" t="inlineStr">
        <is>
          <t>Amazon.com</t>
        </is>
      </c>
      <c r="D114" t="inlineStr">
        <is>
          <t>indeed</t>
        </is>
      </c>
      <c r="E114" t="inlineStr"/>
      <c r="F114" t="inlineStr"/>
      <c r="G114" t="inlineStr">
        <is>
          <t>New York, NY, US</t>
        </is>
      </c>
      <c r="H114" s="1"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in-fdf9a767c75f59c5</t>
        </is>
      </c>
      <c r="B115" t="inlineStr">
        <is>
          <t>Sr. Applied Scientist, Amazon Advertising</t>
        </is>
      </c>
      <c r="C115" t="inlineStr">
        <is>
          <t>Amazon.com</t>
        </is>
      </c>
      <c r="D115" t="inlineStr">
        <is>
          <t>indeed</t>
        </is>
      </c>
      <c r="E115" t="inlineStr"/>
      <c r="F115" t="inlineStr"/>
      <c r="G115" t="inlineStr">
        <is>
          <t>Palo Alto, CA, US</t>
        </is>
      </c>
      <c r="H115" s="1"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in-affdf3cf1e4b8eaf</t>
        </is>
      </c>
      <c r="B116" t="inlineStr">
        <is>
          <t>Sr. Applied Scientist, Amazon Advertising</t>
        </is>
      </c>
      <c r="C116" t="inlineStr">
        <is>
          <t>Amazon.com</t>
        </is>
      </c>
      <c r="D116" t="inlineStr">
        <is>
          <t>indeed</t>
        </is>
      </c>
      <c r="E116" t="inlineStr"/>
      <c r="F116" t="inlineStr"/>
      <c r="G116" t="inlineStr">
        <is>
          <t>Austin, TX, US</t>
        </is>
      </c>
      <c r="H116" s="1"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in-87e70b747216bf64</t>
        </is>
      </c>
      <c r="B117" t="inlineStr">
        <is>
          <t>Applied Scientist, Prime Video - Personalization and Discovery Science</t>
        </is>
      </c>
      <c r="C117" t="inlineStr">
        <is>
          <t>Amazon.com</t>
        </is>
      </c>
      <c r="D117" t="inlineStr">
        <is>
          <t>indeed</t>
        </is>
      </c>
      <c r="E117" t="inlineStr"/>
      <c r="F117" t="inlineStr"/>
      <c r="G117" t="inlineStr">
        <is>
          <t>New York, NY, US</t>
        </is>
      </c>
      <c r="H117" s="1" t="n">
        <v>45845</v>
      </c>
      <c r="I1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8">
      <c r="A118" t="inlineStr">
        <is>
          <t>in-91dd60d413df7aee</t>
        </is>
      </c>
      <c r="B118" t="inlineStr">
        <is>
          <t>Applied Scientist, Prime Video - Personalization and Discovery Science</t>
        </is>
      </c>
      <c r="C118" t="inlineStr">
        <is>
          <t>Amazon.com</t>
        </is>
      </c>
      <c r="D118" t="inlineStr">
        <is>
          <t>indeed</t>
        </is>
      </c>
      <c r="E118" t="inlineStr"/>
      <c r="F118" t="inlineStr"/>
      <c r="G118" t="inlineStr">
        <is>
          <t>Sunnyvale, CA, US</t>
        </is>
      </c>
      <c r="H118" s="1" t="n">
        <v>45845</v>
      </c>
      <c r="I1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9">
      <c r="A119" t="inlineStr">
        <is>
          <t>in-613d2283e0399027</t>
        </is>
      </c>
      <c r="B119" t="inlineStr">
        <is>
          <t>Applied Scientist, Prime Video - Personalization and Discovery Science</t>
        </is>
      </c>
      <c r="C119" t="inlineStr">
        <is>
          <t>Amazon.com</t>
        </is>
      </c>
      <c r="D119" t="inlineStr">
        <is>
          <t>indeed</t>
        </is>
      </c>
      <c r="E119" t="inlineStr"/>
      <c r="F119" t="inlineStr"/>
      <c r="G119" t="inlineStr">
        <is>
          <t>Seattle, WA, US</t>
        </is>
      </c>
      <c r="H119" s="1" t="n">
        <v>45845</v>
      </c>
      <c r="I1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20">
      <c r="A120" t="inlineStr">
        <is>
          <t>in-9cfcfd8f6e11c030</t>
        </is>
      </c>
      <c r="B120" t="inlineStr">
        <is>
          <t>Sr. Applied Scientist, Sales AI</t>
        </is>
      </c>
      <c r="C120" t="inlineStr">
        <is>
          <t>Amazon.com</t>
        </is>
      </c>
      <c r="D120" t="inlineStr">
        <is>
          <t>indeed</t>
        </is>
      </c>
      <c r="E120" t="inlineStr"/>
      <c r="F120" t="inlineStr"/>
      <c r="G120" t="inlineStr">
        <is>
          <t>New York, NY, US</t>
        </is>
      </c>
      <c r="H120" s="1" t="n">
        <v>45830</v>
      </c>
      <c r="I12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in-04983499d8bc07ad</t>
        </is>
      </c>
      <c r="B121" t="inlineStr">
        <is>
          <t>Sr. Applied Scientist, Sales AI</t>
        </is>
      </c>
      <c r="C121" t="inlineStr">
        <is>
          <t>Amazon.com</t>
        </is>
      </c>
      <c r="D121" t="inlineStr">
        <is>
          <t>indeed</t>
        </is>
      </c>
      <c r="E121" t="inlineStr"/>
      <c r="F121" t="inlineStr"/>
      <c r="G121" t="inlineStr">
        <is>
          <t>Seattle, WA, US</t>
        </is>
      </c>
      <c r="H121" s="1" t="n">
        <v>45830</v>
      </c>
      <c r="I1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in-0f3c56f8c1c8731a</t>
        </is>
      </c>
      <c r="B122" t="inlineStr">
        <is>
          <t>Sr. Applied Scientist, Sales AI</t>
        </is>
      </c>
      <c r="C122" t="inlineStr">
        <is>
          <t>Amazon.com</t>
        </is>
      </c>
      <c r="D122" t="inlineStr">
        <is>
          <t>indeed</t>
        </is>
      </c>
      <c r="E122" t="inlineStr"/>
      <c r="F122" t="inlineStr"/>
      <c r="G122" t="inlineStr">
        <is>
          <t>Sunnyvale, CA, US</t>
        </is>
      </c>
      <c r="H122" s="1" t="n">
        <v>45830</v>
      </c>
      <c r="I1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in-9e6b45ef4c937577</t>
        </is>
      </c>
      <c r="B123" t="inlineStr">
        <is>
          <t>Principal Applied Scientist, Delivery Foundation Model</t>
        </is>
      </c>
      <c r="C123" t="inlineStr">
        <is>
          <t>Amazon.com</t>
        </is>
      </c>
      <c r="D123" t="inlineStr">
        <is>
          <t>indeed</t>
        </is>
      </c>
      <c r="E123" t="inlineStr"/>
      <c r="F123" t="inlineStr"/>
      <c r="G123" t="inlineStr">
        <is>
          <t>Austin, TX, US</t>
        </is>
      </c>
      <c r="H123" s="1" t="n">
        <v>45810</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4">
      <c r="A124" t="inlineStr">
        <is>
          <t>in-f063350c1b054313</t>
        </is>
      </c>
      <c r="B124" t="inlineStr">
        <is>
          <t>Principal Applied Scientist, Delivery Foundation Model</t>
        </is>
      </c>
      <c r="C124" t="inlineStr">
        <is>
          <t>Amazon.com</t>
        </is>
      </c>
      <c r="D124" t="inlineStr">
        <is>
          <t>indeed</t>
        </is>
      </c>
      <c r="E124" t="inlineStr"/>
      <c r="F124" t="inlineStr"/>
      <c r="G124" t="inlineStr">
        <is>
          <t>Santa Clara, CA, US</t>
        </is>
      </c>
      <c r="H124" s="1" t="n">
        <v>45810</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5">
      <c r="A125" t="inlineStr">
        <is>
          <t>in-4796a4457be3607b</t>
        </is>
      </c>
      <c r="B125" t="inlineStr">
        <is>
          <t>Principal Applied Scientist, Delivery Foundation Model</t>
        </is>
      </c>
      <c r="C125" t="inlineStr">
        <is>
          <t>Amazon.com</t>
        </is>
      </c>
      <c r="D125" t="inlineStr">
        <is>
          <t>indeed</t>
        </is>
      </c>
      <c r="E125" t="inlineStr"/>
      <c r="F125" t="inlineStr"/>
      <c r="G125" t="inlineStr">
        <is>
          <t>New York, NY, US</t>
        </is>
      </c>
      <c r="H125" s="1" t="n">
        <v>45810</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6">
      <c r="A126" t="inlineStr">
        <is>
          <t>in-e44f2e1ee7d3ae7b</t>
        </is>
      </c>
      <c r="B126" t="inlineStr">
        <is>
          <t>Principal Applied Scientist, Delivery Foundation Model</t>
        </is>
      </c>
      <c r="C126" t="inlineStr">
        <is>
          <t>Amazon.com</t>
        </is>
      </c>
      <c r="D126" t="inlineStr">
        <is>
          <t>indeed</t>
        </is>
      </c>
      <c r="E126" t="inlineStr"/>
      <c r="F126" t="inlineStr"/>
      <c r="G126" t="inlineStr">
        <is>
          <t>Bellevue, WA, US</t>
        </is>
      </c>
      <c r="H126" s="1" t="n">
        <v>45810</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7">
      <c r="A127" t="inlineStr">
        <is>
          <t>in-74862192d66a0672</t>
        </is>
      </c>
      <c r="B127" t="inlineStr">
        <is>
          <t>Senior Applied Scientist, Delivery Foundation Model</t>
        </is>
      </c>
      <c r="C127" t="inlineStr">
        <is>
          <t>Amazon.com</t>
        </is>
      </c>
      <c r="D127" t="inlineStr">
        <is>
          <t>indeed</t>
        </is>
      </c>
      <c r="E127" t="inlineStr"/>
      <c r="F127" t="inlineStr"/>
      <c r="G127" t="inlineStr">
        <is>
          <t>New York, NY, US</t>
        </is>
      </c>
      <c r="H127" s="1" t="n">
        <v>45806</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in-c1fcca86c6a0370f</t>
        </is>
      </c>
      <c r="B128" t="inlineStr">
        <is>
          <t>Senior Applied Scientist, Delivery Foundation Model</t>
        </is>
      </c>
      <c r="C128" t="inlineStr">
        <is>
          <t>Amazon.com</t>
        </is>
      </c>
      <c r="D128" t="inlineStr">
        <is>
          <t>indeed</t>
        </is>
      </c>
      <c r="E128" t="inlineStr"/>
      <c r="F128" t="inlineStr"/>
      <c r="G128" t="inlineStr">
        <is>
          <t>Bellevue, WA, US</t>
        </is>
      </c>
      <c r="H128" s="1" t="n">
        <v>45806</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in-62a7d8166b17fb48</t>
        </is>
      </c>
      <c r="B129" t="inlineStr">
        <is>
          <t>Senior Applied Scientist, Delivery Foundation Model</t>
        </is>
      </c>
      <c r="C129" t="inlineStr">
        <is>
          <t>Amazon.com</t>
        </is>
      </c>
      <c r="D129" t="inlineStr">
        <is>
          <t>indeed</t>
        </is>
      </c>
      <c r="E129" t="inlineStr"/>
      <c r="F129" t="inlineStr"/>
      <c r="G129" t="inlineStr">
        <is>
          <t>Santa Clara, CA, US</t>
        </is>
      </c>
      <c r="H129" s="1" t="n">
        <v>45806</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in-0a68fae0ea2ca4f4</t>
        </is>
      </c>
      <c r="B130" t="inlineStr">
        <is>
          <t>Sr. Applied Scientist - Privacy, Privacy Engineering</t>
        </is>
      </c>
      <c r="C130" t="inlineStr">
        <is>
          <t>Amazon.com</t>
        </is>
      </c>
      <c r="D130" t="inlineStr">
        <is>
          <t>indeed</t>
        </is>
      </c>
      <c r="E130" t="inlineStr"/>
      <c r="F130" t="inlineStr"/>
      <c r="G130" t="inlineStr">
        <is>
          <t>Santa Clara, CA, US</t>
        </is>
      </c>
      <c r="H130" s="1" t="n">
        <v>45787</v>
      </c>
      <c r="I13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in-d6fa3be7b3d5a275</t>
        </is>
      </c>
      <c r="B131" t="inlineStr">
        <is>
          <t>Sr. Applied Scientist - Privacy, Privacy Engineering</t>
        </is>
      </c>
      <c r="C131" t="inlineStr">
        <is>
          <t>Amazon.com</t>
        </is>
      </c>
      <c r="D131" t="inlineStr">
        <is>
          <t>indeed</t>
        </is>
      </c>
      <c r="E131" t="inlineStr"/>
      <c r="F131" t="inlineStr"/>
      <c r="G131" t="inlineStr">
        <is>
          <t>Seattle, WA, US</t>
        </is>
      </c>
      <c r="H131" s="1" t="n">
        <v>45787</v>
      </c>
      <c r="I13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in-575e2e7f05fc7dd7</t>
        </is>
      </c>
      <c r="B132" t="inlineStr">
        <is>
          <t>Sr. Applied Scientist - Privacy, Privacy Engineering</t>
        </is>
      </c>
      <c r="C132" t="inlineStr">
        <is>
          <t>Amazon.com</t>
        </is>
      </c>
      <c r="D132" t="inlineStr">
        <is>
          <t>indeed</t>
        </is>
      </c>
      <c r="E132" t="inlineStr"/>
      <c r="F132" t="inlineStr"/>
      <c r="G132" t="inlineStr">
        <is>
          <t>Sunnyvale, CA, US</t>
        </is>
      </c>
      <c r="H132" s="1" t="n">
        <v>45787</v>
      </c>
      <c r="I13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in-facfa876342c56f0</t>
        </is>
      </c>
      <c r="B133" t="inlineStr">
        <is>
          <t>Sr. Applied Scientist - Privacy, Privacy Engineering</t>
        </is>
      </c>
      <c r="C133" t="inlineStr">
        <is>
          <t>Amazon.com</t>
        </is>
      </c>
      <c r="D133" t="inlineStr">
        <is>
          <t>indeed</t>
        </is>
      </c>
      <c r="E133" t="inlineStr"/>
      <c r="F133" t="inlineStr"/>
      <c r="G133" t="inlineStr">
        <is>
          <t>San Francisco, CA, US</t>
        </is>
      </c>
      <c r="H133" s="1" t="n">
        <v>45787</v>
      </c>
      <c r="I13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in-23d9e553e1ab33f0</t>
        </is>
      </c>
      <c r="B134" t="inlineStr">
        <is>
          <t>Principal Applied Scientist, Delivery Foundation Model</t>
        </is>
      </c>
      <c r="C134" t="inlineStr">
        <is>
          <t>Amazon.com</t>
        </is>
      </c>
      <c r="D134" t="inlineStr">
        <is>
          <t>indeed</t>
        </is>
      </c>
      <c r="E134" t="inlineStr"/>
      <c r="F134" t="inlineStr"/>
      <c r="G134" t="inlineStr">
        <is>
          <t>Santa Clara, CA, US</t>
        </is>
      </c>
      <c r="H134" s="1" t="n">
        <v>45757</v>
      </c>
      <c r="I1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5">
      <c r="A135" t="inlineStr">
        <is>
          <t>in-75c2f7acd0de726c</t>
        </is>
      </c>
      <c r="B135" t="inlineStr">
        <is>
          <t>Principal Applied Scientist, Delivery Foundation Model</t>
        </is>
      </c>
      <c r="C135" t="inlineStr">
        <is>
          <t>Amazon.com</t>
        </is>
      </c>
      <c r="D135" t="inlineStr">
        <is>
          <t>indeed</t>
        </is>
      </c>
      <c r="E135" t="inlineStr"/>
      <c r="F135" t="inlineStr"/>
      <c r="G135" t="inlineStr">
        <is>
          <t>New York, NY, US</t>
        </is>
      </c>
      <c r="H135" s="1" t="n">
        <v>45757</v>
      </c>
      <c r="I1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6">
      <c r="A136" t="inlineStr">
        <is>
          <t>in-3d35446f7d76ee72</t>
        </is>
      </c>
      <c r="B136" t="inlineStr">
        <is>
          <t>Principal Applied Scientist, Delivery Foundation Model</t>
        </is>
      </c>
      <c r="C136" t="inlineStr">
        <is>
          <t>Amazon.com</t>
        </is>
      </c>
      <c r="D136" t="inlineStr">
        <is>
          <t>indeed</t>
        </is>
      </c>
      <c r="E136" t="inlineStr"/>
      <c r="F136" t="inlineStr"/>
      <c r="G136" t="inlineStr">
        <is>
          <t>Bellevue, WA, US</t>
        </is>
      </c>
      <c r="H136" s="1" t="n">
        <v>45757</v>
      </c>
      <c r="I1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7">
      <c r="A137" t="inlineStr">
        <is>
          <t>in-49771bb7c5085cc3</t>
        </is>
      </c>
      <c r="B137" t="inlineStr">
        <is>
          <t>Sr. Data Scientist, HSV, AL (Contingent upon Award)</t>
        </is>
      </c>
      <c r="C137" t="inlineStr">
        <is>
          <t>Davidson Technologies, Inc.</t>
        </is>
      </c>
      <c r="D137" t="inlineStr">
        <is>
          <t>indeed</t>
        </is>
      </c>
      <c r="E137">
        <f>HYPERLINK("https://www.indeed.com/viewjob?jk=49771bb7c5085cc3", "https://www.indeed.com/viewjob?jk=49771bb7c5085cc3")</f>
        <v/>
      </c>
      <c r="F137">
        <f>HYPERLINK("https://www.applicantpro.com/openings/davidsontech/jobs/3999975-955850", "https://www.applicantpro.com/openings/davidsontech/jobs/3999975-955850")</f>
        <v/>
      </c>
      <c r="G137" t="inlineStr">
        <is>
          <t>Huntsville, AL, US</t>
        </is>
      </c>
      <c r="H137" s="2" t="n">
        <v>46074</v>
      </c>
      <c r="I137" t="inlineStr">
        <is>
          <t>**What sets Davidson apart?**  
* **100% paid medical benefits \- Prioritizing your health and well\-being.**
* **Competitive 401(k) with company match \- Investing in your future.**
* **Tuition reimbursement \- Supporting your professional growth.**
**Nominated for** ***The Best Place to Work*****,** ***The Best Workplace for Millennials*** **and voted** ***The Best Place for Working Parents!***
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Senior Data Scientist in Huntsville, Alabama to design, build, and deploy ML systems to control and optimize VLF transmissions. Using your experience with applied ML, real\-time systems, and physical domain modeling, you will work closely with RF engineers, software engineers, and end customers to develop an intelligent Al/ML stack that monitors environmental conditions, predicts signal propagation impacts, and supports dynamic adjustments of transmission parameters to maintain signal stability and performance. You will take models from concept through production deployment (MLOps) and ensure they operate reliably in mission\-critical environments.
**Job Responsibilities:**
* Develop ML models to leverage weather and environmental data feeds for disaster event prediction
* Build predictive models to improve preventative maintenance capabilities
* Help to integrate models into decisions systems that optimize transmission system operations and performance
* Translate model outputs into actionable, explainable recommendations
* Collaborate with engineering team (RF, Systems, Software) to deploy models into real\-time production systems
* End\-to\-end ML lifecycle management using MLOps best practices
* Communicate complex technical concepts clearly to engineers and customers
* Contribute to system architecture decisions for scalable/reliable Al/ML solutions
 **Job Requirements:**
* Bachelor's degree or higher in Data Science, Computer Science, Engineering, Physics or related field
* 8\+ years of experience in applied data science or machine learning roles
* Strong foundation in machine learning and statistical modeling
* Demonstrable experience translating stakeholder requirements into technical ML strategies that deliver tangible customer value
* Hands\-on experience deploying ML models into production environments
* Practical experience with MLOps (model pipelines, monitoring, reproducibility)
* Must be a U.S. citizen
**Pref****erred Qualifications:**
* Familiarity with RF systems, signal propagation, or electromagnetic modeling
* Familiarity with surrogate modeling of physics\-based systems, such as weather
* Familiarity with predictive maintenance (CBM\+)
* Experience integrating ML into real\-time systems
 **Clearance:**
* Currently holds an Active Secret Clearance or is able to obtain a Secret Clearance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li-4313094719</t>
        </is>
      </c>
      <c r="B2" t="inlineStr">
        <is>
          <t>Data Scientist (L5) , Performance Marketing</t>
        </is>
      </c>
      <c r="C2" t="inlineStr">
        <is>
          <t>Netflix</t>
        </is>
      </c>
      <c r="D2" t="inlineStr">
        <is>
          <t>linkedin</t>
        </is>
      </c>
      <c r="E2" t="inlineStr"/>
      <c r="F2" t="inlineStr"/>
      <c r="G2" t="inlineStr"/>
      <c r="H2" t="inlineStr"/>
      <c r="I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It's an exciting time to join Netflix as we continue to transform entertainment globally. We are bringing new stories to millions of people worldwide by promoting our original, exclusive content. As we move beyond 300 million members and hundreds of partnerships worldwide, our approach to marketing is to build innovative, culturally relevant, creatively excellent campaigns that pierce the zeitgeist and drive conversation.
 Data is a crucial component in shaping our comprehensive conversation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Senior Data Scientist to provide key insights and thought partnership to our marketing decision makers. You will generate insights by scoping and executing deep dive analysis and experimentation with global marketing teams, Marketing BizOps, consumer insights and MarComms finance and strategy. You will also play a critical role in aligning and coordinating the efforts of the various other DSE peers that partner with the Marketing team. In success, you will collaborate on existing priorities but also will propose and execute on new opportunities. This role features ample opportunity for project ownership, leadership and direct influence on impactful business decisions.
**In This Role, You Will**
* Be a strategic thought partner with business stakeholders to define high impact analytical problems and innovative ways to solve them with data.
* Develop statistical models explaining campaign engagement and performance, Marketing impact, and other key behavioral patterns
* Facilitate the Marketing cross\-functional DSE pod, ensuring the DSE partnership efforts with Marketing efforts are aligned
* Translate analytic insights into actionable recommendations for business improvement, and communicate these findings clearly to a broad audience
* Identify and proactively socialize Marketing insights, especially those that may be impactful to other business areas
**What You’ll Bring**
* Exceptional interpersonal and communication skills to influence stakeholders using clear insights and recommendations
* Adept at cultivating strong partnerships
* Exceptional thought partnership and engagement abilities with a diverse set of stakeholders and passionate about communicating difficult concepts to non\-technical audiences
* Highly skilled in leading through influence
* Exceptional facilitation, planning and organization skills
* Domain expertise in Marketing measurement
* Strong statistical knowledge: understanding of predictive modeling; ability to tease out incrementality vs. correlations, confounder identification and amelioration, etc.
* Deep understanding of experimentation including power calculations, quasi\-experiment, and interpretation of results
* Strong SQL skills and experience with distributed analytic processing technologies (S3, Presto, Hive \&amp; Spark)
* Strong skills in Python or R
* Self\-starter who thrives under a high level of autonomy.
* Enthusiastic about Netflix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li-4339275737</t>
        </is>
      </c>
      <c r="B3" t="inlineStr">
        <is>
          <t>Data Scientist I</t>
        </is>
      </c>
      <c r="C3" t="inlineStr">
        <is>
          <t>Bank of America</t>
        </is>
      </c>
      <c r="D3" t="inlineStr">
        <is>
          <t>linkedin</t>
        </is>
      </c>
      <c r="E3" t="inlineStr"/>
      <c r="F3" t="inlineStr"/>
      <c r="G3" t="inlineStr">
        <is>
          <t>Charlotte, NC</t>
        </is>
      </c>
      <c r="H3" t="inlineStr"/>
      <c r="I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 Research Engineer 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 Develop advanced statistical methods to determine the optimal interest\-rate or product pricing strategies for clients
* Build a Generative AI\-powered search platform that enables sales and product teams to access high quality answers to product, servicing, and client related questions
* Develop AI models that shift foreign currency conversion “up the payment stream,” reducing reliability on beneficiary banks
* Apply advanced NLP techniques to generate near real\-time insights into what clients are reaching out to servicing teams about, helping servicing teams anticipate client needs and improve service quality
**Who we’re looking for:**
 As a Research Engineer 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 Frame abstract business problems using advanced data science and machine learning algorithms
* Work with stakeholders throughout the organization to identify opportunities for leveraging internal and external data to drive business solutions
* Own critical research and application development, strengthening the firm's competitive advantage
* Shape cross\-team collaboration to advance the firm's data science capabilities
**Required Skills:**
* Minimum Bachelor’s degree in a quantitative field such as computer science, math, statistics, and physics
* Minimum 3 years of experience with translating mathematical models and algorithms into code (Python and/or C\+\+)
* Strong foundation in probability, statistics, and applied machine learning (NLP, time\-series analysis, Generative AI)
* Prior experience working in a highly technical data driven research environment
* Ability to communicate complex topics in a concise and coherent manner
**Desired Skills:**
* Graduate level degree in a quantitative field such as, computer science, math, statistics, and physics
* Demonstrated prior experience through work, research or passion projects in RAG, Agentic Frameworks, LLMs, Reinforcement Learning
* Are energized by the high stakes and intensity of dynamic environments and ready to dive in whenever
* Are excited to dive into new technical areas on a regular basis
**Shift:**
 1st shift (United States of America)
**Hours Per Week:**
 40</t>
        </is>
      </c>
    </row>
    <row r="4">
      <c r="A4" t="inlineStr">
        <is>
          <t>li-4345176815</t>
        </is>
      </c>
      <c r="B4" t="inlineStr">
        <is>
          <t>Senior Data Scientist - Alternative Data &amp; AFS Solutions (Non-Prime Lending)</t>
        </is>
      </c>
      <c r="C4" t="inlineStr">
        <is>
          <t>Experian</t>
        </is>
      </c>
      <c r="D4" t="inlineStr">
        <is>
          <t>linkedin</t>
        </is>
      </c>
      <c r="E4" t="inlineStr"/>
      <c r="F4" t="inlineStr"/>
      <c r="G4" t="inlineStr"/>
      <c r="H4" t="inlineStr"/>
      <c r="I4" t="inlineStr">
        <is>
          <t>Job Posting \- Salary Range: $133,109 \- $239,596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an experienced Senior Data Scientist to join our Alternative Financial Services (AFS) department, supporting clients in the non‑prime and near‑prime lending markets. You'll design custom analytics, credit strategies, and machine‑learning models using both traditional and alternative data. This is a client‑facing, solution‑oriented role requiring technical depth and the ability to convert complex analyses into practical, applicable recommendations. You will report to the VP of Analytics Product Build, Innovation, and Scores.
**You'll Have Opportunity To**
* Lead custom analytics and modeling engagements from scoping through delivery and ongoing support.
* Develop credit strategies and ML models (underwriting, line assignment, pricing, early warning, collections).
* Engineer features from alternative, transactional, and bureau data (e.g., recency, frequency, volatility, trend, and behavioral metrics).
* Evaluate and integrate third‑party/alternative data sources (sub‑prime bureaus, cash\-flow, telco, utility, and specialty data).
* Conduct segmentation, lift analysis, and champion/challenger testing to assess performance and incremental value.
* Develop custom scorecards, policy rules, and ML models aligned with each client's risk appetite and regulatory requirements.
* Partner with clients to build end‑to‑end credit strategies that balance approvals, losses, efficiency, and customer experience.
* Deliver clear, executive‑ready insights, documentation, and strategy recommendations.
* Present results directly to risk leaders, analytics teams, and senior client partners.
* Support model implementation, monitoring, stability analysis, and ongoing optimization.
* Work cross‑functionally with Product, Engineering, and Sales to align custom solutions with broader AFS capabilities.
* Contribute to AFS best practices, reusable frameworks, and internal accelerators for non‑prime analytics.
**Qualifications**
* 5\+ years in credit risk analytics, data science, or advanced analytics, with experience in non‑prime or near‑prime lending.
* Hands‑on modeling experience using alternative data.
* Proficiency in Python (Pandas, NumPy, scikit‑learn, XGBoost/LightGBM) for feature engineering, modeling, and analysis.
* Advanced SQL experience working with complex, and imperfect datasets.
* Experience with non‑prime risk dynamics: thin‑file consumers, volatility, fraud risk, early‑default behavior.
* Experience with model evaluation (AUC, KS, lift, bad‑rate curves, stability, PSI).
* Work directly with clients and translate analytics into deployable strategies.
* Explain complex models in clear business terms.
* Background in financial services, alternative lending, FinTech, or specialty finance.
* Experience with AFS data sources (Clarity, FactorTrust, MicroBilt, cash‑flow or specialty bureaus).
* Familiarity with model governance, explainability, and regulatory considerations in non‑prime lending.
* Experience deploying or supporting ML models in production environments.
* Exposure to fraud, identity, or first‑payment‑default (FPD) modeling.
* Experience mentoring junior data scientists or analysts.
* Consult, client delivery, or solution‑oriented project experience.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is>
      </c>
    </row>
    <row r="5">
      <c r="A5" t="inlineStr">
        <is>
          <t>li-4359781208</t>
        </is>
      </c>
      <c r="B5" t="inlineStr">
        <is>
          <t>Staff Data Scientist - Product</t>
        </is>
      </c>
      <c r="C5" t="inlineStr">
        <is>
          <t>Gusto</t>
        </is>
      </c>
      <c r="D5" t="inlineStr">
        <is>
          <t>linkedin</t>
        </is>
      </c>
      <c r="E5" t="inlineStr"/>
      <c r="F5" t="inlineStr"/>
      <c r="G5" t="inlineStr"/>
      <c r="H5" t="inlineStr"/>
      <c r="I5"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 is looking for highly skilled and motivated Data Scientists with extensive experience (7\+ years) applying their expertise in a business environment. As a Staff Data Scientist,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help small businesses thrive.
**About The Team**
 In this role you will work closely with our Product, Engineering, Design, Finance, and other Data teams to become an expert in the data for your domain, define and track metrics that help us understand our business performance, and dive deep into our Payroll, Benefits, and HR data to deliver insights and answer questions. You’ll also integrate AI\-assisted practices to accelerate analysis, enhance rigor, and expand the reach of insights across Gusto. We have multiple senior roles open, each focused on a different area of our business.
**Here’s What You’ll Do Day\-to\-day**
* Lead: Own ambiguous problems, design analysis frameworks, and introduce structure that scales across multiple product domains.
* Strategic Partnership: Collaborate with product managers, engineering leads, designers, and operations teams to proactively identify opportunities, align on strategy, and guide data\-informed decision\-making.
* Analytical Rigor: Apply advanced statistical methods, causal inference, experimentation, and AI\-assisted analytics to surface drivers of product performance, separating signal from noise.
* Experimentation \&amp; Measurement: Design, analyze, and interpret experiments; ensure insights highlight trade\-offs and limitations based on sample size and data quality.
* Execution: Deliver multiple high\-impact projects, balancing trade\-offs to maximize business value, and maintain clear expectations of deliverables and timelines.
* Communication: Present complex findings in a structured, compelling way to technical and non\-technical stakeholders, fostering a data\-informed mindset across the company.
* Independence: Work with minimal guidance to prioritize, create, and deliver data science roadmaps, proactively resolving conflicts or misalignment across stakeholders.
* Scaling the Craft: Mentor other data practitioners, up\-level team best practices in experimentation, statistical modeling, and metric interpretation. Drive improvements in data quality, rigor, and adoption of better data capabilities leveraging AI\-native tools and workflows across the org.
**Here’s What We're Looking For**
* 7–10 years of experience in Data Science at a product\-focused software company.
* Strong SQL skills and comfort with Python
* Proven ability to apply statistical methods, causal inference, AI tools, and experimental design to real business problems.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 BS/MS/PhD in a quantitative field (Statistics, Economics, Computer Science, Applied Math, etc.) or equivalent industry experience.
 Our cash compensation amount for this role is targeted at $154,000/yr \- $181,000/yr in Denver, $168,000/yr \- $198,000/yr in Los Angeles, $186,000/yr \- $225,000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6">
      <c r="A6" t="inlineStr">
        <is>
          <t>li-4331928644</t>
        </is>
      </c>
      <c r="B6" t="inlineStr">
        <is>
          <t>Data Scientist, Generative &amp; Agentic AI Solutions: Senior Consultant</t>
        </is>
      </c>
      <c r="C6" t="inlineStr">
        <is>
          <t>Alvarez &amp; Marsal</t>
        </is>
      </c>
      <c r="D6" t="inlineStr">
        <is>
          <t>linkedin</t>
        </is>
      </c>
      <c r="E6" t="inlineStr"/>
      <c r="F6" t="inlineStr"/>
      <c r="G6" t="inlineStr">
        <is>
          <t>New York, NY</t>
        </is>
      </c>
      <c r="H6" t="inlineStr"/>
      <c r="I6"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7">
      <c r="A7" t="inlineStr">
        <is>
          <t>li-4345291706</t>
        </is>
      </c>
      <c r="B7" t="inlineStr">
        <is>
          <t>Staff Data Scientist, Money &amp; Lending</t>
        </is>
      </c>
      <c r="C7" t="inlineStr">
        <is>
          <t>Intuit</t>
        </is>
      </c>
      <c r="D7" t="inlineStr">
        <is>
          <t>linkedin</t>
        </is>
      </c>
      <c r="E7" t="inlineStr"/>
      <c r="F7" t="inlineStr"/>
      <c r="G7" t="inlineStr">
        <is>
          <t>San Diego, CA</t>
        </is>
      </c>
      <c r="H7" t="inlineStr"/>
      <c r="I7" t="inlineStr">
        <is>
          <t>**Overview**
 Overview
 We are seeking a Staff Data Scientist to join our Money Data Science Team. This role is focused on growth across Intuit’s fast money and consumer lending products. This is a high\-impact role where your work will directly influence product, marketing, and business strategies.
 As a Staff Data Scientist, you will serve as a strategic thought partner to cross\-functional leaders, bringing deep analytical expertise and business acumen to bear on Intuit’s most critical growth questions. You’ll lead and contribute to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 Define KPIs and Success Metrics: Establish key business indicators for projects, ensuring alignment with company objectives and clear measures of success.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Predictive Analytics and Modeling: Develop predictive models and methodologies to uncover growth opportunities and support long\-term business planning.
* Communication: Translate complex technical findings into clear, actionable insights for senior leadership, including product, finance, and marketing executives.
* Leadership and Ownership: Demonstrate boundaryless leadership and extreme accountability \- proactively drives outcomes across teams and leads with influence, not authority.
* Team Development: Serve as the technical lead for cross\-team data science projects, ensuring best practices and mentoring junior data scientists
**Qualifications**
* Bachelor's degree in Statistics, Economics, Computer Science or a related quantitative field is required. Advanced degrees, particularly a Master's or PhD in economics or statistics, are highly desirable.
* At least 5 years of experience applying statistical / econometric and modeling skills in decision making.
* Demonstrated expertise in causal inference—including but not limited to advanced experimentation, synthetic controls, regression discontinuity, and instrumental variables—with a track record of rigorously solving problems with these methods.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****Responsibilities****
* Define KPIs and Success Metrics: Establish key business indicators for projects, ensuring alignment with company objectives and clear measures of success.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Predictive Analytics and Modeling: Develop predictive models and methodologies to uncover growth opportunities and support long\-term business planning.
* Communication: Translate complex technical findings into clear, actionable insights for senior leadership, including product, finance, and marketing executives.
* Leadership and Ownership: Demonstrate boundaryless leadership and extreme accountability \- proactively drives outcomes across teams and leads with influence, not authority.
* Team Development: Serve as the technical lead for cross\-team data science projects, ensuring best practices and mentoring junior data scientists
****Qualifications****
* Bachelor's degree in Statistics, Economics, Computer Science or a related quantitative field is required. Advanced degrees, particularly a Master's or PhD in economics or statistics, are highly desirable.
* At least 5 years of experience applying statistical / econometric and modeling skills in decision making.
* Demonstrated expertise in causal inference—including but not limited to advanced experimentation, synthetic controls, regression discontinuity, and instrumental variables—with a track record of rigorously solving problems with these methods.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8">
      <c r="A8" t="inlineStr">
        <is>
          <t>li-4328287717</t>
        </is>
      </c>
      <c r="B8" t="inlineStr">
        <is>
          <t>Applied Scientist II</t>
        </is>
      </c>
      <c r="C8" t="inlineStr">
        <is>
          <t>Microsoft</t>
        </is>
      </c>
      <c r="D8" t="inlineStr">
        <is>
          <t>linkedin</t>
        </is>
      </c>
      <c r="E8" t="inlineStr"/>
      <c r="F8" t="inlineStr"/>
      <c r="G8" t="inlineStr">
        <is>
          <t>Redmond, WA</t>
        </is>
      </c>
      <c r="H8" t="inlineStr"/>
      <c r="I8" t="inlineStr">
        <is>
          <t>**Overview**
 We seek an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\#MicrosoftAI \#Search\#MAI \#BING \#ML\# \#NLP\#GenAI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
      <c r="A9" t="inlineStr">
        <is>
          <t>li-4345231901</t>
        </is>
      </c>
      <c r="B9" t="inlineStr">
        <is>
          <t>Staff Data Scientist</t>
        </is>
      </c>
      <c r="C9" t="inlineStr">
        <is>
          <t>Intuit</t>
        </is>
      </c>
      <c r="D9" t="inlineStr">
        <is>
          <t>linkedin</t>
        </is>
      </c>
      <c r="E9" t="inlineStr"/>
      <c r="F9" t="inlineStr"/>
      <c r="G9" t="inlineStr">
        <is>
          <t>Plano, TX</t>
        </is>
      </c>
      <c r="H9" t="inlineStr"/>
      <c r="I9" t="inlineStr">
        <is>
          <t>**Overview**
 Come join the Global Business Solutions Group (GBSG) Sales Data Science team as a Staff Data Scientist. This role will be pivotal in shaping how we understand, grow, and retain our customer base. You will leverage data\-driven insights to guide sales strategies, improve customer retention, optimize churn prevention, and enhance targeting efforts. The ideal candidate thrives at the intersection of data science and business strategy, collaborating closely with sales, marketing, and product teams to drive measurable impact on revenue growth and customer success. This is a high\-impact role where your work will directly influence sales, product, marketing, and business model strategies.
 As a Staff Data Scientist, you will operate as a senior individual contributor, partnering closely with peers and leaders to identify, validate, and refine innovative growth strategies. Your expertise—especially in sales analytics, causal inference and advanced analytics—will be instrumental in surfacing critical insights and translating them into actionable hypotheses that fuel sustained customer and revenue growth.
**Responsibilities**
* Drive Business Strategy through Data \- Translate business problems into analytical frameworks. Connect data across multiple functions to drive actionable recommendations and strategic growth opportunities for the Mid Market Sales Team
* Cross\-Functional Influence \- Serve as the strategic data science partner to leaders across Sales, Marketing, Product, and Finance to drive mid\-market account growth and expansion. Translate complex analytical findings into clear, compelling recommendations for executives and stakeholders.
* Insights at Scale \- Conduct deep\-dive analyses on pipeline, win/loss, and customer lifetime value to inform strategic decisions. Create dashboards, visualizations, and self\-serve tools to democratize access to insights across cross\-functional teams and leadership.
* Improve Customer Retention \- Own retention and churn analytics, including designing metrics, identifying risk signals, and recommending interventions
* Data Infrastructure \&amp; Governance \- Partner with data engineering and platform teams to ensure reliable, scalable data pipelines and tracking instrumentation are in place. Champion data hygiene and integrity.
**Qualifications**
* 7\+ years of experience in data science, with a proven record of applying advanced analytical methods to drive sales growth ideally in Saas or financial technology companies serving consumer or B2B segments
* Proven experience working with sales or go\-to\-market teams; deep understanding of customer retention, churn analysis, and sales optimization strategies
* Strong business acumen, excellent communication and storytelling skills with a track record of effectively simplifying the complex and delivering compelling narratives to stakeholders at all levels through data\-driven insights
* Advanced skills in SQL, Python, and other analytical tools, with practical experience using data visualization platforms (e.g., Tableau, Qlikview) to communicate insights; Experience with data integration and pipeline development is a plus
* Demonstrated proficiency in causal inference techniques, statistical modeling, machine learning, and experimental design
* Experience using statistics and machine learning techniques to solve complex business problems within product marketing, e.g., product funnel optimization, propensity for feature adoption, next best action models etc.
* S. or Ph.D. in a quantitative field (e.g., Statistics, Computer Science, Economics, Mathematics, Operations Research) or equivalent work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10">
      <c r="A10" t="inlineStr">
        <is>
          <t>li-4304382721</t>
        </is>
      </c>
      <c r="B10" t="inlineStr">
        <is>
          <t>Principal Data Scientist, Adobe Stock</t>
        </is>
      </c>
      <c r="C10" t="inlineStr">
        <is>
          <t>Adobe</t>
        </is>
      </c>
      <c r="D10" t="inlineStr">
        <is>
          <t>linkedin</t>
        </is>
      </c>
      <c r="E10" t="inlineStr"/>
      <c r="F10" t="inlineStr"/>
      <c r="G10" t="inlineStr">
        <is>
          <t>San Francisco, CA</t>
        </is>
      </c>
      <c r="H10" t="inlineStr"/>
      <c r="I1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an experienced Data Scientist to join the Adobe Stock Analytics and Insights team! This will be a key hire for the Data Science CoE (Center of Excellence) for the Adobe Stock business unit.
 You will partner closely with Marketing, Product, and Engineering teams to develop data science solutions that inform acquisition strategies, optimize retention, and forecast demand. Your work will directly influence Adobe Stock’s roadmap by uncovering growth levers and patterns in user behavior, acquisition channels, and user churn dynamics.
 What you'll Do
* Develop and refine customer segmentation models using unsupervised learning techniques to identify behavioral clusters and inform targeting strategies.
* Build and maintain forecasting models (e.g., ARIMA, Prophet) to predict demand and user engagement trends.
* Define and exemplify the value of customers over time (LTV) and develop strategies to improve it in acquisition and retention processes.
* Lead churn modeling initiatives to proactively identify at\-risk users and recommend mitigation strategies.
* Create reusable machine learning pipelines and data artifacts that scale across the organization.
* Collaborate with cross\-functional teams to design experiments and interpret results, including A/B testing and cohort analyses.
* Share complex modeling outcomes and insights with both technical and non\-technical collaborators.
 What you need to succeed
* 8\+ years of experience in data science or advanced analytics, ideally within eCommerce or digital platforms.
* Strong proficiency in Python and SQL for data manipulation, modeling, and analysis.
* Experience with Databricks or similar cloud\-based data platforms.
* Deep understanding of time series forecasting, including ARIMA, Prophet, and other statistical models.
* Proven ability to build and deploy unsupervised learning models for customer segmentation.
* Expertise in data visualization tools like Tableau or equivalent.
* Strong foundation in statistical modeling, experimentation, and lifecycle analytics.
* Ability to work independently and lead complex projects from ideation to delivery.
* BS degree in computer science or a related degree is required or equivalent practical experience
 Our compensation reflects the cost of labor across several  U.S. geographic markets, and we pay differently based on those defined markets. The U.S. pay range for this position is $154,900 \-\- $281,000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$194,000 \- $281,000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1">
      <c r="A11" t="inlineStr">
        <is>
          <t>li-4295699063</t>
        </is>
      </c>
      <c r="B11" t="inlineStr">
        <is>
          <t>Applied Scientist II, Amazon AWS Agentic AI, AWS AI Fundamental Research</t>
        </is>
      </c>
      <c r="C11" t="inlineStr">
        <is>
          <t>Amazon Web Services (AWS)</t>
        </is>
      </c>
      <c r="D11" t="inlineStr">
        <is>
          <t>linkedin</t>
        </is>
      </c>
      <c r="E11" t="inlineStr"/>
      <c r="F11" t="inlineStr"/>
      <c r="G11" t="inlineStr">
        <is>
          <t>Santa Clara, CA</t>
        </is>
      </c>
      <c r="H11" t="inlineStr"/>
      <c r="I11" t="inlineStr">
        <is>
          <t>**Description**
 Amazon is looking for a passionate, talented, and inventive Applied Scientist with a strong machine learning background to help build industry\-leading technology in generative AI and foundational models.
 As part of our AI team in Amazon AWS, you will work alongside internationally recognized experts to develop novel algorithms and modeling techniques to advance the state\-of\-the\-art in generative AI. Your work will directly impact millions of our customers in the form of products and services that make use of speech, vision and language technology. You will gain hands on experience with Amazon’s heterogeneous speech, text, image and structured data sources, and large\-scale computing resources to accelerate advances in machine learning and foundation models. More specifically, you will have the opportunity to impact millions of our customers by researching and building innovative solutions using Agentic AI.
 Agentic AI drives innovation at the forefront of artificial intelligence, enabling customers to transform their businesses through cutting\-edge generative AI solutions. We build and deliver the foundational AI services that power the future of cloud computing, helping organizations harness the potential of AI to solve their most complex challenges. Join our dynamic team of AI/ML practitioners, applied scientists, software engineers, and solution architects who work backwards from customer needs to create groundbreaking technologies. If you're passionate about shaping the future of AI while making a meaningful impact for customers worldwide, we want to hear from you.
 A day in the life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A3072738</t>
        </is>
      </c>
    </row>
    <row r="12">
      <c r="A12" t="inlineStr">
        <is>
          <t>li-4367937226</t>
        </is>
      </c>
      <c r="B12" t="inlineStr">
        <is>
          <t>Senior Staff Data Scientist, Quickbooks</t>
        </is>
      </c>
      <c r="C12" t="inlineStr">
        <is>
          <t>Intuit</t>
        </is>
      </c>
      <c r="D12" t="inlineStr">
        <is>
          <t>linkedin</t>
        </is>
      </c>
      <c r="E12" t="inlineStr"/>
      <c r="F12" t="inlineStr"/>
      <c r="G12" t="inlineStr">
        <is>
          <t>Mountain View, CA</t>
        </is>
      </c>
      <c r="H12" t="inlineStr"/>
      <c r="I12" t="inlineStr">
        <is>
          <t>**Overview**
 Intuit QuickBooks is a market leader in accounting solutions for small and mid\-market businesses. The Accounting Automation team within the Global Business Solutions Group (GBSG) is dedicated to delivering "Done\-for\-you" accounting experiences using cutting\-edge GenAI and Agentic solutions. This team recently launched Accounting Agent, an industry\-leading AI\-powered Agentic solution that automates bookkeeping and suggests transaction categorization, helping users stay organized and accurate. Building on this milestone, the team plans to launch several new cutting\-edge solutions next year.
 Our team's charter is to deliver delightful customer experiences and drive customer impact by developing insights, models, and strategic thought partnerships that assist small and mid\-market business customers in managing their finances. We collaborate with Product Management, Commercial, Finance, Business Operations, Design, and Engineering teams to promote data\-driven decisions through strategic thinking, data analysis, experimentation, and predictive analytics.
 As a senior member of this team, accelerating growth for a strategic company priority, you will delve into our data to uncover actionable insights and provide recommendations that fuel the growth of this new product. The ideal candidate will possess a strong background in quantitative analysis using large datasets and a track record of driving influence and alignment with data.
**Responsibilities**
 As a Senior Staff Data Scientist on the Product Data Science team, you will dive deep into our data to uncover actionable insights and shape strategic decisions. Your contributions will directly impact our product development and Go\-to\-Market (GTM) strategies.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accounting.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 Technical Skills: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t>
        </is>
      </c>
    </row>
    <row r="13">
      <c r="A13" t="inlineStr">
        <is>
          <t>li-4359751153</t>
        </is>
      </c>
      <c r="B13" t="inlineStr">
        <is>
          <t>Data Scientist</t>
        </is>
      </c>
      <c r="C13" t="inlineStr">
        <is>
          <t>Roku</t>
        </is>
      </c>
      <c r="D13" t="inlineStr">
        <is>
          <t>linkedin</t>
        </is>
      </c>
      <c r="E13" t="inlineStr"/>
      <c r="F13" t="inlineStr"/>
      <c r="G13" t="inlineStr">
        <is>
          <t>New York, NY</t>
        </is>
      </c>
      <c r="H13" t="inlineStr"/>
      <c r="I13"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About the role
 Roku is looking for a Data Scientist to join the Core Analytics team and provide support for our Customer Intelligence function, part of the broader Planning \&amp; Optimization team. Together, we answer high\-impact business questions from senior leaders with clear, decision\-ready insights. You’ll work on customer analytics that directly shape how Roku grows engagement, retention and monetization across the streaming ecosystem, with visibility to cross\-functional leaders and meaningful ownership over high\-impact questions. 
 This role is more than analytics and is intentionally “business\-forward”. We're looking for someone who can translate customer behavior into metrics and narratives which can help define our customer strategy, and/or measure the impact of initiatives on customer behavior. You’ll be expected to translate ambiguous stakeholder needs into strong analytical narratives and executive\-ready deliverables. Familiarity with causal inference/experimentation is important; deep specialization is a plus but not required. This is a hybrid role with four days per week in the office, Monday through Thursday.  The selected candidate will be based out of NYC.
 For New York Only \- The estimated annual salary for this position is between $152,000\-$184,000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Own end\-to\-end analyses: scope the question, define success metrics, pull data, analyze, synthesize, and deliver data\-driven narratives.
* Drive stakeholder alignment: clarify objectives, assumptions, tradeoffs, and decision points; ensure outputs are usable.
* Build crisp storytelling \&amp; presentations: create executive\-ready readouts (slides, memos) with clear “so what / now what.”
* Develop SQL and Python\-based workflows: write and review SQL/Python code to create datasets, compute KPIs, and validate results; use Airflow to maintain and build new pipelines when needed.
* Create reporting in Tableau/Looker: develop dashboards or recurring scorecards that make performance tracking easier and reduce ad\-hoc churn.
* Measurement \&amp; causal thinking: apply or partner on quasi\-experimental approaches (e.g., diff\-in\-diff, propensity matching, synthetic controls) with appropriate caveats to address incrementality questions.
* Raise analytical quality: ensure statistical rigor, bias awareness, and clear limitations.
 We're excited if you have
 * 3\+ years (or equivalent) in analytics/data science roles driving business decisions (tech, media, marketplaces, consumer products, etc.).
* Strong SQL (joins, window functions, building analysis\-ready tables, QA/validation).
* Proficiency in Excel to work with data, tables and visualization.
* Strong ability to communicate insights: structured thinking, clear writing, confident presenting to non\-technical and executive audiences.
* Solid foundation in statistics (hypothesis testing, confidence intervals, regression basics).
* Experienced with Python for analysis and data pipeline production (via Airflow).
* Hands\-on experience with visualization tools like Tableau or Looker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4">
      <c r="A14" t="inlineStr">
        <is>
          <t>li-4341990612</t>
        </is>
      </c>
      <c r="B14" t="inlineStr">
        <is>
          <t>Data Scientist (L4) -  Marketing and Experience DSE</t>
        </is>
      </c>
      <c r="C14" t="inlineStr">
        <is>
          <t>Netflix</t>
        </is>
      </c>
      <c r="D14" t="inlineStr">
        <is>
          <t>linkedin</t>
        </is>
      </c>
      <c r="E14" t="inlineStr"/>
      <c r="F14" t="inlineStr"/>
      <c r="G14" t="inlineStr">
        <is>
          <t>Los Angeles, CA</t>
        </is>
      </c>
      <c r="H14" t="inlineStr"/>
      <c r="I1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It's an exciting time to join Netflix as we continue to transform entertainment globally. We are bringing new stories to millions of people worldwide by promoting our original, exclusive content. As we move beyond 300 million members and hundreds of partnerships worldwide, our approach to marketing is to build innovative, culturally relevant, creatively excellent campaigns that pierce the zeitgeist and drive conversation.
 Our Experiences team puts fans at the center of their favorite stories, in real life, through permanent entertainment venues, Netflix House, and touring attractions around the world. Netflix Houses are our permanent, always\-on, constantly refreshable entertainment venues, where guests can step into their favorite stories. We want these experiences, along with merchandise offerings, to help promote love for our titles so they become part of the conversation zeitgeist for longer periods of time and drive long\-term value for Netflix.
 Data is a crucial component in shaping our comprehensive conversation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Data Scientist to provide key insights and thought partnership to our Experience team decision makers. You will leverage analytical expertise to build advanced analytical models, develop insights, and uncover trends for Netflix House locations (visitation, attendance, fan behavior, and satisfaction). Your work will directly inform executive decision making as well as optimization and re\-forecasting processes in order to enhance fan and House employee experience. In success, you will collaborate on existing priorities but also will propose and execute on new opportunities. This role features ample opportunity for project ownership, leadership and direct influence on impactful business decisions.
**In This Role, You Will**
* Be a strategic thought partner with business stakeholders to define high impact analytical problems and innovative ways to solve them with data.
* Develop systems to analyze trends in fan behavior, including time spent, arrival and departure patterns, interactions with different Netflix IPs and spaces, and preferences for retail and F\&amp;B offerings.
* Develop robust forecasting models to identify future trends, explaining attendance due to seasonality, location, price demand relationship, and other key influencing factors and enabling the business to make data\-driven decisions and proactively adapt strategies based on actionable insights.
* Act as a trusted advisor to business leaders, directly informing decision\-making and operational planning.
* Actively identify emerging business needs and develop analytical tools to translate outputs to actionable, recommendations for operations teams.
* Present findings and recommendations to stakeholders through clear, compelling story telling and presentations.
* Stay current with industry best practices and emerging analytics trends to continuously improve analytics capabilities.
* Promote and foster a mindset of continuous innovation for internal teams and external partners.
**What You’ll Bring**
* Exceptional interpersonal and communication skills to influence stakeholders using clear insights and recommendations.
* Adept at cultivating strong partnerships.
* Exceptional thought partnership and engagement abilities with a diverse set of stakeholders and passionate about communicating difficult concepts to non\-technical audiences.
* Experience with guest or customer satisfaction analytics, forecasting, and operational optimization is highly desirable.
* Strong statistical knowledge: understanding of predictive modeling; experience in feature engineering, confounder identification and amelioration, etc.
* A degree in a quantitative field (e.g., mathematics, statistics, computer science, engineering, or similar), and 4\+ years of experience in data science, analytics engineering, or a similar data field.
* Advanced SQL skills, with experience working in complex data environments.
* Experience with scripting languages, particularly Python.
* Exceptional analytical and problem\-solving skills with a keen attention to detail and desire to think outside the box and innovate
* Experience with data visualization platforms (e.g., Tableau, Looker, Plotly) is a plus
* Experience in retail, entertainment, or hospitality sectors is a plus.
* Enthusiastic about Netflix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$280,000\.00 \- $421,000\.00\.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5">
      <c r="A15" t="inlineStr">
        <is>
          <t>li-4376359873</t>
        </is>
      </c>
      <c r="B15" t="inlineStr">
        <is>
          <t>Data Scientist, Safety</t>
        </is>
      </c>
      <c r="C15" t="inlineStr">
        <is>
          <t>Uber</t>
        </is>
      </c>
      <c r="D15" t="inlineStr">
        <is>
          <t>linkedin</t>
        </is>
      </c>
      <c r="E15" t="inlineStr"/>
      <c r="F15" t="inlineStr"/>
      <c r="G15" t="inlineStr">
        <is>
          <t>San Francisco, CA</t>
        </is>
      </c>
      <c r="H15" t="inlineStr"/>
      <c r="I15" t="inlineStr">
        <is>
          <t>**About The Role**
 You will work with star engineers and product designers in a fast\-paced, rapidly growing, hybrid technology \+ operations environment to build tools, contextual experiences and implement policies to engender trust among our users and promote safety globally. You should be comfortable in uncharted territory as we build unique technologies for eaters, riders, drivers and every user who touches the Uber community. We need your skills and enthusiasm to make it happen.
**What The Candidate Will Do**
* Assist with new product experimentation including design, roll\-out, and monitoring
* Work with cross\-functional teams such as product management, safety operations, and engineering teams to design, deploy, and measure the impact of new products and policies.
* Create metrics and reporting functions to measure and monitor safety products on our platform
* Effectively and proactively communicate insights and drive projects to improve safety
* Proactively seek out opportunities to build new solutions to tackle safety challenges
* Basic Qualifications \-\-\-\-
* Minimum 4 years of experience in a similar role
* Bachelors degree in Mathematics, Statistics, Computer Science, Economics or Engineering
* 4\+ years of SQL experience (Hive, Spark, and other big data tools a plus)
* 4\+ years of Python expnerience (experience in R a plus)
* 3\+ years of experience working with experimentation and measurement
* 3\+ years of experience working with at least 1 visualization tool (Tableau, Power BI, etc)
* \-\-\- Preferred Qualifications \-\-\-\-
* Advanced degree in Mathematics, Statistics, Computer Science, Economics or Engineering
* Hands\-on experience working on LLM projects including shipping to production
* Experience working within a highly XFN organization, including stakeholders across Product, Eng, Ops, and more.
 For San Francisco, CA\-based roles: The base salary range for this role is USD$142,000 per year \- USD$158,000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USD$142,000 per year \- USD$158,000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
      <c r="A16" t="inlineStr">
        <is>
          <t>li-4376379002</t>
        </is>
      </c>
      <c r="B16" t="inlineStr">
        <is>
          <t>Data Scientist, Safety</t>
        </is>
      </c>
      <c r="C16" t="inlineStr">
        <is>
          <t>Uber</t>
        </is>
      </c>
      <c r="D16" t="inlineStr">
        <is>
          <t>linkedin</t>
        </is>
      </c>
      <c r="E16" t="inlineStr"/>
      <c r="F16" t="inlineStr"/>
      <c r="G16" t="inlineStr">
        <is>
          <t>San Francisco, CA</t>
        </is>
      </c>
      <c r="H16" t="inlineStr"/>
      <c r="I16" t="inlineStr">
        <is>
          <t>**About The Role**
 You will work with star engineers and product designers in a fast\-paced, rapidly growing, hybrid technology \+ operations environment to build tools, contextual experiences and implement policies to engender trust among our users and promote safety globally. You should be comfortable in uncharted territory as we build unique technologies for eaters, riders, drivers and every user who touches the Uber community. We need your skills and enthusiasm to make it happen.
**What The Candidate Will Do**
* Assist with new product experimentation including design, roll\-out, and monitoring
* Work with cross\-functional teams such as product management, safety operations, and engineering teams to design, deploy, and measure the impact of new products and policies.
* Create metrics and reporting functions to measure and monitor safety products on our platform
* Effectively and proactively communicate insights and drive projects to improve safety
* Proactively seek out opportunities to build new solutions to tackle safety challenges
* Basic Qualifications \-\-\-\-
* Minimum 4 years of experience in a similar role
* Bachelors degree in Mathematics, Statistics, Computer Science, Economics or Engineering
* 4\+ years of SQL experience (Hive, Spark, and other big data tools a plus)
* 4\+ years of Python expnerience (experience in R a plus)
* 3\+ years of experience working with experimentation and measurement
* 3\+ years of experience working with at least 1 visualization tool (Tableau, Power BI, etc)
* \-\-\- Preferred Qualifications \-\-\-\-
* Advanced degree in Mathematics, Statistics, Computer Science, Economics or Engineering
* Hands\-on experience working on LLM projects including shipping to production
* Experience working within a highly XFN organization, including stakeholders across Product, Eng, Ops, and more.
 For San Francisco, CA\-based roles: The base salary range for this role is USD$142,000 per year \- USD$158,000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USD$142,000 per year \- USD$158,000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7">
      <c r="A17" t="inlineStr">
        <is>
          <t>li-4376359913</t>
        </is>
      </c>
      <c r="B17" t="inlineStr">
        <is>
          <t>Data Scientist, Product</t>
        </is>
      </c>
      <c r="C17" t="inlineStr">
        <is>
          <t>Wiraa</t>
        </is>
      </c>
      <c r="D17" t="inlineStr">
        <is>
          <t>linkedin</t>
        </is>
      </c>
      <c r="E17" t="inlineStr"/>
      <c r="F17" t="inlineStr"/>
      <c r="G17" t="inlineStr"/>
      <c r="H17" t="inlineStr"/>
      <c r="I17" t="inlineStr">
        <is>
          <t>**About The Company**
 Owner.com is an innovative AI\-driven growth platform dedicated to empowering local restaurants and small businesses to thrive in the digital landscape. Our core mission is to enhance online visibility, optimize marketing efforts, and streamline online ordering processes through continuously evolving artificial intelligence solutions. Unlike traditional software providers that require small business owners to master complex tools, Owner offers a proven, user\-friendly system managed by a team of experts, effectively acting as an extension of their operational team. Our platform is designed to function as an army of engineers and marketers working on behalf of our clients, enabling them to compete with large chains and improve their online performance.
 Founded with a vision to help independent restaurants succeed online, Owner.com recognizes the broader challenges faced by local businesses in the digital age. As technology giants dominate the market, smaller businesses struggle to retain their customer base and maintain profitability. Our goal is to develop scalable solutions that address these issues, initially focusing on the restaurant industry and subsequently expanding into other local business sectors. Since our inception in 2020, we have generated tens of millions in revenue, processed over half a billion dollars in online orders, and helped more than 20,000 restaurant owners save nearly $200 million in fees. Our team comprises top talent from leading SMB software companies such as Shopify, HubSpot, DoorDash, and Stripe, working remotely across the globe from our headquarters in San Francisco and sales hub in Toronto.
**About The Role**
 We are seeking a highly skilled Risk \&amp; Payments Data Scientist to join our dynamic product analytics team. This role is pivotal in shaping the product roadmap by collaborating closely with Product Managers to establish key metrics and impact assessments. You will lead experimentation initiatives, manage testing frameworks, and develop KPIs for our payments product squad. Your insights will identify gaps and opportunities within our risk and payments systems, driving strategic decisions that promote growth while safeguarding merchant and company interests.
 As we transition from Stripe Standard to Custom Connect / Adyen for Platforms, ownership of risk management processes such as merchant onboarding, fraud detection, dispute mitigation, reserves, and payout risk will increase. Your expertise will be essential in building models, signals, and decision\-making tools that protect our merchants and P\&amp;L, all while maintaining high conversion rates and low friction during transactions. This role offers the chance to influence product development, optimize risk controls, and enable scalable growth for thousands of restaurants and local businesses.
 The ideal candidate will be based in the San Francisco Bay Area, given the company's remote\-first culture with periodic in\-person collaboration. You will work with cross\-functional teams including Engineering, Product, and Operations to implement data\-driven solutions that improve payment success rates, reduce fraud, and enhance overall financial health of our platform. Your work will directly impact the efficiency of our risk management processes and contribute to the company's strategic objectives in the rapidly evolving fintech and SMB SaaS landscape.
**Qualifications**
* 4–8\+ years of experience in applied machine learning or risk data science, preferably within fintech, payments, marketplace, or anti\-fraud domains.
* Proficiency in Python, SQL, and relevant ML libraries/frameworks; experience with MLflow or similar tools, and feature stores.
* Demonstrated success in deploying production models that significantly reduce losses or enhance conversion rates.
* Deep understanding of payments and risk concepts such as KYC/KYB, underwriting, authorization vs capture, chargebacks, friendly fraud, card testing, reserves, payout returns, and decline management.
* Expertise in feature engineering on complex, imbalanced datasets and rigorous evaluation methods including ROC, PR curves, and cost\-sensitive analysis.
* Strong ability to communicate model insights clearly and translate them into business decisions and dollarized tradeoffs.
* Experience in designing metrics, experimentation, and product funnel analysis to inform product development.
* Ability to handle ambiguity, analyze financial systems deeply, and proactively identify potential issues.
* Proven track record of developing KPIs and metrics tailored for product teams in startup environments.
* Experience building end\-to\-end data products and working with data modeling tools such as DBT and Snowflake.
* Prior experience in SaaS or startup settings is highly preferred; familiarity with the restaurant industry is a plus.
**Responsibilities**
* Develop and deploy machine learning models to reduce fraud, chargebacks, and credit losses while maintaining high checkout and onboarding conversion rates.
* Create risk scores and dynamic controls such as reserves and payout delays to support safe scaling to thousands of merchants.
* Build signals, alerts, and automation tools for Payments Operations and Risk Ops teams to streamline review processes and reduce manual workload.
* Define and monitor risk\-related KPIs, SLIs, and SLOs; develop dashboards that make risk tradeoffs transparent and actionable.
* Design and maintain scalable frameworks for feature generation, model training, deployment, and monitoring to facilitate rapid model iteration.
* Own analytics related to payments, billing, and risk features, from checkout experience to internal financial reporting.
* Monitor key performance metrics such as payment success rate, fraud incidence, chargeback volume, and revenue leakage; implement automated alerts for anomalies.
* Identify revenue and risk opportunities across the payments funnel, from checkout to invoice collection.
* Partner with Product Managers on A/B testing and experiments to improve payment UX, fraud detection, and risk workflows.
* Collaborate with Engineering teams to instrument new features, ensure data integrity, and establish a reliable single source of truth in data systems.
* Work closely with cross\-functional teams to translate data insights
**Equal opportunity**
 We are proud to be an Equal Employment Opportunity employer. We are committed to equal employment opportunity regardless of race, color, ancestry, religion, sex, national origin, sexual orientation, age, citizenship, marital status, disability, gender identity, veteran status, or any other basis protected by federal, state, or local law.</t>
        </is>
      </c>
    </row>
    <row r="18">
      <c r="A18" t="inlineStr">
        <is>
          <t>li-4376374324</t>
        </is>
      </c>
      <c r="B18" t="inlineStr">
        <is>
          <t>Data Scientist</t>
        </is>
      </c>
      <c r="C18" t="inlineStr">
        <is>
          <t>Wiraa</t>
        </is>
      </c>
      <c r="D18" t="inlineStr">
        <is>
          <t>linkedin</t>
        </is>
      </c>
      <c r="E18" t="inlineStr"/>
      <c r="F18" t="inlineStr"/>
      <c r="G18" t="inlineStr"/>
      <c r="H18" t="inlineStr"/>
      <c r="I18" t="inlineStr">
        <is>
          <t>**About The Company**
 Zenlaw is at the forefront of transforming how long documents such as contracts are managed and understood in the digital age. Since its inception in 2021, the company has been leveraging cutting\-edge artificial intelligence technologies to make complex documents more accessible and manageable across various industries including Real Estate, Finance, and Insurance. Zenlaw’s mission is to bring clarity and efficiency to document processing by abstracting key information and detailing content, enabling users to manipulate and analyze documents with ease. The organization prides itself on fostering a diverse and creative team dedicated to innovation and excellence in AI\-driven solutions. As a rapidly growing startup, Zenlaw seeks passionate professionals who are committed to shaping the future of document intelligence and AI applications.
**About The Role**
 We are seeking a highly motivated Data Scientist to join our dynamic team at Zenlaw. In this role, you will collaborate closely with our engineering and legal teams to develop and refine AI models that interpret and categorize complex legal and contractual documents. Your primary responsibility will be to model intricate data problems, identify high\-impact opportunities, and contribute to the development of our NLP frameworks. You will have the opportunity to research new techniques, design experiments, and implement innovative solutions that improve our AI models’ accuracy and efficiency. This position offers a unique chance to work in a fast\-paced environment where your analytical skills and creativity will directly influence the evolution of our products. You will also be responsible for analyzing datasets, designing annotation rules, and enhancing data architecture in partnership with cross\-functional teams. Autonomy and ownership are key aspects of this role, allowing you to explore creative approaches and deliver impactful solutions that support our mission of modernizing document analysis through AI.
**Qualifications**
* Bachelor’s degree in Statistics, Mathematics, Computer Science, or a related field; a graduate degree in Data Science, Statistics, Applied Mathematics, or similar is preferred
* Minimum of 2\+ years of industry experience as a data analyst, data scientist, or equivalent role
* Proven experience in training and deploying NLP deep learning models
* Strong proficiency in Python, SQL, and data analysis/visualization tools
* Excellent communication skills in English, both written and oral
* Experience with reporting systems and data pipeline architecture
* Ability to break down complex problems into understandable solutions
* Demonstrated problem\-solving skills and a proactive approach to project ownership
* Online portfolio or samples showcasing analytical and data visualization capabilities is a plus
 Nice to have qualifications include experience with Golang, Git, SpaCy, Transformers, PyTorch, ontologies, knowledge graphs, and MLOps. A Master’s degree in a relevant quantitative field is also advantageous.
**Responsibilities**
* Research and evaluate new techniques and frameworks for NLP tasks to enhance our AI models
* Design and execute experiments focused on data abstraction and sentence/paragraph categorization
* Collaborate with legal teams to review initial model results and develop pre\- and post\-processing scripts to optimize accuracy
* Conduct data analysis to identify rules and patterns for annotation and model training
* Improve the architecture of data models and tooling in partnership with engineering and business teams
* Take ownership of projects, from conception through deployment, ensuring timely and high\-quality delivery
* Innovate solutions by exploring creative approaches to complex data problems
* Contribute to the continuous improvement of our NLP models and data pipelines
**Benefits**
* Ownership and entrepreneurial responsibility in a flat\-hierarchy environment
* Remote work opportunity, allowing flexibility and work\-life balance
* Collaborative and inclusive workplace culture with a diverse team
* Participation in team events and company initiatives
* Opportunities for professional growth and development in AI and data science
 Equal Opportunity
 Zenlaw is an equal opportunity employer. We celebrate diversity and are committed to creating an inclusive environment for all employees. We do not discriminate based on race, ethnicity, gender, sexual orientation, religion, age, disability, or any other protected characteristic. We believe that a diverse team fosters innovation and drives our mission forward, and we welcome applicants from all backgrounds to join us in shaping the future of document intelligence.</t>
        </is>
      </c>
    </row>
    <row r="19">
      <c r="A19" t="inlineStr">
        <is>
          <t>li-4374981693</t>
        </is>
      </c>
      <c r="B19" t="inlineStr">
        <is>
          <t>Data Scientist I</t>
        </is>
      </c>
      <c r="C19" t="inlineStr">
        <is>
          <t>RemoteHunter</t>
        </is>
      </c>
      <c r="D19" t="inlineStr">
        <is>
          <t>linkedin</t>
        </is>
      </c>
      <c r="E19" t="inlineStr"/>
      <c r="F19" t="inlineStr"/>
      <c r="G19" t="inlineStr"/>
      <c r="H19" t="inlineStr"/>
      <c r="I19"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Exempt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li-4288327062</t>
        </is>
      </c>
      <c r="B20" t="inlineStr">
        <is>
          <t>Sr. Applied Scientist, Prime Video - Personalization and Discovery Science</t>
        </is>
      </c>
      <c r="C20" t="inlineStr">
        <is>
          <t>Prime Video &amp; Amazon MGM Studios</t>
        </is>
      </c>
      <c r="D20" t="inlineStr">
        <is>
          <t>linkedin</t>
        </is>
      </c>
      <c r="E20" t="inlineStr"/>
      <c r="F20" t="inlineStr"/>
      <c r="G20" t="inlineStr">
        <is>
          <t>New York, United States</t>
        </is>
      </c>
      <c r="H20" t="inlineStr"/>
      <c r="I2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A3061266</t>
        </is>
      </c>
    </row>
    <row r="21">
      <c r="A21" t="inlineStr">
        <is>
          <t>li-4373793805</t>
        </is>
      </c>
      <c r="B21" t="inlineStr">
        <is>
          <t>Senior Data Scientist - Orlando, FL (Hybrid)</t>
        </is>
      </c>
      <c r="C21" t="inlineStr">
        <is>
          <t>CHEP</t>
        </is>
      </c>
      <c r="D21" t="inlineStr">
        <is>
          <t>linkedin</t>
        </is>
      </c>
      <c r="E21" t="inlineStr"/>
      <c r="F21" t="inlineStr"/>
      <c r="G21" t="inlineStr">
        <is>
          <t>Orlando, FL</t>
        </is>
      </c>
      <c r="H21" t="inlineStr"/>
      <c r="I21" t="inlineStr">
        <is>
          <t>By combining state\-of\-the\-art data science techniques, cutting\-edge Internet of Things (IoT) technologies, and Software as a Service, we enable a more connected, intelligent and efficient supply chain. We’re creating value from massive, connected data. Our unmatched insights illuminate more than 300,000 supply chains, more than a million customers and partners, and over 300 million physical assets that are constantly on the move around the world.
 CHEP is a Brambles / BXB Digital company, the global leader in supply chain logistic solutions operating through the CHEP brand. Brambles Limited is listed on the Australian Securities Exchange (ASX) and has its headquarters in Sydney, Australia. Operating in more than 60 countries, with its largest operations in North America and Western Europe, we employ more than 14,500 people and owns over 550 million pallets, crates and containers through a network of approximately 850 service centres.
**SENIOR DATA SCIENTIST**
**POSITION PURPOSE**
 Develop and apply advanced data\-driven solutions using machine learning and statistical models to address complex business challenges.
 Build trust and drive the adoption of data science solutions by communicating insights and technical solutions to stakeholders in a clear and actionable way.
 Shapes project collaborations across teams, providing mentorship, and driving capability development across the Data Science team
**SCOPE**
 • All Machine Learning models for Advanced D\&amp;A Americas.
 • All data products initiatives for Advanced D\&amp;A Americas.
 • All GenAI initiatives for Advanced D\&amp;A Americas.
**MAJOR / KEY ACCOUNTABILITIES**
 • Collaborate with key stakeholders to identify business challenges, translating ambiguous problems into structured analyses using statistical modelling and machine learning algorithms.
 • Lead the selection, validation, and optimization of models to discover meaningful patterns and insights, ensuring models remain relevant, reliable, and scalable.
 • Drive continuous integration and deployment of data science solutions, optimizing performance through advanced machine learning techniques, code reviews, and best practices.
 • Develop and deliver sophisticated visualizations, dashboards, and reports translate complex data into clear, actionable insights for business stakeholders.
 • Present technical solutions to business stakeholders, using creative methods to explain complex concepts, increase understanding, and encourage solution adoption.
 • Mentor and develop junior data scientists, fostering a culture of continuous learning, knowledge sharing, and skills development within the organization.
 • Write clean, high\-quality code, ensuring all outputs pass quality assurance checks, and contribute to the development of novel solutions to solve complex business problems.
 • Stay informed on industry trends, emerging tools, and techniques, applying them to improve data science practices and encourage innovation within the team.
 • Lead strategy development for one or more data products, managing roadmaps, identifying requirements, and collaborating with business stakeholders to ensure alignment with business goals.
**MEASURES**
 • Ensure accuracy on predictions algorithms.
 • Ensure solutions created are aligned with D\&amp;A Americas strategy.
 • Ensure solutions are delivered on a timely manner.
 • Internal customers satisfaction.
 • Develop solutions in a scalable way, standard and automated.
 • Develop processes to efficiently manage data.
**KEY CONTACTS**
 Internal: Data \&amp; Analytics Americas, Processes Digitalization, Supply Chain, Commercial, Serialization\+, Finance, Digital
**QUALIFICATIONS**
 • Technology related degree and/or a minimum of 3 years working experience in a similar role.
**EXPERIENCE**
 • Previous data science experience applying advanced algorithms to address practical problems.
 • Advanced hands\-on experience in Python data libraries.
 • Proven track record in developing machine learning models (time series, clustering, regression analysis, deep learning).
 • SQL experience (Ability to read/write complex SQL queries).
 • Worked with measures and KPIs.
 • Working on remote teams.
 • Proved experience with Project Management (manage priorities, standardization, automation, troubleshooting and long\-term planning).
 • Experience with process automation and workload reduction.
 • Experience implementing data new solutions from scratch.
 • Experience with software development (applied to data science).
 • Experience with NLP and computer vision is a bonus.
 • Proficient using Microsoft tools: Excel, Access, Word, Power Point, Visio.
**SKILLS AND KNOWLEDGE**
 • Coding tools and Machine Learning.
 • Data management and statistical analysis.
 • Business mindset.
 • Strong analytic skills.
 • Customer oriented.
 • Strong communication skills.
 • Flexible and able to work under pressure.
 • Diplomatic and sensitive when serving customers of a different mentality and culture.
 • Ability to work autonomously.
 • Ability to work with remote teams.
 The salary range for this position is $98,000 to $135,000 / year. Salary ranges provided take into account a wide variety of factors that are considered in making compensation decisions including but not limited to skill sets; experience and training; licensure and certifications, geographic differentials and other business and organizational needs. Therefore, actual amounts offered may be higher or lower than the range provided. If you have questions, please speak to your Talent Acquisition Partner about the flexibility and detail of our compensation philosophy.” Dependent on the position offered, other forms of compensation may be part of a total offering beyond medical \&amp; retirement benefits and may include other monetary incentives or business benefits.</t>
        </is>
      </c>
    </row>
    <row r="22">
      <c r="A22" t="inlineStr">
        <is>
          <t>li-4351862370</t>
        </is>
      </c>
      <c r="B22" t="inlineStr">
        <is>
          <t>AI &amp; GenAI Data Scientist - Manager</t>
        </is>
      </c>
      <c r="C22" t="inlineStr">
        <is>
          <t>PwC</t>
        </is>
      </c>
      <c r="D22" t="inlineStr">
        <is>
          <t>linkedin</t>
        </is>
      </c>
      <c r="E22" t="inlineStr"/>
      <c r="F22" t="inlineStr"/>
      <c r="G22" t="inlineStr">
        <is>
          <t>Cleveland, OH</t>
        </is>
      </c>
      <c r="H22" t="inlineStr"/>
      <c r="I22"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3">
      <c r="A23" t="inlineStr">
        <is>
          <t>li-4351852362</t>
        </is>
      </c>
      <c r="B23" t="inlineStr">
        <is>
          <t>AI &amp; GenAI Data Scientist - Manager</t>
        </is>
      </c>
      <c r="C23" t="inlineStr">
        <is>
          <t>PwC</t>
        </is>
      </c>
      <c r="D23" t="inlineStr">
        <is>
          <t>linkedin</t>
        </is>
      </c>
      <c r="E23" t="inlineStr"/>
      <c r="F23" t="inlineStr"/>
      <c r="G23" t="inlineStr">
        <is>
          <t>Cincinnati, OH</t>
        </is>
      </c>
      <c r="H23" t="inlineStr"/>
      <c r="I23"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4">
      <c r="A24" t="inlineStr">
        <is>
          <t>li-4360630033</t>
        </is>
      </c>
      <c r="B24" t="inlineStr">
        <is>
          <t>Senior Data Scientist, Level 5</t>
        </is>
      </c>
      <c r="C24" t="inlineStr">
        <is>
          <t>Snap Inc.</t>
        </is>
      </c>
      <c r="D24" t="inlineStr">
        <is>
          <t>linkedin</t>
        </is>
      </c>
      <c r="E24" t="inlineStr"/>
      <c r="F24" t="inlineStr"/>
      <c r="G24" t="inlineStr">
        <is>
          <t>Palo Alto, CA</t>
        </is>
      </c>
      <c r="H24" t="inlineStr"/>
      <c r="I2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Sr.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 Think creatively, proactively, and futuristically to identify and size up new opportunities within Snap's long term roadmap for data\-scientific contributions
* Conduct machine learning or statistical analyses, and build pragmatic, scalable, and statistically rigorous solutions to deliver actionable insights, accurate predictions, and effective optimizations
* Communicate best practices in quantitative analysis and develop cross\-functional partnerships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Experience collaborating with engineers, product managers, and other cross\-functional teams
* Ability to initiate and drive projects to completion with minimal guidance
* An understanding of Snapchat with great product sense and product understanding
* Ability to communicate complex quantitative analysis in a clear, precise, and actionable manner
 Minimum Qualifications:
* Bachelor's Degree in a relevant technical field such as statistics, mathematics, economics, computer science, engineering or related field or equivalent years of practical work experience
* 5\+ years of post\-Bachelor’s quantitative analysis and data science experience ; or a Master’s degree in a technical field \+ 4\+ years of post\-grad quantitative analysis and data science experience; or a PhD in a related technical field \+ 1\+ years of post\-grad quantitative analysis and data science experience
 Preferred Qualifications:
* 5\+ years of experience using SQL or similar big data querying languages
* 5\+ years of experience with programming language, such as Python or R
* 5\+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$190,000\-$284,000 annually.
 Zone B:
 The base salary range for this position is $181,000\-$270,000 annually.
 Zone C:
 The base salary range for this position is $162,000\-$241,000 annually.
 This position is eligible for equity in the form of RSUs.</t>
        </is>
      </c>
    </row>
    <row r="25">
      <c r="A25" t="inlineStr">
        <is>
          <t>li-4313088483</t>
        </is>
      </c>
      <c r="B25" t="inlineStr">
        <is>
          <t>Staff Data Scientist, Marketing</t>
        </is>
      </c>
      <c r="C25" t="inlineStr">
        <is>
          <t>Thumbtack</t>
        </is>
      </c>
      <c r="D25" t="inlineStr">
        <is>
          <t>linkedin</t>
        </is>
      </c>
      <c r="E25" t="inlineStr"/>
      <c r="F25" t="inlineStr"/>
      <c r="G25" t="inlineStr"/>
      <c r="H25" t="inlineStr"/>
      <c r="I25" t="inlineStr">
        <is>
          <t>**Thumbtack helps millions of people confidently care for their homes.**
 Thumbtack is the one app you need to take care of and improve your home —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 If making an impact inspires you, join us. Imagine what we’ll build together.
**About The Data Science Team**
 The Data Science team empowers Thumbtack to use data to guide business decisions. We collaborate with partners across the company to solve the most analytically challenging problems \-\- everything from informing how we set prices across almost a thousand local services categories, to evaluating the impact of a new business model on company performance, to identifying early predictors of high\-quality customers. We are a tight\-knit, intellectually curious team that is committed to improving Thumbtack and improving each other.
**About The Role**
 At Thumbtack, Data Scientists are trusted to combine rigorous thinking, technical expertise, and business context to accelerate smarter decisions and better products. Our Marketing Data Science team powers a data\-driven growth engine—blending advanced analytics, innovative technology, and creative problem\-solving to bring users to Thumbtack and keep them engaged.
 As a
 **Staff Marketing Data Scientist** 
 , you will serve as one of the most senior members of the team, setting the bar for technical innovation and strategic impact. Your mission will be to
 **advance our channel measurement capabilities** 
 and to
 **design scalable methodologies, frameworks, and tools** 
 that empower the Marketing and Data Science teams to operate with speed, rigor, and confidence.
**What You'll Do**
* Lead the development and advancement of measurement methodologies that push the boundaries of what’s possible in evaluating marketing effectiveness. You’ll explore innovative approaches grounded in data science and modern analytical methods.
* Drive the creation of frameworks, tools, and processes that make measurement more systematic and scalable across a variety of channels.
* Evolve and strengthen existing modeling approaches to deliver insights that are both robust and actionable.
* Iterate on measurement approaches to marketing problems like channel incrementality, bolstering a robust approach to maximizing return on ad spend
* Collaborate with cross\-functional partners to connect measurement learnings with business strategy and growth.
* Serve as a technical leader—mentoring others, elevating analytical standards, and shaping the long\-term direction of measurement at Thumbtack.
* Identify and pursue new opportunities where advanced analytics or fresh methodologies can unlock impact.
**In order to be successful, you must bring**
* 4\+ years of experience in data science, analytics or economics
* Bachelor’s, Master’s, or Doctoral degree in a technical area such as: Statistics, Engineering, Analytics, Math, Computer Science,Economics
* Minimum of 0\-5 years of experience in industry, consulting, government or academic research. Applicants with considerably more experience, including mid\-career, are also strongly encouraged to apply.
* Proficiency with analytical tools like Python and SQL
* Ability to work in a fast moving business environment.
* Strong communication skills and ability to build strong relationships cross\-functionally and with leadership and get buy\-in on a data\-driven perspective
**Expected salary ranges**
* For candidates living in San Francisco / Bay Area, San Jose, New York City, or Seattle metros, the expected salary range for the role is currently $223,100 \- $288,800\.
* For candidates living in Austin, TX or Washington DC metros or in California, Massachusetts, New Jersey, or Washington states, the expected salary range for the role is currently $200,900 \- $259,900\.
* For candidates living in all other US locations, the expected salary range for this role is currently $189,600 \- $245,400\.
 Actual offered salaries will vary and will be based on various factors, such as calibrated job level, qualifications, skills, competencies, and proficiency for the role.
 Thumbtack embraces diversity. We are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We also will consider for employment qualified applicants with arrest and conviction records, consistent with applicable law.
 Thumbtack is committed to working with and providing reasonable accommodation to individuals with disabilities. If you would like to request a reasonable accommodation for a medical condition or disability during any part of the application process, please contact: recruitingops@thumbtack.com.
 If you are a California resident, please review information regarding your rights under California privacy laws contained in Thumbtack’s Privacy policy available at https://www.thumbtack.com/privacy/.
 We put as much craftsmanship into candidate safety as we do into the hiring experience itself. While scammers may try to impersonate our team, we’ll never ask you for money, banking info, or SSNs during hiring. Check out our blueprint on how to spot the fakes.</t>
        </is>
      </c>
    </row>
    <row r="26">
      <c r="A26" t="inlineStr">
        <is>
          <t>li-4331508779</t>
        </is>
      </c>
      <c r="B26" t="inlineStr">
        <is>
          <t>Data Scientist, Generative &amp; Agentic AI Solutions: Senior Consultant</t>
        </is>
      </c>
      <c r="C26" t="inlineStr">
        <is>
          <t>Alvarez &amp; Marsal</t>
        </is>
      </c>
      <c r="D26" t="inlineStr">
        <is>
          <t>linkedin</t>
        </is>
      </c>
      <c r="E26" t="inlineStr"/>
      <c r="F26" t="inlineStr"/>
      <c r="G26" t="inlineStr">
        <is>
          <t>Washington, DC</t>
        </is>
      </c>
      <c r="H26" t="inlineStr"/>
      <c r="I26"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27">
      <c r="A27" t="inlineStr">
        <is>
          <t>li-4352199320</t>
        </is>
      </c>
      <c r="B27" t="inlineStr">
        <is>
          <t>Sr Data Scientist</t>
        </is>
      </c>
      <c r="C27" t="inlineStr">
        <is>
          <t>PayPal</t>
        </is>
      </c>
      <c r="D27" t="inlineStr">
        <is>
          <t>linkedin</t>
        </is>
      </c>
      <c r="E27" t="inlineStr"/>
      <c r="F27" t="inlineStr"/>
      <c r="G27" t="inlineStr">
        <is>
          <t>Chicago, IL</t>
        </is>
      </c>
      <c r="H27" t="inlineStr"/>
      <c r="I2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Leverage advanced data science techniques to optimize approve/decline strategies, line assignment methodologies, pricing models, and data visualization tables for PayPal’s small business lending portfolio. Design, develop, and test/validate the efficacy of new data\-driven risk prevention and mitigation strategies for small business lending products, including approve/decline decision frameworks, credit line assignment algorithms, and risk\-based pricing models. Conduct deep\-dive analysis on portfolio performance, market trends, and risk indicators to inform strategic decision\-making. Partner with product, operations, and technology teams to ensure seamless strategy execution and alignment with business objectives. Deliver clear, impactful presentations to key stakeholders, including senior leadership, explaining complex analytical findings and strategic recommendations. Maintain detailed documentation of analytical methodologies and model performance for regulatory and audit purposes.
**Job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**Expected Qualifications:**
* 3\+ years relevant experience and a Bachelor’s degree OR Any equivalent combination of education and experience.
**Additional Responsibilities And Preferred Qualifications**
* 2\+ years SQL
* 2\+ years Python
* 2\+ years Microsoft Excel
* 2\+ years Microsoft PowerPoint
* 2\+ years Experience in risk strategies for either consumer or commercial lending products
* 2\+ years Experience developing and implementing risk management frameworks
* 2\+ years Experience with statistical modeling and data analysis in a financial services environment
* 2\+ years Credit risk principals and regulatory requirements
 The base pay for this role will depend on where you work and the relevant experience and expertise you bring. The expected range of pay for this role by location is:
**Primary Location : Pay Range:**
 Chicago, Illinois : ($130,500\.00 \- $193,600\.00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R0133589</t>
        </is>
      </c>
    </row>
    <row r="28">
      <c r="A28" t="inlineStr">
        <is>
          <t>li-4331988240</t>
        </is>
      </c>
      <c r="B28" t="inlineStr">
        <is>
          <t>Data Scientist, Generative &amp; Agentic AI Solutions: Senior Consultant</t>
        </is>
      </c>
      <c r="C28" t="inlineStr">
        <is>
          <t>Alvarez &amp; Marsal</t>
        </is>
      </c>
      <c r="D28" t="inlineStr">
        <is>
          <t>linkedin</t>
        </is>
      </c>
      <c r="E28" t="inlineStr"/>
      <c r="F28" t="inlineStr"/>
      <c r="G28" t="inlineStr">
        <is>
          <t>Houston, TX</t>
        </is>
      </c>
      <c r="H28" t="inlineStr"/>
      <c r="I28"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29">
      <c r="A29" t="inlineStr">
        <is>
          <t>li-4359901684</t>
        </is>
      </c>
      <c r="B29" t="inlineStr">
        <is>
          <t>Senior Data Scientist, Level 5</t>
        </is>
      </c>
      <c r="C29" t="inlineStr">
        <is>
          <t>Snap Inc.</t>
        </is>
      </c>
      <c r="D29" t="inlineStr">
        <is>
          <t>linkedin</t>
        </is>
      </c>
      <c r="E29" t="inlineStr"/>
      <c r="F29" t="inlineStr"/>
      <c r="G29" t="inlineStr">
        <is>
          <t>San Francisco, CA</t>
        </is>
      </c>
      <c r="H29" t="inlineStr"/>
      <c r="I2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Sr.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 Think creatively, proactively, and futuristically to identify and size up new opportunities within Snap's long term roadmap for data\-scientific contributions
* Conduct machine learning or statistical analyses, and build pragmatic, scalable, and statistically rigorous solutions to deliver actionable insights, accurate predictions, and effective optimizations
* Communicate best practices in quantitative analysis and develop cross\-functional partnerships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Experience collaborating with engineers, product managers, and other cross\-functional teams
* Ability to initiate and drive projects to completion with minimal guidance
* An understanding of Snapchat with great product sense and product understanding
* Ability to communicate complex quantitative analysis in a clear, precise, and actionable manner
 Minimum Qualifications:
* Bachelor's Degree in a relevant technical field such as statistics, mathematics, economics, computer science, engineering or related field or equivalent years of practical work experience
* 5\+ years of post\-Bachelor’s quantitative analysis and data science experience ; or a Master’s degree in a technical field \+ 4\+ years of post\-grad quantitative analysis and data science experience; or a PhD in a related technical field \+ 1\+ years of post\-grad quantitative analysis and data science experience
 Preferred Qualifications:
* 5\+ years of experience using SQL or similar big data querying languages
* 5\+ years of experience with programming language, such as Python or R
* 5\+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$190,000\-$284,000 annually.
 Zone B:
 The base salary range for this position is $181,000\-$270,000 annually.
 Zone C:
 The base salary range for this position is $162,000\-$241,000 annually.
 This position is eligible for equity in the form of RSUs.</t>
        </is>
      </c>
    </row>
    <row r="30">
      <c r="A30" t="inlineStr">
        <is>
          <t>li-4331598551</t>
        </is>
      </c>
      <c r="B30" t="inlineStr">
        <is>
          <t>Data Scientist, Generative &amp; Agentic AI Solutions: Senior Consultant</t>
        </is>
      </c>
      <c r="C30" t="inlineStr">
        <is>
          <t>Alvarez &amp; Marsal</t>
        </is>
      </c>
      <c r="D30" t="inlineStr">
        <is>
          <t>linkedin</t>
        </is>
      </c>
      <c r="E30" t="inlineStr"/>
      <c r="F30" t="inlineStr"/>
      <c r="G30" t="inlineStr">
        <is>
          <t>Dallas, TX</t>
        </is>
      </c>
      <c r="H30" t="inlineStr"/>
      <c r="I30"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31">
      <c r="A31" t="inlineStr">
        <is>
          <t>li-4345222001</t>
        </is>
      </c>
      <c r="B31" t="inlineStr">
        <is>
          <t>Staff Data Scientist, Money &amp; Lending</t>
        </is>
      </c>
      <c r="C31" t="inlineStr">
        <is>
          <t>Intuit</t>
        </is>
      </c>
      <c r="D31" t="inlineStr">
        <is>
          <t>linkedin</t>
        </is>
      </c>
      <c r="E31" t="inlineStr"/>
      <c r="F31" t="inlineStr"/>
      <c r="G31" t="inlineStr">
        <is>
          <t>Mountain View, CA</t>
        </is>
      </c>
      <c r="H31" t="inlineStr"/>
      <c r="I31" t="inlineStr">
        <is>
          <t>**Overview**
 Overview
 We are seeking a Staff Data Scientist to join our Money Data Science Team. This role is focused on growth across Intuit’s fast money and consumer lending products. This is a high\-impact role where your work will directly influence product, marketing, and business strategies.
 As a Staff Data Scientist, you will serve as a strategic thought partner to cross\-functional leaders, bringing deep analytical expertise and business acumen to bear on Intuit’s most critical growth questions. You’ll lead and contribute to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 Define KPIs and Success Metrics: Establish key business indicators for projects, ensuring alignment with company objectives and clear measures of success.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Predictive Analytics and Modeling: Develop predictive models and methodologies to uncover growth opportunities and support long\-term business planning.
* Communication: Translate complex technical findings into clear, actionable insights for senior leadership, including product, finance, and marketing executives.
* Leadership and Ownership: Demonstrate boundaryless leadership and extreme accountability \- proactively drives outcomes across teams and leads with influence, not authority.
* Team Development: Serve as the technical lead for cross\-team data science projects, ensuring best practices and mentoring junior data scientists
**Qualifications**
* Bachelor's degree in Statistics, Economics, Computer Science or a related quantitative field is required. Advanced degrees, particularly a Master's or PhD in economics or statistics, are highly desirable.
* At least 5 years of experience applying statistical / econometric and modeling skills in decision making.
* Demonstrated expertise in causal inference—including but not limited to advanced experimentation, synthetic controls, regression discontinuity, and instrumental variables—with a track record of rigorously solving problems with these methods.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****Responsibilities****
* Define KPIs and Success Metrics: Establish key business indicators for projects, ensuring alignment with company objectives and clear measures of success.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Predictive Analytics and Modeling: Develop predictive models and methodologies to uncover growth opportunities and support long\-term business planning.
* Communication: Translate complex technical findings into clear, actionable insights for senior leadership, including product, finance, and marketing executives.
* Leadership and Ownership: Demonstrate boundaryless leadership and extreme accountability \- proactively drives outcomes across teams and leads with influence, not authority.
* Team Development: Serve as the technical lead for cross\-team data science projects, ensuring best practices and mentoring junior data scientists
****Qualifications****
* Bachelor's degree in Statistics, Economics, Computer Science or a related quantitative field is required. Advanced degrees, particularly a Master's or PhD in economics or statistics, are highly desirable.
* At least 5 years of experience applying statistical / econometric and modeling skills in decision making.
* Demonstrated expertise in causal inference—including but not limited to advanced experimentation, synthetic controls, regression discontinuity, and instrumental variables—with a track record of rigorously solving problems with these methods.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32">
      <c r="A32" t="inlineStr">
        <is>
          <t>li-4359951476</t>
        </is>
      </c>
      <c r="B32" t="inlineStr">
        <is>
          <t>Senior Data Scientist, Level 5</t>
        </is>
      </c>
      <c r="C32" t="inlineStr">
        <is>
          <t>Snap Inc.</t>
        </is>
      </c>
      <c r="D32" t="inlineStr">
        <is>
          <t>linkedin</t>
        </is>
      </c>
      <c r="E32" t="inlineStr"/>
      <c r="F32" t="inlineStr"/>
      <c r="G32" t="inlineStr">
        <is>
          <t>Bellevue, WA</t>
        </is>
      </c>
      <c r="H32" t="inlineStr"/>
      <c r="I3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Sr.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 Think creatively, proactively, and futuristically to identify and size up new opportunities within Snap's long term roadmap for data\-scientific contributions
* Conduct machine learning or statistical analyses, and build pragmatic, scalable, and statistically rigorous solutions to deliver actionable insights, accurate predictions, and effective optimizations
* Communicate best practices in quantitative analysis and develop cross\-functional partnerships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Experience collaborating with engineers, product managers, and other cross\-functional teams
* Ability to initiate and drive projects to completion with minimal guidance
* An understanding of Snapchat with great product sense and product understanding
* Ability to communicate complex quantitative analysis in a clear, precise, and actionable manner
 Minimum Qualifications:
* Bachelor's Degree in a relevant technical field such as statistics, mathematics, economics, computer science, engineering or related field or equivalent years of practical work experience
* 5\+ years of post\-Bachelor’s quantitative analysis and data science experience ; or a Master’s degree in a technical field \+ 4\+ years of post\-grad quantitative analysis and data science experience; or a PhD in a related technical field \+ 1\+ years of post\-grad quantitative analysis and data science experience
 Preferred Qualifications:
* 5\+ years of experience using SQL or similar big data querying languages
* 5\+ years of experience with programming language, such as Python or R
* 5\+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$190,000\-$284,000 annually.
 Zone B:
 The base salary range for this position is $181,000\-$270,000 annually.
 Zone C:
 The base salary range for this position is $162,000\-$241,000 annually.
 This position is eligible for equity in the form of RSUs.</t>
        </is>
      </c>
    </row>
    <row r="33">
      <c r="A33" t="inlineStr">
        <is>
          <t>li-4345201890</t>
        </is>
      </c>
      <c r="B33" t="inlineStr">
        <is>
          <t>Staff Data Scientist</t>
        </is>
      </c>
      <c r="C33" t="inlineStr">
        <is>
          <t>Intuit</t>
        </is>
      </c>
      <c r="D33" t="inlineStr">
        <is>
          <t>linkedin</t>
        </is>
      </c>
      <c r="E33" t="inlineStr"/>
      <c r="F33" t="inlineStr"/>
      <c r="G33" t="inlineStr">
        <is>
          <t>Mountain View, CA</t>
        </is>
      </c>
      <c r="H33" t="inlineStr"/>
      <c r="I33" t="inlineStr">
        <is>
          <t>**Overview**
 Come join the Global Business Solutions Group (GBSG) Sales Data Science team as a Staff Data Scientist. This role will be pivotal in shaping how we understand, grow, and retain our customer base. You will leverage data\-driven insights to guide sales strategies, improve customer retention, optimize churn prevention, and enhance targeting efforts. The ideal candidate thrives at the intersection of data science and business strategy, collaborating closely with sales, marketing, and product teams to drive measurable impact on revenue growth and customer success. This is a high\-impact role where your work will directly influence sales, product, marketing, and business model strategies.
 As a Staff Data Scientist, you will operate as a senior individual contributor, partnering closely with peers and leaders to identify, validate, and refine innovative growth strategies. Your expertise—especially in sales analytics, causal inference and advanced analytics—will be instrumental in surfacing critical insights and translating them into actionable hypotheses that fuel sustained customer and revenue growth.
**Responsibilities**
* Drive Business Strategy through Data \- Translate business problems into analytical frameworks. Connect data across multiple functions to drive actionable recommendations and strategic growth opportunities for the Mid Market Sales Team
* Cross\-Functional Influence \- Serve as the strategic data science partner to leaders across Sales, Marketing, Product, and Finance to drive mid\-market account growth and expansion. Translate complex analytical findings into clear, compelling recommendations for executives and stakeholders.
* Insights at Scale \- Conduct deep\-dive analyses on pipeline, win/loss, and customer lifetime value to inform strategic decisions. Create dashboards, visualizations, and self\-serve tools to democratize access to insights across cross\-functional teams and leadership.
* Improve Customer Retention \- Own retention and churn analytics, including designing metrics, identifying risk signals, and recommending interventions
* Data Infrastructure \&amp; Governance \- Partner with data engineering and platform teams to ensure reliable, scalable data pipelines and tracking instrumentation are in place. Champion data hygiene and integrity.
**Qualifications**
* 7\+ years of experience in data science, with a proven record of applying advanced analytical methods to drive sales growth ideally in Saas or financial technology companies serving consumer or B2B segments
* Proven experience working with sales or go\-to\-market teams; deep understanding of customer retention, churn analysis, and sales optimization strategies
* Strong business acumen, excellent communication and storytelling skills with a track record of effectively simplifying the complex and delivering compelling narratives to stakeholders at all levels through data\-driven insights
* Advanced skills in SQL, Python, and other analytical tools, with practical experience using data visualization platforms (e.g., Tableau, Qlikview) to communicate insights; Experience with data integration and pipeline development is a plus
* Demonstrated proficiency in causal inference techniques, statistical modeling, machine learning, and experimental design
* Experience using statistics and machine learning techniques to solve complex business problems within product marketing, e.g., product funnel optimization, propensity for feature adoption, next best action models etc.
* S. or Ph.D. in a quantitative field (e.g., Statistics, Computer Science, Economics, Mathematics, Operations Research) or equivalent work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34">
      <c r="A34" t="inlineStr">
        <is>
          <t>li-4332572313</t>
        </is>
      </c>
      <c r="B34" t="inlineStr">
        <is>
          <t>AI &amp; GenAI Data Scientist - Manager</t>
        </is>
      </c>
      <c r="C34" t="inlineStr">
        <is>
          <t>PwC</t>
        </is>
      </c>
      <c r="D34" t="inlineStr">
        <is>
          <t>linkedin</t>
        </is>
      </c>
      <c r="E34" t="inlineStr"/>
      <c r="F34" t="inlineStr"/>
      <c r="G34" t="inlineStr">
        <is>
          <t>Tampa, FL</t>
        </is>
      </c>
      <c r="H34" t="inlineStr"/>
      <c r="I34"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5">
      <c r="A35" t="inlineStr">
        <is>
          <t>li-4376398035</t>
        </is>
      </c>
      <c r="B35" t="inlineStr">
        <is>
          <t>Data Scientist III</t>
        </is>
      </c>
      <c r="C35" t="inlineStr">
        <is>
          <t>North Star Staffing</t>
        </is>
      </c>
      <c r="D35" t="inlineStr">
        <is>
          <t>linkedin</t>
        </is>
      </c>
      <c r="E35" t="inlineStr"/>
      <c r="F35" t="inlineStr"/>
      <c r="G35" t="inlineStr">
        <is>
          <t>New York, United States</t>
        </is>
      </c>
      <c r="H35" t="inlineStr"/>
      <c r="I35" t="inlineStr">
        <is>
          <t>* **Role:** 
 Data Scientist III
* **Location:** 
 100% Remote (Global)
* **Compensation:** 
 USD 90–110 per hour
**About the Role** 
 We are seeking a
 **Senior Marketing Analyst (Data Scientist III)** 
 with deep expertise in
 **Salesforce Data Cloud and advanced SQL** 
 to join a high\-impact Marketing Analytics team supporting Business Messaging initiatives.
 This role will focus on building and scaling audience segmentation capabilities to power data\-driven marketing campaigns reaching millions of customers. The ideal candidate is highly technical, hands\-on with large\-scale datasets, and experienced in partnering cross\-functionally to develop scalable audience systems and reporting pipelines.
**Key Responsibilities** 
 Audience Segmentation \&amp; Strategy
* Build and maintain complex audience segments in Salesforce Data Cloud
* Develop Calculated Insights using advanced SQL
* Identify and define audience signals to drive targeted marketing campaigns
* Activate audience segments to marketing automation platforms
**Data Engineering Partnership** 
* Collaborate with Data Engineers to design and enhance data pipelines supporting marketing systems
* Ensure reliable data flow into reporting and segmentation environments
* Maintain and optimize large\-scale datasets (millions of records)
**Analytics \&amp; Reporting** 
* Develop automated reporting solutions and self\-service dashboards
* Monitor campaign performance and key marketing KPIs
* Size revenue opportunities through segmentation analysis
* Troubleshoot and resolve data discrepancies across systems
**Business Translation** 
* Translate marketing requirements into technical audience definitions
* Partner with campaign managers on complex audience builds
* Present insights clearly to both technical and non\-technical stakeholders
**Required Qualifications** 
* 7\+ years of experience in marketing analytics, data science, data engineering, or related field
* Expert\-level SQL skills (CTEs, window functions, query optimization, large dataset handling)
* Hands\-on experience with Salesforce Data Cloud or similar CDP platforms
* Experience building audience signals and segmentation frameworks
* Proven collaboration with Data Engineering teams on pipeline development
* Experience automating reports and building self\-service dashboards
* Proficiency in Tableau or similar visualization tools
* Advanced Excel / Google Sheets skills
* Basic Python knowledge for automation and APIs
* Strong communication and stakeholder management skills
**Preferred Qualifications** 
* Experience with Salesforce Marketing Cloud (SFMC)
* Familiarity with CRM data structures and account\-level models
* Background in B2B marketing analytics
* Experience supporting large\-scale marketing ecosystems
**Core Competencies** 
* Salesforce Data Cloud
* Customer Data Platforms (CDP)
* Advanced SQL \&amp; Data Modeling
* Audience Segmentation Strategy
* Marketing Analytics
* Data Pipelines \&amp; Automation
* Dashboard Development
* Campaign Performance Analysis
* Cross\-Functional Collaboration
**Equal Opportunity Statement** 
 We are an equal opportunity employer and consider all qualified applicants without regard to legally protected characteristics. Reasonable accommodations are available upon request.
**APPLY NOW!**</t>
        </is>
      </c>
    </row>
    <row r="36">
      <c r="A36" t="inlineStr">
        <is>
          <t>li-4345431742</t>
        </is>
      </c>
      <c r="B36" t="inlineStr">
        <is>
          <t>Senior Staff Data Scientist, Expert Experiences</t>
        </is>
      </c>
      <c r="C36" t="inlineStr">
        <is>
          <t>Intuit</t>
        </is>
      </c>
      <c r="D36" t="inlineStr">
        <is>
          <t>linkedin</t>
        </is>
      </c>
      <c r="E36" t="inlineStr"/>
      <c r="F36" t="inlineStr"/>
      <c r="G36" t="inlineStr">
        <is>
          <t>San Diego, CA</t>
        </is>
      </c>
      <c r="H36" t="inlineStr"/>
      <c r="I36" t="inlineStr">
        <is>
          <t>**Overview**
 The Intuit Customer Success (ICS) Data Science team is seeking an exceptional and deeply experienced Senior Staff Data Scientist to drive innovation and enhance customer experiences through Intuit's world\-class expert services.
 In this pivotal, high\-leverage Individual Contributor (IC) role, you will be responsible for defining and building the foundational intelligence system that maps the end\-to\-end expert journey. Your primary mandate will be to identify and quantify points of friction in the expert workflow, establish causal relationships to business outcomes (including Customer Serving Time), and develop reusable analytical frameworks that scale across business units. Collaborating closely with the Intuit Assist Expert Experiences team, your contributions will be instrumental in shaping the future of customer success at Intuit as we build a service platform to empower our customers beyond core product use.
 This role requires a technical leader who operates as a domain expert, influencing product direction across multiple teams, navigating highly complex problems, and introducing new methodologies to the Data Science community.
**Responsibilities**
* Strategic Vision \&amp; Framework Development
* Strategy to Problem: Demonstrate the ability to turn complex business strategy (e.g., Expert\-as\-Product, AI\-Native Experience) into well\-defined, measurable analytical problems and iteratively self\-generate and validate hypotheses to create actionable insights.
* X\-functional Influence: Combine deep insights, business acumen, and strategic considerations to influence cross\-functional VPs and Directors on key investment areas and critical priorities across multiple initiatives or business units.
* Metric System \&amp; Causal Structure: Lead the development and implementation of a tiered metric system that maps the causal relationships between high\-level business goals (e.g., efficiency, conversion) and low\-level product health metrics (e.g., latency, accuracy, and coverage), leveraging Causal AI methods (like Causal Graphs) to structure and connect input metrics to outcome metrics.
* Advanced Causal Measurement \&amp; Modeling
* Causal Measurement Strategy: Design and implement a durable strategy for measuring the causal impact of expert\-facing features, with a primary focus on Customer Serving Time (CST) reduction and ensuring GenAI efficiencies are fully achieved and accurately attributed. This includes executing complex Randomized Controlled Trials (RCTs) and utilizing advanced methods like hierarchical Bayesian modeling for robust inference.
* Model Development \&amp; Innovation: Lead the end\-to\-end development of advanced analytical models, including Behavioral Modeling on clickstream data, Anomaly Detection for friction identification, and Automated Opportunity Sizing models. Apply and drive the use of advanced Causal Inference methods, including Causal Discovery and Causal Graph modeling, to answer the most complex business questions regarding efficiency attribution and metric relationship fidelity.
* AI Strategy Co\-Creation \&amp; Guidance: Co\-create the Expert Experiences AI strategy in partnership with cross\-functional teams. Guide teams on the phased testing and roll\-out of AI\-native experiences, ensuring the right processes are in place for causal measurement.
* Mentorship \&amp; Stewardship
* Mentorship: Actively raise the team’s technical knowledge, skill, and engagement by mentoring junior employees, documenting and sharing standards, and participating in technical forums.
 Data Stewardship: Deeply understand the current state, gaps, and target state of the core expert data layers, providing technical guidance to bridge known data gaps and ensuring data architecture alignment with long\-term strategy.
**Qualifications**
 Qualifications
* Experience: 7\+ years in Data Science, applied Machine Learning, and/or advanced statistical modeling, with a focus on product or customer experience analytics.
* Education: Bachelor’s or Master's Degree in a quantitative field (e.g., Statistics, Computer Science, Engineering, Economics, Operations Research, etc.)
* Technical Expertise:
* Expert proficiency in SQL and Python/R for data analysis, modeling, and pipeline development.
* Deep, hands\-on experience translating a business problem into a predictive/prescriptive modeling problem and leading the end\-to\-end model development lifecycle.
* Advanced knowledge and applied experience with a wide range of Causal Inference methods (including Causal Graph/Causal AI techniques) and advanced statistical methods.
* Experience in AI/ML, Generative AI (GenAI), and LLM integration into analysis/data workflows, including prompt optimization and fine\-tuning.
* Strategic Impact: Proven track record of influencing Director and VP\-level cross\-functional partners, driving strategic decisions, and creating reusable analytical assets or frameworks that scale across business units.
* Communication: Outstanding communication and data storytelling skills, with the ability to articulate complex technical findings to non\-technical executive audiences.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37">
      <c r="A37" t="inlineStr">
        <is>
          <t>li-4321124475</t>
        </is>
      </c>
      <c r="B37" t="inlineStr">
        <is>
          <t>2026 University Graduate - Applied Scientist</t>
        </is>
      </c>
      <c r="C37" t="inlineStr">
        <is>
          <t>Adobe</t>
        </is>
      </c>
      <c r="D37" t="inlineStr">
        <is>
          <t>linkedin</t>
        </is>
      </c>
      <c r="E37" t="inlineStr"/>
      <c r="F37" t="inlineStr"/>
      <c r="G37" t="inlineStr">
        <is>
          <t>San Jose, CA</t>
        </is>
      </c>
      <c r="H37" t="inlineStr"/>
      <c r="I3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 The Opportunity
 Adobe is looking for an Applied Scientist with experience in Generative AI, specifically, expertise in preparing data, training, fine\-tuning and adapting large foundation models across all modalities: images, video, 3D, LLMs and cross\-modal setups. We welcome outstanding candidates in all related technical fields, such as Machine Learning, Deep Learning, Computer Vision, and Natural Language Processing. The related applications include image/video/3D generation, editing, and understanding, conditioned on controls stemming from large language models, or other innovative interactions tailored for creative workflows, and multimodal priors.
**What You’ll Do**
* Conduct pioneering research and development in Generative AI for visual (image/video/3D), audio, and multi\-modal outputs.
* Develop and deploy novel generative AI technologies to existing and new Adobe Products.
* Research and develop novel large\-scale foundation models with deep reasoning and world\-building capabilities.
* Collaborate with world\-class researchers and ML engineers to bring research ideas to creative workflows used by millions.
* Publish and present your work in world\-class scientific venues in CV/AI/ML/CG fields
* What You Need to Succeed
* PhD or MS degree in CV/AI/ML/CG or related fields 0\-2\+ years of experience in specific skill/field(s),
* Research or industry experience in training Generative AI models (pre\-training and/or post\-training) in at least one of the following modalities: image, video, 3D, or audio.
* Expertise in large\-scale model training and optimization, including data curation, distributed training, and memory\-efficient techniques.
* Experience with post\-training techniques such as fine\-tuning, alignment or distillation.
* Proficiency with modern deep learning frameworks (e.g., PyTorch) and experience scaling models on GPU/TPU clusters.
* Excellent communication skills and a strong great teammate
*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$120,700 \-\- $228,600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$161,700 \- $234,150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8">
      <c r="A38" t="inlineStr">
        <is>
          <t>li-4359693944</t>
        </is>
      </c>
      <c r="B38" t="inlineStr">
        <is>
          <t>Chief Data Scientist</t>
        </is>
      </c>
      <c r="C38" t="inlineStr">
        <is>
          <t>SAIC</t>
        </is>
      </c>
      <c r="D38" t="inlineStr">
        <is>
          <t>linkedin</t>
        </is>
      </c>
      <c r="E38" t="inlineStr"/>
      <c r="F38" t="inlineStr"/>
      <c r="G38" t="inlineStr">
        <is>
          <t>Rock Island, IL</t>
        </is>
      </c>
      <c r="H38" t="inlineStr"/>
      <c r="I38" t="inlineStr">
        <is>
          <t>Job ID 2600204
**Location** 
 ROCK ISLAND, IL, US
**Date Posted** 
 2026\-01\-08
**Category** 
 Information Technology
**Subcategory** 
 Data Scientist
**Schedule** 
 Full\-time
**Shift** 
 Day Job
**Travel** 
 No
**Minimum Clearance Required None**
**Clearance Level Must Be Able to Obtain** 
 Secret
**Potential for Remote Work** 
 No
**Description**
 SAIC is seeking a
 **Chief** 
**Data Scientist** 
 located at
 **Rock Island Arsenal, IL** 
 to help lead our
 **Operational Data Team** 
 utilizing the Army Vantage Data Analytics System to build/implement models, use/create algorithms, and create/run simulations. The Chief Data Scientist will provide strategic leadership and technical direction for data science initiatives supporting the Operational Data Team and Army Vantage Data Analytics System. This role involves spearheading the design, development, and deployment of advanced data science solutions, mentoring cross\-functional teams, and driving innovation to solve complex, mission\-critical challenges.
**The Chief** 
**Data Scientist would be responsible for but not limited to the following**
* Set the vision, roadmap, and goals for the data science team while aligning initiatives with mission needs and organizational objectives.
* Serve as the subject matter expert on advanced analytics, machine learning, and artificial intelligence methodologies to guide decision\-making and ensure program success.
* Identify cutting\-edge advancements in data science, analytics, and MLOps technologies; lead the integration of these innovations into Army Vantage operations.
* Lead, mentor, and build a high\-performing team of data scientists, providing technical guidance and fostering professional growth.
* Collaborate with key stakeholders, including government clients and leadership, to define requirements, communicate progress, and deliver impactful solutions.
* Oversee multiple projects, ensuring deliverables meet technical, fiscal, and schedule constraints while adhering to quality standards.
* Advocate for responsible practices in the use of data analytics, including adherence to standards for security, privacy, and ethical AI usage.
* Oversee the creation, evaluation, and deployment of complex models and algorithms to address mission challenges, such as predictive modeling, simulations, and optimization problems.
* Build and maintain scalable, production\-grade data science platforms, emphasizing MLOps frameworks, reproducibility, and collaboration across teams.
* Stay abreast of advancements in data science technologies and forecast their impact on the organization’s strategic objectives.
**Qualifications**
**Required Education**
* Bachelor's degree and eighteen (18\) years’ experience; additional four (4\) years’ experience can be considered in lieu of degree.
**Required Clearance**
* Must be able to obtain and maintain an active Secret security clearance; US Citizenship required.
**Required Skills**
* Extensive experience designing, developing, and deploying complex models, algorithms, and analytics solutions within federal or defense environments.
* Proven expertise in data analysis pipelines and supporting MLOps frameworks for machine learning deployment in production environments.
* Demonstrated track record of leading advanced analytics teams in technically demanding and highly collaborative environments.
* Expertise in coding languages such as Python, R, SQL, or similar, and machine learning/AI toolkits like TensorFlow, PyTorch, or scikit\-learn.
* Strong interpersonal skills to communicate technical details to non\-technical stakeholders and build relationships with government partners.
* Experience working within or alongside government agencies, preferably the Dept. of Defense or Army.
**Desired Skills**
* A robust understanding of military operations, data workflows, and relevant systems like Army Vantage.
* Proficiency in cloud\-based solutions, containerization, and deployment tools such as Kubernetes or Docker.
* Familiarity with certifications and concepts like DoD Data Strategies, AI/ML Principles, or ethical AI frameworks.
 Target salary range $160,001 \- $200,000\. The estimate displayed represents the typical salary range for this position based on experience and other factors.</t>
        </is>
      </c>
    </row>
    <row r="39">
      <c r="A39" t="inlineStr">
        <is>
          <t>li-4332542375</t>
        </is>
      </c>
      <c r="B39" t="inlineStr">
        <is>
          <t>AI &amp; GenAI Data Scientist - Manager</t>
        </is>
      </c>
      <c r="C39" t="inlineStr">
        <is>
          <t>PwC</t>
        </is>
      </c>
      <c r="D39" t="inlineStr">
        <is>
          <t>linkedin</t>
        </is>
      </c>
      <c r="E39" t="inlineStr"/>
      <c r="F39" t="inlineStr"/>
      <c r="G39" t="inlineStr">
        <is>
          <t>Houston, TX</t>
        </is>
      </c>
      <c r="H39" t="inlineStr"/>
      <c r="I39"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0">
      <c r="A40" t="inlineStr">
        <is>
          <t>li-4328198007</t>
        </is>
      </c>
      <c r="B40" t="inlineStr">
        <is>
          <t>Principal Applied Scientist</t>
        </is>
      </c>
      <c r="C40" t="inlineStr">
        <is>
          <t>Microsoft</t>
        </is>
      </c>
      <c r="D40" t="inlineStr">
        <is>
          <t>linkedin</t>
        </is>
      </c>
      <c r="E40" t="inlineStr"/>
      <c r="F40" t="inlineStr"/>
      <c r="G40" t="inlineStr">
        <is>
          <t>Redmond, WA</t>
        </is>
      </c>
      <c r="H40" t="inlineStr"/>
      <c r="I40" t="inlineStr">
        <is>
          <t>**Overview**
 The MSAI Search Relevance team is at the forefront of delivering world\-class search quality across Microsoft's ecosystem. We are the driving force behind the relevance of results in Copilot Search experiences and serve as the core retrieval layer in the RAG architecture powering Bizchat (CoPilot Chat). Our impact also extends to maintaining high search quality across traditional endpoints like Outlook, Teams, and SharePoint Search. Our team thrives at the intersection of innovation and applied machine learning.
 We are looking for a
 **Principal Applied Scientist** 
 to help us deliver breakthrough applied machine learning and information retrieval solutions at enterprise scale. This role is a unique opportunity to apply state\-of\-the\-art techniques\-including dense retrieval, hybrid search, multilingual large language models (LLMs), RAG (Retrieval\-Augmented Generation), and transformer\-based re\-ranking models and agentic search\-to solve complex challenges in Copilot\-driven enterprise search.
 As a Principal Applied Scientist, you'll be responsible for delivering mission\-critical innovations that directly improve Copilot experiences such as:
* Agentic Search in modern orchestrator architectures
* Adapting advanced vector search algorithms (e.g., FAISS, ANN, ScaNN) for enterprise\-scale semantic retrieval
* Improving classic and neural keyword search quality through deep language understanding
* Designing and training relevance models, including LLM fine\-tuning and learning\-to\-rank (LTR) approaches
* Building robust evaluation pipelines using offline metrics and online A/B experimentation
* Driving cross\-org collaboration with platform partners, other applied science teams, and product teams across time zones
 This role requires a mix of technical depth, strategic execution, and people management to shape the next generation of AI\-powered search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end\-to\-end applied science projects: From ideation and design to implementation, experimentation, and shipping, you will lead high\-impact projects that directly improve Copilot Chat, Copilot Search, and BizChat experiences. This includes identifying search and relevance gaps, formulating innovative hypotheses, and delivering scalable solutions.
* Inspire help to grow a high\-performing applied science team: mentor, and empower a team of applied scientists\-owning their technical direction, project execution, and career development. You will guide day\-to\-day work, ensure scientific and engineering rigor, and be accountable for the team's output and impact.
* Innovate with scientific rigor: Invent and apply cutting\-edge techniques in machine learning, natural language processing, and information retrieval to address real\-world challenges at enterprise scale. You will design novel approaches for improving retrieval, ranking, query understanding, and semantic search in Copilot systems.
* Document, share, and amplify learnings: Promote a culture of transparency and innovation by capturing experimental results, documenting methodology, and publishing internal learnings. You'll drive knowledge sharing that enables broader impact across the organization.
* Translate business goals into scientific strategy: Partner closely with product and business stakeholders to align team efforts with high\-priority objectives. You will translate ambiguous product requirements into clear, data\-driven, and technically feasible directions.
* Collaborate across organizations and time zones: Work cross\-functionally with platform engineering teams, peer science orgs, and product managers to ensure alignment, resolve dependencies, and unblock progress. You'll be a key bridge between applied science innovation and product delivery.
* Embody our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4\+ years experience in applied science projects from ideation to production\-in high\-scale environments such as search, recommendation, or conversational AI.
* 4\+ years experience in data analysis at scale, including working with logs, telemetry, and large datasets to uncover behavioral patterns, build evaluation datasets, and derive insights.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search and ranking systems, semantic retrieval, and information retrieval at scale.
* Applied experience with state\-of\-the\-art sparse and dense retrieval and ranking techniques.
* Experience with RAG (Retrieval\-Augmented Generation) architectures using LLMs such as OpenAI GPT, T5, or Llama.
* Experience with Fine\-tuning or prompt engineering of large\-scale language models for query rewriting, summarization, and document reranking.
* Familiarity with hybrid search strategies, learning\-to\-rank (LTR) frameworks, and evaluation methodologies for IR systems (offline metrics, A/B testing, relevance judgments).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1">
      <c r="A41" t="inlineStr">
        <is>
          <t>li-4360673239</t>
        </is>
      </c>
      <c r="B41" t="inlineStr">
        <is>
          <t>Data Scientist - Growth Analytics (Performance Marketing)</t>
        </is>
      </c>
      <c r="C41" t="inlineStr">
        <is>
          <t>Spotify</t>
        </is>
      </c>
      <c r="D41" t="inlineStr">
        <is>
          <t>linkedin</t>
        </is>
      </c>
      <c r="E41">
        <f>HYPERLINK("https://www.linkedin.com/jobs/view/4360673239", "https://www.linkedin.com/jobs/view/4360673239")</f>
        <v/>
      </c>
      <c r="F41" t="inlineStr"/>
      <c r="G41" t="inlineStr">
        <is>
          <t>New York, NY</t>
        </is>
      </c>
      <c r="H41" t="inlineStr"/>
      <c r="I41" t="inlineStr">
        <is>
          <t>We are looking for a Data Scientist to join the Business Analytics team at Spotify. In this role, you’ll shape Spotify’s performance marketing and growth strategy by developing models, designing experiments and measuring the impact of marketing investments. Partnering with the Growth Analytics Lead, you’ll turn data into strategies that guide budget allocation, optimize spend and accelerate efficient growth across paid media channels. You’ll collaborate with a global, cross\-functional team of analysts, data scientists, marketers, business leaders, and engineers to scale insights and drive efficient growth. Learning and improving is part of our daily routine, and you will get a platform to develop your data skills and carve out efficient ways of working.
 The Business Analytics team is part of Spotify’s core business strategy organization. You’ll play a crucial role in the growth and direction of Spotify as we grow to 700M\+ users around the globe. At your fingertips, you’ll have access to all of the data Spotify has to offer, and the opportunity to be creative with how you use it to derive insights and strategies. Above all, your work will impact the way the world experiences audio!
 What You'll Do
* Develop data\-driven strategies to drive the growth of Spotify users and subscribers, with a focus on performance marketing
* Refine attribution practices and define robust, data\-backed methods to measure the incremental impact of marketing spend
* Partner with third\-party advertising platforms and agencies to design and implement comprehensive experiments and lift studies
* Contribute to annual and quarterly planning through impact forecasting, budget allocation and scenario modelling
* Build scalable data pipelines and dashboards to track marketing efficiency and Global business performance
* Collaborate closely with business partners to understand growth drivers and guide strategic marketing decisions
* Present insights and recommendations to senior stakeholders, influencing the course of our business
 Who You Are
* 3\+ years synthesizing insights from data using tools such as Python/R and SQL
* Hands\-on experience supporting marketing organizations with their paid media strategy, including running and analyzing incrementality tests on platforms like Meta, Google and TikTok
* Proven experience building advanced models to understand and optimise paid media campaigns
* Skilled at collaborating with business partners to measure the impact of marketing initiatives and presenting those findings in coherent recommendations
* Intellectually curious, creative, and diligent \- you enjoy thinking about the business as much as about the data
* Have a background in Computer Science, Statistics, Engineering or other relevant field
* Comfortable working on a globally distributed team (with occasional international travel)
 Where You'll Be
* This role is based in New York
* We offer you the flexibility to work where you work best! There will be some in person meetings, but still allows for flexibility to work from home.
 The United States base range for this position is $110,018 \- $157,169, plus equity. The benefits available for this position include health insurance, six month paid parental leave, 401(k) retirement plan, monthly meal allowance, 23 paid days off,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42">
      <c r="A42" t="inlineStr">
        <is>
          <t>li-4374989943</t>
        </is>
      </c>
      <c r="B42" t="inlineStr">
        <is>
          <t>Data Scientist Associate - Payments Data &amp; Analytics</t>
        </is>
      </c>
      <c r="C42" t="inlineStr">
        <is>
          <t>hackajob</t>
        </is>
      </c>
      <c r="D42" t="inlineStr">
        <is>
          <t>linkedin</t>
        </is>
      </c>
      <c r="E42">
        <f>HYPERLINK("https://www.linkedin.com/jobs/view/4374989943", "https://www.linkedin.com/jobs/view/4374989943")</f>
        <v/>
      </c>
      <c r="F42">
        <f>HYPERLINK("https://www.hackajob.com/job/380bb75b-ec92-11f0-9e38-0a05e249917d-data-scientist-associate-payments-data-analytics?utm_source=LinkedIn&amp;utm_medium=JobAds&amp;utm_term=Automated&amp;utm_campaign=jp-morgan-data-scientist-associate-payments-data-analytics&amp;job_name=data-scientist-associate-payments-data-analytics&amp;company=jp-morgan&amp;workplace_type=on-site&amp;city=new-york&amp;country=united-states&amp;urlHash=uQ7o", "https://www.hackajob.com/job/380bb75b-ec92-11f0-9e38-0a05e249917d-data-scientist-associate-payments-data-analytics?utm_source=LinkedIn&amp;utm_medium=JobAds&amp;utm_term=Automated&amp;utm_campaign=jp-morgan-data-scientist-associate-payments-data-analytics&amp;job_name=data-scientist-associate-payments-data-analytics&amp;company=jp-morgan&amp;workplace_type=on-site&amp;city=new-york&amp;country=united-states&amp;urlHash=uQ7o")</f>
        <v/>
      </c>
      <c r="G42" t="inlineStr">
        <is>
          <t>New York, NY</t>
        </is>
      </c>
      <c r="H42" t="inlineStr"/>
      <c r="I42" t="inlineStr">
        <is>
          <t>***hackajob** 
 is collaborating with
 **J.P. Morgan** 
 to connect them with exceptional tech professionals for this role.*
**Job Description**
 Join the JPM Payments Data \&amp; Analytics' Treasure Service team at JPMorgan Chase, where we leverage data science, research, and business acumen to promote client\-focused innovation. Apply your technical skills to projects involving payments analytics and cutting\-edge Gen\-AI applications, creating impactful solutions for Chase Treasury Services clients.
 As a Data Scientist Associate in our Treasury Services team, you will work on projects that integrate agentic workflows, business intelligence, data engineering, and data visualization to grow our payments business. You will play a pivotal role in developing our generative AI use cases and approach.
 Your work will involve leveraging your technical skills and business acumen to collaboratively design and implement end\-to\-end solutions with tangible commercial impact for our clients and customers. Our team supports both internal and external payments intelligence applications, as well as custom client analytics requests on an ad hoc basis.
 Utilizing tools such as Databricks, Python, Tableau and Sigma, you will develop data pipelines and dashboards, prototype new generative AI capabilities and features, and ensure the quality and integrity of our intelligent solutions. Your contributions will help streamline operations, enhance decision\-making, and foster growth through innovative AI applications.
**Job Responsibilities**
* Learn our business and how JPMorgan delivers value for our clients globally
* Leverage your technical skillset and curiosity to identify opportunities to help grow our TS business
* Build and rigorously test new data and AI driven insights
* Develop scalable frameworks for seamless AI model integration across business applications. Ensure solutions can adapt and expand as needed.
* Build and test AI agents. Iterate designs to enhance functionality and user experience. Conduct rigorous testing for reliability and effectiveness.
* Use tools like Databricks, Python, Tableau and Sigma to create data pipelines and dashboards. Support AI\-driven insights and decision\-making.
* Monitor AI model performance. Identify areas for enhancement. Implement updates to maintain quality and relevance.
* Work on agile teams to support data\-driven decision\-making and client relationship management.
**Required Qualifications, Capabilities, And Skills**
* Bachelor's degree in Science, Technology, Engineering, Mathematics (STEM) or related field.
* Proficiency in Python and SQL for data processing and analysis.
* Strong problem\-solving and critical thinking skills.
* Experience in leveraging Large Language Models (LLMs) and agentic AI techniques.
* Ability to automate repeatable tasks to enhance business process efficiency.
**Preferred Qualifications, Capabilities, And Skills**
* Experience in data analysis, data science, or related fields.
* Familiarity with AWS, Databricks for data management and analysis.
* Understanding of quality assurance practices and the importance of data integrity.
* Knowledge of machine learning/data science theory, techniques, and tools.
* Awareness of big data technologies (e.g., Spark) and distributed computing concepts like MapReduce.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3">
      <c r="A43" t="inlineStr">
        <is>
          <t>li-4376359913</t>
        </is>
      </c>
      <c r="B43" t="inlineStr">
        <is>
          <t>Data Scientist, Product</t>
        </is>
      </c>
      <c r="C43" t="inlineStr">
        <is>
          <t>Wiraa</t>
        </is>
      </c>
      <c r="D43" t="inlineStr">
        <is>
          <t>linkedin</t>
        </is>
      </c>
      <c r="E43">
        <f>HYPERLINK("https://www.linkedin.com/jobs/view/4376359913", "https://www.linkedin.com/jobs/view/4376359913")</f>
        <v/>
      </c>
      <c r="F43">
        <f>HYPERLINK("https://www.wiraa.com/job-description/us868048C9D7C25D8CE67D720440929D1F?source=Linkedin&amp;urlHash=FNiI", "https://www.wiraa.com/job-description/us868048C9D7C25D8CE67D720440929D1F?source=Linkedin&amp;urlHash=FNiI")</f>
        <v/>
      </c>
      <c r="G43" t="inlineStr"/>
      <c r="H43" t="inlineStr"/>
      <c r="I43" t="inlineStr">
        <is>
          <t>**About The Company**
 Owner.com is an innovative AI\-driven growth platform dedicated to empowering local restaurants and small businesses to thrive in the digital landscape. Our core mission is to enhance online visibility, optimize marketing efforts, and streamline online ordering processes through continuously evolving artificial intelligence solutions. Unlike traditional software providers that require small business owners to master complex tools, Owner offers a proven, user\-friendly system managed by a team of experts, effectively acting as an extension of their operational team. Our platform is designed to function as an army of engineers and marketers working on behalf of our clients, enabling them to compete with large chains and improve their online performance.
 Founded with a vision to help independent restaurants succeed online, Owner.com recognizes the broader challenges faced by local businesses in the digital age. As technology giants dominate the market, smaller businesses struggle to retain their customer base and maintain profitability. Our goal is to develop scalable solutions that address these issues, initially focusing on the restaurant industry and subsequently expanding into other local business sectors. Since our inception in 2020, we have generated tens of millions in revenue, processed over half a billion dollars in online orders, and helped more than 20,000 restaurant owners save nearly $200 million in fees. Our team comprises top talent from leading SMB software companies such as Shopify, HubSpot, DoorDash, and Stripe, working remotely across the globe from our headquarters in San Francisco and sales hub in Toronto.
**About The Role**
 We are seeking a highly skilled Risk \&amp; Payments Data Scientist to join our dynamic product analytics team. This role is pivotal in shaping the product roadmap by collaborating closely with Product Managers to establish key metrics and impact assessments. You will lead experimentation initiatives, manage testing frameworks, and develop KPIs for our payments product squad. Your insights will identify gaps and opportunities within our risk and payments systems, driving strategic decisions that promote growth while safeguarding merchant and company interests.
 As we transition from Stripe Standard to Custom Connect / Adyen for Platforms, ownership of risk management processes such as merchant onboarding, fraud detection, dispute mitigation, reserves, and payout risk will increase. Your expertise will be essential in building models, signals, and decision\-making tools that protect our merchants and P\&amp;L, all while maintaining high conversion rates and low friction during transactions. This role offers the chance to influence product development, optimize risk controls, and enable scalable growth for thousands of restaurants and local businesses.
 The ideal candidate will be based in the San Francisco Bay Area, given the company's remote\-first culture with periodic in\-person collaboration. You will work with cross\-functional teams including Engineering, Product, and Operations to implement data\-driven solutions that improve payment success rates, reduce fraud, and enhance overall financial health of our platform. Your work will directly impact the efficiency of our risk management processes and contribute to the company's strategic objectives in the rapidly evolving fintech and SMB SaaS landscape.
**Qualifications**
* 4–8\+ years of experience in applied machine learning or risk data science, preferably within fintech, payments, marketplace, or anti\-fraud domains.
* Proficiency in Python, SQL, and relevant ML libraries/frameworks; experience with MLflow or similar tools, and feature stores.
* Demonstrated success in deploying production models that significantly reduce losses or enhance conversion rates.
* Deep understanding of payments and risk concepts such as KYC/KYB, underwriting, authorization vs capture, chargebacks, friendly fraud, card testing, reserves, payout returns, and decline management.
* Expertise in feature engineering on complex, imbalanced datasets and rigorous evaluation methods including ROC, PR curves, and cost\-sensitive analysis.
* Strong ability to communicate model insights clearly and translate them into business decisions and dollarized tradeoffs.
* Experience in designing metrics, experimentation, and product funnel analysis to inform product development.
* Ability to handle ambiguity, analyze financial systems deeply, and proactively identify potential issues.
* Proven track record of developing KPIs and metrics tailored for product teams in startup environments.
* Experience building end\-to\-end data products and working with data modeling tools such as DBT and Snowflake.
* Prior experience in SaaS or startup settings is highly preferred; familiarity with the restaurant industry is a plus.
**Responsibilities**
* Develop and deploy machine learning models to reduce fraud, chargebacks, and credit losses while maintaining high checkout and onboarding conversion rates.
* Create risk scores and dynamic controls such as reserves and payout delays to support safe scaling to thousands of merchants.
* Build signals, alerts, and automation tools for Payments Operations and Risk Ops teams to streamline review processes and reduce manual workload.
* Define and monitor risk\-related KPIs, SLIs, and SLOs; develop dashboards that make risk tradeoffs transparent and actionable.
* Design and maintain scalable frameworks for feature generation, model training, deployment, and monitoring to facilitate rapid model iteration.
* Own analytics related to payments, billing, and risk features, from checkout experience to internal financial reporting.
* Monitor key performance metrics such as payment success rate, fraud incidence, chargeback volume, and revenue leakage; implement automated alerts for anomalies.
* Identify revenue and risk opportunities across the payments funnel, from checkout to invoice collection.
* Partner with Product Managers on A/B testing and experiments to improve payment UX, fraud detection, and risk workflows.
* Collaborate with Engineering teams to instrument new features, ensure data integrity, and establish a reliable single source of truth in data systems.
* Work closely with cross\-functional teams to translate data insights
**Equal opportunity**
 We are proud to be an Equal Employment Opportunity employer. We are committed to equal employment opportunity regardless of race, color, ancestry, religion, sex, national origin, sexual orientation, age, citizenship, marital status, disability, gender identity, veteran status, or any other basis protected by federal, state, or local law.</t>
        </is>
      </c>
    </row>
    <row r="44">
      <c r="A44" t="inlineStr">
        <is>
          <t>li-4376374324</t>
        </is>
      </c>
      <c r="B44" t="inlineStr">
        <is>
          <t>Data Scientist</t>
        </is>
      </c>
      <c r="C44" t="inlineStr">
        <is>
          <t>Wiraa</t>
        </is>
      </c>
      <c r="D44" t="inlineStr">
        <is>
          <t>linkedin</t>
        </is>
      </c>
      <c r="E44">
        <f>HYPERLINK("https://www.linkedin.com/jobs/view/4376374324", "https://www.linkedin.com/jobs/view/4376374324")</f>
        <v/>
      </c>
      <c r="F44" t="inlineStr"/>
      <c r="G44" t="inlineStr"/>
      <c r="H44" t="inlineStr"/>
      <c r="I44" t="inlineStr">
        <is>
          <t>**About The Company**
 Zenlaw is at the forefront of transforming how long documents such as contracts are managed and understood in the digital age. Since its inception in 2021, the company has been leveraging cutting\-edge artificial intelligence technologies to make complex documents more accessible and manageable across various industries including Real Estate, Finance, and Insurance. Zenlaw’s mission is to bring clarity and efficiency to document processing by abstracting key information and detailing content, enabling users to manipulate and analyze documents with ease. The organization prides itself on fostering a diverse and creative team dedicated to innovation and excellence in AI\-driven solutions. As a rapidly growing startup, Zenlaw seeks passionate professionals who are committed to shaping the future of document intelligence and AI applications.
**About The Role**
 We are seeking a highly motivated Data Scientist to join our dynamic team at Zenlaw. In this role, you will collaborate closely with our engineering and legal teams to develop and refine AI models that interpret and categorize complex legal and contractual documents. Your primary responsibility will be to model intricate data problems, identify high\-impact opportunities, and contribute to the development of our NLP frameworks. You will have the opportunity to research new techniques, design experiments, and implement innovative solutions that improve our AI models’ accuracy and efficiency. This position offers a unique chance to work in a fast\-paced environment where your analytical skills and creativity will directly influence the evolution of our products. You will also be responsible for analyzing datasets, designing annotation rules, and enhancing data architecture in partnership with cross\-functional teams. Autonomy and ownership are key aspects of this role, allowing you to explore creative approaches and deliver impactful solutions that support our mission of modernizing document analysis through AI.
**Qualifications**
* Bachelor’s degree in Statistics, Mathematics, Computer Science, or a related field; a graduate degree in Data Science, Statistics, Applied Mathematics, or similar is preferred
* Minimum of 2\+ years of industry experience as a data analyst, data scientist, or equivalent role
* Proven experience in training and deploying NLP deep learning models
* Strong proficiency in Python, SQL, and data analysis/visualization tools
* Excellent communication skills in English, both written and oral
* Experience with reporting systems and data pipeline architecture
* Ability to break down complex problems into understandable solutions
* Demonstrated problem\-solving skills and a proactive approach to project ownership
* Online portfolio or samples showcasing analytical and data visualization capabilities is a plus
 Nice to have qualifications include experience with Golang, Git, SpaCy, Transformers, PyTorch, ontologies, knowledge graphs, and MLOps. A Master’s degree in a relevant quantitative field is also advantageous.
**Responsibilities**
* Research and evaluate new techniques and frameworks for NLP tasks to enhance our AI models
* Design and execute experiments focused on data abstraction and sentence/paragraph categorization
* Collaborate with legal teams to review initial model results and develop pre\- and post\-processing scripts to optimize accuracy
* Conduct data analysis to identify rules and patterns for annotation and model training
* Improve the architecture of data models and tooling in partnership with engineering and business teams
* Take ownership of projects, from conception through deployment, ensuring timely and high\-quality delivery
* Innovate solutions by exploring creative approaches to complex data problems
* Contribute to the continuous improvement of our NLP models and data pipelines
**Benefits**
* Ownership and entrepreneurial responsibility in a flat\-hierarchy environment
* Remote work opportunity, allowing flexibility and work\-life balance
* Collaborative and inclusive workplace culture with a diverse team
* Participation in team events and company initiatives
* Opportunities for professional growth and development in AI and data science
 Equal Opportunity
 Zenlaw is an equal opportunity employer. We celebrate diversity and are committed to creating an inclusive environment for all employees. We do not discriminate based on race, ethnicity, gender, sexual orientation, religion, age, disability, or any other protected characteristic. We believe that a diverse team fosters innovation and drives our mission forward, and we welcome applicants from all backgrounds to join us in shaping the future of document intelligence.</t>
        </is>
      </c>
    </row>
    <row r="45">
      <c r="A45" t="inlineStr">
        <is>
          <t>li-4376502259</t>
        </is>
      </c>
      <c r="B45" t="inlineStr">
        <is>
          <t>Senior Data Scientist | $185k+</t>
        </is>
      </c>
      <c r="C45" t="inlineStr">
        <is>
          <t>Feldspar &amp; Flint LLC</t>
        </is>
      </c>
      <c r="D45" t="inlineStr">
        <is>
          <t>linkedin</t>
        </is>
      </c>
      <c r="E45">
        <f>HYPERLINK("https://www.linkedin.com/jobs/view/4376502259", "https://www.linkedin.com/jobs/view/4376502259")</f>
        <v/>
      </c>
      <c r="F45" t="inlineStr"/>
      <c r="G45" t="inlineStr"/>
      <c r="H45" t="inlineStr"/>
      <c r="I45" t="inlineStr">
        <is>
          <t>Feldspar \&amp; Flint LLC is a Recruiting \&amp; Staffing firm that specializes in operational strategy across core business functions.
 We are seeking a Senior Data Scientist to lead the design and deployment of advanced AI and machine learning solutions that drive operational efficiency and elevate customer\-facing experiences. This role will focus on service and operations functions, applying both Generative AI and traditional ML techniques to automate workflows, generate actionable insights, and support strategic decision\-making.
 You will partner cross\-functionally with engineering, product, and business stakeholders to deliver scalable, production\-grade models aligned with enterprise standards for reliability, security, and governance.
**Key Responsibilities** 
* Lead end\-to\-end model development, including data exploration, feature engineering, model training, validation, deployment, and monitoring.
* Design and implement AI\-driven automation solutions with appropriate guardrails, human\-in\-the\-loop controls, and risk mitigation strategies.
* Develop and optimize LLM and Retrieval\-Augmented Generation (RAG) architectures, including embeddings, vector databases, prompt orchestration, and evaluation frameworks.
* Deploy models using cloud\-native tools (AWS SageMaker, Bedrock) and modern data platforms (Snowflake, Databricks).
* Collaborate with ML engineers to scale solutions into stable, high\-performance production environments.
* Build APIs, dashboards, and lightweight prototypes to ensure model accessibility and adoption by business users.
* Maintain strong adherence to model governance, documentation standards, and CI/CD practices in partnership with MLOps teams.
* Communicate technical findings clearly to executive and non\-technical stakeholders.
**Qualifications** 
* Advanced degree in Computer Science, Statistics, Engineering, Mathematics, or related quantitative discipline.
* 8\+ years of experience applying data science and machine learning in enterprise environments.
* Strong programming proficiency in Python and SQL; familiarity with software engineering best practices and version control.
* Hands\-on experience with AWS cloud services and large\-scale data ecosystems.
* Deep understanding of supervised/unsupervised learning, feature engineering, cross\-validation, and model optimization techniques.
* Experience implementing LLM\-based systems and responsible AI design principles.
* Ability to translate complex analytics into measurable business impact.</t>
        </is>
      </c>
    </row>
    <row r="46">
      <c r="A46" t="inlineStr">
        <is>
          <t>li-4376380017</t>
        </is>
      </c>
      <c r="B46" t="inlineStr">
        <is>
          <t>Data Scientist II</t>
        </is>
      </c>
      <c r="C46" t="inlineStr">
        <is>
          <t>Wiraa</t>
        </is>
      </c>
      <c r="D46" t="inlineStr">
        <is>
          <t>linkedin</t>
        </is>
      </c>
      <c r="E46">
        <f>HYPERLINK("https://www.linkedin.com/jobs/view/4376380017", "https://www.linkedin.com/jobs/view/4376380017")</f>
        <v/>
      </c>
      <c r="F46" t="inlineStr"/>
      <c r="G46" t="inlineStr"/>
      <c r="H46" t="inlineStr"/>
      <c r="I46" t="inlineStr">
        <is>
          <t>**About The Company**
 The University of Kentucky is a renowned institution committed to advancing knowledge and fostering innovation across various disciplines. The College of Public Health, part of the university, plays a pivotal role in promoting health equity, conducting impactful research, and providing comprehensive education in public health sciences. Dedicated to improving community health outcomes, the college collaborates with government agencies, healthcare organizations, and community partners to address pressing health issues through evidence\-based solutions and innovative data\-driven approaches.
**About The Role**
 The College of Public Health/Public Health Analytics and Informatics is seeking a highly skilled Data Scientist II to join their dynamic team. This full\-time position is based in Lexington, KY, and offers an exciting opportunity to contribute to public health initiatives through advanced data science and machine learning solutions. The successful candidate will be responsible for designing, developing, and deploying predictive models and data analytics solutions, particularly for the Rapid Actionable Data for Opioid Response in KY (RADOR\-KY) project. This role involves building robust data pipelines, implementing machine learning models, and supporting the visualization of data insights for stakeholders. The position requires a blend of technical expertise, analytical thinking, and the ability to communicate complex findings effectively. Mentoring junior team members and collaborating across departments are also integral aspects of this role. The position offers a competitive salary range of $57,158 to $94,286 per year and may be performed remotely, providing flexibility to the right candidate.
**Qualifications**
* Master’s degree in Biostatistics, Epidemiology, Computer Science, Data Science, or a related field (PhD preferred)
* Advanced proficiency in statistical programming languages such as R or SAS
* Strong SQL programming skills for data querying and manipulation
* Experience with data pipeline development and ETL workflows
* Knowledge of machine learning frameworks and libraries in Python or R
* Experience with data visualization tools and geospatial mapping
* Ability to design and validate predictive models for public health applications
* Familiarity with data orchestration tools and cloud\-based data infrastructure
* Excellent problem\-solving, communication, and teamwork skills
**Responsibilities**
* Design, develop, and implement data science solutions and machine learning models to support public health analytics projects
* Build and maintain scalable data pipelines for batch and streaming data processing
* Assist in the development, deployment, and monitoring of ETL workflows ensuring data quality and integrity
* Create and support interactive dashboards and geospatial visualizations to communicate analytical results to diverse stakeholders
* Implement model validation frameworks and evaluate model performance
* Optimize database queries and data pipeline performance for efficiency and reliability
* Integrate multiple data sources, including public health data, electronic health records, and claims data
* Document technical processes, models, and data workflows comprehensively for reproducibility and compliance
* Mentor and supervise junior data scientists, providing guidance on SQL and Python/R development
* Collaborate with multidisciplinary teams to translate analytical needs into technical solutions
**Benefits**
* Competitive salary range from $57,158 to $94,286 annually
* Full\-time, full benefits employment status
* Opportunities for remote work, promoting work\-life balance
* Access to professional development and continuing education resources
* Supportive and inclusive work environment committed to diversity and equity
* Participation in impactful public health projects with community benefits
 Equal Opportunity
 The University of Kentucky is an Equal Opportunity Employer and is committed to creating a diverse and inclusive environment for all employees. We do not discriminate based on race, color, national origin, ethnicity, religion, age, disability, veteran status, gender identity, sexual orientation, or any other protected class. All qualified applicants will receive consideration for employment without regard to these factors. We uphold all federal and state laws governing nondiscrimination and equal employment opportunity. Candidates may be required to pass pre\-employment screenings, including background checks and drug tests, to ensure a safe and compliant work environment.</t>
        </is>
      </c>
    </row>
    <row r="47">
      <c r="A47" t="inlineStr">
        <is>
          <t>li-4343809953</t>
        </is>
      </c>
      <c r="B47" t="inlineStr">
        <is>
          <t>Sr. Specialist, Data Scientist</t>
        </is>
      </c>
      <c r="C47" t="inlineStr">
        <is>
          <t>L3Harris Technologies</t>
        </is>
      </c>
      <c r="D47" t="inlineStr">
        <is>
          <t>linkedin</t>
        </is>
      </c>
      <c r="E47">
        <f>HYPERLINK("https://www.linkedin.com/jobs/view/4343809953", "https://www.linkedin.com/jobs/view/4343809953")</f>
        <v/>
      </c>
      <c r="F47">
        <f>HYPERLINK("https://careers.l3harris.com/job/-/-/4832/89558118832?src=SNS-10240&amp;urlHash=EucW", "https://careers.l3harris.com/job/-/-/4832/89558118832?src=SNS-10240&amp;urlHash=EucW")</f>
        <v/>
      </c>
      <c r="G47" t="inlineStr">
        <is>
          <t>Huntsville, AL</t>
        </is>
      </c>
      <c r="H47" t="inlineStr"/>
      <c r="I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Specialist, Data Scientist***
***Job Code: 32039***
***Job Location: Huntsville, AL; Canoga Park, CA; West Palm Beach, FL; or Redmond, WA***
***Job Schedule: 9/80 Employees work 9 out of every 14 days – totaling 80 hours worked – and have every other Friday off***
**Job Description:**
 The Aerojet Rocketdyne Segment of L3Harris is seeking an experienced Data Scientist with extensive expertise in data modeling, data architecture, code architecture, system design, business intelligence, and operational insights. The ideal candidate will possess a strong track record with relational database management systems and data warehouse development, transforming complex data into actionable insights. The Data Architect will develop and support data lake and warehouse solutions, enabling strategic and tactical business decisions through advanced data analytics, data visualization, and data modeling techniques.
**Essential Functions:**
* Design, maintain, and enhance data warehouse solutions to support Power BI dashboard and report development.
* Extract, transform, load, and analyze data from Snowflake, Palantir, and other sources for effective visualization and reporting.
* Optimize data warehouse performance using best practices in data modeling, architecture, and programming.
* Collaborate with business stakeholders to understand reporting needs and translate them into scalable BI solutions while supporting self\-service analytics initiatives.
* Maintain data validation and quality checks to ensure accuracy and consistency in reporting, and identify process improvement opportunities to enhance business efficiency.
* Work with cross\-functional teams, including IT, finance, operations, data analytics, and program management, to ensure BI solutions align with business objectives.
* Apply ETL best practices for connecting large data sets from various sources and developing logical and physical data models; create and maintain technical documentation.
* Prepare and deliver presentations to executive, remote, and unfamiliar audiences, while staying updated with industry trends and best practices in BI, data analytics, and visualization.
* Ability to obtain US Security Clearance.
**Qualifications:**
* Bachelor’s Degree and minimum 6 years of prior relevant data analystics experience. Graduate Degree and a minimum of 4 years of prior related data analytics experience. In lieu of a degree, minimum of 10 years of prior related data analytics experience.
* 2\+ years experience working with relational database management systems (Oracle).
* 2\+ years experience with Snowflake, Palantir, and/or Alteryx.
**Preferred Additional Skills:**
* Strong critical thinking and problem\-solving skills.
* Experience working across cross\-functional teams to influence outcomes.
* Ability to analyze large datasets, uncover trends, and present data\-driven insights.
* Experience working in an agile environment with data engineering and analytics teams.
* Knowledge of cloud platforms (AWS, Azure, GCP) and data warehousing best practices
* Experience in Aerospace \&amp; Defense, Manufacturing, or Supply Chain industries.
* Experience utilizing SQL for data extraction and database management.
* Experience with programming languages, such as JavaScript and Python.
* Experience with full\-stack application development.
 In compliance with pay transparency requirements, the salary range for this role in California, Massachusetts, New Jersey, Washington, and the Greater D.C, Denver, or NYC areas is $107,500\.00 \-$199,500\.00\. The salary range for this role in Colorado state, Hawaii, Illinois, Maryland, Minnesota, New York state, Cleveland Ohio, and Vermont is $93,500\.00 \- $173,500\.00\.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8">
      <c r="A48" t="inlineStr">
        <is>
          <t>li-4376398459</t>
        </is>
      </c>
      <c r="B48" t="inlineStr">
        <is>
          <t>Data Scientist (Junior to Mid-Level) – Applied LLM/RAG for Interview Intelligence</t>
        </is>
      </c>
      <c r="C48" t="inlineStr">
        <is>
          <t>Prometheus Intelligence</t>
        </is>
      </c>
      <c r="D48" t="inlineStr">
        <is>
          <t>linkedin</t>
        </is>
      </c>
      <c r="E48">
        <f>HYPERLINK("https://www.linkedin.com/jobs/view/4376398459", "https://www.linkedin.com/jobs/view/4376398459")</f>
        <v/>
      </c>
      <c r="F48" t="inlineStr"/>
      <c r="G48" t="inlineStr">
        <is>
          <t>El Paso, TX</t>
        </is>
      </c>
      <c r="H48" t="inlineStr"/>
      <c r="I48" t="inlineStr">
        <is>
          <t>**Location:** 
  On\-site / hybrid in the El Paso, TX – Las Cruces, NM corridor, supporting work at White Sands Missile Range and nearby government sites. Open to relocation candidates. 
**Travel:** 
  Local travel to WSMR/Fort Bliss; occasional CONUS travel for test events. May include weekends and nights.
**Clearance:** 
  Active Secret required. TS/SCI upgrade supported. 
**Employment:** 
  Full\-time 
**About Torch** 
 Torch is an AI\-powered interview intelligence platform used by government customers to generate structured reporting, detect leads, recommend follow\-up questions, and analyze interviews at scale. Your job is to make those outputs more accurate, more defensible, and more useful in real\-world conditions that include offline and edge\-constrained environments. 
 You'll report to the onsite Project Team leader and work closely with a small exercise support team. You'll own problems end\-to\-end: designing evaluation frameworks, improving prompts and retrieval pipelines, analyzing interview data, and shipping measurable improvements into production. 
**Responsibilities** 
**LLM Quality \&amp; Evaluation** 
* Improve prompting strategies and structured outputs across reporting formats including law enforcement, intelligence, after\-action, interview summaries, and survey analysis
* Design evaluation sets, scoring rubrics, and automated evaluation pipelines (including LLM\-as\-judge approaches) for relevance, coherence, completeness, and error modes
* Reduce hallucinations and improve traceability and attribution
**RAG \&amp; Knowledge Pipelines** 
* Build and iterate on RAG pipelines, curated knowledge packs, and question\-tree triggers
* Create and maintain base datasets (follow\-up triggers, Essential Elements of Information/Critical Information Requirements, glossaries, watchlist cues) with versioning and documentation
* Tune retrieval and reranking to perform reliably under edge constraints (limited compute, memory, and connectivity)
**Interview Analytics** 
* Analyze transcripts to surface evasiveness, inconsistencies, and actionable leads
* Develop labeling strategies, analytic rubrics, and ground\-truth datasets
* Conduct quantitative and qualitative analysis of interview data to identify patterns and support operational decisions
**Measurement \&amp; Documentation** 
* Build lightweight dashboards and metrics for model performance and field reliability
* Document methods and maintain audit trails so outputs remain defensible for government end users
* Partner with engineering to validate and ship improvements into production
**Required Qualifications** 
* Active Secret clearance
* 2–5 years of applied data science or NLP experience
* Strong Python skills (pandas, NumPy, scikit\-learn) with comfort standing up experiments and pipelines
* Hands\-on experience with LLMs: prompt engineering, output evaluation, safety, and quality controls
* Experience with unstructured text data — cleaning, labeling, building evaluation metrics
* Proficiency in data analysis, reporting, and visualization for technical and non\-technical audiences
* Ability to work on\-site in the El Paso / Las Cruces / WSMR area
**Preferred Qualifications** 
* RAG implementation experience (vector databases, embeddings, reranking)
* Experience with structured evaluation frameworks (RAGAS, custom LLM\-as\-judge, or equivalent)
* Familiarity with edge or offline deployment constraints
* Exposure to interview analytics, structured debriefing, structured reporting, or HUMINT\-adjacent workflows
* Experience delivering in classified or regulated environments
**What We Offer** 
* Opportunity to work on a meaningful mission with amazing teammates
* Competitive base salary
* 12\.5% flexible benefits allowance on top of base pay: use it for health coverage, retirement, additional time off, or other personal priorities
* 6% employer 401(k) contribution (non\-elective) with a 4\-year rolling vesting schedule
* 20 days PTO plus 11 paid federal holidays, with option to purchase up to 10 additional days
* TS/SCI clearance upgrade pathway</t>
        </is>
      </c>
    </row>
    <row r="49">
      <c r="A49" t="inlineStr">
        <is>
          <t>li-4376501312</t>
        </is>
      </c>
      <c r="B49" t="inlineStr">
        <is>
          <t>Lead AI Engineer/GenAI Engineer/Data Scientist</t>
        </is>
      </c>
      <c r="C49" t="inlineStr">
        <is>
          <t>NeerInfo Solutions</t>
        </is>
      </c>
      <c r="D49" t="inlineStr">
        <is>
          <t>linkedin</t>
        </is>
      </c>
      <c r="E49">
        <f>HYPERLINK("https://www.linkedin.com/jobs/view/4376501312", "https://www.linkedin.com/jobs/view/4376501312")</f>
        <v/>
      </c>
      <c r="F49" t="inlineStr"/>
      <c r="G49" t="inlineStr">
        <is>
          <t>Richardson, TX</t>
        </is>
      </c>
      <c r="H49" t="inlineStr"/>
      <c r="I49" t="inlineStr">
        <is>
          <t>About the job
**Job Title: Java/ Gen AI Lead Consultant** 
**Location: Austin, TX** 
**Job type: full\-time** 
**Job Description:** 
 We are seeking a
 **Generative AI Lead Consultant** 
 with strong expertise in
 **Generative AI, Agentic AI, Machine Learning, and Python** 
 . In this role, you will drive end\-to\-end implementation of AI solutions—from problem identification to model deployment—leveraging the latest advancements in Large Language Models (LLMs), RAG, agent frameworks, and cloud platforms.
 You will work closely with client stakeholders, architects, and offshore teams to build scalable, production\-grade AI systems aligned with enterprise data strategies.
**Responsibilities** 
* Lead end\-to\-end development of
 **Generative AI and Agentic AI solutions** 
 , including business problem discovery, solution design, model development, optimization, and deployment.
* Fine\-tune, evaluate, and deploy
 **Large Language Models** 
 and build
 **Advanced RAG pipelines** 
 .
* Architect and implement AI workflows using
 **LangGraph, AutoGen, Crew AI** 
 , or similar agent frameworks.
* Build scalable AI applications using
 **Python** 
 , modern ML frameworks, and cloud\-based GenAI services.
* Deploy solutions using platforms such as
 **AWS Bedrock** 
 ,
 **Azure OpenAI** 
 ,
 **Google Vertex AI** 
 , or
 **IBM Watson** 
 .
* Ingest and process
 **unstructured data** 
 including PDFs, HTML, images, and audio\-to\-text pipelines.
* Work with
 **vector databases** 
 such as FAISS, Pinecone, Weaviate, or Azure AI Search.
* Ensure data quality, data governance, and adherence to coding best practices across the AI lifecycle.
* Collaborate with agile teams, drive sprint execution, provide mentorship, and coordinate with offshore delivery teams.
* Build and publish reusable assets, best practices, and accelerators for AI implementations.
**Required Qualifications** 
* Bachelor’s Degree or foreign equivalent (or 3 years of relevant progressive experience per year of missing education).
* **7\+ years** 
 of experience in Information Technology.
* **4\+ years** 
 of hands\-on experience in
 **Generative AI / Agentic AI / Machine Learning / Data Science** 
 .
* Strong proficiency in
 **Python** 
 programming.
* Experience deploying AI applications using
 **agent frameworks** 
 such as LangGraph, AutoGen, or Crew AI.
* Experience with cloud\-native Gen AI services on
 **AWS, Azure, GCP, or IBM Watson** 
 .
* Hands\-on experience with
 **RAG** 
 , multiple LLMs, and GenAI pipelines.
* Experience processing unstructured data (PDF, image, HTML, OCR, audio\-to\-text).
* Strong understanding of data gathering, data quality, system architecture, and ML coding best practices.
* Experience with
 **vector databases** 
 (FAISS, Pinecone, Weaviate, Azure AI Search).
* Experience with
 **Agile/Lean** 
 development methodologies.
**Preferred Qualifications** 
* Experience with multiple programming languages—
 **Python, R, Scala, Java, SQL** 
 .
* Hands\-on experience with
 **CI/CD pipelines \&amp; DevOps** 
 tools (Jenkins, GitHub Actions, Terraform).
* Proficiency with both
 **SQL and NoSQL databases** 
 (PostgreSQL, MongoDB, CosmosDB, DynamoDB).
* Deep Learning experience:
 **CNNs, RNNs, LSTMs** 
 , and exposure to emerging research.
* Experience with AI/ML frameworks such as
 **TensorFlow, PyTorch, LangChain** 
 .
* Strong background in
 **LLM fine\-tuning** 
 , optimization, quantization, and local deployment.
* Experience building
 **RESTful APIs** 
 using FastAPI, Flask, or Django.
* Knowledge of model evaluation tools such as
 **DeepEval, FMEval, RAGAS, Bedrock evaluations** 
 .
* Experience with
 **computer vision, time\-series** 
 , and NLP pipelines.
* Strong Big Data skills:
 **HDFS, Hive, Spark, Scala** 
 .
* Exposure to data visualization tools (Tableau) and data query tools (SQL, Hive).
* Strong applied statistics background (distributions, statistical testing, regression, etc.).</t>
        </is>
      </c>
    </row>
    <row r="50">
      <c r="A50" t="inlineStr">
        <is>
          <t>li-4359983520</t>
        </is>
      </c>
      <c r="B50" t="inlineStr">
        <is>
          <t>Principal Data Scientist</t>
        </is>
      </c>
      <c r="C50" t="inlineStr">
        <is>
          <t>Microsoft</t>
        </is>
      </c>
      <c r="D50" t="inlineStr">
        <is>
          <t>linkedin</t>
        </is>
      </c>
      <c r="E50">
        <f>HYPERLINK("https://www.linkedin.com/jobs/view/4359983520", "https://www.linkedin.com/jobs/view/4359983520")</f>
        <v/>
      </c>
      <c r="F50" t="inlineStr"/>
      <c r="G50" t="inlineStr">
        <is>
          <t>Redmond, WA</t>
        </is>
      </c>
      <c r="H50" t="inlineStr"/>
      <c r="I50" t="inlineStr">
        <is>
          <t>**Overview**
 We are inviting you to join the Microsoft Advertising Data Science Team. Microsoft Advertising platform is the single stop shop for all monetization needs for Publishers and Advertisers globally. Our team manages the marketplace, which includes monitoring business metrics, defining metrics, building analytical \&amp; experimentation frameworks, and enabling leadership to make data driven decisions. The team works across Engineering, Product and Business to address complex data science problems across users, advertisers, and publishers.
 We are looking for a
 **Principal Data Scientist** 
 leader, creative modeling geeks who are willing to work in a dynamic environment to solve real life day to day problems, leveraging data science techniques. You will enjoy and be successful in this role if you are curious and willing to challenge the status quo and come up with data driven solutions to ambiguous problems.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Measurement: Define, invent, and deliver metrics which accurately measure user and business value across various products and marketplace components.
* Experimental Design: Think critically about sampling and experimental design across User and Demand dimensions.
* Product Iteration: Interpret the results of analyses, validate approaches, and learn to monitor, analyze, and iterate to continuously improve.
* Cooperation: Partner effectively with program management, engineers, and other areas of the business across our Consumer online business
* Influence: engage with stakeholders to produce clear, compelling, and actionable insights and data\-science driven workflows that influence product and service improvements.
* Make independent decisions for the team and handle difficult tradeoffs.
* Translate strategy into plans that are clear and measurable, with progress shared out monthly to stakeholders.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data\-science experience (e.g., managing structured and unstructured data, applying statistical techniques and reporting results)
+ OR equivalent experience.
* 5\+ years of experience in at least one of programming languages like Python/R/MATLAB/C\#/Java/C\+\+
* Experience in applying statistics, designing experimentation and metrics particularly in Advertising platforms.
**Preferred Qualifications**
* Organizational, analytical, data science skills and intuition .
* Problem solver: ability to solve problems that the world has not solved before ,
* Interpersonal skills: cross\-group and cross\-culture collaboration.
* Experience with real world system building and data collection, including design, coding and evaluation.
* Excellent communication to be able to communicate insights to senior leaders.
* Experience with driving large collaboration across multiple teams.
* Experience with communicating with different audiences to provide insights.
* Demonstrated experience in applying statistics, experimentation and metrics to generate clear actionable insights.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1">
      <c r="A51" t="inlineStr">
        <is>
          <t>li-4376501242</t>
        </is>
      </c>
      <c r="B51" t="inlineStr">
        <is>
          <t>Data Scientist IV</t>
        </is>
      </c>
      <c r="C51" t="inlineStr">
        <is>
          <t>Nexus Consulting</t>
        </is>
      </c>
      <c r="D51" t="inlineStr">
        <is>
          <t>linkedin</t>
        </is>
      </c>
      <c r="E51">
        <f>HYPERLINK("https://www.linkedin.com/jobs/view/4376501242", "https://www.linkedin.com/jobs/view/4376501242")</f>
        <v/>
      </c>
      <c r="F51">
        <f>HYPERLINK("https://t.mercor.com/5AdJT&amp;urlHash=D2bC", "https://t.mercor.com/5AdJT&amp;urlHash=D2bC")</f>
        <v/>
      </c>
      <c r="G51" t="inlineStr">
        <is>
          <t>New York, United States</t>
        </is>
      </c>
      <c r="H51" t="inlineStr"/>
      <c r="I51" t="inlineStr">
        <is>
          <t>* **Role:** 
 Data Scientist IV
* **Location:** 
 100% Remote (Global)
* **Compensation:** 
 USD 105–125 per hour
**Overview** 
 We are seeking an experienced
 **Data Scientist IV** 
 to drive innovation through advanced analytics and modeling of high\-dimensional biosensor data. This role will contribute directly to biosensing research and development, enabling next\-generation product improvements and prototype development.
 The ideal candidate combines strong statistical and machine learning expertise with hands\-on experience in hardware sensor data, signal processing, and experimental analysis.
**Key Responsibilities** 
 Advanced Data Analysis \&amp; Modeling
* Execute, debug, and optimize distributed compute workflows for large\-scale metric computation and modeling
* Apply statistical analysis, machine learning, and advanced mathematical methods to uncover patterns in biosensor datasets
* Design and develop predictive models to extract actionable insights from real\-world sensor data
**Signal Processing \&amp; Sensor Analytics** 
* Analyze time\-domain signals and/or medical imaging data
* Apply signal processing techniques to improve data interpretation and model performance
* Support hardware sensor data analysis and prototype validation
**Experimentation \&amp; Hypothesis Testing** 
* Generate and test hypotheses through structured product experimentation
* Interpret experimental results to inform product and R\&amp;D strategy
**Cross\-Functional Collaboration** 
* Partner with engineering teams to translate analytical prototypes into scalable product solutions
* Provide technical guidance for large\-scale deployment of models and analytics frameworks
**Visualization \&amp; Communication** 
* Develop visualizations to communicate insights clearly to technical and non\-technical stakeholders
* Present findings from statistical and machine learning analyses to diverse audiences
**Minimum Qualifications** 
* Master’s or PhD in Computer Science, Statistics, Neuroscience, Biomedical Engineering, or related field
* 3\+ years of experience in data extraction, manipulation, and visualization
* Strong proficiency in Python, R, MATLAB, and/or SQL
* Experience working with large\-scale datasets
* Strong understanding of data structures and algorithms
**Required Technical Skills** 
* Experience with hardware sensor data and real\-world signal analysis
* Signal processing expertise (time\-domain signals and/or medical imaging systems)
* Scientific computing libraries: NumPy, SciPy, Pandas, Scikit\-learn, dplyr, caret
* Data visualization tools: Matplotlib, Pyplot, seaborn, ggplot2
* Machine learning and predictive modeling techniques
**Core Competencies** 
* Advanced Statistical Analysis
* Machine Learning \&amp; Predictive Modeling
* Signal Processing
* Experimental Design
* Distributed Compute Workflows
* Cross\-Functional Technical Collaboration
**Work Environment** 
* Onsite in New York City
* Research\-driven, data\-intensive environment
* Close collaboration with hardware and engineering teams
**Equal Opportunity Statement** 
 We are an equal opportunity employer and consider all qualified applicants without regard to legally protected characteristics. Reasonable accommodations are available upon request.
**APPLY NOW!**</t>
        </is>
      </c>
    </row>
    <row r="52">
      <c r="A52" t="inlineStr">
        <is>
          <t>li-4374330182</t>
        </is>
      </c>
      <c r="B52" t="inlineStr">
        <is>
          <t>Junior Transportation Data Scientist</t>
        </is>
      </c>
      <c r="C52" t="inlineStr">
        <is>
          <t>Zachary Piper Solutions</t>
        </is>
      </c>
      <c r="D52" t="inlineStr">
        <is>
          <t>linkedin</t>
        </is>
      </c>
      <c r="E52">
        <f>HYPERLINK("https://www.linkedin.com/jobs/view/4374330182", "https://www.linkedin.com/jobs/view/4374330182")</f>
        <v/>
      </c>
      <c r="F52">
        <f>HYPERLINK("https://careers.zacharypiper.com/details/158845/junior_transportation_data_scientist&amp;urlHash=Y3ib", "https://careers.zacharypiper.com/details/158845/junior_transportation_data_scientist&amp;urlHash=Y3ib")</f>
        <v/>
      </c>
      <c r="G52" t="inlineStr">
        <is>
          <t>McLean, VA</t>
        </is>
      </c>
      <c r="H52" t="inlineStr"/>
      <c r="I52" t="inlineStr">
        <is>
          <t>**Zachary Piper Solutions** 
 is seeking a
 **Junior Transportation Data Scientist** 
 to join high\-impact engineering team building next\-generation intelligent systems reshaping the future of mobility and automation. This role is located in
 **McLean, VA** 
 through
 **100% full onsite presence** 
 . The
 **Junior Transportation Data Scientist** 
 will contribute to next\-generation AI/ML applications in freight analytics, traffic safety, intelligent transportation systems (ITS), transportation operations, \&amp; multimodal data environments.
**Responsibilities of the** 
**Junior Transportation Data Scientist** 
**include:**
* Prepare, integrate \&amp; clean multimodal transportation datasets
* Support the development, testing, \&amp; deployment of AI/ML models for transportation applications
* Conduct technical research \&amp; literature reviews on AI methods, data sources, \&amp; emerging technologies relevant to transportation safety \&amp; operations
* Evaluate model performance \&amp; recommend improvement to enhance robustness, scalability, trustworthiness \&amp; real\-world applicability
* Assist with stakeholder engagement, including preparing materials, supporting workshops/briefings, \&amp; contributing to AI roadmaps, proposals, \&amp; implementation strategies
**Qualifications of the** 
**Junior Transportation Data Scientist** 
**include:**
* Bachelor's Degree in Computer Science, Data Science, AI, Transportation Engineering, or a related field (Master's Degree preferred)
* 1\+ year of professional transportation data science or AI/ML experience
* Hands\-on experience with transportation datasets \&amp; proficiency with ML frameworks \&amp; data processing tools
* Strong foundation in data preparation, ETL workflows, \&amp; multimodal data integration
* Familiar with AI evaluation metrics, performance analysis, \&amp; testing under varied conditions
* Active Public Trust clearance
**Compensation for the** 
**Junior Transportation Data Scientist** 
**includes:**
* Salary: $75,000\-$100,000 \*\*depending on experience\*\*
* Benefits: Medical, Dental, Vision, 401k Plan, Holidays, PTO, sick leave as required by law</t>
        </is>
      </c>
    </row>
    <row r="53">
      <c r="A53" t="inlineStr">
        <is>
          <t>li-4328227807</t>
        </is>
      </c>
      <c r="B53" t="inlineStr">
        <is>
          <t>Senior Applied Scientist</t>
        </is>
      </c>
      <c r="C53" t="inlineStr">
        <is>
          <t>Microsoft</t>
        </is>
      </c>
      <c r="D53" t="inlineStr">
        <is>
          <t>linkedin</t>
        </is>
      </c>
      <c r="E53">
        <f>HYPERLINK("https://www.linkedin.com/jobs/view/4328227807", "https://www.linkedin.com/jobs/view/4328227807")</f>
        <v/>
      </c>
      <c r="F53">
        <f>HYPERLINK("https://apply.careers.microsoft.com/careers/job/1970393556640422?utm_source=linkedin&amp;domain=microsoft.com&amp;src=LinkedIn&amp;urlHash=kSYM", "https://apply.careers.microsoft.com/careers/job/1970393556640422?utm_source=linkedin&amp;domain=microsoft.com&amp;src=LinkedIn&amp;urlHash=kSYM")</f>
        <v/>
      </c>
      <c r="G53" t="inlineStr">
        <is>
          <t>Redmond, WA</t>
        </is>
      </c>
      <c r="H53" t="inlineStr"/>
      <c r="I53" t="inlineStr">
        <is>
          <t>**Overview**
 We are building large\-scale,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Fine\-tune SLMs to efficiently scale the solution to millions of advertisers.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li-4374324295</t>
        </is>
      </c>
      <c r="B54" t="inlineStr">
        <is>
          <t>Transportation Data Scientist</t>
        </is>
      </c>
      <c r="C54" t="inlineStr">
        <is>
          <t>Zachary Piper Solutions</t>
        </is>
      </c>
      <c r="D54" t="inlineStr">
        <is>
          <t>linkedin</t>
        </is>
      </c>
      <c r="E54">
        <f>HYPERLINK("https://www.linkedin.com/jobs/view/4374324295", "https://www.linkedin.com/jobs/view/4374324295")</f>
        <v/>
      </c>
      <c r="F54" t="inlineStr"/>
      <c r="G54" t="inlineStr">
        <is>
          <t>McLean, VA</t>
        </is>
      </c>
      <c r="H54" t="inlineStr"/>
      <c r="I54" t="inlineStr">
        <is>
          <t>**Zachary Piper Solutions** 
 is seeking a
 **Transportation Data Scientist** 
 to join high\-impact a high‑impact team applying AI/ML to transform safety, freight, and mobility outcomes. This role is located in
 **McLean, VA** 
 through
 **100% full onsite presence** 
 . The
 **Transportation Data Engineer** 
 will design, build, and evaluate AI/ML models using multimodal transportation data to advance mobility and transportation safety.
**Responsibilities of the** 
**Transportation Data Scientist** 
**include:**
* Design, develop \&amp; deploy AI/ML models for transportation use cases
* Build \&amp; integrate multi\-source datasets addressing data quality issues
* Evaluate model performance \&amp; robustness \&amp; provide recommendations to improve scalability, reliability \&amp; trustworthiness
* Engage stakeholders via workshops/briefings, translate needs into roadmaps, proposals, \&amp; implementation strategies
* Collaborate cross\-functionally to align with federal objectives, contribute to technical reports, monthly progress, risk mitigation \&amp; iterative model refinement
**Qualifications of the Transportation Data Scientist include:**
* Bachelor's degree in CS, Data Science, AI, EE, Transportation Engineering, or a related field (Master's preferred)
* 5\+ years of professional data science/ML experience
* Hands\-on experience with TensorFlow, PyTorch, scikit\-learn, Pandas, NumPy \&amp; applied AI techniques
* Proven ETL/data integration with multimodal data, experience managing data quality in production\-style workflows
* Strong model evaluation skills \&amp; testing under variable data conditions
* Active Public Trust clearance
**Compensation for the Transportation Data Scientist includes:**
* Salary: $95,000\-$130,000 \*\*depending on experience\*\*
* Benefits: Medical, Dental, Vision, 401k Plan, Holidays, PTO, sick leave as required by law</t>
        </is>
      </c>
    </row>
    <row r="55">
      <c r="A55" t="inlineStr">
        <is>
          <t>li-4359973566</t>
        </is>
      </c>
      <c r="B55" t="inlineStr">
        <is>
          <t>Principal Applied Scientist</t>
        </is>
      </c>
      <c r="C55" t="inlineStr">
        <is>
          <t>Microsoft</t>
        </is>
      </c>
      <c r="D55" t="inlineStr">
        <is>
          <t>linkedin</t>
        </is>
      </c>
      <c r="E55">
        <f>HYPERLINK("https://www.linkedin.com/jobs/view/4359973566", "https://www.linkedin.com/jobs/view/4359973566")</f>
        <v/>
      </c>
      <c r="F55">
        <f>HYPERLINK("https://apply.careers.microsoft.com/careers/job/1970393556621434?utm_source=linkedin&amp;domain=microsoft.com&amp;src=LinkedIn&amp;urlHash=Xhii", "https://apply.careers.microsoft.com/careers/job/1970393556621434?utm_source=linkedin&amp;domain=microsoft.com&amp;src=LinkedIn&amp;urlHash=Xhii")</f>
        <v/>
      </c>
      <c r="G55" t="inlineStr">
        <is>
          <t>Redmond, WA</t>
        </is>
      </c>
      <c r="H55" t="inlineStr"/>
      <c r="I55" t="inlineStr">
        <is>
          <t>**Overview**
 Be at the forefront of AI by joining M365 Copilot team and take part in shaping the future of AI\-powered user experiences across multiple Microsoft platforms. As a Principal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identify and inspire peers and new research talent to join Microsoft, build relationships, and advocate for research initiatives.
* You’ll share research findings through industry outreach, collaborate with the academic community, and help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developing and deploying live production systems, as part of a product team.
* 1\+ years experience in Large Language Modeling (LLM) or Machine Learning (ML)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\#M365Core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li-4351852365</t>
        </is>
      </c>
      <c r="B56" t="inlineStr">
        <is>
          <t>AI &amp; GenAI Data Scientist - Manager</t>
        </is>
      </c>
      <c r="C56" t="inlineStr">
        <is>
          <t>PwC</t>
        </is>
      </c>
      <c r="D56" t="inlineStr">
        <is>
          <t>linkedin</t>
        </is>
      </c>
      <c r="E56">
        <f>HYPERLINK("https://www.linkedin.com/jobs/view/4351852365", "https://www.linkedin.com/jobs/view/4351852365")</f>
        <v/>
      </c>
      <c r="F56">
        <f>HYPERLINK("https://ad.doubleclick.net/ddm/clk/438405794;254302458;m?https://jobs.us.pwc.com/job/-/-/932/90417058032?utm_source=linkedin.com&amp;utm_campaign=core_media&amp;utm_medium=social_media&amp;utm_content=job_posting&amp;ss=paid&amp;urlHash=RhTJ", "https://ad.doubleclick.net/ddm/clk/438405794;254302458;m?https://jobs.us.pwc.com/job/-/-/932/90417058032?utm_source=linkedin.com&amp;utm_campaign=core_media&amp;utm_medium=social_media&amp;utm_content=job_posting&amp;ss=paid&amp;urlHash=RhTJ")</f>
        <v/>
      </c>
      <c r="G56" t="inlineStr">
        <is>
          <t>St Louis, MO</t>
        </is>
      </c>
      <c r="H56" t="inlineStr"/>
      <c r="I56"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7">
      <c r="A57" t="inlineStr">
        <is>
          <t>li-4332552982</t>
        </is>
      </c>
      <c r="B57" t="inlineStr">
        <is>
          <t>AI &amp; GenAI Data Scientist - Manager</t>
        </is>
      </c>
      <c r="C57" t="inlineStr">
        <is>
          <t>PwC</t>
        </is>
      </c>
      <c r="D57" t="inlineStr">
        <is>
          <t>linkedin</t>
        </is>
      </c>
      <c r="E57">
        <f>HYPERLINK("https://www.linkedin.com/jobs/view/4332552982", "https://www.linkedin.com/jobs/view/4332552982")</f>
        <v/>
      </c>
      <c r="F57" t="inlineStr"/>
      <c r="G57" t="inlineStr">
        <is>
          <t>Rosemont, IL</t>
        </is>
      </c>
      <c r="H57" t="inlineStr"/>
      <c r="I57"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8">
      <c r="A58" t="inlineStr">
        <is>
          <t>li-4332572315</t>
        </is>
      </c>
      <c r="B58" t="inlineStr">
        <is>
          <t>AI &amp; GenAI Data Scientist - Manager</t>
        </is>
      </c>
      <c r="C58" t="inlineStr">
        <is>
          <t>PwC</t>
        </is>
      </c>
      <c r="D58" t="inlineStr">
        <is>
          <t>linkedin</t>
        </is>
      </c>
      <c r="E58">
        <f>HYPERLINK("https://www.linkedin.com/jobs/view/4332572315", "https://www.linkedin.com/jobs/view/4332572315")</f>
        <v/>
      </c>
      <c r="F58">
        <f>HYPERLINK("https://ad.doubleclick.net/ddm/clk/438405794;254302458;m?https://jobs.us.pwc.com/job/-/-/932/90417058032?utm_source=linkedin.com&amp;utm_campaign=core_media&amp;utm_medium=social_media&amp;utm_content=job_posting&amp;ss=paid&amp;urlHash=RhTJ", "https://ad.doubleclick.net/ddm/clk/438405794;254302458;m?https://jobs.us.pwc.com/job/-/-/932/90417058032?utm_source=linkedin.com&amp;utm_campaign=core_media&amp;utm_medium=social_media&amp;utm_content=job_posting&amp;ss=paid&amp;urlHash=RhTJ")</f>
        <v/>
      </c>
      <c r="G58" t="inlineStr">
        <is>
          <t>Florham Park, NJ</t>
        </is>
      </c>
      <c r="H58" t="inlineStr"/>
      <c r="I5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9">
      <c r="A59" t="inlineStr">
        <is>
          <t>li-4373622954</t>
        </is>
      </c>
      <c r="B59" t="inlineStr">
        <is>
          <t>Senior Data Scientist</t>
        </is>
      </c>
      <c r="C59" t="inlineStr">
        <is>
          <t>Jobs via Dice</t>
        </is>
      </c>
      <c r="D59" t="inlineStr">
        <is>
          <t>linkedin</t>
        </is>
      </c>
      <c r="E59">
        <f>HYPERLINK("https://www.linkedin.com/jobs/view/4373622954", "https://www.linkedin.com/jobs/view/4373622954")</f>
        <v/>
      </c>
      <c r="F59">
        <f>HYPERLINK("https://click.appcast.io/t/K1mMCaNB8H1qZNKIOLfT0wAg732RatOuwRQm1_0Fpbw=&amp;urlHash=xy_6", "https://click.appcast.io/t/K1mMCaNB8H1qZNKIOLfT0wAg732RatOuwRQm1_0Fpbw=&amp;urlHash=xy_6")</f>
        <v/>
      </c>
      <c r="G59" t="inlineStr">
        <is>
          <t>Redmond, WA</t>
        </is>
      </c>
      <c r="H59" t="inlineStr"/>
      <c r="I59" t="inlineStr">
        <is>
          <t>**Overview**
 Do you want to be at the cutting edge of AI that expands SharePoint's role as a leader in content management as we enter the age of AI.
 The SharePoint Platform powers file collaboration for OneDrive, Microsoft Office, Teams, OneNote, Education, Copilot, and much more \- making it one of the largest storage platforms in the world and a leader in content management systems. This storage is at the heart of AI, powering Copilot experiences across Microsoft 365\.
 We're looking for a
 **Senior Data Scientist** 
 with an understanding complex platform problems and using industry\-leading analytical techniques to find insights that transform our business and product experiences. Ideal candidates should be able to take a business or engineering problem from Product, Applied Science or Engineering leaders, translate it to a Data Science problem, conduct the appropriate analysis and modeling to reveal actionable insights, and help drive deep change.
 As a Senior Data Scientist for the OneDrive and SharePoint Platform team, you will shape the future of AI across Microsoft 365 by leading the innovation and delivery of the core OneDrive and SharePoint AI Platform. You will drive the data science vision and strategy for the team, which is the backbone of Microsoft 365 AI experiences, and provides foundational file grounding and RAG across all Microsoft products and services. You will help develop deep understanding of how the SharePoint platforms enables and empower core AI scenarios for Copilot, Agents, Copilot Notebooks and many Microsoft applications.
 You will be part of a high\-performing and high\-ambition Product Management organization for one of the largest and most impactful services on the planet, which provides the essential storage and data that fuels AI and Copilot scenarios. You will foster a culture of data obsession, innovation, and collaboration within our team and across Microsoft.
 We are a modern team of product managers, applied scientists and engineers for one of the largest business and consumer services on the planet. Our product ranges from consumer mobile features to developer experiences to large\-scale distributed systems. We are data informed and hypothesis driven and measure our outcomes to prove we deliver value to customers. We partner closely with a talented and senior set of engineers, designers, and researchers. Most of our team is local to Redmond, Washington. We also work with peers in Europe \&amp; Asia and we all contribute directly to OneDrive \&amp; SharePoint.
 Part of building a successful team is having an inclusive workplace where all people and ideas are welcome. Transparency is also core to our culture. We leverage internal \&amp; external tools to get feedback, celebrate the work of our peers, and drive local and industry level changes. Additionally, we believe strongly in providing new opportunities for talent mobility \&amp; experimentation in your job with other parts of the team and company.
 Lastly, we focus on, and have a track record of, delivering strong business results with key metrics to track our successes and failures. We like to have fun, celebrate our wins, and learn from our mistakes.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across different functions to translate business problems into ones that can be solved and informed by data analysis.
* Have curiosity and apply analytical skills to dive deep into data to find key insights that identify platform problems and potential solutions.
* Develop models of platform usage, user behavior \&amp; business behavior to make recommendations and influence the product road map.
* Develop and apply rigorous evaluation frameworks, including inventing new metrics and validation methods as needed.
* Maintain deep industry knowledge of data science trends and technologies to inform strategy and thought leadership.
* Prepare clear executive\-ready reviews, including presentations and asynchronous communications.
* Build, maintain, and report scorecards to track quality, performance, and business outcomes.
* Partner with Applied Science \&amp; Research, as well as your peers in PM across Microsoft to deliver seamless platform capabilities.
* Utilize tools like SQL, R, Python to execute analyses.
* Utilize LLMs and other AI technologies to revolutionize data science practices within the team, enhancing the speed, accuracy, and scalability of data analysis and insight generation.
* Embody our culture and values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Advanced degree in Data Science, Mathematics, Statistics, Econometrics, Economics, Operations Research, Computer Science, or related field with deep, sustained data science experience.
* Experience managing complex structured and unstructured datasets and applying advanced statistical or machine learning techniques.
* Experience designing and optimizing data models and queries in Cosmos DB at scale.
* Experience deploying and monitoring ML models in Azure\-based production environments.
* Experience defining evaluation methodologies and influencing data science standards at team or organizational level.
* Experience working with large\-scale, distributed data stores.
* Experience programming skills in Python or C\# with experience building data pipelines and production ML workflows.
* 2\+ years' experience working in enterprise software and large\-scale platforms, project\-delivery experience, professional services, and/or consulting experience.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0">
      <c r="A60" t="inlineStr">
        <is>
          <t>li-4373637062</t>
        </is>
      </c>
      <c r="B60" t="inlineStr">
        <is>
          <t>Mid-Level Engineering Data Scientist</t>
        </is>
      </c>
      <c r="C60" t="inlineStr">
        <is>
          <t>Jobs via Dice</t>
        </is>
      </c>
      <c r="D60" t="inlineStr">
        <is>
          <t>linkedin</t>
        </is>
      </c>
      <c r="E60">
        <f>HYPERLINK("https://www.linkedin.com/jobs/view/4373637062", "https://www.linkedin.com/jobs/view/4373637062")</f>
        <v/>
      </c>
      <c r="F60" t="inlineStr"/>
      <c r="G60" t="inlineStr">
        <is>
          <t>Oklahoma City, OK</t>
        </is>
      </c>
      <c r="H60" t="inlineStr"/>
      <c r="I60" t="inlineStr">
        <is>
          <t>**Company:**
 The Boeing Company
 We are Boeing Global Services (BGS) Engineering team creating and implementing innovative technologies that make the impossible possible and enabling the future of aerospace. We provide engineering design and support, including aftermarket modifications, and are innovating to make product and services safety even stronger. Join us and put your passion, determination, and skill to work building the future! \#TheFutureIsBuiltHere \#ChangeTheWorld
 Join an exciting and growing team in performing complex analysis of aviation data. As modern aircraft produce increasing amounts of data in operations and maintenance, analytics are used to turn that data into insights to improve performance, enable smarter services, increase productivity, and make flying safer. The Boeing Company is currently seeking a
 **Mid\-Level Engineering Data Scientist** 
 to join the Boeing Global Services (BGS) Government Services Analytics team located in
 **Hazelwood, MO, Plano, TX, Ridley Park, PA, or Oklahoma City, OK.** 
 In this position you will work with an industry\-leading team of data scientists, support US and international customers, and collaborate with engineering teams to create innovative health management solutions for government aircraft platforms.
 As a mid\-level data scientist, you will play a crucial role in creating new analytics models that provide aftermarket services for our military customers. Your primary responsibility will be analyzing data and applying machine learning and AI techniques to empower users with valuable insights to improve aircraft health management. This role requires a resourceful, self\-driven, outcome\-oriented individual with the ability to collaborate respectfully and communicate effectively.
 The ideal candidate will have knowledge and work history in machine learning, natural language processing (NLP), and retrieval augmented generation (RAG), and a successful track record of deploying machine learning models in a production environment.
**This position is onsite. The selected candidate will be required to perform work onsite at one of the listed location options.**
**Position Responsibilities:**
* Apply advanced statistical techniques and predictive modeling to develop predictive maintenance strategies and optimize aircraft performance.
* Utilize natural language processing, data cleansing, and preprocessing techniques to ensure data quality and integrity for accurate analysis and modeling.
* Apply modern RAG techniques to generate domain\-specific insights from complex customer data, enhancing decision\-making and user experience.
* Collaborate with cross\-functional teams to identify and define data requirements.
* Implement and deploy machine learning models into production systems, working closely with software engineering teams to integrate into customer environments.
* Collaborate with subject matter experts to understand engineering domain knowledge and incorporate it into data analysis and modeling efforts.
* Ensure data security and compliance with relevant regulations throughout the data analysis lifecycle.
* Communicate findings, insights, and recommendations to technical and non\-technical stakeholders through clear and concise reports, presentations, and visualizations.
**To be considered for this position you will be required to complete a technical assessment as part of the selection process.**
**Basic Qualifications (Required Skills/Experience):**
* Bachelor of Science degree in Engineering, Engineering Technology (including Manufacturing Technology), Computer Science, Data Science, Mathematics, Physics, Chemistry or non\-US equivalent qualifications directly related to the work statement
* 2\+ years of professional experience in data science, artificial intelligence, or machine learning
* 2\+ years of experience in Python for data science applications
**Preferred Qualifications (Desired Skills/Experience):**
* Advanced degree (Master's or Doctorate) in Data Science, Engineering, Computer Science, Mathematics, or another similar technical background
* 5\+ years of related work experience or an equivalent combination of education and experience
* 2\+ years of experience in natural language processing
* 2\+ years of experience in SQL
* Proficient with data visualization tools, such as Tableau.
* Proficient in deep learning frameworks such as PyTorch and TensorFlow
* Experience with generative AI models, including LLMs and RAG, for building knowledge\-driven solutions.
* Engineering domain knowledge relating to aircraft maintenance, design, or testing
* Experience working in an agile software development team
**Relocation:**
 This position offers relocation assistance.
**Drug Free Workplace:**
 Boeing is a Drug Free Workplace where post offer applicants and employees are subject to testing for marijuana, cocaine, opioids, amphetamines, PCP, and alcohol when criteria is met as outlined in our policies.
**Total Rewards and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$95,200 \- $147,200
**Language Requirements:**
 Not Applicable
**Education:**
 Bachelor's Degree or Equivalent
**Relocation:**
 This position offers relocation based on candidate eligibility.
**Export Control Requirement:**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2026-02-22T22:18:14Z</dcterms:created>
  <dcterms:modified xsi:type="dcterms:W3CDTF">2026-02-22T22:18:14Z</dcterms:modified>
</cp:coreProperties>
</file>