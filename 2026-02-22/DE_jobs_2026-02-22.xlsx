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in-aeb89ca939f342ce</t>
        </is>
      </c>
      <c r="B2" t="inlineStr">
        <is>
          <t>Data Engineer</t>
        </is>
      </c>
      <c r="C2" t="inlineStr">
        <is>
          <t>General Dynamics Information Technology</t>
        </is>
      </c>
      <c r="D2" t="inlineStr">
        <is>
          <t>indeed</t>
        </is>
      </c>
      <c r="E2" t="inlineStr"/>
      <c r="F2" t="inlineStr"/>
      <c r="G2" t="inlineStr">
        <is>
          <t>Washington, DC, US</t>
        </is>
      </c>
      <c r="H2" s="1" t="n">
        <v>46074</v>
      </c>
      <c r="I2" t="inlineStr">
        <is>
          <t>Your Impact
Own your opportunity to work alongside federal civilian agencies. Make an impact by providing services that help the government ensure the well being and support of U.S. citizens.
Job Description
Position Description:The Data Engineer provides system and data engineering support to data analysis operations throughout the reporting and analysis lifecycle. The Engineer will build and maintain systems to extract, clean and transform data, using advanced automation and scripting tools.Position Duties:* Work with business owners and data analysts to develop technical solutions for reporting products.
* Build, test and maintain database pipeline architectures.
* Use ETL tools to extract and load data for various reports.
* Create data validation tools.
* Automate data analysis and collection products.
* Create documentation and presentations.
* Creates and maintains optimal data pipeline architecture.
* Develops and conducts tests to ensure data solutions meet documented user requirements.
* Analyzes IT environments to identify and assess critical capabilities and recommend solutions to problems of moderate scope and complexity.
* Collaborates with data science team to transform data and integrate algorithms and models into automated processes.
* Works with stakeholders including the Executive, Product, Data and Design teams to assist with data\-related technical issues and support their data infrastructure needs.
* May coach and review the work of less\-experienced professionals.
* Provide ongoing training for data analysts and staff on data tools and products.
* Assist data analysts with data preparation to create sources for data products.
* Help create governance processes and procedures.
* Support data collection, analysis and visualization projects as needed, including data modeling, database creation, and technical support.
* Recommend and implement technical and automated solutions for manual processes.
* Provide recommendations to streamline and improve current business processes.
* Respond and fulfill data requests as required.
* Participate in special projects as needed.
Qualifications* Requires BS/BA degree in related discipline along with 8 years of experience or 6 years with a Master’s Degree.
* Expert coding knowledge including SQL and Python (required), and R (preferred).
* Experience working with Palantir Foundry, and tools such as Contour, Code Repository, Code Workbook, Pipeline Builder, Data Lineage.
* Experience with GitHub, MongoDB, MySQL, PostgreSQL, Salesforce and Tableau.
* Knowledge of Databricks a plus.
* Understanding of relational and non\-relational databases.
* Experience working with large datasets, performing tasks such as data cleaning and processing (ETL).
* Experience with automation/scripting.
* Knowledge of cloud storage and cloud computing/analytics.
* Understanding of data security.
* Ability to build prototypes of new data products and to automate workflows.
* Ability to learn and comprehend new data tools.
* Ability to conduct feasibility studies to determine suitability to program requirements.
* Excellent analytical and writing skills.
* Strong verbal communication skills.
* Highly motivated and collaborative.
Additional Requirements:* This position requires an existing Public Trust or the ability to obtain one.
* This role and associated duties will be performed on site at a government facility located in Washington, DC.
Work Requirements
Years of Experience
8 \+ years of related experience* may vary based on technical training, certification(s), *or* degree
Certification
Travel Required
Less than 10%
Salary and Benefit Information
The likely salary range for this position is $124,093 \- $149,500\.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
      <c r="A3" t="inlineStr">
        <is>
          <t>in-e118e0038cca00a8</t>
        </is>
      </c>
      <c r="B3" t="inlineStr">
        <is>
          <t>Specialist, Data Engineer</t>
        </is>
      </c>
      <c r="C3" t="inlineStr">
        <is>
          <t>Nationwide Mutual Insurance Company</t>
        </is>
      </c>
      <c r="D3" t="inlineStr">
        <is>
          <t>indeed</t>
        </is>
      </c>
      <c r="E3" t="inlineStr"/>
      <c r="F3" t="inlineStr"/>
      <c r="G3" t="inlineStr">
        <is>
          <t>Columbus, OH, US</t>
        </is>
      </c>
      <c r="H3" s="1" t="n">
        <v>46074</v>
      </c>
      <c r="I3"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care.**If you are passionate about the importance of data engineering and delivering clean, automated, integrated, and governed data required to fulfill our company’s most critical strategic objectives, then we have a great opportunity for you. As a member of the Enterprise Data Office, the Data Engineer works closely with our Dev Line partners, Data Architects, business stakeholders, platform owners, and a host of other internal actors in the designing, building, and operationalizing of end\-to\-end data delivery solutions.**
**This position combines hands\-on data engineering, along with understanding both the strategic goals and desired capabilities of the business units we support. It involves the development of data pipelines and application architecture spanning the gamut of data ingestion, harmonization, and curation to enable business value realization across numerous consumer tiers. As new solutions are developed as part of Build activities, this role is also critical in working with application teams and other key business and IT stakeholders to aid them in the production hand\-off, adoption, and ongoing management of new technologies, processes, and best practices.**
**A successful candidate should possess the following skills and/or experience:**
* **Minimum of 3 years performing complex data pipeline development across numerous platforms (e.g. Informatica, Databricks, Snowflake, native Python).**
* **Minimum of 2 years development experience utilizing AWS cloud technologies (storage, container, compute, security, and automation).**
* **Fluency in Python, SQL, and Unix. High proficiency with generating complex SQL queries is required. Ability to understand and explain complex data integration and extraction / transformation / load processes.**
* **Demonstrated proficiency in utilizing AI tools to perform automated code development and testing tasks as part of typical daily work routine.**
* **Actively promotes reusable processes, engineering patterns, and work products. Demonstrated success at applying standardized automation, secure data practices, and quality routines to data pipelines and information reporting solutions.**
* **Routine development and deployment of application monitoring and alerting capabilities as part of standard pipeline build activities. Extensive experience utilizing DevOps and CI/CD tools as part of regular development activities.**
* **Demonstrated history of converting innovative ideas into scalable, production ready solutions.**
* **Knowledge of data governance tools, processes and policies, as well as influencing their adoption on projects driven by our IT and business partners.**
* **Proven communication skills illustrating ability to effectively interact with people at all levels of business and technology organizations.**
* **Demonstrated skill working directly with stakeholders, business partners, SMEs, systems peers, and cross\-functional teams to collaborate and gain agreement on target solution designs.**
* **Experience providing skill coaching to junior resources, resources transitioning into newer skills and technologies, and mentees.**
* **Insurance and Financial domain experience is highly desired.**
* **Experience working in an Agile environment using Lean, Kanban and Scrum practices.**
**This role will work a hybrid schedule coming into the Columbus, Ohio office 2 days per week.**
**\*\*This role does not qualify for employer\-sponsored work authorization. Nationwide does not participate in the Stem OPT Extension program\*\***
\#LI\-AZ1
**Job Description Summary**
Nationwide’s industry leading workforce is passionate about creating data solutions that are secure, reliable and efficient in support of our mission to provide extraordinary care. Nationwide embraces an agile work environment and collaborative culture through the understanding of business processes, relationship entities and requirements using data analysis, quality, visualization, governance, engineering, robotic process automation, and machine learning to produce targeted data solutions. If you have the drive and desire to be part of a future forward data enabled culture, we want to hear from you.  
As a Data Engineer you’ll be responsible for acquiring, curating, and publishing data for analytical or operational uses. Data should be in a ready\-to\-use form that creates a single version of the truth across all data consumers, including business users, data scientists, and Technology. Ready\-to\-use data can be for both real time and batch data processes and may include unstructured data. Successful data engineers have the skills typically required for the full lifecycle software engineering development from translating requirements into design, development, testing, deployment, and production maintenance tasks. You’ll have the opportunity to work with various technologies from big data, relational and SQL databases, unstructured data technology, and programming languages.**Job Description**
**Key Responsibilities:**
* Provides basic to moderate technical consultation on data product projects by analyzing end to end data product requirements and existing business processes to lead in the design, development and implementation of data products.
* Produces data building blocks, data models, and data flows for varying client demands such as dimensional data, standard and ad hoc reporting, data feeds, dashboard reporting, and data science research \&amp; exploration
* Applies secure software and systems engineering practices throughout the delivery lifecycle to ensure our data and technology solutions are protected from threats and vulnerabilities.
* Translates business data stories into a technical story breakdown structure and work estimate so value and fit for a schedule or sprint is determined.
* Creates simple to moderate business user access methods to structured and unstructured data by such techniques such as mapping data to a common data model, NLP, transforming data as necessary to satisfy business rules, AI, statistical computations and validation of data content.
* Assists the enterprise DevSecOps team and other internal organizations on CI/CD best practices experience using JIRA, Jenkins, Confluence etc.
* Implements production processes and systems to monitor data quality, ensuring production data is always accurate and available for key stakeholders and business processes that depend on it.
* Develops and maintains scalable data pipelines for both streaming and batch requirements and builds out new API integrations to support continuing increases in data volume and complexity.
* Writes and performs data unit/integration tests for data quality With input from a business requirements/story, creates and executes testing data and scripts to validate that quality and completeness criteria are satisfied. Can create automated testing programs and data that are re\-usable for future code changes.
* Practices code management and integration with engineering Git principle and practice repositories.
May perform other responsibilities as assigned.
**Reporting Relationships:** Reports to Manager/Director Data Leader.
**Typical Skills and Experiences:**
**Education**: Undergraduate studies in computer science, management information systems, business, statistics, math, a related field or comparable experience and education strongly preferred. Graduate studies in business, statistics, math, computer science or a related field are a plus.
**License/Certification/Designation**: Certifications are not required but encouraged.
**Experience**: Three to five years of relevant experience with data quality rules, data management organization/standards, practices and software development. Experience in data warehousing, statistical analysis, data models, and queries. One to three years’ experience with Cloud technology and infrastructure including security and access management. Insurance/financial services industry knowledge a plus.
**Knowledge, Abilities and Skills**: Data application and practices knowledge. Moderate to advanced skills with modern programming and scripting languages (e.g., SQL, R, Python, Spark, UNIX Shell scripting, Perl, or Ruby). Good problem solving, oral and written communication skills.
Other criteria, including leadership skills, competencies and experiences may take precedence.
Staffing exceptions to the above must be approved by the hiring manager’s leader and HR Business Partner.
**Values:** Regularly and consistently demonstrates the Nationwide Values.
**Job Conditions:**
**Overtime Eligibility:** Exempt (Not Eligible)
**Working Conditions**: Normal office environment.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Data Engineer : $95,500\.00\-$177,500\.00
The expected starting salary range for Specialist, Data Engineer : $95,500\.00 \- $143,500\.00</t>
        </is>
      </c>
    </row>
    <row r="4">
      <c r="A4" t="inlineStr">
        <is>
          <t>in-b57d69990cd9a71a</t>
        </is>
      </c>
      <c r="B4" t="inlineStr">
        <is>
          <t>Data Engineer II , UTR PLanning Tech</t>
        </is>
      </c>
      <c r="C4" t="inlineStr">
        <is>
          <t>Amazon.com</t>
        </is>
      </c>
      <c r="D4" t="inlineStr">
        <is>
          <t>indeed</t>
        </is>
      </c>
      <c r="E4" t="inlineStr"/>
      <c r="F4" t="inlineStr"/>
      <c r="G4" t="inlineStr">
        <is>
          <t>Bellevue, WA, US</t>
        </is>
      </c>
      <c r="H4" s="1" t="n">
        <v>46070</v>
      </c>
      <c r="I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5">
      <c r="A5" t="inlineStr">
        <is>
          <t>in-c569a1a159f1c991</t>
        </is>
      </c>
      <c r="B5" t="inlineStr">
        <is>
          <t>Data Engineer II , UTR PLanning Tech</t>
        </is>
      </c>
      <c r="C5" t="inlineStr">
        <is>
          <t>Amazon.com</t>
        </is>
      </c>
      <c r="D5" t="inlineStr">
        <is>
          <t>indeed</t>
        </is>
      </c>
      <c r="E5" t="inlineStr"/>
      <c r="F5" t="inlineStr"/>
      <c r="G5" t="inlineStr">
        <is>
          <t>Austin, TX, US</t>
        </is>
      </c>
      <c r="H5" s="1" t="n">
        <v>46070</v>
      </c>
      <c r="I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6">
      <c r="A6" t="inlineStr">
        <is>
          <t>in-378ddc03838d9dd7</t>
        </is>
      </c>
      <c r="B6" t="inlineStr">
        <is>
          <t>Data Engineer II , UTR PLanning Tech</t>
        </is>
      </c>
      <c r="C6" t="inlineStr">
        <is>
          <t>Amazon.com</t>
        </is>
      </c>
      <c r="D6" t="inlineStr">
        <is>
          <t>indeed</t>
        </is>
      </c>
      <c r="E6" t="inlineStr"/>
      <c r="F6" t="inlineStr"/>
      <c r="G6" t="inlineStr">
        <is>
          <t>Nashville, TN, US</t>
        </is>
      </c>
      <c r="H6" s="1" t="n">
        <v>46070</v>
      </c>
      <c r="I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7">
      <c r="A7" t="inlineStr">
        <is>
          <t>in-838dfac8e102d6ca</t>
        </is>
      </c>
      <c r="B7" t="inlineStr">
        <is>
          <t>Data Engineer II, UTR PLanning Tech</t>
        </is>
      </c>
      <c r="C7" t="inlineStr">
        <is>
          <t>Amazon.com</t>
        </is>
      </c>
      <c r="D7" t="inlineStr">
        <is>
          <t>indeed</t>
        </is>
      </c>
      <c r="E7" t="inlineStr"/>
      <c r="F7" t="inlineStr"/>
      <c r="G7" t="inlineStr">
        <is>
          <t>Nashville, TN, US</t>
        </is>
      </c>
      <c r="H7" s="1" t="n">
        <v>46065</v>
      </c>
      <c r="I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
      <c r="A8" t="inlineStr">
        <is>
          <t>in-c05256020ec13d15</t>
        </is>
      </c>
      <c r="B8" t="inlineStr">
        <is>
          <t>Data Engineer II, UTR PLanning Tech</t>
        </is>
      </c>
      <c r="C8" t="inlineStr">
        <is>
          <t>Amazon.com</t>
        </is>
      </c>
      <c r="D8" t="inlineStr">
        <is>
          <t>indeed</t>
        </is>
      </c>
      <c r="E8" t="inlineStr"/>
      <c r="F8" t="inlineStr"/>
      <c r="G8" t="inlineStr">
        <is>
          <t>Bellevue, WA, US</t>
        </is>
      </c>
      <c r="H8" s="1" t="n">
        <v>46065</v>
      </c>
      <c r="I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
      <c r="A9" t="inlineStr">
        <is>
          <t>in-ba996c3f339e3687</t>
        </is>
      </c>
      <c r="B9" t="inlineStr">
        <is>
          <t>Data Engineer I, UTR PLanning Tech</t>
        </is>
      </c>
      <c r="C9" t="inlineStr">
        <is>
          <t>Amazon.com</t>
        </is>
      </c>
      <c r="D9" t="inlineStr">
        <is>
          <t>indeed</t>
        </is>
      </c>
      <c r="E9" t="inlineStr"/>
      <c r="F9" t="inlineStr"/>
      <c r="G9" t="inlineStr">
        <is>
          <t>Austin, TX, US</t>
        </is>
      </c>
      <c r="H9" s="1" t="n">
        <v>46065</v>
      </c>
      <c r="I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0">
      <c r="A10" t="inlineStr">
        <is>
          <t>in-775606e0540e24a5</t>
        </is>
      </c>
      <c r="B10" t="inlineStr">
        <is>
          <t>Data Engineer I, UTR PLanning Tech</t>
        </is>
      </c>
      <c r="C10" t="inlineStr">
        <is>
          <t>Amazon.com</t>
        </is>
      </c>
      <c r="D10" t="inlineStr">
        <is>
          <t>indeed</t>
        </is>
      </c>
      <c r="E10" t="inlineStr"/>
      <c r="F10" t="inlineStr"/>
      <c r="G10" t="inlineStr">
        <is>
          <t>Bellevue, WA, US</t>
        </is>
      </c>
      <c r="H10" s="1" t="n">
        <v>46065</v>
      </c>
      <c r="I1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1">
      <c r="A11" t="inlineStr">
        <is>
          <t>in-58a779357d6e5e85</t>
        </is>
      </c>
      <c r="B11" t="inlineStr">
        <is>
          <t>Data Engineer I, UTR PLanning Tech</t>
        </is>
      </c>
      <c r="C11" t="inlineStr">
        <is>
          <t>Amazon.com</t>
        </is>
      </c>
      <c r="D11" t="inlineStr">
        <is>
          <t>indeed</t>
        </is>
      </c>
      <c r="E11" t="inlineStr"/>
      <c r="F11" t="inlineStr"/>
      <c r="G11" t="inlineStr">
        <is>
          <t>Nashville, TN, US</t>
        </is>
      </c>
      <c r="H11" s="1" t="n">
        <v>46065</v>
      </c>
      <c r="I1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2">
      <c r="A12" t="inlineStr">
        <is>
          <t>in-9ec3995ea42ab06a</t>
        </is>
      </c>
      <c r="B12" t="inlineStr">
        <is>
          <t>Data Engineer II, UTR PLanning Tech</t>
        </is>
      </c>
      <c r="C12" t="inlineStr">
        <is>
          <t>Amazon.com</t>
        </is>
      </c>
      <c r="D12" t="inlineStr">
        <is>
          <t>indeed</t>
        </is>
      </c>
      <c r="E12" t="inlineStr"/>
      <c r="F12" t="inlineStr"/>
      <c r="G12" t="inlineStr">
        <is>
          <t>Austin, TX, US</t>
        </is>
      </c>
      <c r="H12" s="1" t="n">
        <v>46065</v>
      </c>
      <c r="I1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3">
      <c r="A13" t="inlineStr">
        <is>
          <t>in-d7e9d157872f920c</t>
        </is>
      </c>
      <c r="B13" t="inlineStr">
        <is>
          <t>Data Engineer, AMZL Orbit Data Engineering</t>
        </is>
      </c>
      <c r="C13" t="inlineStr">
        <is>
          <t>Amazon.com</t>
        </is>
      </c>
      <c r="D13" t="inlineStr">
        <is>
          <t>indeed</t>
        </is>
      </c>
      <c r="E13" t="inlineStr"/>
      <c r="F13" t="inlineStr"/>
      <c r="G13" t="inlineStr">
        <is>
          <t>Bellevue, WA, US</t>
        </is>
      </c>
      <c r="H13" s="1" t="n">
        <v>46054</v>
      </c>
      <c r="I1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4">
      <c r="A14" t="inlineStr">
        <is>
          <t>in-7f4addbe6da7e3cd</t>
        </is>
      </c>
      <c r="B14" t="inlineStr">
        <is>
          <t>Data Engineer, AMZL Orbit Data Engineering</t>
        </is>
      </c>
      <c r="C14" t="inlineStr">
        <is>
          <t>Amazon.com</t>
        </is>
      </c>
      <c r="D14" t="inlineStr">
        <is>
          <t>indeed</t>
        </is>
      </c>
      <c r="E14" t="inlineStr"/>
      <c r="F14" t="inlineStr"/>
      <c r="G14" t="inlineStr">
        <is>
          <t>Nashville, TN, US</t>
        </is>
      </c>
      <c r="H14" s="1" t="n">
        <v>46054</v>
      </c>
      <c r="I14"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5">
      <c r="A15" t="inlineStr">
        <is>
          <t>in-cef47d8f55c8efb9</t>
        </is>
      </c>
      <c r="B15" t="inlineStr">
        <is>
          <t>Data Engineer, AMZL Orbit Data Engineering</t>
        </is>
      </c>
      <c r="C15" t="inlineStr">
        <is>
          <t>Amazon.com</t>
        </is>
      </c>
      <c r="D15" t="inlineStr">
        <is>
          <t>indeed</t>
        </is>
      </c>
      <c r="E15" t="inlineStr"/>
      <c r="F15" t="inlineStr"/>
      <c r="G15" t="inlineStr">
        <is>
          <t>Austin, TX, US</t>
        </is>
      </c>
      <c r="H15" s="1" t="n">
        <v>46054</v>
      </c>
      <c r="I1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6">
      <c r="A16" t="inlineStr">
        <is>
          <t>in-9fc336ce0b580948</t>
        </is>
      </c>
      <c r="B16" t="inlineStr">
        <is>
          <t>Data Engineer</t>
        </is>
      </c>
      <c r="C16" t="inlineStr">
        <is>
          <t>Amazon.com</t>
        </is>
      </c>
      <c r="D16" t="inlineStr">
        <is>
          <t>indeed</t>
        </is>
      </c>
      <c r="E16" t="inlineStr"/>
      <c r="F16" t="inlineStr"/>
      <c r="G16" t="inlineStr">
        <is>
          <t>San Francisco, CA, US</t>
        </is>
      </c>
      <c r="H16" s="1" t="n">
        <v>46001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7">
      <c r="A17" t="inlineStr">
        <is>
          <t>in-8dea51595ced2394</t>
        </is>
      </c>
      <c r="B17" t="inlineStr">
        <is>
          <t>Data Engineer</t>
        </is>
      </c>
      <c r="C17" t="inlineStr">
        <is>
          <t>Amazon.com</t>
        </is>
      </c>
      <c r="D17" t="inlineStr">
        <is>
          <t>indeed</t>
        </is>
      </c>
      <c r="E17" t="inlineStr"/>
      <c r="F17" t="inlineStr"/>
      <c r="G17" t="inlineStr">
        <is>
          <t>Seattle, WA, US</t>
        </is>
      </c>
      <c r="H17" s="1" t="n">
        <v>46001</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li-4350364210</t>
        </is>
      </c>
      <c r="B2" t="inlineStr">
        <is>
          <t>Data Engineer (L5)</t>
        </is>
      </c>
      <c r="C2" t="inlineStr">
        <is>
          <t>Netflix</t>
        </is>
      </c>
      <c r="D2" t="inlineStr">
        <is>
          <t>linkedin</t>
        </is>
      </c>
      <c r="E2" t="inlineStr"/>
      <c r="F2" t="inlineStr"/>
      <c r="G2" t="inlineStr"/>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are revolutionizing how shows and movies are produced, pushing technological boundaries to efficiently deliver streaming video at a massive scale over the internet, and continuously improving the end\-to\-end user experience with Netflix across their member journey.
 We pride ourselves on using data to inform our decision\-making as we work towards our mission. This requires curating data across various domains such as Growth, Finance, Product, Content, and Studio. All of this data collection and curation is made possible thanks to the amazing Data Engineers of Netflix who bring this data to life.
 Data Engineering at Netflix is a role that requires building systems to process data efficiently and modeling the data to power analytics. These solutions can range from batch data pipelines that bring to life business metrics to real\-time processing services that integrate with our core product features. In addition, we require our Data Engineers to have a rich understanding of large distributed systems on which our data solutions rely. Candidates should have knowledge across several of these skill sets and usually need to be deep in at least one. As a Data Engineer, you also need to have strong communication skills since you will need to collaborate with business, engineering, and data science teams to enable a culture of learning. Learn more about the work of data engineers at Netflix.
 Location of work: We are considering candidates who are willing to relocate to Los Gatos, California, as well as fully\-remote candidates (remote in the US with occasional visits to Los Gatos) depending on the team your skills are most aligned with.
**Who are you?**
* You strive to write elegant code, and you're comfortable with picking up new technologies independently
* You are proficient in at least one major programming language (e.g. Java, Scala, Python) and comfortable working with SQL
* You enjoy helping teams push the boundaries of analytical insights, creating new product features using data, and powering machine\-learning models
* You have a strong background in at least one of the following: distributed data processing or software engineering of data services, or data modeling
* You are familiar with big data technologies like Spark or Flink and comfortable working with web\-scale datasets
* You have an eye for detail, good data intuition, and a passion for data quality
* You appreciate the importance of great documentation and data debugging skills
* You relate to and embody many of the aspects of the Netflix Culture. You love working independently while also collaborating and giving/receiving candid feedback
* You are comfortable working in a rapidly changing environment with ambiguous requirements. You are nimble and take intelligent risks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$380,000\.00 \- $610,000\.00\.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li-4352412152</t>
        </is>
      </c>
      <c r="B3" t="inlineStr">
        <is>
          <t>Data Engineer (L5) - Ads</t>
        </is>
      </c>
      <c r="C3" t="inlineStr">
        <is>
          <t>Netflix</t>
        </is>
      </c>
      <c r="D3" t="inlineStr">
        <is>
          <t>linkedin</t>
        </is>
      </c>
      <c r="E3" t="inlineStr"/>
      <c r="F3" t="inlineStr"/>
      <c r="G3" t="inlineStr"/>
      <c r="H3" t="inlineStr"/>
      <c r="I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**About The Team**
 Ads Data Engineering team sits at the core of building a data ecosystem that will power Netflix’ understanding and decision making about what impact ads have on our business. This team’s main focus is to build rich, connected, and easily accessible data products about ad inventories, forecasting, targeting, ad serving, pacing and much more. We are looking for passionale, mature, and curious software engineers with strong data intuition, analytical mindset and ad ecosystem experience, to contribute to the team’s impact in a quickly evolving.
 We are hiring for several different roles, ranging from senior to staff level for this team.
**Who are you?**
* Beyond talented, you are curious, creative, and tenacious.
* Sharp communicator who can break down and explain complex data problems in clear and concise language.
* You have an extensive background and strong technical expertise working with data at scale, experience with advertising data (preferred) and understand how to build for privacy, and business impact
* You have a high tolerance for ambiguity and fast\-changing context
* Hands\-on experience building batch or streaming production data pipelines, ideally using one or more distributed processing frameworks such as Spark, Flink or Hive/Hadoop
* Knowledge in data modeling and establishing data architecture across multiple systems
* Thrive in a fast paced environment, and see yourself as a partner with the business with the shared goal of moving the business forward.
* Create code that is understandable, simple, and clean, and take pride in its beauty.
* Love freedom and hate being micromanaged. Given context, you're capable of self\-direction.
* Passionate about data quality and delivering effective data to impact the business.
**What will you do?**
* Architect, strengthen, and expand the core data products that scale our Ads business. You’ll get on a team of talented data engineers and envision how all the data elements from multiple sources should fit together as a whole, and then execute on that plan.
* Fully own critical portions of Netflix' Ads data products. Collaborate with stakeholders to understand needs, model tables using software engineering and data warehouse best practices, and develop large scale data processing solutions to ensure the timely delivery of high quality data.
* Partner with Analytics Engineers, Data Scientists, and Software Engineers to create data products that will serve analysis, ML and reporting needs intuitively
* Develop best practices for governance of data sets with sensitive information
* Build strong and collaborative partnerships with data scientists, analytics engineers, and Machine Learning practitioners
**What (ideally) do you know?**
* Domains related to advertising, data privacy, GDPR
* Data warehousing, data modeling, and data transformation for both batch and streaming
* Hands on command programming languages such as python, scala or java as well data exploration using sql
* Expert at building performant data pipelines and optimizing existing workflows for new features
* Big Data tech \- Hadoop, Spark, Flink, Stream processing, Hive, Presto, etc.
* Experience with sourcing and modeling data from application APIs
* Team based software development tools and best practices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li-4356972370</t>
        </is>
      </c>
      <c r="B4" t="inlineStr">
        <is>
          <t>Analytics Engineer 5 - Content Applied Science and Analytics</t>
        </is>
      </c>
      <c r="C4" t="inlineStr">
        <is>
          <t>Netflix</t>
        </is>
      </c>
      <c r="D4" t="inlineStr">
        <is>
          <t>linkedin</t>
        </is>
      </c>
      <c r="E4" t="inlineStr"/>
      <c r="F4" t="inlineStr"/>
      <c r="G4" t="inlineStr">
        <is>
          <t>Los Gatos, CA</t>
        </is>
      </c>
      <c r="H4" t="inlineStr"/>
      <c r="I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mission to entertain the world is anchored in our content, and data is a crucial component in shaping our comprehensive content strategy. As we envision the future of content at Netflix, we're seeking an Analytics Engineer to join the Content Applied Science and Analytics team. In this role, you will partner with key content verticals–including Film, Series, Live, and Licensing–working on both ongoing strategic efforts and new content initiatives. This role will leverage cutting\-edge analysis, data science, metrics, and models to drive progress in these spaces. Your role will extend beyond advising the business on content performance; you'll also be a thought partner to the diverse cross\-functional teams that bring our content to life.
 The ideal candidate for this role will excel at collaborating with partners across our business, using data to help our content teams create and distribute content that drives member value. They will also be a thought leader in the analytics domain, capable of transforming complex metrics and data science outputs into actionable insights.
**What You Will Do**
* Empower New Content Initiatives: You will own the data vision for new content initiatives, defining success metrics, setting the architectural direction, and guiding the strategy for emerging formats from the ground up.
* Own Data Strategy: You will define and lead the analytics roadmap for your vertical, proactively identifying high\-leverage opportunities that shape our comprehensive content strategy.
* Architect Advanced Insights: You will design and implement high\-level analytical frameworks, dashboards, and custom tools that set the standard for how we measure and visualize content performance.
* Elevate Technical Standards: You will act as a technical bar\-raiser for the team–mentoring peers, reviewing technical designs, and establishing best practices to ensure we are building robust, scalable solutions.
**We Are Looking For**
* Creative Thinking: You are a creative problem solver who can look beyond the numbers to understand the art of storytelling, bringing innovative approaches to how we measure and understand content performance.
* Strategic Ownership: You operate with a high degree of autonomy, capable of owning the end\-to\-end vision for complex and ambiguous cross\-functional projects and translating broad business goals into concrete technical strategies. Prior experience building data products, metrics, or strategies from the ground up is a strong plus.
* Technical Leadership \&amp; Mentorship: You pay attention to the details and make a conscious effort to understand causes instead of just the effects. You act as a force multiplier for the team, enjoying the process of mentoring others, conducting code/design reviews, and fostering a culture of technical excellence.
* Influential Communication: Exceptional communication with technical and non\-technical audiences; you can effectively influence senior stakeholders and explain complex technical concepts with clarity.
* Analytical Rigor \&amp; Visual Storytelling: Combines grounded statistical methodology with visualization engineering to transform complex quantitative analysis into high\-impact dashboards and custom data tools (e.g., Plotly Dash, Tableau, Looker) that drive business decisions.
* Technical Proficiency: Delivers scalable data solutions by merging advanced SQL and Python proficiency with data engineering workflows, ensuring reliability through engineering best practices like CI/CD, testing, and version control.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5">
      <c r="A5" t="inlineStr">
        <is>
          <t>li-4350146038</t>
        </is>
      </c>
      <c r="B5" t="inlineStr">
        <is>
          <t>Data Engineer 5 - Privacy</t>
        </is>
      </c>
      <c r="C5" t="inlineStr">
        <is>
          <t>Netflix</t>
        </is>
      </c>
      <c r="D5" t="inlineStr">
        <is>
          <t>linkedin</t>
        </is>
      </c>
      <c r="E5" t="inlineStr"/>
      <c r="F5" t="inlineStr"/>
      <c r="G5" t="inlineStr"/>
      <c r="H5" t="inlineStr"/>
      <c r="I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are in the midst of major transformative developments for the Netflix product with the launch of an Advertising supported plan, Games and Live content. These new products, alongside our streaming service, have resulted in significant increases in the complexity and breadth of our internal data ecosystem. We manage one of the largest paid subscription businesses and are committed to handling our members’ data with a high degree of care towards appropriate use as well as compliance with local privacy laws and regulations in the 190\+ countries where we operate.
 The Privacy and Legal Data Engineering pod builds scalable data management and extraction frameworks which are at the core of our ability to hold ourselves to the highest data privacy and hygiene standards in the industry.
 We are looking for a Data Engineer to help augment our ability to build these robust, scalable privacy centric data frameworks. As part of this team, you will work on diverse data technologies such as Spark, Presto, Flink, Kafka and others to build insightful, scalable and robust data pipelines; write ETL jobs to collect and aggregate data; and build high quality data frameworks that enable appropriate handling of customer personal data.
 The ideal candidate will bring a strong track record of having built data systems and frameworks to strengthen the privacy posture at large consumer businesses. They will have a deep background in distributed data processing and share our passion for continuously improving the ways we handle data to make Netflix's data privacy posture better.
**Who You Are**
* Passionate about consumer centric data privacy and risk mitigation for the business
* Highly proficient in at least one of Java, Python or Scala with at least 8 years of software/data engineering experience
* Proficient in advanced SQL and effective in a complex data environment
* Highly experienced in engineering data pipelines using big data technologies (Hive, Presto, Spark, Flink) on medium to large scale data sets
* Comfortable working cross functionally with multiple types of stakeholders groups
* Able to successfully lead large, complex systems design and implementation challenges independently
**What You Will Do**
* Design and implement elegant frameworks to scalably meet various internal and consumer facing data privacy and legal needs
* Engineer efficient, adaptable and scalable data pipelines to process structured and unstructured data
* Develop a deep understanding of the data ecosystem at Netflix from a privacy lens
* Partner with the privacy engineering teams to understand product goals and provide data which enables us to respond to customer and regulatory data requests
* Mentor and inspire teammates while elevating the impact of the team
* Enable Netflix to effectively manage legal and regulatory risk and compliance while maintaining a high standard of consumer data privacy expectations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$380,000\.00 \- $610,000\.00\.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
      <c r="A6" t="inlineStr">
        <is>
          <t>li-4367574044</t>
        </is>
      </c>
      <c r="B6" t="inlineStr">
        <is>
          <t>Senior Data Engineer, Data Products</t>
        </is>
      </c>
      <c r="C6" t="inlineStr">
        <is>
          <t>The Hershey Company</t>
        </is>
      </c>
      <c r="D6" t="inlineStr">
        <is>
          <t>linkedin</t>
        </is>
      </c>
      <c r="E6" t="inlineStr"/>
      <c r="F6" t="inlineStr"/>
      <c r="G6" t="inlineStr">
        <is>
          <t>Dallas, TX</t>
        </is>
      </c>
      <c r="H6" t="inlineStr"/>
      <c r="I6" t="inlineStr">
        <is>
          <t>Job Location: Remote
 This position can be Remote based in US, Dallas,TX in our Frisco office or at 19E in Hershey, PA
**Summary**
 The Senior Data Engineer, Data Products, plays a critical role in designing, building, and operating enterprise grade data products that power analytics, reporting, and AI across Hershey’s business domains. This role ensures data pipelines, models, and foundational components are scalable, performant, governed, and reusable — enabling consistent access to trusted data at enterprise scale.
 Senior Data Engineers work closely with Data Product Managers, Architects, Domain SMEs, and Platform Engineering to translate business requirements into robust technical solutions using modern data engineering patterns and cloud\-native tooling. The role supports the end\-to\-end lifecycle of data products, from ingestion and modeling to certification, documentation, and sustainable operations.
 This role is foundational to Hershey’s long\-term data strategy. By contributing to reusable, governed, and durable data products, the Senior Data Engineer helps establish the enterprise system of record for analytics, enabling efficiency, consistency, and innovation across the company.
**What We Are Building For Hershey**
 This role contributes directly to Hershey’s enterprise data strategy by engineering durable, reusable, and governed data products that become the system of record for analytics and future AI innovation. These data products are designed to scale across domains, reduce duplication, increase trust, and accelerate enterprise decision\-making.
 By applying engineering rigor, governance\-by\-design practices, and modern cloud\-native architecture, the Senior Data Engineer helps transition Hershey from one\-off data solutions to long lived, production\-grade assets that fuel efficiency, growth, and innovation across the enterprise.
**Major Duties \&amp; Responsibilities**
**Data Product Engineering \&amp; Delivery:**
* Partner with business stakeholders to translate business requirements into technical designs and acceptance criteria.
* Design, build, and maintain scalable and reusable data pipelines and transformations using Azure and Databricks.
* Implement robust ingestion frameworks, standardized patterns, and repeatable workflows aligned to enterprise engineering practices.
* Build and optimize physical and semantic data models supporting analytics, reporting, and AI/ML use cases.
**Technical \&amp; Architectural Implementation**
* Apply best practices related to performance tuning, cost optimization, security, and reliability.
* Ensure alignment with enterprise architecture, including shared infrastructure, canonical models, and platform standards.
* Implement efficient data processing patterns (e.g., Delta Lake, medallion architecture, orchestration frameworks).
**Governance, Quality, \&amp; Operations**
* Embed governance\-by\-design principles including lineage, metadata, documentation, and certification standards.
* Implement data quality rules, monitoring, and automated checks to ensure accuracy, completeness, and trust.
**Collaboration Across Domains**
* Work closely with business domain teams to validate that data products meet end\-user needs and match business definitions.
* Partner with Platform Engineering on pipeline frameworks, infrastructure patterns, and optimization.
* Collaborate with Data Operations \&amp; Enablement to ensure strong documentation, certification, and governance coverage.
**Minimum Knowledge, Skills, And Abilities**
* Data Engineering \&amp; Pipelines: Strong experience with ETL/ELT design, distributed processing, pipeline optimization, and enterprise scale data workflows.
* Cloud \&amp; Platform Expertise: Hands\-on experience with Databricks and cloud data platforms such as Azure (preferred) or AWS, including data lakes, orchestration, and scalable compute.
* Programming \&amp; Development: Proficient in Python, SQL, modular coding, APIs, source control, and automation tools.
* Data Modeling \&amp; Architecture: Skilled in dimensional and semantic modeling, database design, and building performant, governed analytics\-ready structures.
* Data Quality, Metadata \&amp; Curation: Capable of cleansing, transforming, and validating data; familiar with lineage, cataloging, and data quality frameworks.
* Collaboration \&amp; Communication: Able to translate business needs into technical solutions and clearly communicate technical concepts in cross\-functional settings.
**Experience And Education**
* Bachelor's/Master's in Data Science, Engineering, or a related field.
* 5 – 7 years of experience in data, analytics, or engineering roles
* Proficiency in one or more general\-purpose programming languages (e.g., Java, C/C\+\+, C\#, Python, JavaScript).
* Working knowledge of SQL\-based and NoSQL technologies (e.g., PostgreSQL, MySQL, MongoDB)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7">
      <c r="A7" t="inlineStr">
        <is>
          <t>li-4376372360</t>
        </is>
      </c>
      <c r="B7" t="inlineStr">
        <is>
          <t>Data Engineer</t>
        </is>
      </c>
      <c r="C7" t="inlineStr">
        <is>
          <t>Wiraa</t>
        </is>
      </c>
      <c r="D7" t="inlineStr">
        <is>
          <t>linkedin</t>
        </is>
      </c>
      <c r="E7" t="inlineStr"/>
      <c r="F7" t="inlineStr"/>
      <c r="G7" t="inlineStr"/>
      <c r="H7" t="inlineStr"/>
      <c r="I7" t="inlineStr">
        <is>
          <t>**About The Company**
 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 Take the time you need, when you need it
* 401(k) with Generous Employer Match – Invest in your future
* Comprehensive Benefits – Medical, dental, vision, \&amp; mental health
* Global Tuition and Gym Reimbursement – Learn and grow on us
* Standby Flight Program – Explore the world
* Inclusive, Collaborative Culture –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**About The Role**
 As a Data Engineer at ATPCO, you will play a crucial role in building and optimizing our data infrastructure. Your primary responsibilities will include developing scalable data pipelines, managing data storage solutions, and ensuring the reliability and availability of our data platform. You will work closely with cross\-functional teams, including data scientists, software engineers, and business stakeholders, to understand their data needs and deliver high\-quality, efficient solutions. This role offers an exciting opportunity to handle hundreds of terabytes of data daily, utilizing the latest AWS services and technologies.
 You will be instrumental in designing data models, implementing real\-time data streaming architectures, and ensuring data security and privacy. Your expertise will help us enhance our data architecture, following Data Mesh principles, to foster domain\-oriented data ownership and federated governance. Mentoring junior team members and ensuring adherence to best practices will also be a key aspect of your responsibilities.
**Qualifications**
* Strong programming skills in Python, Java, or Scala, with experience in data manipulation and transformation frameworks
* Proven experience as a data engineer, with a track record of designing and building large\-scale data processing systems
* Deep understanding of data modeling concepts and data management principles
* Extensive experience with SQL and working with relational and non\-relational databases
* Knowledge of Data Mesh principles and experience implementing data architectures following these concepts within AWS
* Hands\-on experience with real\-time data streaming architectures using AWS services like Amazon Kinesis or Apache Kafka
* Familiarity with AWS cloud services such as AWS Glue, AWS Lambda, AWS EMR, AWS S3, Amazon Redshift, and their data functionalities
* Understanding of AWS security services and features for data security and privacy
* Bachelor's or Master's degree in Computer Science, Information Systems, or a related field
**Responsibilities**
* Collaborate with data scientists, analysts, and stakeholders to understand data requirements and design appropriate data models and schemas
* Develop, maintain, and optimize scalable data pipelines and ETL processes for large data volumes from various sources
* Build and enhance data storage solutions including data warehouses, data lakes, and big data platforms using AWS services
* Implement real\-time data streaming architectures to facilitate immediate data processing and analytics
* Perform data profiling, cleansing, and transformation to prepare data for analysis and reporting
* Ensure data security and privacy by implementing appropriate measures using AWS security tools
* Design data architectures aligned with Data Mesh principles, promoting domain\-oriented data ownership and federated governance
* Mentor and review work of junior data engineers, ensuring adherence to best practices and standards
**Benefits**
* Remote\-First Work Environment
* Leave Your Way PTO Policy
* Competitive Salary Range: $92,686 – $125,000
* Comprehensive Medical, Dental, Vision, and Mental Health Benefits
* Global Tuition Reimbursement and Gym Membership Reimbursement
* Standby Flight Program for Travel Opportunities
* Inclusive and Collaborative Work Culture
 Equal Opportunity
 At ATPCO, we are deeply committed to diversity, equity, and inclusion. Our policies promote a supportive work environment that values and respects all employees. We consider qualified applicants without regard to race, gender, age, color, religion, national origin, citizenship status, marital status, disability, sexual orientation, protected military/veteran status, gender identity or expression, genetic information, medical condition, or any other legally protected factor. All your information will be kept confidential according to EEO guidelines.</t>
        </is>
      </c>
    </row>
    <row r="8">
      <c r="A8" t="inlineStr">
        <is>
          <t>li-4376384049</t>
        </is>
      </c>
      <c r="B8" t="inlineStr">
        <is>
          <t>Data Engineer</t>
        </is>
      </c>
      <c r="C8" t="inlineStr">
        <is>
          <t>Hirenza</t>
        </is>
      </c>
      <c r="D8" t="inlineStr">
        <is>
          <t>linkedin</t>
        </is>
      </c>
      <c r="E8" t="inlineStr"/>
      <c r="F8" t="inlineStr"/>
      <c r="G8" t="inlineStr"/>
      <c r="H8" t="inlineStr"/>
      <c r="I8" t="inlineStr">
        <is>
          <t>**About The Company**
 PSA Ventures is a forward\-thinking investment and technology firm dedicated to leveraging innovative data solutions to drive strategic growth and operational excellence. With a commitment to harnessing the power of data, PSA Ventures specializes in developing cutting\-edge analytics platforms and data infrastructures that empower businesses to make informed decisions. Our team is composed of industry experts and technology enthusiasts who are passionate about transforming raw data into actionable insights, fostering a culture of innovation and continuous improvement. As a leader in the digital transformation space, PSA Ventures strives to create value for our clients and stakeholders through advanced data engineering practices and scalable cloud\-based solutions.
**About The Role**
 We are seeking a highly skilled Senior Data Engineer to join our dynamic team at PSA Ventures. In this role, you will be responsible for designing, developing, and maintaining robust data pipelines that facilitate the ingestion, transformation, and delivery of both structured and unstructured data. Your expertise will be pivotal in supporting our analytics and reporting initiatives by optimizing data workflows on AWS cloud platforms and ensuring data integrity, security, and compliance. The ideal candidate will have a strong background in data engineering, experience with cloud\-native tools and services, and a passion for building scalable, efficient data architectures. You will collaborate closely with cross\-functional teams, including data scientists, analysts, and software developers, to translate business requirements into technical solutions that deliver measurable value.
**Qualifications**
* A Master’s degree in Computer Science, Computer Information Systems, or a related field.
* Minimum of 2 years of professional experience in data engineering or related roles.
* Proficiency in designing and developing data pipelines using AWS Glue, Lambda, S3, Redshift, and PostgreSQL.
* Hands\-on experience managing ETL/ELT workflows with tools such as Airflow, dbt, and AWS services.
* Strong SQL skills with the ability to optimize queries, indexing, and storage configurations for performance improvements.
* Experience with cloud\-native security and governance protocols, including AWS Lake Formation, IAM policies, VPC configurations, and related services.
* Knowledge of container orchestration platforms such as EKS is preferred.
* Excellent problem\-solving skills, attention to detail, and the ability to work collaboratively in a fast\-paced environment.
* Strong communication skills to effectively gather requirements and translate them into technical specifications.
**Responsibilities**
* Design, develop, and maintain scalable data pipelines for ingesting, transforming, and delivering data from various sources, including structured and unstructured datasets.
* Manage ETL/ELT workflows to support analytics, reporting, and data science initiatives, ensuring data quality and consistency.
* Leverage AWS Glue, Lambda, S3, Redshift, and PostgreSQL to build and optimize data processing architectures.
* Collaborate with cross\-functional teams to understand data requirements and translate them into technical solutions aligned with business goals.
* Implement and automate CI/CD pipelines to streamline data workflow deployment, updates, and monitoring.
* Optimize data workflows on Snowflake and AWS platforms by fine\-tuning SQL queries, indexing strategies, and storage configurations for enhanced processing speed and efficiency.
* Ensure data security, governance, and compliance by implementing AWS Lake Formation, IAM policies, and VPC configurations.
* Monitor, troubleshoot, and resolve data pipeline issues to maintain high availability and reliability of data services.
* Document data architecture, workflows, and security protocols to facilitate knowledge sharing and compliance audits.
**Benefits**
 At PSA Ventures, we value our employees and offer a comprehensive benefits package designed to support your professional and personal growth. You will have access to competitive salary packages, health insurance plans, and retirement savings options. We promote a flexible work environment with opportunities for remote work and flexible hours to foster work\-life balance. Our commitment to continuous learning includes access to training programs, certifications, and industry conferences. You will also be part of a collaborative team that encourages innovation, knowledge sharing, and career development. Additionally, PSA Ventures provides various wellness programs and employee engagement initiatives to ensure a positive and productive workplace experience.
 Equal Opportunity
 PSA Ventures is an equal opportunity employer. We celebrate diversity and are committed to creating an inclusive environment for all employees. We do not discriminate based on race, ethnicity, gender, age, sexual orientation, disability, or any other protected characteristic. Our hiring practices are designed to promote fairness and equal opportunity, ensuring that all qualified candidates have the chance to contribute to our success and grow within our organization.</t>
        </is>
      </c>
    </row>
    <row r="9">
      <c r="A9" t="inlineStr">
        <is>
          <t>li-4374986673</t>
        </is>
      </c>
      <c r="B9" t="inlineStr">
        <is>
          <t>Data Engineer</t>
        </is>
      </c>
      <c r="C9" t="inlineStr">
        <is>
          <t>FetchJobs.co</t>
        </is>
      </c>
      <c r="D9" t="inlineStr">
        <is>
          <t>linkedin</t>
        </is>
      </c>
      <c r="E9" t="inlineStr"/>
      <c r="F9" t="inlineStr"/>
      <c r="G9" t="inlineStr"/>
      <c r="H9" t="inlineStr"/>
      <c r="I9" t="inlineStr">
        <is>
          <t>**About The Company**
 Procter \&amp; Gamble (P\&amp;G) is a globally renowned consumer goods company with a rich history spanning over 180 years. Originally founded as a modest soap and candle manufacturer, P\&amp;G has evolved into the world's largest consumer goods corporation, trusted by consumers worldwide. The company's portfolio includes some of the most recognized and respected brands such as Always®, Ariel®, Gillette®, Head \&amp; Shoulders®, Herbal Essences®, Oral\-B®, Pampers®, Pantene®, and Tampax®, among others. P\&amp;G operates in approximately 70 countries, serving diverse markets with a commitment to quality, innovation, and sustainability. The company's core values are rooted in leadership, innovation, and citizenship, guiding its responsible governance and ethical business practices. P\&amp;G strives to make a positive impact on society and the environment while delivering exceptional value to its consumers and stakeholders.
**About The Role**
 We are seeking a highly skilled and motivated Senior Data/Software Engineer to join our Data Quality team within the Data \&amp; Analytics Core Data Lake Platform at P\&amp;G. This role offers an exciting opportunity to work at the forefront of data engineering and analytics, leveraging modern Agile and DevOps practices to develop, test, and deploy robust IT systems and applications. As a key member of our team, you will contribute to the development of digital products and frameworks that enhance data cataloging and discoverability, supporting our global business operations. The ideal candidate will have a strong background in data engineering, software development, and data quality management, with a passion for delivering high\-quality solutions in a fast\-paced, collaborative environment.
**Qualifications**
 The ideal candidate will possess the following qualifications:
* A Bachelor's degree in Computer Science, Information Technology, or a related technical field.
* At least 8 years of professional experience as a Software or Data Engineer, with extensive hands\-on experience in Python, PySpark, and Databricks.
* Familiarity with open\-source libraries and tools for data quality management such as Great Expectations and Deequ.
* Strong understanding of Data Quality concepts and dimensions, with practical experience implementing data quality frameworks.
* Proficiency in modern software engineering practices including code standards, Gitflow, automated testing, CICD pipelines, and DevOps methodologies.
* Experience working with Cloud infrastructure, preferably Azure, and integrating data solutions within cloud environments.
* A demonstrated commitment to producing high\-quality software through collaboration, testing, code reviews, and adherence to best practices.
**Responsibilities**
 As a Senior Data/Software Engineer in our Data Quality team, your primary responsibilities will include:
* Designing, developing, and maintaining data quality libraries and frameworks using Python to ensure data reliability and integrity.
* Supporting the design, building, and optimization of data pipelines to facilitate efficient data processing and analytics.
* Implementing and monitoring data quality metrics to ensure compliance with established data quality dimensions.
* Collaborating closely with data engineers, analysts, and other stakeholders to gather requirements and improve data quality processes.
* Evaluating and integrating open\-source data quality libraries into existing systems to enhance functionality.
* Troubleshooting and resolving data\-related issues promptly to minimize impact on business operations.
* Documenting processes, data models, and system architecture to facilitate knowledge sharing and compliance.
* Engineering applications throughout their lifecycle, including development, deployment, upgrades, and decommissioning.
* Ensuring all development and architecture align with established standards, including modern software engineering practices such as CICD, Agile, and DevOps.
**Benefits**
 Joining P\&amp;G provides numerous benefits, including:
* Continuous mentorship and professional development through formal training programs and day\-to\-day guidance from experienced managers.
* A dynamic and supportive work environment that values diversity, encourages initiative, and promotes work/life balance.
* Opportunities to work on innovative projects that have a global impact, fostering personal and professional growth.
* Competitive compensation packages and comprehensive health benefits.
* Access to state\-of\-the\-art tools and technologies, enabling you to excel in your role.
* A culture that emphasizes ethics, responsibility, and sustainable business practices.
 Equal Opportunity
 Procter \&amp; Gamble is an equal\-opportunity employer that values diversity and inclusion in the workplace. We do not discriminate against any individual based on race, color, gender, age, national origin, religion, sexual orientation, gender identity or expression, marital status, citizenship, disability, HIV/AIDS status, or any other legally protected characteristic. Our hiring process is designed to be fair and personalized, ensuring equal opportunities for all candidates. We are committed to fostering an inclusive environment where everyone can thrive and contribute to our shared success. All job opportunities are posted on our official website pgcareers.com or our social media channels and do not require any payment from applicants at any stage of the process.</t>
        </is>
      </c>
    </row>
    <row r="10">
      <c r="A10" t="inlineStr">
        <is>
          <t>li-4351841491</t>
        </is>
      </c>
      <c r="B10" t="inlineStr">
        <is>
          <t>Sr Data Engineer - Project Hire</t>
        </is>
      </c>
      <c r="C10" t="inlineStr">
        <is>
          <t>The Walt Disney Company</t>
        </is>
      </c>
      <c r="D10" t="inlineStr">
        <is>
          <t>linkedin</t>
        </is>
      </c>
      <c r="E10" t="inlineStr"/>
      <c r="F10" t="inlineStr"/>
      <c r="G10" t="inlineStr">
        <is>
          <t>Glendale, CA</t>
        </is>
      </c>
      <c r="H10" t="inlineStr"/>
      <c r="I10" t="inlineStr">
        <is>
          <t>This is not a remote role \- you must be in the area or willing to relocate
 Senior Data Engineer
 The Studio Technology group at Walt Disney Studios comprises teams providing scalable, secure, and innovative technology solutions to enable the present and future of cinematic storytelling. The Data Platforms store, analyze, report on, and visualize data and insights for everything from the ﬁnancial engines that keep the Studio running to marketing and consumer applications that touch millions of people, to production data that supports the creation of Disney's wide array of ﬁlms and series.
 As a Senior Data Engineer at The Walt Disney Studios, you will play a pivotal role in the transformation of data into actionable insights. Collaborate with our dynamic team of technologists to develop cutting\-edge data solutions that drive innovation and fuel business growth. Your responsibilities will include managing complex data structures and delivering scalable and efficient data solutions. Your expertise in data engineering will be crucial in optimizing our data\-driven decision\-making processes. If you're passionate about leveraging data to make a tangible impact, we welcome you to join us in shaping the future of our organization.
**Key Responsibilities**
* Contribute to maintaining, updating, and expanding existing Core Data platform data pipelines
* Build tools and services to support data discovery, lineage, governance, and privacy
* Engage with and understand our customers, forming relationships that allow us to understand and prioritize both innovative new offerings and incremental platform improvements
* Collaborate with other software/data engineers and cross\-functional teams
* Tech stack includes Airflow, Spark, Databricks, Delta Lake, Kubernetes and AWS
* Collaborate with product managers, architects, and other engineers to drive the success of the Core Data platform
* Contribute to developing and documenting both internal and external standards and best practices for pipeline configurations, naming conventions, and more
* Ensure high operational efficiency and quality of the Core Data platform datasets to ensure our solutions meet SLAs and project reliability and accuracy to all our stakeholders (Engineering, Data Science, Operations, and Analytics teams)
* Be an active participant and advocate of agile/scrum ceremonies to collaborate and improve processes for our team
* Maintain detailed documentation of your work and changes to support data quality and data governance requirements
**Qualifications**
* Must have 5\+ years of data engineering experience developing large data pipelines
* Must have proficiency in at least one major programming language (e.g. Python, Java, Scala)
* Strong SQL skills and ability to create queries to analyze complex datasets
* Must have hands\-on production environment experience with distributed processing systems such as Spark
* Must have hands\-on production experience with data pipeline orchestration systems such as Airflow for creating and maintaining data pipelines
* Experience with Databricks
* Experience with Snowflake a plus
* Deep Understanding of AWS or other cloud providers as well as infrastructure as code
* Familiarity with Data Modeling techniques and Data Warehousing standard methodologies and practices
* Strong algorithmic problem\-solving expertise
* Excellent written and verbal communication
* Advance understanding of OLTP vs OLAP environments
* Willingness and ability to learn and pick up new skill sets
* Self\-starting problem solver with an eye for detail and excellent analytical and communication skills
* Familiar with Scrum and Agile methodologies
* Bachelor’s Degree in Computer Science, Information Systems equivalent industry experience
 \#DISNEYTECH
 The hiring range for this position in Glendale $141,900\.00 to $182,000\.00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1">
      <c r="A11" t="inlineStr">
        <is>
          <t>li-4352219639</t>
        </is>
      </c>
      <c r="B11" t="inlineStr">
        <is>
          <t>Senior Analytics Engineer</t>
        </is>
      </c>
      <c r="C11" t="inlineStr">
        <is>
          <t>TRM Labs</t>
        </is>
      </c>
      <c r="D11" t="inlineStr">
        <is>
          <t>linkedin</t>
        </is>
      </c>
      <c r="E11" t="inlineStr"/>
      <c r="F11" t="inlineStr"/>
      <c r="G11" t="inlineStr"/>
      <c r="H11" t="inlineStr"/>
      <c r="I11" t="inlineStr">
        <is>
          <t>Build a Safer World.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a Senior Analytics Engineer on our Advanced Analytics team, you will help mature and scale the foundation of our analytics data ecosystem. You’ll play a leading role in shaping best practices in analytics engineering and will be instrumental in driving data architecture, quality, performance, and reliability across the organization.
 This is a high\-impact, senior\-level role built for someone who brings a strong background in analytics/data engineering and data science, and who can thrive in ambiguous environments and independently drive critical initiatives that improve how we model, transform, and use data across TRM. Within 6–12 months, your work will have improved the scalability and reliability of our analytics infrastructure and established the gold standard for analytics engineering practices across the team.
**The impact you will have here:**
* Lead the development and optimization of analytics pipelines and data models that power TRM’s products, investigations, and decision\-making — enabling teams across the company and our customers (including former FBI, Secret Service, and Europol agents) to detect and respond to financial crime in the crypto space.
* Define and implement best practices in analytics engineering (e.g., testing, observability, versioning, documentation), helping to level up the team’s development workflows and data reliability
* Improve the scalability and maintainability of our analytics data ecosystem, which process large volume of data, through thoughtful architectural decisions and tooling improvements.
* Partner closely with data scientists, data engineers, product and business teams to deliver production\-ready datasets that support models, metrics, and investigative workflows.
* Establish best\-in\-class data quality solutions to increase the reliability and accuracy of our data
* Investigate performance issues, and bring creative, durable solutions to improve long\-term reliability, cost and developer experience.
* Drive adoption of modern data tools and workflows, helping the team evolve toward best\-in\-class analytics engineering practices.
* Contribute to team on\-call responsibilities that support the health and availability of our analytics and data science infrastructure (on\-call is lightweight and shared equitably).
**What we’re looking for:**
* 8\+ years of experience in analytics engineering, data engineering, or data science with a strong focus on building and scaling analytics workflows.
* Strong experience across the entire Data Engineering lifecycle (from ETLs, Data Model design, infra, Data Quality, architecture etc.)
* Deep proficiency in SQL and experience developing robust, modular data models using dbt (or equivalent tools) in a production environment.
* Strong software engineering fundamentals, including experience with Python, CI/CD pipelines, and automated testing.
* Proficiency in defining robust and scalable data models using best practices.
* Experience using LLMs as well enabling AI through high quality data infrastructure.
* Hands\-on experience with cloud data warehouses and infrastructure (e.g., Snowflake, BigQuery, Redshift) and data orchestration tools (e.g., Airflow, Dagster, Prefect).
* Proficiency in developing compelling dashboards using tools like Looker, Tableau, Power BI, Plotly or similar.
* Excellent communication skills — you can explain complex technical concepts to non\-technical audiences and influence key decisions with clarity and data.
**About the Team:**
- The Advanced Analytics team helps TRM’s customers to have the most reliable and impactful data and insights. The team builds the data foundation and Analytics products for TRM’s insights and investigative capabilities. We develop high\-leverage datasets, metrics, and insights used by internal teams and customers to combat fraud, hacks, and illicit activity on the blockchain.
- We’re a distributed team with a collaborative and inclusive culture. Most of our meetings and syncs occur between 7am–12pm PST to ensure time zone overlap.
 On\-call responsibilities are shared across the team and intentionally kept lightweight (e.g., \&lt;1hr/day during a weeklong shift every few months).
**Learn about TRM Speed in this position:**
* Deliver a last minute impactful project for a key customer
* Build complex products effectively with tight timeframes (1\-2 sprints for MVP)
* Work on several projects in parallel with different priorities and stakeholders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**Learn more:** 
 Interviewing at TRM: How We Hire and What Success Looks Like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12">
      <c r="A12" t="inlineStr">
        <is>
          <t>li-4367931566</t>
        </is>
      </c>
      <c r="B12" t="inlineStr">
        <is>
          <t>Data Engineer- (AWS/PySpark/ETL)</t>
        </is>
      </c>
      <c r="C12" t="inlineStr">
        <is>
          <t>JPMorganChase</t>
        </is>
      </c>
      <c r="D12" t="inlineStr">
        <is>
          <t>linkedin</t>
        </is>
      </c>
      <c r="E12" t="inlineStr"/>
      <c r="F12" t="inlineStr"/>
      <c r="G12" t="inlineStr">
        <is>
          <t>Columbus, OH</t>
        </is>
      </c>
      <c r="H12" t="inlineStr"/>
      <c r="I12" t="inlineStr">
        <is>
          <t>**Job Description**
**Job Description**
 Be part of a dynamic team where your distinctive skills will contribute to a winning culture and team.
 As a Data Engineer III at JPMorgan Chase within the Consumer and Community Banking and Data Technology, you serve as a seasoned member of an agile team to design and deliver trusted data collection, storage, access, and analytics solutions in a secure, stable, and scalable way. As a core technical contributor, you are responsible for conducting critical technology solutions across multiple technical areas within various business functions in support of the firm’s business objectives.
**Job Responsibilities**
* Develops secure high\-quality production code, and reviews and debugs code written by others
* Executes creative software solutions, design, development, and technical troubleshooting with ability to think beyond routine or conventional approaches to build solutions or break down technical problems
* Identifies opportunities to eliminate or automate remediation of recurring issues to improve overall operational stability of software applications and systems
* Collaborate closely with cross\-functional teams to develop efficient data pipelines to support various data\-driven initiatives
* Implement best practices for data engineering, ensuring data quality, reliability, and performance
* Contribute to data modernization efforts by leveraging cloud solutions and optimizing data processing workflows
* Perform data extraction and implement complex data transformation logic to meet business requirements
* Leverage advanced analytical skills to improve data pipelines and ensure data delivery is consistent across projects
* Monitor and executes data quality checks to proactively identify and address anomalies
* Ensure data availability and accuracy for analytical purposes
* Communicate technical concepts to both technical and non\-technical stakeholders
**Required Qualifications, Capabilities, And Skills**
* Experience with ETL tools like Ab Initio, Informatica, Data Pipeline and workflow management tools (Airflow, etc.)
* Strong hands on coding experience with PySpark, Python and AWS
* Experience working with modern Data Lakes : (Snowflake, Databricks etc.)
* Hands\-on practical experience delivering system design, application development, testing, and operational stability
* Very strong problem solving skills
* Proficiency in automation and continuous delivery methods
**Preferred Qualifications, Capabilities, And Skills**
* Advanced in one or more programming language(s) like SQL, Java etc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etc.)
* In\-depth knowledge of the financial services industry and their IT systems Practical cloud native experience
* Proven leadership and mentoring experience with varying levels of software engineers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
      <c r="A13" t="inlineStr">
        <is>
          <t>li-4374989067</t>
        </is>
      </c>
      <c r="B13" t="inlineStr">
        <is>
          <t>Analytics Engineer</t>
        </is>
      </c>
      <c r="C13" t="inlineStr">
        <is>
          <t>RemoteHunter</t>
        </is>
      </c>
      <c r="D13" t="inlineStr">
        <is>
          <t>linkedin</t>
        </is>
      </c>
      <c r="E13" t="inlineStr"/>
      <c r="F13" t="inlineStr"/>
      <c r="G13" t="inlineStr"/>
      <c r="H13" t="inlineStr"/>
      <c r="I13"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
      <c r="A14" t="inlineStr">
        <is>
          <t>li-4374202470</t>
        </is>
      </c>
      <c r="B14" t="inlineStr">
        <is>
          <t>Specialist, Data Engineer</t>
        </is>
      </c>
      <c r="C14" t="inlineStr">
        <is>
          <t>Nationwide</t>
        </is>
      </c>
      <c r="D14" t="inlineStr">
        <is>
          <t>linkedin</t>
        </is>
      </c>
      <c r="E14" t="inlineStr"/>
      <c r="F14" t="inlineStr"/>
      <c r="G14" t="inlineStr">
        <is>
          <t>Columbus, OH</t>
        </is>
      </c>
      <c r="H14" t="inlineStr"/>
      <c r="I14"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**If you are passionate about the importance of data engineering and delivering clean, automated, integrated, and governed data required to fulfill our company’s most critical strategic objectives, then we have a great opportunity for you. As a member of the Enterprise Data Office, the Data Engineer works closely with our Dev Line partners, Data Architects, business stakeholders, platform owners, and a host of other internal actors in the designing, building, and operationalizing of end\-to\-end data delivery solutions.**
**This position combines hands\-on data engineering, along with understanding both the strategic goals and desired capabilities of the business units we support. It involves the development of data pipelines and application architecture spanning the gamut of data ingestion, harmonization, and curation to enable business value realization across numerous consumer tiers. As new solutions are developed as part of Build activities, this role is also critical in working with application teams and other key business and IT stakeholders to aid them in the production hand\-off, adoption, and ongoing management of new technologies, processes, and best practices.**
**A successful candidate should possess the following skills and/or experience:**
* Minimum of 3 years performing complex data pipeline development across numerous platforms (e.g. Informatica, Databricks, Snowflake, native Python).
* Minimum of 2 years development experience utilizing AWS cloud technologies (storage, container, compute, security, and automation).
* Fluency in Python, SQL, and Unix. High proficiency with generating complex SQL queries is required. Ability to understand and explain complex data integration and extraction / transformation / load processes.
* Demonstrated proficiency in utilizing AI tools to perform automated code development and testing tasks as part of typical daily work routine.
* Actively promotes reusable processes, engineering patterns, and work products. Demonstrated success at applying standardized automation, secure data practices, and quality routines to data pipelines and information reporting solutions.
* Routine development and deployment of application monitoring and alerting capabilities as part of standard pipeline build activities. Extensive experience utilizing DevOps and CI/CD tools as part of regular development activities.
* Demonstrated history of converting innovative ideas into scalable, production ready solutions.
* Knowledge of data governance tools, processes and policies, as well as influencing their adoption on projects driven by our IT and business partners.
* Proven communication skills illustrating ability to effectively interact with people at all levels of business and technology organizations.
* Demonstrated skill working directly with stakeholders, business partners, SMEs, systems peers, and cross\-functional teams to collaborate and gain agreement on target solution designs.
* Experience providing skill coaching to junior resources, resources transitioning into newer skills and technologies, and mentees.
* Insurance and Financial domain experience is highly desired.
* Experience working in an Agile environment using Lean, Kanban and Scrum practices.
**This role will work a hybrid schedule coming into the Columbus, Ohio office 2 days per week.**
* This role does not qualify for employer\-sponsored work authorization. Nationwide does not participate in the Stem OPT Extension program\*\*
**Job Description Summary**
 Nationwide’s industry leading workforce is passionate about creating data solutions that are secure, reliable and efficient in support of our mission to provide extraordinary care. Nationwide embraces an agile work environment and collaborative culture through the understanding of business processes, relationship entities and requirements using data analysis, quality, visualization, governance, engineering, robotic process automation, and machine learning to produce targeted data solutions. If you have the drive and desire to be part of a future forward data enabled culture, we want to hear from you.
 As a Data Engineer you’ll be responsible for acquiring, curating, and publishing data for analytical or operational uses. Data should be in a ready\-to\-use form that creates a single version of the truth across all data consumers, including business users, data scientists, and Technology. Ready\-to\-use data can be for both real time and batch data processes and may include unstructured data. Successful data engineers have the skills typically required for the full lifecycle software engineering development from translating requirements into design, development, testing, deployment, and production maintenance tasks. You’ll have the opportunity to work with various technologies from big data, relational and SQL databases, unstructured data technology, and programming languages.
**Job Description**
**Key Responsibilities:**
* Provides basic to moderate technical consultation on data product projects by analyzing end to end data product requirements and existing business processes to lead in the design, development and implementation of data products.
* Produces data building blocks, data models, and data flows for varying client demands such as dimensional data, standard and ad hoc reporting, data feeds, dashboard reporting, and data science research \&amp; exploration
* Applies secure software and systems engineering practices throughout the delivery lifecycle to ensure our data and technology solutions are protected from threats and vulnerabilities.
* Translates business data stories into a technical story breakdown structure and work estimate so value and fit for a schedule or sprint is determined.
* Creates simple to moderate business user access methods to structured and unstructured data by such techniques such as mapping data to a common data model, NLP, transforming data as necessary to satisfy business rules, AI, statistical computations and validation of data content.
* Assists the enterprise DevSecOps team and other internal organizations on CI/CD best practices experience using JIRA, Jenkins, Confluence etc.
* Implements production processes and systems to monitor data quality, ensuring production data is always accurate and available for key stakeholders and business processes that depend on it.
* Develops and maintains scalable data pipelines for both streaming and batch requirements and builds out new API integrations to support continuing increases in data volume and complexity.
* Writes and performs data unit/integration tests for data quality With input from a business requirements/story, creates and executes testing data and scripts to validate that quality and completeness criteria are satisfied. Can create automated testing programs and data that are re\-usable for future code changes.
* Practices code management and integration with engineering Git principle and practice repositories.
**May Perform Other Responsibilities As Assigned.**
**Reporting Relationships:** 
 Reports to Manager/Director Data Leader.
**Typical Skills And Experiences**
**Education** 
 : Undergraduate studies in computer science, management information systems, business, statistics, math, a related field or comparable experience and education strongly preferred. Graduate studies in business, statistics, math, computer science or a related field are a plus.
**License/Certification/Designation** 
 : Certifications are not required but encouraged.
**Experience** 
 : Three to five years of relevant experience with data quality rules, data management organization/standards, practices and software development. Experience in data warehousing, statistical analysis, data models, and queries. One to three years’ experience with Cloud technology and infrastructure including security and access management. Insurance/financial services industry knowledge a plus.
**Knowledge, Abilities and Skills** 
 : Data application and practices knowledge. Moderate to advanced skills with modern programming and scripting languages (e.g., SQL, R, Python, Spark, UNIX Shell scripting, Perl, or Ruby). Good problem solving, oral and written communication skills.
 Other criteria, including leadership skills, competencies and experiences may take precedence.
 Staffing exceptions to the above must be approved by the hiring manager’s leader and HR Business Partner.
**Values:** 
 Regularly and consistently demonstrates the Nationwide Values.
**Job Conditions**
**Overtime Eligibility:** 
 Exempt (Not Eligible)
**Working Conditions** 
 : Normal office environment.
**ADA** 
 :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Data Engineer : $95,500\.00\-$177,500\.00
 The expected starting salary range for Specialist, Data Engineer : $95,500\.00 \- $143,500\.00</t>
        </is>
      </c>
    </row>
    <row r="15">
      <c r="A15" t="inlineStr">
        <is>
          <t>li-4374984580</t>
        </is>
      </c>
      <c r="B15" t="inlineStr">
        <is>
          <t>Data Engineer III</t>
        </is>
      </c>
      <c r="C15" t="inlineStr">
        <is>
          <t>RemoteHunter</t>
        </is>
      </c>
      <c r="D15" t="inlineStr">
        <is>
          <t>linkedin</t>
        </is>
      </c>
      <c r="E15" t="inlineStr"/>
      <c r="F15" t="inlineStr"/>
      <c r="G15" t="inlineStr"/>
      <c r="H15" t="inlineStr"/>
      <c r="I15"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li-4283795926</t>
        </is>
      </c>
      <c r="B16" t="inlineStr">
        <is>
          <t>Data Engineer III - Generative AI, Graph modelling</t>
        </is>
      </c>
      <c r="C16" t="inlineStr">
        <is>
          <t>JPMorganChase</t>
        </is>
      </c>
      <c r="D16" t="inlineStr">
        <is>
          <t>linkedin</t>
        </is>
      </c>
      <c r="E16" t="inlineStr"/>
      <c r="F16" t="inlineStr"/>
      <c r="G16" t="inlineStr">
        <is>
          <t>Jersey City, NJ</t>
        </is>
      </c>
      <c r="H16" t="inlineStr"/>
      <c r="I16" t="inlineStr">
        <is>
          <t>**Job Description**
 We have an exciting and rewarding opportunity for you to take your software engineering career to the next level.
 As a Data Engineer III at JPMorgan Chase within the Technology and Data Management team, you will have an exciting and rewarding opportunity to take your software engineering career to the next level. You will be part of a dynamic team, applying your expertise in ontologies and generative AI to design and implement complex AI\-promote solutions. This role offers the chance to collaborate with cross\-functional teams, conduct research on the latest advancements, and provide technical leadership and mentorship, all while contributing to the organization's knowledge management initiatives.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Develop and maintain ontologies to support the organization's knowledge management initiatives.
* Design and implement scalable knowledge bases using knowledge graph technologies.
* Apply generative AI techniques to enhance the organization's data processing and information retrieval capabilities.
* Collaborate with cross\-functional teams to integrate AI\-driven solutions into existing systems and workflows.
* Conduct research and stay updated on the latest advancements in ontologies, knowledge graphs, and generative AI.
* Provide technical leadership and mentorship to junior team members in the areas of ontologies and AI.
* Evaluate and select appropriate tools and technologies for building and maintaining knowledge graphs.
* Ensure the quality, accuracy, and consistency of the knowledge base and its associated ontologies.
**Required Qualifications, Capabilities, And Skills**
* Formal training or certification on ontologies concepts and 3\+ years applied experience
* Expertise in generative AI techniques and their application in real\-world scenarios.
* Strong programming skills in languages such as Python, Java, or similar.
* Familiarity with tools and frameworks like RDF, OWL, SPARQL, and graph databases(Neo4j, Tiger Grpah etc)
* Excellent problem\-solving skills and the ability to work independently and collaboratively.
* Strong communication skills to effectively convey complex technical concepts to non\-technical stakeholders.
**Preferred qualifications, capabilities and skills:**
* Experience with machine learning frameworks and libraries. Knowledge of natural language processing (NLP) and its integration with knowledge graphs.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7">
      <c r="A17" t="inlineStr">
        <is>
          <t>li-4337909114</t>
        </is>
      </c>
      <c r="B17" t="inlineStr">
        <is>
          <t>Senior Data Engineer, Graph Analytics</t>
        </is>
      </c>
      <c r="C17" t="inlineStr">
        <is>
          <t>TRM Labs</t>
        </is>
      </c>
      <c r="D17" t="inlineStr">
        <is>
          <t>linkedin</t>
        </is>
      </c>
      <c r="E17" t="inlineStr"/>
      <c r="F17" t="inlineStr"/>
      <c r="G17" t="inlineStr"/>
      <c r="H17" t="inlineStr"/>
      <c r="I17" t="inlineStr">
        <is>
          <t>Build a Safer World.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a Senior Data Engineer on the Graph Analytics team, you will build scalable graph systems that analyze large networks of cryptocurrency transactions. You will collaborate closely with engineers, data scientists, and investigators to design mission\-critical graph algorithms that analyze flows of funds. You will leverage distributed databases and graph processors to implement real\-time graph algorithms at the multi\-blockchain scale. You will collaborate with data science teams to identify opportunities to apply tools and techniques from graph theory to a variety of predictive learning problems.
**The impact you will have:**
* Designing and implementing graph algorithms that analyze large cryptocurrency transaction networks at multi\-blockchain scale
* Researching new graph\-native technology to evaluate benefit to data science and data engineering teams at TRM
* Working on a highly cross\-functional team that collaborates with cryptocurrency investigators to identify key user stories and requirements for new graph algorithms and features
* Understanding and refining TRM’s risk models which analyze large networks of cryptocurrency transactions to assign risk scores to addresses
* Communicating complex implementation details to a variety of audiences from investigators and customer success stakeholders to data engineers and data scientists
* Integrating with a diverse set of data inputs ranging from raw blockchain data to complex model outputs
**What we’re looking for:**
* Your academic background is in a quantitative field such as Computer Science, Mathematics, Engineering, or Physics.
* You have strong knowledge of algorithm design and data structures, and have experience applying this knowledge towards real\-world problems.
* You have experience optimizing large\-scale distributed data processing systems such as Apache Spark, Apache Hadoop, Dask, and distributed graph databases.
* You have experience converting academic research into products and have worked with research teams that regularly ship new features.
* You have strong programming experience with Python and SQL.
* You are an excellent communicator who is skilled at tailoring explanations of complex topics to both technical and non\-technical audiences.
* You are self\-motivated. You propose and validate solutions with minimal guidance. You're comfortable working with ambiguity and shaping your own research direction while being accountable for outcomes.
* You are knowledgeable of basic graph theory concepts.
**About the Team:**
* Our team is spread out over several countries and time zones. To leverage the opportunities and address challenges that come with this working model, we've built a culture grounded in trust, transparency, and adaptability. Even though we're scattered across different time zones, we stay closely connected through open communication and regular check\-ins. Our use of digital tools helps us collaborate seamlessly and work at an impressive pace, delivering results at TRM speed while staying in sync. The diversity of perspectives and expertise within our team sparks creative exchanges and enhances our problem\-solving capabilities, allowing us to leverage our global synergy to drive innovation and efficiency.
* We're driven by a deep sense of ownership, constant pursuit of improvement and an obsession with delivering magical experiences to our customers; these are a core part of our culture. We're driven by the desire to continuously hone our craft and to this end, we regularly assess our processes, seek feedback, and embrace iterative development to refine what we do. We structure problems and use the 80/20 rule(for many outcomes, roughly 80% of consequences come from 20% of causes) to identify where to direct our razor\-sharp focus. Each of us is passionate about excellence and growth, and we're encouraged to challenge the status quo and experiment with new methods. This mindset creates an environment where innovation is part of our daily routine and every team member is an impact\-oriented trailblazer. By celebrating our successes and learning from our setbacks, we stay agile and forward\-thinking, always striving to elevate our performance and impact.
**Learn about TRM Speed in this position:**
* The team received a request from customers to show the running balance for assets tied to an address within the product. They brainstormed to determine the minimal viable solution that could be delivered within two weeks. The team decided to develop a framework that would facilitate enabling this feature for each chain (such as BTC, ETH, etc.) individually. They successfully implemented and tested this solution for the BTC chain and delivered it to customers within the two\-week timeframe. This approach allowed the team to quickly provide value to customers and establish a repeatable process.
* The team was tasked with implementing a new feature that would enable TRM to gather feedback from the user community swiftly. Due to the company's goal of showcasing the feature at an upcoming event, the timeline was tight. The team quickly adjusted to the request, assessed the requirements, and developed a solution that addressed 80% of the needs and could be executed within a very short timeframe. They successfully delivered the feature on schedule, impressing customers with both the functionality and the speed of execution.
* The team was tasked with developing a solution to reveal Indirect Exposure through cross\-chain swaps in response to a competitor's similar feature. Before choosing the technical approach, the team consulted with stakeholders to establish a feasible timeline for the implementation. With this input, the team devised a solution that fit the timeline, communicated the tradeoffs to stakeholders, and successfully delivered the solution as promised.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**Learn more:** 
 Interviewing at TRM: How We Hire and What Success Looks Like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18">
      <c r="A18" t="inlineStr">
        <is>
          <t>li-4374970952</t>
        </is>
      </c>
      <c r="B18" t="inlineStr">
        <is>
          <t>Senior Data Engineer</t>
        </is>
      </c>
      <c r="C18" t="inlineStr">
        <is>
          <t>RemoteHunter</t>
        </is>
      </c>
      <c r="D18" t="inlineStr">
        <is>
          <t>linkedin</t>
        </is>
      </c>
      <c r="E18" t="inlineStr"/>
      <c r="F18" t="inlineStr"/>
      <c r="G18" t="inlineStr"/>
      <c r="H18" t="inlineStr"/>
      <c r="I18" t="inlineStr">
        <is>
          <t>**About the Opportunity:** 
**This organization provides a platform that helps people manage and improve their homes by connecting them with local service businesses. The Senior Data Engineer role is part of a centralized Data Engineering team that collaborates with engineers, analysts, data scientists, and machine learning engineers to design and maintain data sets from internal and third\-party sources. The team focuses on building a cohesive data warehouse and integrating data best practices into the software development lifecycle.** 
**Responsibilities:** 
**• Refine and promote a framework for integrating data\-thinking into the software development lifecycle for product teams** 
**• Design, architect, and maintain core marketplace datasets, data marts, and feature stores supporting mature and evolving products** 
**• Collaborate with product engineers, analysts, data scientists, and machine learning engineers to understand data needs and design engineering\-rigorous datasets** 
**• Drive data quality and best practices across business areas** 
**• Develop next\-generation real\-time data products based on Apache Kafka** 
**Requirements:** 
**• 4 or more years of experience designing and building data sets and warehouses** 
**• Ability to understand and collaborate with stakeholders, especially Analytics, to identify process improvement opportunities** 
**• Expertise in SQL for analytics, reporting, and building SQL\- and Python\-based transforms in ETL pipelines or similar** 
**• Experience designing, architecting, and maintaining data warehouses and data marts integrating production databases, clickstream data, and external APIs** 
**• Proficiency with modern data stacks based on cloud\-native data warehouses (e.g., BigQuery, dbt, Apache Airflow, or similar)** 
**• Experience or strong interest in applying AI\-enabled workflows to accelerate development and improve data engineering practices** 
**• Strong ownership from ideation through project completion and maintenance** 
**Compensation:** 
**• Candidates in San Francisco, Bay Area, San Jose, New York City, or Seattle metros: $210,800 to $272,800** 
**• Candidates in Austin, TX, Washington DC metros, California, Massachusetts, New Jersey, or Washington states: $189,600 to $245,300** 
**• Candidates in other US locations: $179,400 to $232,100** 
**•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
      <c r="A19" t="inlineStr">
        <is>
          <t>li-4242967875</t>
        </is>
      </c>
      <c r="B19" t="inlineStr">
        <is>
          <t>Big Data Engineer</t>
        </is>
      </c>
      <c r="C19" t="inlineStr">
        <is>
          <t>Modis</t>
        </is>
      </c>
      <c r="D19" t="inlineStr">
        <is>
          <t>linkedin</t>
        </is>
      </c>
      <c r="E19" t="inlineStr"/>
      <c r="F19" t="inlineStr"/>
      <c r="G19" t="inlineStr">
        <is>
          <t>Plano, TX</t>
        </is>
      </c>
      <c r="H19" t="inlineStr"/>
      <c r="I19" t="inlineStr">
        <is>
          <t>Akkodis is seeking a
 **Big Data Engineer** 
 for a
 **Contract job** 
 with a client in
 **Plano, TX(Hybrid)** 
 . Responsibilities include developing processes to interact with HDFS and Oracle, creating workflows using Autosys, and ensuring ML/AI models are production\-ready while working in an agile environment.
**Rate Range:** 
 $60/hour to $70/hour; The rate may be negotiable based on experience, education, geographic location, and other factors.
**Big Data Engineer Job Responsibilities Include**
* Develop and enhance application components for supporting ML/AI models and data ingestion processes with a focus on code resiliency and stability.
* Build processes to interact with HDFS and Oracle using Python/PySpark and Oracle PL/SQL.
* Create, schedule, and manage workflows and jobs using Autosys.
* Collaborate with development teams to contribute to story refinement and deliver data requirements throughout the delivery life cycle.
* Leverage architecture components to integrate, clean, transform, and control data as per acceptance criteria.
* Develop and execute test plans to identify issues, errors, and underlying causes, ensuring data accuracy and reliability.
* Drive complex information technology projects, ensuring on\-time delivery and adherence to team delivery and release processes.
* Identify, define, and document data engineering requirements for deployment, maintenance, and business functionality.
* Work independently with strong analytical skills, while also being an excellent team player in a fast\-paced agile environment.
* Contribute to data resiliency capabilities and ensure that ML/AI models are ready for production.
**Desired Qualifications**
* BS/master’s in computer science, Engineering, or a related field.
* 10\+ years of relevant experience in Big Data engineering and development.
* Expertise in Oracle PL/SQL, Hadoop ecosystem, Hive Tables, and Python/PySpark.
* Experience in creating workflows and scheduling jobs using Autosys, with a strong background in machine learning and data resiliency.
 If you are interested in this role, then please click APPLY NOW. For other opportunities available at Akkodis, or any questions, feel free to contact me at
 **Shivani.Singh2@** 
**akkodisgroup.com** 
**.**
**Pay Details:** 
 $60\.00 to $70\.00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0">
      <c r="A20" t="inlineStr">
        <is>
          <t>li-4345191836</t>
        </is>
      </c>
      <c r="B20" t="inlineStr">
        <is>
          <t>Staff Data Engineer - Trust and Safety</t>
        </is>
      </c>
      <c r="C20" t="inlineStr">
        <is>
          <t>Intuit</t>
        </is>
      </c>
      <c r="D20" t="inlineStr">
        <is>
          <t>linkedin</t>
        </is>
      </c>
      <c r="E20" t="inlineStr"/>
      <c r="F20" t="inlineStr"/>
      <c r="G20" t="inlineStr">
        <is>
          <t>New York, NY</t>
        </is>
      </c>
      <c r="H20" t="inlineStr"/>
      <c r="I20" t="inlineStr">
        <is>
          <t>**Overview**
 Come join the Trust \&amp; Safety Data Engineering Team in New York as a Staff Data Engineer (Staff Software Engineer role). We are leveraging big data technologies to develop solutions to detect and combat fraudulent activities initiated by external users across all Intuit’s products. Some of the technologies we are leveraging include Apache Spark, Athena, Redshift, Kafka, Hive, S3, EMR, AWS, and GCP. We foster an open team environment where we value direct interactions and working code above working in a cave.
 You will lead the entire product lifecycle for multiple big data solutions that are broad in scope and complexity, applying a full understanding of software engineering methodologies and industry best practices for data products. Work with Industry Experts; Senior, Staff and Principal Engineers, utilize specialized knowledge to develop, and maintain Intuit’s data solutions.
**Responsibilities**
 RESPONSIBILITIES
* Own the tech vision and strategy for multiple domains or capabilities
* Drive Strategic Impact. Focus on the direct and strategic application of data to deliver measurable business outcomes, even if it means working with imperfect data to capture significant value.
* Hands\-on development in all phases of the software life cycle.
* Build batch and real\-time/streaming data pipelines that are able to handle large volumes of data
* Design data models
* Gather data needs from internal customers like product and analysts and translate
 those requirements into a working big data solution design.
* Partner with product managers, fraud analysts, data scientists, data architects, software engineers, and other data engineers from around the world.
* Participate in design and code reviews
* Designing/developing ETL jobs across multiple big data platforms and tools including S3, EMR, Hive, Spark SQL, PYSpark.
* Rapidly fix bugs and solve problems; effectively remediate defects
* Clean, transform and validate data for use in analytics and reporting
* Proactively monitor data quality and pipeline performance, troubleshoot and resolve data issues
* Collaborate effectively with senior engineers and architects to solve problems spanning their respective areas to deliver end\-to\-end quality in our technology and customer experience.
* Helps to align to overall strategies and reconcile competing priorities across the organization.
* Contribute to the design and architecture of projects across the data landscape.
* Actively stay abreast of industry best practices, share learnings, and experiment and apply cutting edge technologies while proactively identifying opportunities to enhance software applications with AI technology
* Participate in a scheduled on\-call rotation to handle production incidents outside of business hours
* Mentor other team members and contribute to the growth of the team
* Be available to work in a hybrid mode (3 days in the office and 2 days remote per week)
**Qualifications**
* 8\+ years of hand\-on experience building big data solutions and ETL data pipelines using Apache Spark or similar technologies
* BS or MS in Computer Science, Data Engineering or related field
* Hands\-on experience developing data solutions on the AWS platform (preferred), GCP, or Azure
* Experience with Agile Development, SCRUM, and/or Extreme Programming methodologies
* Expert in SQL, Python and Linux, and strong working knowledge of XML, JSON, YAML.
* Knowledgeable with tools and frameworks Docker, Spark, Jupiter Notebook, Databricks Notebook, Kubernetes, Feature Management Platforms, SageMaker
* Advanced experience with scripting language – Python or Shell is a must have
* Expert knowledge of software development methodologies and practices
* Experience with cloud platforms such as AWS, Azure or GCP \- Amazon web services: EC2, S3, EMR, and Redshift or equivalent cloud computing approaches
* Strong expertise in Data Warehousing and analytic architecture
* Experience working with large data volumes, data visualization
* Experience with low\-latency NoSQL datastores (such as DynamoDB, HBase, Redshift) is a plus
* Experience with building stream\-processing applications using Spark Streaming, Flink, etc. is a plus
* Hands on experience in AI
* Solid communication skills
* Demonstrated expertise in Software design and architecture process.
* Experience with unit testing and data quality automation checks
* Should be results oriented, self\-motivated, accountable and work under minimal supervision.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$ 197,000\- 266,500</t>
        </is>
      </c>
    </row>
    <row r="21">
      <c r="A21" t="inlineStr">
        <is>
          <t>li-4359765597</t>
        </is>
      </c>
      <c r="B21" t="inlineStr">
        <is>
          <t>Senior Lead Data Engineer</t>
        </is>
      </c>
      <c r="C21" t="inlineStr">
        <is>
          <t>JPMorganChase</t>
        </is>
      </c>
      <c r="D21" t="inlineStr">
        <is>
          <t>linkedin</t>
        </is>
      </c>
      <c r="E21" t="inlineStr"/>
      <c r="F21" t="inlineStr"/>
      <c r="G21" t="inlineStr">
        <is>
          <t>Wilmington, DE</t>
        </is>
      </c>
      <c r="H21" t="inlineStr"/>
      <c r="I21" t="inlineStr">
        <is>
          <t>**Job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 Engineer at JPMorgan Chase within the Consumer Community Banking Data Center Management team, you are an integral part of an agile team that works to enhance, build, and deliver data collection, storage, access, and analytics in a secure, stable, and scalable way. You will leverage your deep technical expertise and problem solving capabilities to drive significant business impact and tackle a diverse array of challenges that span multiple data pipelines, data architectures, and other data consumers. You will work effectively across multiple teams to evaluate requirements and develop a data proposal that unifies all teams and aligns to enterprise standards.
 This role requires detailed understanding of modern data engineering solutions for large and complex data sets as well as the ability to develop a strategic plan, present it to senior management, and drive the implementation.
**Job Responsibilities**
* Develops and implements a comprehensive data strategy aligned with departmental and organizational goals
* Collaborates with stakeholders to understand data requirements and translate them into technical solutions
* Establishes data governance and quality standards to ensure data integrity and compliance
* Evaluates and selects appropriate data technologies (databases, ETL tools, cloud platforms) to meet current and future needs
* Optimizes data architecture and infrastructure for performance, reliability, and cost\-effectiveness
* Provides recommendations and insight on data management, governance procedures, and intricacies applicable to the acquisition, maintenance, validation, and utilization of data
* Designs and delivers trusted data collection, storage, access, and analytics data platform solutions in a secure, stable, and scalable way
* Defines database back\-up, recovery, and archiving strategy
* Generates advanced data models for one or more teams using firmwide tooling, linear algebra, statistics, and geometrical algorithms
* Creates functional and technical documentation supporting best practices
* Adds to team culture of diversity, opportunity, inclusion, and respect
**Required Qualifications, Capabilities, And Skills**
* Formal training or certification on Data Engineering concepts and 5\+ years applied experience
* Working experience with both relational and NoSQL databases
* Advanced understanding of database back\-up, recovery, and archiving strategies
* Advanced knowledge of linear algebra, statistics, and geometrical algorithms
* Experience presenting and delivering visual data
* Hands on experience with ETL tools and data integration frameworks
* Ability to communicate complex technical concepts to non\-technical stakeholders.
* Programming skills for data processing and automation
* Knowledge of data governance, data quality, and security best practices
* Experience with complex data models and data lakes
* Strong Project Management skills, deals well with ambiguity; can shape and define the future, take an idea and turn it into execution
**Preferred Qualifications, Capabilities, And Skills**
* Experience with business intelligence tools (e.g., Tableau, Qlik) and enabling self\-service analytics
* Experience with cloud data platforms (e.g., AWS) and cloud\-native data engineering tools
* 7\+ years of related Data Engineering experience including designing and building data pipelines and architectures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2">
      <c r="A22" t="inlineStr">
        <is>
          <t>li-4315605148</t>
        </is>
      </c>
      <c r="B22" t="inlineStr">
        <is>
          <t>Data Engineer, Mid</t>
        </is>
      </c>
      <c r="C22" t="inlineStr">
        <is>
          <t>Booz Allen Hamilton</t>
        </is>
      </c>
      <c r="D22" t="inlineStr">
        <is>
          <t>linkedin</t>
        </is>
      </c>
      <c r="E22" t="inlineStr"/>
      <c r="F22" t="inlineStr"/>
      <c r="G22" t="inlineStr">
        <is>
          <t>Huntsville, AL</t>
        </is>
      </c>
      <c r="H22" t="inlineStr"/>
      <c r="I22" t="inlineStr">
        <is>
          <t>**Job Number: R0228042**
 Data Engineer, Mid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Join us. The world can’t wait.
**You Have:**
* Experience programming clean, secure, and efficient Java using established coding principles for scripting, data analysis, automation, and data warehousing
* Experience performing tuning on large datasets in Oracle databases to optimize performance
* Experience writing scripts to automate processes in the development workflow, including building, deploying, or managing Java applications
* Experience with CI/CD practices to automate builds, testing, and deployments
* Experience writing PL or SQL scripts and stored procedures for data manipulation, parsing, and processing within Oracle databases
* Ability to work in a complex enterprise environment and determine the best solution required for business and customer needs
* Ability to manage tasks and projects independently with minimal guidance and direction
* Secret clearance
* Bachelor's degree and 5\+ years of experience as a data engineer in a large volume enterprise system, or 9\+ years of experience as a data engineer in a large volume enterprise system in lieu of a degree
**Nice If You Have:**
* Experience with ETL tools such as Informatica
* Experience designing and creating data warehousing solutions
* Experience with DevOps tools and principles for collaboration and automation
* Experience working in various SDLC models such as Waterfall, Agile, Iterative, or Spiral
* Experience delivering solutions across all phases of the development lifecycle
* Knowledge of Informatica's role in data warehousing and business intelligence
* Knowledge of the benefits and usage of stored procedures, including for performance optimization and security
* Knowledge of Oracle database concepts, including partitioning for very large databases (VLDBs)
* TS/SCI clearance with a polygraph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DRE1</t>
        </is>
      </c>
    </row>
    <row r="23">
      <c r="A23" t="inlineStr">
        <is>
          <t>li-4359676735</t>
        </is>
      </c>
      <c r="B23" t="inlineStr">
        <is>
          <t>Oliver Wyman - Principal Data Engineer</t>
        </is>
      </c>
      <c r="C23" t="inlineStr">
        <is>
          <t>Oliver Wyman</t>
        </is>
      </c>
      <c r="D23" t="inlineStr">
        <is>
          <t>linkedin</t>
        </is>
      </c>
      <c r="E23" t="inlineStr"/>
      <c r="F23" t="inlineStr"/>
      <c r="G23" t="inlineStr">
        <is>
          <t>New York, NY</t>
        </is>
      </c>
      <c r="H23" t="inlineStr"/>
      <c r="I23" t="inlineStr">
        <is>
          <t>**Locations: Boston, New York, Chicago, Washington DC, Toronto, Montreal**
**Principal Engineer**
**\_\_\_\_**
**Who We Are**
***Oliver Wyman Performance Transformation***
 is a ground\-breaking division within
 *Oliver Wyman* 
 delivering world\-class solutions to give our clients a competitive edge. We work across the full technology stack from databases and analytics to APIs and web and mobile applications. With a mixture of over 700 consultants, specialists and support professionals in 16 major cities across the world, we’re committed to growth that retains our start\-up agility while expanding our opportunities for world\-class work.
***Oliver Wyman***
 is a global leader in management consulting. With a staff of over 4000 across 30 countries, Oliver Wyman combines deep industry knowledge with specialized expertise in strategy, operations, risk management, and organization transformation.
**\_\_\_\_**
**The Role And Responsibilities**
 No two OW Performance Transformation projects are the same
 *.* 
 You’ll be working with hugely varied and diverse teams to deliver unique and unprecedented strategy and product delivery across industries. The
 **Principal Engineer** 
 at
 **Oliver Wyman Performance Transformation** 
 is crucial to defining, designing, and delivering solutions that achieve breakthrough impact for our clients – all enabled by best\-in\-class DevSecOps model, Agile practices, architecture and tech stack.
 As a
 **Principal Engineer** 
 , you will work alongside Oliver Wyman partners in Performance Transformation and other practice groups, engage directly with clients to understand their business challenges, and craft optimal solutions to be delivered by OW Performance Transformation specialists and consultants delivering strategy, or products into production. You will own all technology and engineering responsibilities for a cross\-functional team covering technology, data science, customer experience and design.
 When you are a product builder, you will be hands\-on defining the architecture, tech stack, leading the engineering team while working with the product owner and designer. You will be instrumental in helping to validate build feasibility, operating costs, handle risk as well as key aspects of security, performance, resiliency, and scalability. Cost benefit and trade\-off analysis will be key as you work with the team to build something amazing.
 You will collocate with the team regularly or occasionally, working remotely at other times.
 We’re also hoping you’ll be able to bring us experience with at least one of the following:
* Financial services and/or capital markets
* Health and life sciences domain
* Insurance (individual or group)
* Consumer, retail, energy, or transportation domain
 \_\_\_\_
**Your Experience**
 We believe in and practice servant leadership here, so your primary goal is to bring the best out of the other talented technologists on the team, not to do it all yourself.
**What you’ll get to do:**
* Provide hands\-on technical leadership, training and mentoring staff
* Develop DevSecOps, CI/CD, release engineering strategies applying DORA, SPACE, and other industry leading metrics advocating developer productivity and product stability
* Lead change management initiatives, helping our clients navigate and embrace new ways of working
* Help to improve the OW Performance Transformation Architecture and Engineering specialty
* Design and architect innovative, modern cloud\-native digital experiences that are scalable, resilient, and secure
* Communicate complex technical concepts clearly to both technical and non\-technical stakeholders
* Write code alongside your development team
* Work with state\-of\-the\-art technologies to solve genuine, real\-world problems
* Champion good agile practices that provide a foundation for iterative product development
* Build strong relationships with product managers, designers, customer experience and human insights experts
* Enjoy working in a diverse, dynamic, collaborative, transparent, environment where everyone's ideas and opinions are equally valued
* Cross\-pollinate good practices and insights between projects and groups within the firm
* Travel 10 – 25% of the time to collaborate with distributed teams or clients as needed
**What you’ll bring:**
 For the
 **Principal Engineer** 
 role, we are looking for senior hands\-on technologists with 10\+ years of extensive software engineering experience. The ideal candidate is an excellent communicator and has experience working with both technical and non\-technical colleagues in a cross\-functional environment. The ideal candidate also has experience pitching and explaining technical architecture and strategy to both technical and non\-technical audiences.
 Additionally, you should bring:
* Experience with scalable architecture whilst leading and inspiring software development teams
* Hands\-on development and delivery experience with a broad mix of languages and technologies
* Real passion for solving customer friction through simple and effective software
* Strong people skills that contribute to an open and collaborative environment
* Experience working with Agile and Lean approaches such as Continuous Integration and Delivery, TDD, and Rapid Prototyping
* Experience communicating technical vision to a variety of team members
* Ability to embrace and reduce uncertainty through continual validated learning
* Practical experience with refactoring, design patterns, design driven development, system and application design, and application security
* Experience with small teams that move fast
 We’re also hoping you’ll be able to show us experience with some of the following. You don't need deep experience with everything here to apply; still, some depth in one or more of these will go a long way:
* How to work with structured and unstructured data
* Multiple programming languages and frameworks with in\-depth skills in at least one of the following: JavaScript, NodeJS, React, Python, Go, .NET
* Designing and deploying applications on cloud native infrastructure with providers such as AWS, Azure, or Google using patterns such as serverless or managed services
* Container technologies such as Docker and Kubernetes and microservices
* Infrastructure as Code such as AWS CloudFormation and Terraform
* Ideally some familiarity with CX and HTML5/CSS3
* Search technologies such as Elastic / ELK or LucidWorks
* Authentication/Authorization APIs such as OKTA
**What we offer you:**
* An opportunity to play a key role in the design, development and commercialization of software and hardware products aimed at disrupting B2B and B2C markets across a wide range of business domains.
* Help our clients across a variety of industries think deeply about their engineering and technical strategy ranging from organizational transformation to product re\-engineering
* The opportunity to work within a deeply accomplished team with direct exposure to some of the world's most influential organizations.
* A structured career development program with both technical and leadership tracks.
* A competitive salary and benefits complemented with a flexible learning \&amp; development budget (including attending conferences), enabling you to choose the right path for your own development.
* A level of autonomy and self\-management that you won’t typically find at other companies.
**\_\_\_\_**
**OUR VALUES \&amp; CULTURE**
 We’re serious about making OW Performance Transformation a rewarding, enjoyable, and balanced place to work.
* Rewarding work We’ve worked hard to earn our reputation for high quality work. That reputation allows us to work with major brands at all levels on incredibly exciting projects. Combine that with Oliver Wyman’s status as one of the Fortune 100 “Best Companies to Work For”, and you get a rewarding combination of challenge, support and recognition.
* Progressive employment Flat organizational structures, resolute I\&amp;D values and a commitment to rewarding good work make for a progression path truly based on merit. A menu of healthcare options, 401k matching, and a culture of continuous improvement means your work gets more rewarding over time. We are committed to providing our people with growth opportunities via professional training, personal development, and diverse roles and responsibilities.
* Enjoyable days We want our team members to build a career here—and to be happy. That makes us serious about caring for, mentoring, developing and sponsoring each other. This commitment also leads to opportunities for social impact and community work on company time.
* Balanced lives Our work is demanding, and we want you to have the best work\-life balance you can.
 We’ll work with you to accommodate your personal life with flexible hours and the ability to work from home.
**\_\_\_\_**
**How To Apply**
 If you like what you’ve read, we’d love to hear from you! You can find this and other roles and submit your CV at https://careers.marshmclennan.com/global/en/oliver\-wyman\-search. And please include a short note introducing yourself and what you’re looking for.
 The application process will include both technical testing and team fit interviews.
**Oliver Wyman is an equal opportunity employer.**
*Our commitment to diversity is genuine, deep and growing. We’re not perfect, but we’re working hard right now to make our teams balanced, representative and diverse.*
***\_\_\_\_***
**About Oliver Wyman**
 Oliver Wyman is a global leader in management consulting. With offices in more than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business of Marsh McLennan \[NYSE: MMC]. For more information, visit www.oliverwyman.com. Follow Oliver Wyman on Twitter @OliverWyman.
 Marsh McLennan and its Affiliates are EOE Minority/Female/Disability/Vet/Sexual Orientation/Gender Identity employers.
 The applicable base salary range for this role is $240,000\-$260,000\.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Oliver Wyman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veteran status (including protected veterans), or any other characteristic protected by applicable law. If you have a need that requires accommodation, please let us know by contacting reasonableaccommodations@mmc.com.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**R\_330567**</t>
        </is>
      </c>
    </row>
    <row r="24">
      <c r="A24" t="inlineStr">
        <is>
          <t>li-4374989475</t>
        </is>
      </c>
      <c r="B24" t="inlineStr">
        <is>
          <t>Gen AI Data Engineer</t>
        </is>
      </c>
      <c r="C24" t="inlineStr">
        <is>
          <t>Jobs via Dice</t>
        </is>
      </c>
      <c r="D24" t="inlineStr">
        <is>
          <t>linkedin</t>
        </is>
      </c>
      <c r="E24" t="inlineStr"/>
      <c r="F24" t="inlineStr"/>
      <c r="G24" t="inlineStr"/>
      <c r="H24" t="inlineStr"/>
      <c r="I24" t="inlineStr">
        <is>
          <t>Dice is the leading career destination for tech experts at every stage of their careers. Our client, Spadtek Solutions LLC, is seeking the following. Apply via Dice today!
**Role:** 
 Gen AI Data Engineer
**Location:** 
 Hartford, CT (Remote)
 We are seeking an experienced Data Engineer with expertise in Dataiku to join our data team. As a Data Engineer, you will be responsible for designing, building, and maintaining data pipelines, data integration processes, and data infrastructure. You will collaborate closely with data scientists, analysts, and other stakeholders to ensure efficient data flow and support data\-driven decision making across the organization.
**Requirements**
 Design and implement robust data pipelines that ingest, process, and store unstructured data formats at scale within Snowflake and Google Cloud Platform
 Leverage Snowflake's unstructured data capabilities (Directory Tables, Scoped URLs, Snowpark) to make "dark data" queryable and actionable
 Build and maintain cloud\-native ETL/ELT processes using BigQuery, Cloud Storage, and Dataflow, ensuring seamless integration between Google Cloud Platform and Snowflake
 Instead of just using LLMs, you will integrate AI tools (OCR, NLP entities, Document AI) into the engineering flow to transform unstructured blobs into structured insights
 Tune complex SQL queries and Python\-based processing jobs to handle petabyte\-scale environments efficiently</t>
        </is>
      </c>
    </row>
    <row r="25">
      <c r="A25" t="inlineStr">
        <is>
          <t>li-4359427357</t>
        </is>
      </c>
      <c r="B25" t="inlineStr">
        <is>
          <t>Oliver Wyman - Principal Data Engineer</t>
        </is>
      </c>
      <c r="C25" t="inlineStr">
        <is>
          <t>Oliver Wyman</t>
        </is>
      </c>
      <c r="D25" t="inlineStr">
        <is>
          <t>linkedin</t>
        </is>
      </c>
      <c r="E25" t="inlineStr"/>
      <c r="F25" t="inlineStr"/>
      <c r="G25" t="inlineStr">
        <is>
          <t>Boston, MA</t>
        </is>
      </c>
      <c r="H25" t="inlineStr"/>
      <c r="I25" t="inlineStr">
        <is>
          <t>**Locations: Boston, New York, Chicago, Washington DC, Toronto, Montreal**
**Principal Engineer**
**\_\_\_\_**
**Who We Are**
***Oliver Wyman Performance Transformation***
 is a ground\-breaking division within
 *Oliver Wyman* 
 delivering world\-class solutions to give our clients a competitive edge. We work across the full technology stack from databases and analytics to APIs and web and mobile applications. With a mixture of over 700 consultants, specialists and support professionals in 16 major cities across the world, we’re committed to growth that retains our start\-up agility while expanding our opportunities for world\-class work.
***Oliver Wyman***
 is a global leader in management consulting. With a staff of over 4000 across 30 countries, Oliver Wyman combines deep industry knowledge with specialized expertise in strategy, operations, risk management, and organization transformation.
**\_\_\_\_**
**The Role And Responsibilities**
 No two OW Performance Transformation projects are the same
 *.* 
 You’ll be working with hugely varied and diverse teams to deliver unique and unprecedented strategy and product delivery across industries. The
 **Principal Engineer** 
 at
 **Oliver Wyman Performance Transformation** 
 is crucial to defining, designing, and delivering solutions that achieve breakthrough impact for our clients – all enabled by best\-in\-class DevSecOps model, Agile practices, architecture and tech stack.
 As a
 **Principal Engineer** 
 , you will work alongside Oliver Wyman partners in Performance Transformation and other practice groups, engage directly with clients to understand their business challenges, and craft optimal solutions to be delivered by OW Performance Transformation specialists and consultants delivering strategy, or products into production. You will own all technology and engineering responsibilities for a cross\-functional team covering technology, data science, customer experience and design.
 When you are a product builder, you will be hands\-on defining the architecture, tech stack, leading the engineering team while working with the product owner and designer. You will be instrumental in helping to validate build feasibility, operating costs, handle risk as well as key aspects of security, performance, resiliency, and scalability. Cost benefit and trade\-off analysis will be key as you work with the team to build something amazing.
 You will collocate with the team regularly or occasionally, working remotely at other times.
 We’re also hoping you’ll be able to bring us experience with at least one of the following:
* Financial services and/or capital markets
* Health and life sciences domain
* Insurance (individual or group)
* Consumer, retail, energy, or transportation domain
 \_\_\_\_
**Your Experience**
 We believe in and practice servant leadership here, so your primary goal is to bring the best out of the other talented technologists on the team, not to do it all yourself.
**What you’ll get to do:**
* Provide hands\-on technical leadership, training and mentoring staff
* Develop DevSecOps, CI/CD, release engineering strategies applying DORA, SPACE, and other industry leading metrics advocating developer productivity and product stability
* Lead change management initiatives, helping our clients navigate and embrace new ways of working
* Help to improve the OW Performance Transformation Architecture and Engineering specialty
* Design and architect innovative, modern cloud\-native digital experiences that are scalable, resilient, and secure
* Communicate complex technical concepts clearly to both technical and non\-technical stakeholders
* Write code alongside your development team
* Work with state\-of\-the\-art technologies to solve genuine, real\-world problems
* Champion good agile practices that provide a foundation for iterative product development
* Build strong relationships with product managers, designers, customer experience and human insights experts
* Enjoy working in a diverse, dynamic, collaborative, transparent, environment where everyone's ideas and opinions are equally valued
* Cross\-pollinate good practices and insights between projects and groups within the firm
* Travel 10 – 25% of the time to collaborate with distributed teams or clients as needed
**What you’ll bring:**
 For the
 **Principal Engineer** 
 role, we are looking for senior hands\-on technologists with 10\+ years of extensive software engineering experience. The ideal candidate is an excellent communicator and has experience working with both technical and non\-technical colleagues in a cross\-functional environment. The ideal candidate also has experience pitching and explaining technical architecture and strategy to both technical and non\-technical audiences.
 Additionally, you should bring:
* Experience with scalable architecture whilst leading and inspiring software development teams
* Hands\-on development and delivery experience with a broad mix of languages and technologies
* Real passion for solving customer friction through simple and effective software
* Strong people skills that contribute to an open and collaborative environment
* Experience working with Agile and Lean approaches such as Continuous Integration and Delivery, TDD, and Rapid Prototyping
* Experience communicating technical vision to a variety of team members
* Ability to embrace and reduce uncertainty through continual validated learning
* Practical experience with refactoring, design patterns, design driven development, system and application design, and application security
* Experience with small teams that move fast
 We’re also hoping you’ll be able to show us experience with some of the following. You don't need deep experience with everything here to apply; still, some depth in one or more of these will go a long way:
* How to work with structured and unstructured data
* Multiple programming languages and frameworks with in\-depth skills in at least one of the following: JavaScript, NodeJS, React, Python, Go, .NET
* Designing and deploying applications on cloud native infrastructure with providers such as AWS, Azure, or Google using patterns such as serverless or managed services
* Container technologies such as Docker and Kubernetes and microservices
* Infrastructure as Code such as AWS CloudFormation and Terraform
* Ideally some familiarity with CX and HTML5/CSS3
* Search technologies such as Elastic / ELK or LucidWorks
* Authentication/Authorization APIs such as OKTA
**What we offer you:**
* An opportunity to play a key role in the design, development and commercialization of software and hardware products aimed at disrupting B2B and B2C markets across a wide range of business domains.
* Help our clients across a variety of industries think deeply about their engineering and technical strategy ranging from organizational transformation to product re\-engineering
* The opportunity to work within a deeply accomplished team with direct exposure to some of the world's most influential organizations.
* A structured career development program with both technical and leadership tracks.
* A competitive salary and benefits complemented with a flexible learning \&amp; development budget (including attending conferences), enabling you to choose the right path for your own development.
* A level of autonomy and self\-management that you won’t typically find at other companies.
**\_\_\_\_**
**OUR VALUES \&amp; CULTURE**
 We’re serious about making OW Performance Transformation a rewarding, enjoyable, and balanced place to work.
* Rewarding work We’ve worked hard to earn our reputation for high quality work. That reputation allows us to work with major brands at all levels on incredibly exciting projects. Combine that with Oliver Wyman’s status as one of the Fortune 100 “Best Companies to Work For”, and you get a rewarding combination of challenge, support and recognition.
* Progressive employment Flat organizational structures, resolute I\&amp;D values and a commitment to rewarding good work make for a progression path truly based on merit. A menu of healthcare options, 401k matching, and a culture of continuous improvement means your work gets more rewarding over time. We are committed to providing our people with growth opportunities via professional training, personal development, and diverse roles and responsibilities.
* Enjoyable days We want our team members to build a career here—and to be happy. That makes us serious about caring for, mentoring, developing and sponsoring each other. This commitment also leads to opportunities for social impact and community work on company time.
* Balanced lives Our work is demanding, and we want you to have the best work\-life balance you can.
 We’ll work with you to accommodate your personal life with flexible hours and the ability to work from home.
**\_\_\_\_**
**How To Apply**
 If you like what you’ve read, we’d love to hear from you! You can find this and other roles and submit your CV at https://careers.marshmclennan.com/global/en/oliver\-wyman\-search. And please include a short note introducing yourself and what you’re looking for.
 The application process will include both technical testing and team fit interviews.
**Oliver Wyman is an equal opportunity employer.**
*Our commitment to diversity is genuine, deep and growing. We’re not perfect, but we’re working hard right now to make our teams balanced, representative and diverse.*
***\_\_\_\_***
**About Oliver Wyman**
 Oliver Wyman is a global leader in management consulting. With offices in more than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business of Marsh McLennan \[NYSE: MMC]. For more information, visit www.oliverwyman.com. Follow Oliver Wyman on Twitter @OliverWyman.
 Marsh McLennan and its Affiliates are EOE Minority/Female/Disability/Vet/Sexual Orientation/Gender Identity employers.
 The applicable base salary range for this role is $240,000\-$260,000\.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Oliver Wyman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veteran status (including protected veterans), or any other characteristic protected by applicable law. If you have a need that requires accommodation, please let us know by contacting reasonableaccommodations@mmc.com.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**R\_330567**</t>
        </is>
      </c>
    </row>
    <row r="26">
      <c r="A26" t="inlineStr">
        <is>
          <t>li-4355690495</t>
        </is>
      </c>
      <c r="B26" t="inlineStr">
        <is>
          <t>Ecommerce Analytics Engineer</t>
        </is>
      </c>
      <c r="C26" t="inlineStr">
        <is>
          <t>Jobot</t>
        </is>
      </c>
      <c r="D26" t="inlineStr">
        <is>
          <t>linkedin</t>
        </is>
      </c>
      <c r="E26" t="inlineStr"/>
      <c r="F26" t="inlineStr"/>
      <c r="G26" t="inlineStr">
        <is>
          <t>San Diego, CA</t>
        </is>
      </c>
      <c r="H26" t="inlineStr"/>
      <c r="I26" t="inlineStr">
        <is>
          <t>Want to learn more about this role and Jobot? Click our Jobot logo and follow our LinkedIn page!
 Job details
**Senior Analytics Engineer opportunity available with growing e\-commerce agency! (San Diego, CA) \- send your resume to marcus.curiel@jobot.com**
 This Jobot Job is hosted by Marcus Curiel
 Are you a fit? Easy Apply now by clicking the "Easy Apply" button and sending us your resume.
 Salary $120,000 \- $150,000 per year
**A Bit About Us**
 We are a high\-growth, data\-driven eCommerce partner specializing in helping brands succeed on the world’s largest online marketplaces. Our team of strategists, analysts, and creatives work together to drive measurable performance across advertising, operations, logistics, and content. By combining deep industry knowledge with advanced analytics and proprietary tools, we help our partners unlock sustainable growth and protect their brand equity in an ever\-evolving digital landscape.
 Headquartered in Southern California, our company supports a diverse portfolio of category\-leading brands and is powered by a passionate team dedicated to innovation, transparency, and results.
 We are growing and looking for a Senior Analytics Engineer with DBT experience to join our team!
****Why join us?****
* Multiple medical plan options
* Dental \&amp; vision insurance (including orthodontia and annual exams)
* Pet benefit program with savings on vet care, products, and services
* Paid vacation (accruing up to 120\+ hours/year with rollover and cap)
* Paid holidays annually
* Coverage for spouses/domestic partners and dependents under 26
* Benefits begin on the first of the month after your hire date
**Job Details**
 What you will do as an Ecommerce Data Analytics Engineer is
 Build \&amp; Optimize – Design, develop, and manage advanced data pipelines for inventory tracking, financial reporting, and marketplace performance analytics for internal and client use.
 📊 Drive eCommerce Intelligence – Transform complex inventory data, advertising spend, and sales performance metrics into actionable insights that optimize stock levels, improve margins, and maximize ROI.
 💰 Financial Data Mastery – Build comprehensive financial dashboards, interactive reports, and executive visualizations tracking COGS, profit margins, advertising efficiency (ACOS/TACOS), inventory turns, and Amazon selling metrics..
 📦 Inventory Analytics Leadership – Develop sophisticated models, visualizations, and automated reports for demand forecasting, reorder point optimization, and trend analysis to prevent stockouts and overstock situations.
 📏 Champion eCommerce Data Governance – Develop and uphold data standards specifically for SKU management, financial reconciliation, and marketplace data integrity across the organization.
 🤝 Mentor \&amp; Collaborate – Guide junior team members on ecommerce analytics best practices and foster a high\-performing, collaborative environment.
 💡 Innovate \&amp; Communicate – Identify process improvements in inventory management and financial reporting workflows, stay current on ecommerce industry trends, and clearly present complex financial and operational concepts to all audiences.
 What We're Looking For
 🎓 Bachelor's or Master's degree in Computer Science, Engineering, Finance, or related field (or equivalent experience) with 5\+ years specifically in ecommerce analytics/data engineering with inventory and financial data focus.
 🛒 eCommerce Data Expertise – Proven experience working with marketplace data, inventory management systems, ERP integrations, and financial reporting platforms. Deep understanding of ecommerce KPIs, unit economics, and inventory metrics. Strong background in creating client\-facing dashboards and executive reporting.
 💰 Financial Analytics Background – Strong experience with COGS tracking, margin optimization, advertising spend analysis, and financial reconciliation processes. Familiarity with accounting principles and financial statement analysis. Proven ability to translate financial data into clear visualizations and actionable reports.
 📦 Inventory Management Systems – Hands\-on experience with inventory planning software, demand forecasting tools, warehouse management systems (WMS), and supply chain analytics. Understanding of inventory accounting methods and valuation. Experience building automated inventory reports and performance dashboards.
 🎨 Visualization \&amp; Reporting Expertise – Strong proficiency in data visualization tools (Tableau, Power BI, Looker, or similar) with experience creating compelling dashboards, automated reports, and executive presentations that drive business decisions.
 🐍 Technical Mastery – Expert in SQL and Python (or similar languages) for building scalable, efficient data solutions specifically for ecommerce and financial data pipelines.
 ⚡ dbt \+ BigQuery Expertise – Proven experience using dbt for transformations and deploying solutions on Google BigQuery or similar ( AWS or Azure).
 🏗️ Data Engineering Skills – Strong knowledge of data modeling, warehousing concepts, and ETL/ELT pipelines with specific experience in ecommerce data schemas, marketplace APIs, and financial data integration.
 🔧Familiar with Git, version control, and Agile methodologies.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7">
      <c r="A27" t="inlineStr">
        <is>
          <t>li-4373132479</t>
        </is>
      </c>
      <c r="B27" t="inlineStr">
        <is>
          <t>Sr. Consultant, Data Engineering</t>
        </is>
      </c>
      <c r="C27" t="inlineStr">
        <is>
          <t>Hakkōda, an IBM Company</t>
        </is>
      </c>
      <c r="D27" t="inlineStr">
        <is>
          <t>linkedin</t>
        </is>
      </c>
      <c r="E27" t="inlineStr"/>
      <c r="F27" t="inlineStr"/>
      <c r="G27" t="inlineStr">
        <is>
          <t>Tempe, AZ</t>
        </is>
      </c>
      <c r="H27" t="inlineStr"/>
      <c r="I27"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looking for a Sr. Consultant, Data Engineer to join our growing team of experts. This position will work in the design and development of Snowflake Data Cloud solutions. The work includes data ingestion pipelines, data architecture, data governance and security. The ideal candidate is an experienced data pipeline builder and migrations who enjoys optimizing data systems and building them from the ground up.
 The Sr. Consultant, Data Engineer will develop database architectures, data warehouses and will ensure optimal data delivery architecture is consistent throughout ongoing customer projects. On this role you will be leading technical teams. The right candidate will be excited by the prospect of working for a start\-up company to support our customers' next generation of data initiatives.
 As of April 2025, Hakkoda has been acquired by IBM and will be integrated in the IBM organization. Your recruitment process will be managed by IBM. IBM will be the hiring entity
 This role can be performed from anywhere in the US.
**Preferred Education**
 Master's Degree
**Required Technical And Professional Expertise**
* Bachelor’s degree in engineering, computer science or equivalent area.
* Expertise in evaluating, selecting, and integrating ingestion technologies to solve complex data challenges.
* Leadership in architectural decisions for high\-throughput data ingestion frameworks, including real\-time data processing and analytics.
* Mentorship of junior engineers in best practices for data ingestion, performance tuning, and troubleshooting.
* 5\+yrs in related technical roles, data management, database development, ETL,Data \- \- Warehouses and pipelines.
* Experience designing and developing data warehouses (Teradata, Oracle Exadata, Netezza, SQL Server, Spark)
* Experience building ETL / ELT ingestion pipelines with tools like DataStage, Informatica, Matillion
* SQL scripting
* Cloud experience on AWS (Azure, GCP are nice to have as well)
* Python Scripting, Scala is required.
* Ability to prepare reports and present to internal and customer stakeholders
* Track record of sound problem solving skills and action oriented mindset
* Strong interpersonal skills including assertiveness and ability to build strong client relationships
* Ability to work in Agile teams
* Experience hiring, developing and managing a technical team
**Preferred Technical And Professional Experience**
* Advanced Snowflake Platform Knowledge: Experience with advanced Snowflake features, including data sharing, data pipelines, and data security. Ability to design and implement complex data and AI usecases on Snowflake platforms.
* Cloud Architecture Expertise: Experience with designing and implementing scalable and secure cloud architectures for data and AI applications. Knowledge of cloud migration, deployment, and management best practices.
* Data Engineering Best Practices: Experience with implementing data engineering best practices, including data modeling, data warehousing, and data governance. Ability to optimize data and AI solutions for performance and scalability.</t>
        </is>
      </c>
    </row>
    <row r="28">
      <c r="A28" t="inlineStr">
        <is>
          <t>li-4357101054</t>
        </is>
      </c>
      <c r="B28" t="inlineStr">
        <is>
          <t>Lead Analytical Data Engineer</t>
        </is>
      </c>
      <c r="C28" t="inlineStr">
        <is>
          <t>ADP</t>
        </is>
      </c>
      <c r="D28" t="inlineStr">
        <is>
          <t>linkedin</t>
        </is>
      </c>
      <c r="E28" t="inlineStr"/>
      <c r="F28" t="inlineStr"/>
      <c r="G28" t="inlineStr">
        <is>
          <t>Miami, FL</t>
        </is>
      </c>
      <c r="H28" t="inlineStr"/>
      <c r="I28" t="inlineStr">
        <is>
          <t>**ADP** 
 is hiring a
 **Lead Analytical Data Engineer** 
 for our newly formed HR Outsourcing (HRO) Data and Analytics organization. The
 **Lead Analytical Data Engineer** 
 will play a key role in growing our newest chapter of analytics engineering professionals while interacting with cross\-functional teams to address complex business requirements. We’re seeking a value seeking, self\-motivated, and analytical profession who act as a player and coach to multiple workstreams at the same time. The role demands the individual to possess technical skills required to perform the job in an effective manner. The right candidate will be a technical expert, should have the passion for data \&amp; analytics and works along with the team they manage.
**What are we looking for?**
 An analytics and data engineering professional with a passion and track record for designing analytics and delivery methods to increase accuracy of reporting and advanced analytics in an agile environment to unlock transformational growth. Someone with intellectual curiosity who wakes up excited to work with a team towards excellence and partner with leaders to drive business outcomes and deliver analytical solutions. The ideal candidate is business\-minded, customer\-centric, team\-oriented, self\-motivated, a strategic thinker and results\-driven.
 Like what you see?
 **Apply now!**
**Learn more about ADP at tech.adp.com/careers
 Learn more about Client Services at ADP** 
 : https://adp.careers/Client\_Services\_Videos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Top 50 Company, Best CEO and company for women, LGBTQ\+, multicultural talent, and more. Learn more about ADP's commitment on our YouTube channel: http://adp.careers/DEI\_Videos
**Behaviors**
**WHAT YOU'LL DO:**
* Support the enhancement of data workstreams. As a seasoned data engineer, you strive to contribute to the growth of the team and your own skills. You actively seek opportunities to share your knowledge and collaborate effectively with your colleagues to maintain a high level of productivity.
* Customer\-focused. You align data strategies with business objectives, working closely with key stakeholders in business and analytics functions to help them leverage data for added value. Your role involves facilitating data access for data science and business intelligence applications.
* Effective Communicator. You possess strong communication skills, both written and verbal, enabling you to convey data\-related information to various team members and leadership. Your ability to articulate working plans and priorities within the team is an asset.
* Deliver Results. You are proactive and hands\-on, addressing potential issues and ensuring that tasks are completed with attention to detail. The end product you and your team produce are of high quality and thoroughly polished.
* Your daily tasks are versatile and can include interactions with the Chief Data Officer, participating in leadership meetings to discuss upcoming initiatives, and assisting your team in overcoming obstacles.
* Continuous Improvement. You are committed to documenting existing analytics and automation processes and suggesting and implementing best practices to enhance efficiency and optimization.
* Problem Solving. You are ready to tackle challenges as they arise and find effective solutions to overcome them.
**Responsibilities**
* Strategic Data Solution Development: Be the primary contributor to the development of data solutions with a strategic outlook, focusing on projects with high returns for HRO.
* Documentation and Best Practices: Catalog existing analytics and automation processes and provide recommendations for best practice methods to optimize and improve these processes.
* Collaborative Stakeholder Engagement: Collaborate closely with Strategic Pod Operations, Data Science, Business Intelligence, and Senior Leadership to create comprehensive roadmaps and execute project plans within a fast\-paced agile development environment.
* Data Engineering Expertise: Lead and create the development of data tables tailored to specific use\-cases by skillfully engineering critical elements from multiple data domains. Ensure the ingestion of HRO\-specific data is well\-structured, compliant with data quality standards, and traceable from the consumption layer back to the raw data layer.
* Strategic Integration and Security: Partner with the Data Operations, Data Governance and Strategic Pod Operations teams to streamline data integration, maintain data security, and access best practices. Contribute to the creation of end\-to\-end data analytics solutions.
* Technological Advancement: Conduct thorough research to identify and recommend cutting\-edge technologies and processes that support rapid scaling and future growth initiatives.
* Prioritization and Delivery: Spearhead the prioritization of Business Needs, Leadership Questions, and Ad Hoc Requests to ensure on\-time delivery and alignment with organizational goals.
* Quality Assurance: Drive the quality assurance and data quality efforts to enhance development timelines, reduce bugs, and maintain the reliability of our analytics products.
* Iterative Development: Bring your experience in developing v0\.5 solutions, incorporating real\-world feedback, and iterating to v1\.0\+ with a continuous improvement mindset.
* Exceptional Delivery: Leverage your successful track record of superior delivery and change management within an enterprise organization to drive positive change and growth.
**To Succeed In This Role**
* Educational Background: Possess a bachelor’s degree in computer science, engineering, business, statistics, or related fields; advanced degrees are preferred but not mandatory.
* Experience: Demonstrate a strong foundation in data analytics, engineering, and project management with a minimum of 8\+ years of hands\-on experience in the implementation, development, improvement, and support of data\-related projects.
* Matrix Organization Experience: Showcase 8\+ year of experience working in a matrix organization, where you directed the development team to achieve use case goals.
* Data Expertise: Exhibit deep experience with ETL (Extract, Transform, Load), Data Modeling, and Data Architecture, highlighting your ability to design and maintain data solutions.
* Industry Knowledge: Preference will be given to candidates with a background in PEO, Service, or Risk analytics, data engineering, data analytics and visualization, business intelligence, or analytical consulting.
* Problem\-Solving Aptitude: Prove your ability to lead a team in leveraging data, analytics, and business acumen to address intricate business challenges.
* Data Warehouse and Big Data Experience: Possess hands\-on experience in designing and maintaining data warehouses and/or data lakes using big data technologies such as Hadoop, Spark, and especially DataBricks. Demonstrate expertise in managing data housed in various relational databases.
* Data Pipeline Proficiency: Showcase your expert competence in building data pipelines and deploying/maintaining them using tools like Git and Jenkins.
* Data Analytics Skills: Demonstrate experience and expertise in data mining methods, data modeling, and working with data warehouses, showcasing your ability to extract valuable insights.
**Preferred Qualifications**
* Proficiency in DataBricks: Hands\-on experience and strong technical knowledge with DataBricks, particularly focusing on Apache Spark fundamentals, including Spark Architecture, its API's, and how to leverage it for data processing and analysis. Proficiency in PySpark/Python/SQL is essential for data manipulation, analysis, and transformation.
* AWS Certification: AWS certification is highly desirable, reflecting your expertise in cloud technologies and services.
* Framework Development: Experience in developing frameworks and utility services, including logging/monitoring is an asset, demonstrating your ability to create efficient and scalable solutions.
* Programming Skills: Proficiency in UNIX and the Python programming language is essential, as it is fundamental for data engineering tasks.
* Software Development Best Practices: Proven experience in delivering high\-quality software following continuous delivery practices and using code quality tools such as JIRA, GitHub, and Jenkins is a strong advantage.
* Data Storage Solutions: Comfort with a variety of data storage solutions, including RDBMS (e.g., Oracle), Hive, HBase, Impala, and other options, showcases your versatility in handling different data storage needs.
* NoSQL Databases: Knowledge of NoSQL databases like MongoDB, HBase, Cassandra, etc., is a plus, highlighting your familiarity with a range of data storage technologies.
* Project Management Tools: Familiarity with Jira and Confluence is preferred, as it facilitates effective project management and documentation.
* Data Solutions Architecture: While not mandatory, experience as a data solutions architect is considered a significant advantage, demonstrating your ability to design comprehensive data solutions.
* Cloud Database Technologies: Experience with cloud database technologies, especially in the AWS environment, and the ability to develop solutions on cloud computing services and infrastructure in the data and analytics space is a valuable skill set.
* PySpark Expertise: Comfort with using PySpark APIs to perform advanced data transformations is a key technical requirement.
* MLOps and Containerization Knowledge: Familiarity with MLOps infrastructure (e.g., Databricks, MLflow) and containerization, including experience in managing production pipelines and microservices using technologies like Docker and Kubernetes.
**You'll Love Working Here Because You Can**
* Have courageous team collaboration. Courage comes from how associates are willing to have difficult conversations, speak up, be an owner, and challenge one another's ideas to net out the best solution.
* Deliver at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What are you waiting for?
 **Apply today!**
 Find out why people come to ADP and why they stay: https://youtu.be/ODb8lxBrxrY
 (ADA version: https://youtu.be/IQjUCA8SOoA )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29">
      <c r="A29" t="inlineStr">
        <is>
          <t>li-4315105156</t>
        </is>
      </c>
      <c r="B29" t="inlineStr">
        <is>
          <t>AI Data Engineering Manager</t>
        </is>
      </c>
      <c r="C29" t="inlineStr">
        <is>
          <t>Crowe</t>
        </is>
      </c>
      <c r="D29" t="inlineStr">
        <is>
          <t>linkedin</t>
        </is>
      </c>
      <c r="E29" t="inlineStr"/>
      <c r="F29" t="inlineStr"/>
      <c r="G29" t="inlineStr">
        <is>
          <t>Hartford, CT</t>
        </is>
      </c>
      <c r="H29" t="inlineStr"/>
      <c r="I29"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03/31/2026\.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
      <c r="A30" t="inlineStr">
        <is>
          <t>li-4360620548</t>
        </is>
      </c>
      <c r="B30" t="inlineStr">
        <is>
          <t>Staff Data Engineer Erlang</t>
        </is>
      </c>
      <c r="C30" t="inlineStr">
        <is>
          <t>HCA Healthcare</t>
        </is>
      </c>
      <c r="D30" t="inlineStr">
        <is>
          <t>linkedin</t>
        </is>
      </c>
      <c r="E30" t="inlineStr"/>
      <c r="F30" t="inlineStr"/>
      <c r="G30" t="inlineStr">
        <is>
          <t>Nashville, TN</t>
        </is>
      </c>
      <c r="H30" t="inlineStr"/>
      <c r="I30" t="inlineStr">
        <is>
          <t>Introduction
 Are you passionate about the patient experience? At HCA Healthcare, we are committed to caring for patients with purpose and integrity. We care like family! Jump\-start your career as a Staff Data Engineer today with HCA Healthcare.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 Staff Data Engineer. We care for our community! Just last year, HCA Healthcare and our colleagues donated $13\.8 million dollars to charitable organizations. Apply Today!
**Job Summary And Qualifications**
 Position Summary
 What makes HCA Healthcare Information Technology Group (ITG) unique as a technology company is that our solutions ultimately impact the care of patients. Although our skills are needed in many industries, we in ITG apply them specifically to the noble cause of healthcare. We are "Healthcare Inspired." It is this guided vision that pervades and positively influences every level of our organization. It shapes our mission, defines our values, and brings our leaders and employees together in a shared enthusiasm for their work, setting ITG apart as a uniquely purpose\-driven company in the IT industry. As a part of that, we exist to raise the bar, unlock possibilities, and care like family.
 As a Staff Data Engineer, you will be part of the data engineering community which includes integration platforms, software engineering, and visual insights. We use our data infrastructure to power analytics and data products and to deliver relevant experiences in real\-time. We enable our company to validate strategic decisions, make smarter choices, and react to the fast\-changing world of healthcare. Works closely with other HCA ITG Architects and Engineers to ensure enterprise technical standards are maintained and our integration platforms continue to deliver data as expected. Formulates and defines system scope and objectives through research and fact\-finding to develop or modify moderately complex information systems. Pairs with analysts to create and implement detailed specifications. Designs, codes, tests, debugs, documents, and maintain those programs. Competent to work on all phases of applications systems analysis and programming activities. Provides guidance to other staff members through all phases of project.
 HCA is on a mission to change the face of the healthcare industry through value\-driven technology and products. You will be part of a small agile team with a mission of innovating data products for all users of healthcare across HCA’s nationwide ecosystem. At the intersection of healthcare and technology is the opportunity to change lives for the better through technology, modernization, curiosity, and adapting or setting industry best practices.
 Major Responsibilities:
 DECISION MAKING
* Meets with customer peers, and vendors regularly to define and resolve product or project problems and issues
* Analyzes business requirements, develops and evaluates alternatives, prepares approaches for complex programming systems or applications
* Design and create real\-time data pipelines that accelerate the time from idea to insight.
* Define and document data engineering with the best practices, processes, and standards. Support teams in upholding these standards and evolve and update the standards as technology changes.
* Produce high\-quality, modular, reusable code that incorporates best practices and serves as an example for less experienced engineers.
* Promote and support data security best practices that align with industry standards and regulatory and legal requirements.
* Participate in all systems software buy or build decisions
* Contributes to development of strategy and architecture
* Provides technical advice to management recommending approaches and solutions to complex problems
 ANALYTICAL \&amp; CREATIVE
* Analyzes objectives, solves problems, and develops requirements and proposals for programming systems. These activities require sophisticated business and technical expertise, and extensive programming systems.
* Implement automated workflows that lower manual/operational costs, define and uphold SLAs for timely delivery of data, and move the company closer to democratizing data.
* Enable self\-service data architecture supporting query exploration, dashboards, data catalog, and rich data discovery.
* Lead data analysis efforts and solution proposals to data\-related and data architecture problems.
* Lead implementation of unit and integration tests and promote and conduct performance testing where appropriate
* Work may result in publication of technical papers
* Keeps technically current with changes and improvements within area of assignment or specialization, incorporating them where applicable
* Contributes to the development of new programming / analysis concepts and improvements of existing techniques
 RELATIONSHIPS
* Build productive and healthy relationships within the department and other teams to foster growth of our culture, our people, and our platforms.
* Work with data engineers, data architects, data scientists, and other internal stakeholders to understand product requirements and then design, build, and monitor data platforms and pipelines that meet today's requirements but can gracefully scale.
* Work closely with all business units and engineering teams to develop the strategy and roadmap for long term data platform architecture.
* Represents company at technical conferences
* Must be able to understand the requirements of multiple departments, identify and negotiate tradeoffs to gain management agreement with proposed recommendations
* Regularly participate in vendor discussions
* Mentor team members on complex data projects, estimating their work, and following the Agile process.
* Mentoring and guiding junior engineers in developing onboarding and training plans to level up the team.
* Working with Product Management to develop and communicate product roadmaps based on the business needs and value delivered.
* Be curious. Be growth minded. Encourage and enable this in others.
* Demonstrate professional and personal maturity through self\-leadership.
* Practices and adheres to the “Code of Conduct” philosophy and “Mission and Value Statement.”
* Performs other duties as assigned
 Education \&amp; Experience:
* Bachelor's degree in Computer Science or related technical field preferred
* 7\+ years of experience in data engineering, data architecture, or related roles required
* Must have a sound understanding of the Erlang VM, Elixir, Phoenix LiveView, HTML/CSS, SQL and NoSQL Database and UNIX operating system required
 Licenses, Certifications, \&amp; Training:
* Google Cloud Certified Professional Data Engineer preferred or Microsoft Certified: Azure Data Engineer or AWS Certified Data Analytics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Staff Data Engineer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31">
      <c r="A31" t="inlineStr">
        <is>
          <t>li-4374987111</t>
        </is>
      </c>
      <c r="B31" t="inlineStr">
        <is>
          <t>REMOTE DoW Mid/Senior Data Engineer (Database Engineer) - 26859</t>
        </is>
      </c>
      <c r="C31" t="inlineStr">
        <is>
          <t>RemoteHunter</t>
        </is>
      </c>
      <c r="D31" t="inlineStr">
        <is>
          <t>linkedin</t>
        </is>
      </c>
      <c r="E31" t="inlineStr"/>
      <c r="F31" t="inlineStr"/>
      <c r="G31" t="inlineStr"/>
      <c r="H31" t="inlineStr"/>
      <c r="I31" t="inlineStr">
        <is>
          <t>About the Opportunity:
 This role is within a business group focused on cyber and mission IT, electronic warfare, and C5ISR systems supporting national defense. The position supports Executive Order projects by enhancing a centralized data environment (CDE) that delivers auditable financial transaction data, improves transparency and accountability across the Department of the Workforce (DoW), and provides a common operating picture for senior leadership decision\-making. The role requires expertise in Python development and relational databases to translate strategic imperatives into actionable data solutions in a national security environment.
 Responsibilities:
 • Design, model, document, and govern logical and conceptual data architectures and schema evolutions for enterprise\-scale applications supporting tracking and accountability reforms
 • Analyze system requirements and develop technical, structural, and organizational specifications for auditable, transparent data flows
 • Establish and enforce data modeling standards, capacity planning, and performance optimization for high\-reliability DoW environments
 • Develop Python\-based scripts and ETL/ELT pipelines for secure data ingestion, transformation, and integration from diverse sources
 • Apply advanced SQL skills for querying, schema design, optimization, and data integrity assurance
 • Operate within Agile/SAFe frameworks to deliver iterative, high\-value increments aligned with business priorities and DoW policies
 • Provide technical guidance and mentorship to align development with strategic financial management system reform objectives including enhanced tracking, oversight, and reporting
 • Perform additional duties as assigned to advance mission goals
 Requirements:
 • Proven Python development experience including building scalable data pipelines and automation solutions
 • Strong relational database (SQL) skills with advanced querying and optimization
 • Ability to work independently and collaboratively in team settings
 • Self\-motivated with strong problem\-solving skills and a proactive mindset
 • Must possess and maintain an active Secret clearance at the time of consideration
 • Remote\-eligible position aligned with Eastern Time Zone core business hours
 Experience Levels:
 \- Database Engineer II: 2 years relevant experience with Bachelor’s degree; or 6 years relevant experience with High School Diploma or equivalent
 \- Database Engineer III: 5 years relevant experience with Bachelor’s degree; or 9 years relevant experience with High School Diploma or equivalent
 \- Database Engineer IV: 9 years relevant experience with Bachelor’s degree; or 13 years relevant experience with High School Diploma or equivalent
 Preferred Requirements:
 • Strong understanding of transactional data flows, financial management systems, and auditability requirements in DoW/security cooperation contexts
 • Direct experience with ADVANA
 • Experience in SAFe Agile environments, including PI planning, Scrum/Kanban ceremonies, and DevSecOps practices
 • Candidate residing in the East Coast region
 Benefits \&amp; Perks:
 • Medical, dental, and vision insurance plans
 • Wellness resources and employee assistance programs
 • Savings plan options (401(k))
 • Financial planning tools
 • Life insurance
 Compensation:
 • Anticipated salary range: $90,000\.00 to $145,000\.00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li-4376372360</t>
        </is>
      </c>
      <c r="B32" t="inlineStr">
        <is>
          <t>Data Engineer</t>
        </is>
      </c>
      <c r="C32" t="inlineStr">
        <is>
          <t>Wiraa</t>
        </is>
      </c>
      <c r="D32" t="inlineStr">
        <is>
          <t>linkedin</t>
        </is>
      </c>
      <c r="E32">
        <f>HYPERLINK("https://www.linkedin.com/jobs/view/4376372360", "https://www.linkedin.com/jobs/view/4376372360")</f>
        <v/>
      </c>
      <c r="F32">
        <f>HYPERLINK("https://www.wiraa.com/job-description/us6E2AEA5C85BB13DE8F7656B9A2312F70?source=Linkedin&amp;urlHash=BtKL", "https://www.wiraa.com/job-description/us6E2AEA5C85BB13DE8F7656B9A2312F70?source=Linkedin&amp;urlHash=BtKL")</f>
        <v/>
      </c>
      <c r="G32" t="inlineStr"/>
      <c r="H32" t="inlineStr"/>
      <c r="I32" t="inlineStr">
        <is>
          <t>**About The Company**
 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 Take the time you need, when you need it
* 401(k) with Generous Employer Match – Invest in your future
* Comprehensive Benefits – Medical, dental, vision, \&amp; mental health
* Global Tuition and Gym Reimbursement – Learn and grow on us
* Standby Flight Program – Explore the world
* Inclusive, Collaborative Culture –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**About The Role**
 As a Data Engineer at ATPCO, you will play a crucial role in building and optimizing our data infrastructure. Your primary responsibilities will include developing scalable data pipelines, managing data storage solutions, and ensuring the reliability and availability of our data platform. You will work closely with cross\-functional teams, including data scientists, software engineers, and business stakeholders, to understand their data needs and deliver high\-quality, efficient solutions. This role offers an exciting opportunity to handle hundreds of terabytes of data daily, utilizing the latest AWS services and technologies.
 You will be instrumental in designing data models, implementing real\-time data streaming architectures, and ensuring data security and privacy. Your expertise will help us enhance our data architecture, following Data Mesh principles, to foster domain\-oriented data ownership and federated governance. Mentoring junior team members and ensuring adherence to best practices will also be a key aspect of your responsibilities.
**Qualifications**
* Strong programming skills in Python, Java, or Scala, with experience in data manipulation and transformation frameworks
* Proven experience as a data engineer, with a track record of designing and building large\-scale data processing systems
* Deep understanding of data modeling concepts and data management principles
* Extensive experience with SQL and working with relational and non\-relational databases
* Knowledge of Data Mesh principles and experience implementing data architectures following these concepts within AWS
* Hands\-on experience with real\-time data streaming architectures using AWS services like Amazon Kinesis or Apache Kafka
* Familiarity with AWS cloud services such as AWS Glue, AWS Lambda, AWS EMR, AWS S3, Amazon Redshift, and their data functionalities
* Understanding of AWS security services and features for data security and privacy
* Bachelor's or Master's degree in Computer Science, Information Systems, or a related field
**Responsibilities**
* Collaborate with data scientists, analysts, and stakeholders to understand data requirements and design appropriate data models and schemas
* Develop, maintain, and optimize scalable data pipelines and ETL processes for large data volumes from various sources
* Build and enhance data storage solutions including data warehouses, data lakes, and big data platforms using AWS services
* Implement real\-time data streaming architectures to facilitate immediate data processing and analytics
* Perform data profiling, cleansing, and transformation to prepare data for analysis and reporting
* Ensure data security and privacy by implementing appropriate measures using AWS security tools
* Design data architectures aligned with Data Mesh principles, promoting domain\-oriented data ownership and federated governance
* Mentor and review work of junior data engineers, ensuring adherence to best practices and standards
**Benefits**
* Remote\-First Work Environment
* Leave Your Way PTO Policy
* Competitive Salary Range: $92,686 – $125,000
* Comprehensive Medical, Dental, Vision, and Mental Health Benefits
* Global Tuition Reimbursement and Gym Membership Reimbursement
* Standby Flight Program for Travel Opportunities
* Inclusive and Collaborative Work Culture
 Equal Opportunity
 At ATPCO, we are deeply committed to diversity, equity, and inclusion. Our policies promote a supportive work environment that values and respects all employees. We consider qualified applicants without regard to race, gender, age, color, religion, national origin, citizenship status, marital status, disability, sexual orientation, protected military/veteran status, gender identity or expression, genetic information, medical condition, or any other legally protected factor. All your information will be kept confidential according to EEO guidelines.</t>
        </is>
      </c>
    </row>
    <row r="33">
      <c r="A33" t="inlineStr">
        <is>
          <t>li-4374202470</t>
        </is>
      </c>
      <c r="B33" t="inlineStr">
        <is>
          <t>Specialist, Data Engineer</t>
        </is>
      </c>
      <c r="C33" t="inlineStr">
        <is>
          <t>Nationwide</t>
        </is>
      </c>
      <c r="D33" t="inlineStr">
        <is>
          <t>linkedin</t>
        </is>
      </c>
      <c r="E33">
        <f>HYPERLINK("https://www.linkedin.com/jobs/view/4374202470", "https://www.linkedin.com/jobs/view/4374202470")</f>
        <v/>
      </c>
      <c r="F33">
        <f>HYPERLINK("https://careers.nationwide.com/specialist-data-engineer/job/44D848E6D779338D843BD785FC083514?src=LinkedIn&amp;urlHash=1TaQ", "https://careers.nationwide.com/specialist-data-engineer/job/44D848E6D779338D843BD785FC083514?src=LinkedIn&amp;urlHash=1TaQ")</f>
        <v/>
      </c>
      <c r="G33" t="inlineStr">
        <is>
          <t>Columbus, OH</t>
        </is>
      </c>
      <c r="H33" t="inlineStr"/>
      <c r="I33"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**If you are passionate about the importance of data engineering and delivering clean, automated, integrated, and governed data required to fulfill our company’s most critical strategic objectives, then we have a great opportunity for you. As a member of the Enterprise Data Office, the Data Engineer works closely with our Dev Line partners, Data Architects, business stakeholders, platform owners, and a host of other internal actors in the designing, building, and operationalizing of end\-to\-end data delivery solutions.**
**This position combines hands\-on data engineering, along with understanding both the strategic goals and desired capabilities of the business units we support. It involves the development of data pipelines and application architecture spanning the gamut of data ingestion, harmonization, and curation to enable business value realization across numerous consumer tiers. As new solutions are developed as part of Build activities, this role is also critical in working with application teams and other key business and IT stakeholders to aid them in the production hand\-off, adoption, and ongoing management of new technologies, processes, and best practices.**
**A successful candidate should possess the following skills and/or experience:**
* Minimum of 3 years performing complex data pipeline development across numerous platforms (e.g. Informatica, Databricks, Snowflake, native Python).
* Minimum of 2 years development experience utilizing AWS cloud technologies (storage, container, compute, security, and automation).
* Fluency in Python, SQL, and Unix. High proficiency with generating complex SQL queries is required. Ability to understand and explain complex data integration and extraction / transformation / load processes.
* Demonstrated proficiency in utilizing AI tools to perform automated code development and testing tasks as part of typical daily work routine.
* Actively promotes reusable processes, engineering patterns, and work products. Demonstrated success at applying standardized automation, secure data practices, and quality routines to data pipelines and information reporting solutions.
* Routine development and deployment of application monitoring and alerting capabilities as part of standard pipeline build activities. Extensive experience utilizing DevOps and CI/CD tools as part of regular development activities.
* Demonstrated history of converting innovative ideas into scalable, production ready solutions.
* Knowledge of data governance tools, processes and policies, as well as influencing their adoption on projects driven by our IT and business partners.
* Proven communication skills illustrating ability to effectively interact with people at all levels of business and technology organizations.
* Demonstrated skill working directly with stakeholders, business partners, SMEs, systems peers, and cross\-functional teams to collaborate and gain agreement on target solution designs.
* Experience providing skill coaching to junior resources, resources transitioning into newer skills and technologies, and mentees.
* Insurance and Financial domain experience is highly desired.
* Experience working in an Agile environment using Lean, Kanban and Scrum practices.
**This role will work a hybrid schedule coming into the Columbus, Ohio office 2 days per week.**
* This role does not qualify for employer\-sponsored work authorization. Nationwide does not participate in the Stem OPT Extension program\*\*
**Job Description Summary**
 Nationwide’s industry leading workforce is passionate about creating data solutions that are secure, reliable and efficient in support of our mission to provide extraordinary care. Nationwide embraces an agile work environment and collaborative culture through the understanding of business processes, relationship entities and requirements using data analysis, quality, visualization, governance, engineering, robotic process automation, and machine learning to produce targeted data solutions. If you have the drive and desire to be part of a future forward data enabled culture, we want to hear from you.
 As a Data Engineer you’ll be responsible for acquiring, curating, and publishing data for analytical or operational uses. Data should be in a ready\-to\-use form that creates a single version of the truth across all data consumers, including business users, data scientists, and Technology. Ready\-to\-use data can be for both real time and batch data processes and may include unstructured data. Successful data engineers have the skills typically required for the full lifecycle software engineering development from translating requirements into design, development, testing, deployment, and production maintenance tasks. You’ll have the opportunity to work with various technologies from big data, relational and SQL databases, unstructured data technology, and programming languages.
**Job Description**
**Key Responsibilities:**
* Provides basic to moderate technical consultation on data product projects by analyzing end to end data product requirements and existing business processes to lead in the design, development and implementation of data products.
* Produces data building blocks, data models, and data flows for varying client demands such as dimensional data, standard and ad hoc reporting, data feeds, dashboard reporting, and data science research \&amp; exploration
* Applies secure software and systems engineering practices throughout the delivery lifecycle to ensure our data and technology solutions are protected from threats and vulnerabilities.
* Translates business data stories into a technical story breakdown structure and work estimate so value and fit for a schedule or sprint is determined.
* Creates simple to moderate business user access methods to structured and unstructured data by such techniques such as mapping data to a common data model, NLP, transforming data as necessary to satisfy business rules, AI, statistical computations and validation of data content.
* Assists the enterprise DevSecOps team and other internal organizations on CI/CD best practices experience using JIRA, Jenkins, Confluence etc.
* Implements production processes and systems to monitor data quality, ensuring production data is always accurate and available for key stakeholders and business processes that depend on it.
* Develops and maintains scalable data pipelines for both streaming and batch requirements and builds out new API integrations to support continuing increases in data volume and complexity.
* Writes and performs data unit/integration tests for data quality With input from a business requirements/story, creates and executes testing data and scripts to validate that quality and completeness criteria are satisfied. Can create automated testing programs and data that are re\-usable for future code changes.
* Practices code management and integration with engineering Git principle and practice repositories.
**May Perform Other Responsibilities As Assigned.**
**Reporting Relationships:** 
 Reports to Manager/Director Data Leader.
**Typical Skills And Experiences**
**Education** 
 : Undergraduate studies in computer science, management information systems, business, statistics, math, a related field or comparable experience and education strongly preferred. Graduate studies in business, statistics, math, computer science or a related field are a plus.
**License/Certification/Designation** 
 : Certifications are not required but encouraged.
**Experience** 
 : Three to five years of relevant experience with data quality rules, data management organization/standards, practices and software development. Experience in data warehousing, statistical analysis, data models, and queries. One to three years’ experience with Cloud technology and infrastructure including security and access management. Insurance/financial services industry knowledge a plus.
**Knowledge, Abilities and Skills** 
 : Data application and practices knowledge. Moderate to advanced skills with modern programming and scripting languages (e.g., SQL, R, Python, Spark, UNIX Shell scripting, Perl, or Ruby). Good problem solving, oral and written communication skills.
 Other criteria, including leadership skills, competencies and experiences may take precedence.
 Staffing exceptions to the above must be approved by the hiring manager’s leader and HR Business Partner.
**Values:** 
 Regularly and consistently demonstrates the Nationwide Values.
**Job Conditions**
**Overtime Eligibility:** 
 Exempt (Not Eligible)
**Working Conditions** 
 : Normal office environment.
**ADA** 
 :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Data Engineer : $95,500\.00\-$177,500\.00
 The expected starting salary range for Specialist, Data Engineer : $95,500\.00 \- $143,500\.00</t>
        </is>
      </c>
    </row>
    <row r="34">
      <c r="A34" t="inlineStr">
        <is>
          <t>li-4374994903</t>
        </is>
      </c>
      <c r="B34" t="inlineStr">
        <is>
          <t>Data Engineer</t>
        </is>
      </c>
      <c r="C34" t="inlineStr">
        <is>
          <t>FetchJobs.co</t>
        </is>
      </c>
      <c r="D34" t="inlineStr">
        <is>
          <t>linkedin</t>
        </is>
      </c>
      <c r="E34">
        <f>HYPERLINK("https://www.linkedin.com/jobs/view/4374994903", "https://www.linkedin.com/jobs/view/4374994903")</f>
        <v/>
      </c>
      <c r="F34" t="inlineStr"/>
      <c r="G34" t="inlineStr"/>
      <c r="H34" t="inlineStr"/>
      <c r="I34" t="inlineStr">
        <is>
          <t>**About The Company**
 Jobot is a leading organization dedicated to leveraging cutting\-edge technology, data, and digital products to drive innovation and deliver impactful solutions. With a focus on fostering a collaborative and engineering\-driven culture, Jobot invests heavily in its technological infrastructure and talent to ensure long\-term stability and growth. The company prides itself on its high\-visibility projects that have real\-world implications, enabling employees to work on meaningful initiatives that influence critical business capabilities. By maintaining a commitment to quality, continuous improvement, and diversity, Jobot creates an inclusive environment where innovation thrives and employees are empowered to make a difference.
**About The Role**
 Join a high\-performing engineering team at a large, global organization operating at the intersection of technology, data, and digital products. We are seeking a highly motivated Senior Data Engineer to lead the architecture, deployment, and operation of next\-generation, data\-driven platforms. In this role, you will serve as a bridge between Data Science and Production Engineering, ensuring datasets, machine learning models, and core services are deployed reliably, scalably, and securely within cloud environments. This position offers an exciting opportunity to influence core systems that power vital business functions, tackle complex engineering challenges, and work with modern cloud and MLOps tooling. The role requires deep expertise in data architecture, backend engineering, and the full machine learning lifecycle in production settings.
**Qualifications**
 Must\-Have (Engineering Excellence):
* Minimum of 5\+ years of professional experience in Data Engineering, Software Engineering, or Cloud Engineering.
* Deep expertise in Python for application development, data processing, and automation tasks.
* Proven experience in building and deploying production\-grade backend services and APIs using frameworks such as FastAPI, Flask, or Django.
* Strong SQL skills with experience designing and optimizing schemas for relational and analytical data stores like BigQuery and Cloud SQL.
* Hands\-on experience with data orchestration tools such as Dagster or Airflow.
* Extensive experience designing and operating services within Google Cloud Platform, including BigQuery, Pub/Sub, Vertex AI, and Compute Engine.
* Expert\-level knowledge of Docker and Kubernetes, including Helm\-based deployments.
**Nice\-to\-Have (DevOps \&amp; MLOps)**
* Experience with Infrastructure as Code tools such as Terraform or Crossplane.
* CI/CD experience using GitHub Actions or similar tools.
* Familiarity with observability stacks like Prometheus, Grafana, and Cloud Logging.
* Understanding of cloud security principles and enterprise compliance requirements.
* Direct experience supporting production MLOps workflows, including model monitoring, drift detection, and automated retraining.
**Responsibilities**
* Design, build, and maintain robust data ingestion and transformation pipelines to support machine learning workloads.
* Leverage modern orchestration tools to ensure reliable, observable data flows across systems.
* Develop clean, efficient, and well\-tested Python code for automation, infrastructure tooling, and service integration.
* Create shared libraries and glue services that connect various cloud\-native components.
* Design, develop, and deploy high\-performance Python APIs (FastAPI / Flask) to serve machine learning predictions and core application logic.
* Own end\-to\-end pipelines for continuous training, deployment, versioning, and monitoring of ML models such as recommendation or personalization systems.
* Architect and maintain scalable, fault\-tolerant infrastructure using Kubernetes (GKE) within Google Cloud Platform, ensuring optimal performance and cost efficiency.
* Collaborate closely with data scientists, software engineers, and platform teams to align engineering efforts and provide technical leadership.
* Mentor junior engineers, fostering a culture of continuous learning and technical excellence.
**Benefits**
 Jobot offers a comprehensive benefits package designed to support the health, well\-being, and professional growth of its employees. Employees enjoy a competitive salary aligned with industry standards, along with health insurance, retirement plans, and paid time off. The company promotes work\-life balance and provides opportunities for career advancement through ongoing training and development programs. Employees also benefit from a collaborative environment that encourages innovation, diversity, and inclusion. Working at Jobot means being part of a forward\-thinking organization that values your contributions and invests in your future.
 Equal Opportunity
 Jobot is an Equal Opportunity Employer committed to creating an inclusive workspace that celebrates diversity. We consider all qualified candidates without regard to race, color, sex, sexual orientation, gender identity, religion, national origin, age (40 and over), disability, military status, genetic information, or any other protected characteristic under applicable law. We prohibit harassment and discrimination in any form and adhere to all relevant federal, state, and local laws. Our policies ensure that every employee and applicant has equal access to employment opportunities and a respectful work environment.</t>
        </is>
      </c>
    </row>
    <row r="35">
      <c r="A35" t="inlineStr">
        <is>
          <t>li-4374996814</t>
        </is>
      </c>
      <c r="B35" t="inlineStr">
        <is>
          <t>Data Engineer</t>
        </is>
      </c>
      <c r="C35" t="inlineStr">
        <is>
          <t>Haystack</t>
        </is>
      </c>
      <c r="D35" t="inlineStr">
        <is>
          <t>linkedin</t>
        </is>
      </c>
      <c r="E35">
        <f>HYPERLINK("https://www.linkedin.com/jobs/view/4374996814", "https://www.linkedin.com/jobs/view/4374996814")</f>
        <v/>
      </c>
      <c r="F35" t="inlineStr"/>
      <c r="G35" t="inlineStr"/>
      <c r="H35" t="inlineStr"/>
      <c r="I35" t="inlineStr">
        <is>
          <t>**Data Engineer \| San Diego, CA \| Hybrid \| $61,900 \- $141,000** 
 We're working with a premier global transformation consultancy on this exciting opportunity.
 Join a multi\-disciplinary team leveraging Python, SQL, and Cloud infrastructure to solve high\-stakes challenges ranging from fraud detection to national intelligence. If you want to build scalable data pipelines that turn disparate information into mission\-critical insights, this is the environment for you.
**The Role** 
 • Develop and deploy robust data pipelines and platforms to organize structured and unstructured data from IoT and AI sources.
 • Implement ETL operations across on\-premises and Cloud environments to support large\-scale analytical exploration.
 • Collaborate in an agile environment with data scientists, software engineers, and customer success managers to build advanced technology solutions.
 • Script and automate data workflows on both Linux and Windows operating systems to ensure platform scalability.
 • Support the assessment, design, and maintenance of data platforms that drive critical research in fields like cancer research and national security.
**What You'll Need** 
 • 2\+ years of professional experience writing software in programming languages, specifically Python.
 • 2\+ years of hands\-on experience with ETL operations and Cloud infrastructure (AWS, Azure, or similar).
 • 1\+ years of experience with source control and collaboration tools including Git, Atlassian, or JIRA.
 • Strong technical knowledge of relational and non\-relational databases using SQL or GraphQL.
 • Ability to obtain a Secret security clearance and a Bachelor’s degree in a technical field.
 • Bonus points for experience with Apache Spark, Terraform, AWS Redshift, Databricks, or Security\+ certification.
**What's On Offer** 
 • Highly competitive salary range ($61,900 \- $141,000\) with a comprehensive benefits package.
 • Robust professional development including tuition assistance, certifications (AWS/Azure), and specialized training.
 • Flexible hybrid work model focused on a people\-first culture and collaborative wellness.
 • Impactful work supporting high\-profile missions that use "data for good" on a global scale.
**Apply via Haystack today!**</t>
        </is>
      </c>
    </row>
    <row r="36">
      <c r="A36" t="inlineStr">
        <is>
          <t>li-4375308419</t>
        </is>
      </c>
      <c r="B36" t="inlineStr">
        <is>
          <t>Data Engineer</t>
        </is>
      </c>
      <c r="C36" t="inlineStr">
        <is>
          <t>hackajob</t>
        </is>
      </c>
      <c r="D36" t="inlineStr">
        <is>
          <t>linkedin</t>
        </is>
      </c>
      <c r="E36">
        <f>HYPERLINK("https://www.linkedin.com/jobs/view/4375308419", "https://www.linkedin.com/jobs/view/4375308419")</f>
        <v/>
      </c>
      <c r="F36">
        <f>HYPERLINK("https://www.hackajob.com/job/5e128279-0e8f-11f1-b544-0a05e249917d-data-engineer?utm_source=LinkedIn&amp;utm_medium=JobAds&amp;utm_term=Automated&amp;utm_campaign=mantech-data-engineer&amp;job_name=data-engineer&amp;company=mantech&amp;workplace_type=on-site&amp;city=chantilly&amp;country=united-states&amp;urlHash=Xx-y", "https://www.hackajob.com/job/5e128279-0e8f-11f1-b544-0a05e249917d-data-engineer?utm_source=LinkedIn&amp;utm_medium=JobAds&amp;utm_term=Automated&amp;utm_campaign=mantech-data-engineer&amp;job_name=data-engineer&amp;company=mantech&amp;workplace_type=on-site&amp;city=chantilly&amp;country=united-states&amp;urlHash=Xx-y")</f>
        <v/>
      </c>
      <c r="G36" t="inlineStr">
        <is>
          <t>Chantilly, VA</t>
        </is>
      </c>
      <c r="H36" t="inlineStr"/>
      <c r="I36" t="inlineStr">
        <is>
          <t>***hackajob** 
 is collaborating with
 **MANTECH** 
 to connect them with exceptional tech professionals for this role.*
**MANTECH** 
 seeks a motivated, career and customer\-oriented
 **Data Engineer** 
 to join our team in
 **Chantilly, VA.**
 The
 **Data Engineer** 
 will leverage their development skills and experience, to support the successful designing, ingesting, cleansing, transformation, loading, and display of significant amounts of data.
**Responsibilities Include But Are Not Limited To**
* Designing, implementing, and optimizing data extraction, cleansing, transformation, loading, replication/distribution, and large\-scale ingest systems in a Big Data environment
* Optimizing all stages of the data lifecycle, from initial planning, to ingest, through final display and beyond
* Developing custom solutions/code to ingest and exploit new and existing data sources
* Developing data profiling, deduping logic, and matching logic for analysis
* Organizing and maintaining Data Layer documentation, so others are able to understand and use it. Also, work closely with data scientists to craft data pipelines which serve the development of modern AI/ML workflows
* Collaborating with teammates, other service providers, vendors, and users to develop new and more efficient methods
* Effectively articulating the risks and constraints associated with software solutions, based on environment
**Minimum Qualifications**
* High School Diploma with 4\+ years of relevant data engineering, software development, and/or programming experience.
* Demonstrated data analysis, parsing, and programming language experience (e.g. Python, Java) coupled with significant SQL/database experience.
* Experience with the full data lifecycle, from ingest through display, in a Big Data environment.
* Hands\-on experience with Java\-related technologies, such as JDK, J2EE, EJB, JDBC, and/or Spring, and experience with RESTful APIs.
* Experience with data pipelining systems (e.g. Apache Airflow) and developing/performing ETL tasks in a Linux environment.
**Preferred Qualifications**
* Experience deploying systems that leverage AI/ML technology
* Experience publishing results in BI dashboards.
**Clearance Requirements**
* An active TS/SCI with Polygraph
**Physical Requirements**
* Use hands to operate a computer and other office productivity machinery, such as a calculator, copy machine and computer printer.
* The person in this position needs to occasionally move about inside the office to access file cabinets, office machinery, etc.
* Must be able to remain in a stationary position 50% of the time</t>
        </is>
      </c>
    </row>
    <row r="37">
      <c r="A37" t="inlineStr">
        <is>
          <t>li-4374990844</t>
        </is>
      </c>
      <c r="B37" t="inlineStr">
        <is>
          <t>Azure Data Engineer</t>
        </is>
      </c>
      <c r="C37" t="inlineStr">
        <is>
          <t>District Partners</t>
        </is>
      </c>
      <c r="D37" t="inlineStr">
        <is>
          <t>linkedin</t>
        </is>
      </c>
      <c r="E37">
        <f>HYPERLINK("https://www.linkedin.com/jobs/view/4374990844", "https://www.linkedin.com/jobs/view/4374990844")</f>
        <v/>
      </c>
      <c r="F37" t="inlineStr"/>
      <c r="G37" t="inlineStr">
        <is>
          <t>Cleveland, OH</t>
        </is>
      </c>
      <c r="H37" t="inlineStr"/>
      <c r="I37" t="inlineStr">
        <is>
          <t>District Partners has been retained by a well\-established financial investment organization based in Cleveland, OH that is actively modernizing its enterprise data platform. As part of a broader platform evolution initiative, the firm is hiring across multiple Azure Data Engineering positions, including both consulting engagements and a full\-time direct hire opportunity.
 The organization is expanding and strengthening its Azure\-based data environment to improve reliability, governance, scalability, and enterprise\-wide analytics capabilities.
**Position Overview:**
* The Data Engineer will play a hands\-on role in designing, building, and operating production\-grade data pipelines within a cloud\-native Azure ecosystem.
* This position combines strong development expertise with operational ownership.
* You will be responsible for ensuring that enterprise data flows accurately, consistently, and efficiently across business domains while supporting live production workloads.
* This is not a build\-and\-transition role. Stability, performance, and data integrity are core expectations. The right candidate takes accountability for pipeline health and continuously improves the platform.
**What You'll Do:**
* Design, develop, and maintain scalable ETL/ELT pipelines using Azure Data Factory and related Azure data services.
* Support and optimize data lake and relational environments, including Azure Data Lake and Azure SQL\-based platforms.
* Transform structured and semi\-structured data into analytics\-ready datasets aligned to reporting and business intelligence needs.
* Translate business and technical requirements into effective data models, mappings, and transformations.
* Write, tune, and optimize complex SQL queries and procedures for performance and scalability.
* Integrate data across multiple enterprise systems and functional domains.
* Own production pipeline monitoring, logging, alerting, and incident response.
* Troubleshoot data failures, conduct structured root\-cause analysis, and implement durable remediation solutions.
* Implement validation frameworks and data quality controls to improve accuracy, completeness, and timeliness of data assets.
* Maintain documentation, change history, and deployment traceability aligned with engineering best practices.
* Contribute to CI/CD workflows and version\-controlled deployment processes, including Azure DevOps or comparable tooling.
* Continuously improve workload efficiency and optimize cloud resource utilization to manage performance and cost.
 Technical Environment
* Microsoft Azure data platform services, including Azure Data Factory, Azure Data Lake, Azure SQL, and related services. SQL Server and cloud\-based relational databases.
* Data lake architecture and dimensional data modeling practices.
* CI/CD pipelines and version control systems.
* Python is preferred but not required.
* Exposure to Azure Synapse, infrastructure\-as\-code practices, and regulated industry environments is beneficial.
**What You'll Have:**
* 5\-7\+ years of experience building and supporting data integrations in production environments.
* Advanced SQL expertise with demonstrated performance tuning experience.
* Experience developing ETL/ELT pipelines in Azure or comparable cloud environments.
* Experience supporting live data platforms, including monitoring, troubleshooting, and operational support.
* Strong understanding of relational database design and data modeling principles.
* Experience integrating data across multiple business units or enterprise systems.
 Preferred Qualifications
* Experience with Azure Synapse or similar analytics platforms.
* Exposure to infrastructure\-as\-code practices.
* Experience in financial services or other regulated environments.
* Familiarity with downstream BI tools such as Power BI.
* ***Azure\-related certifications are a plus.***
 Core Competencies
* Strong operational ownership mindset and execution discipline.
* Structured problem\-solving with a clear root\-cause focus.
* Ability to communicate effectively with both technical and non\-technical stakeholders.
* Capacity to prioritize and execute in a production\-driven, hybrid environment.
* High integrity and strong data governance awareness.
**Location:** 
 This role is hybrid and requires 3–4 days onsite each week.
**Compensation:** 
 Market Value</t>
        </is>
      </c>
    </row>
    <row r="38">
      <c r="A38" t="inlineStr">
        <is>
          <t>li-4375305573</t>
        </is>
      </c>
      <c r="B38" t="inlineStr">
        <is>
          <t>Data Engineer</t>
        </is>
      </c>
      <c r="C38" t="inlineStr">
        <is>
          <t>Haystack</t>
        </is>
      </c>
      <c r="D38" t="inlineStr">
        <is>
          <t>linkedin</t>
        </is>
      </c>
      <c r="E38">
        <f>HYPERLINK("https://www.linkedin.com/jobs/view/4375305573", "https://www.linkedin.com/jobs/view/4375305573")</f>
        <v/>
      </c>
      <c r="F38">
        <f>HYPERLINK("https://us.haystackapp.io/roles/699808f3602dc952059d2536?src=linkedin&amp;urlHash=hBV-", "https://us.haystackapp.io/roles/699808f3602dc952059d2536?src=linkedin&amp;urlHash=hBV-")</f>
        <v/>
      </c>
      <c r="G38" t="inlineStr">
        <is>
          <t>Hawaii, United States</t>
        </is>
      </c>
      <c r="H38" t="inlineStr"/>
      <c r="I38" t="inlineStr">
        <is>
          <t>**Data Engineer \| Honolulu, HI \| Hybrid \| $77,600 \- $176,000** 
 We're working with a premier global defence and technology consultancy on this exciting opportunity to transform mission\-critical data into actionable intelligence. This is your chance to lead high\-stakes engineering projects in Hawaii, leveraging the full power of Palantir Foundry and AIP to build scalable applications that support national security.
 You will be at the forefront of the DoD’s digital evolution, using Python, TypeScript, and Pipeline Builder to architect robust data models. We are looking for a cleared engineer who thrives in Agile environments and wants to see their code drive real\-world impact across complex logistics and analytics ecosystems.
**The Role** 
 • Engineer and maintain high\-performance Palantir Foundry pipelines using Pipeline Builder to ingest and transform massive datasets.
 • Build modular, front\-end applications and custom workflows using TypeScript, Python, and Foundry AIP (Artificial Intelligence Platform).
 • Lead ontology mapping and data modeling efforts to ensure seamless integration across diverse mission\-critical data sources.
 • Drive the full software development lifecycle (SDLC), utilizing Git\-based repositories for version control and CI/CD best practices.
 • Collaborate directly with stakeholders in Agile sprints to translate mission requirements into technical reality.
**What You'll Need** 
 • 2\+ years of dedicated professional experience with Palantir Foundry and its application ecosystem.
 • Strong technical proficiency in Python or TypeScript for data engineering and software development.
 • Proven experience with Pipeline Builder, Foundry AIP, and Git\-based version control workflows.
 • Active Secret security clearance is essential for this mission\-critical role.
 • Bachelor’s degree in a technical field (or additional equivalent professional experience in data engineering).
 • Bonus points for experience with Maven Smart Systems, SharePoint, Power Platform, or DoD analytics environments.
**What's On Offer** 
 • Highly competitive salary range ($77,600 \- $176,000\) with a performance\-based recognition program.
 • Robust benefits suite including comprehensive health, dental, and vision insurance plus a 401(k) with company match.
 • Commitment to professional growth through tuition assistance, technical certifications, and dedicated work\-life programs.
 • The opportunity to work on the cutting edge of AI and big data in a stunning Honolulu\-based hybrid environment.
**Apply via Haystack today!**</t>
        </is>
      </c>
    </row>
    <row r="39">
      <c r="A39" t="inlineStr">
        <is>
          <t>li-4357375382</t>
        </is>
      </c>
      <c r="B39" t="inlineStr">
        <is>
          <t>Data Engineer (Direct Hire, Remote - US Only)</t>
        </is>
      </c>
      <c r="C39" t="inlineStr">
        <is>
          <t>Braintrust</t>
        </is>
      </c>
      <c r="D39" t="inlineStr">
        <is>
          <t>linkedin</t>
        </is>
      </c>
      <c r="E39">
        <f>HYPERLINK("https://www.linkedin.com/jobs/view/4357375382", "https://www.linkedin.com/jobs/view/4357375382")</f>
        <v/>
      </c>
      <c r="F39">
        <f>HYPERLINK("https://app.usebraintrust.com/jobs/16782?gh_src=06bf3def4us&amp;utm_channel=jobboard&amp;utm_source=linkedin&amp;urlHash=MdRs", "https://app.usebraintrust.com/jobs/16782?gh_src=06bf3def4us&amp;utm_channel=jobboard&amp;utm_source=linkedin&amp;urlHash=MdRs")</f>
        <v/>
      </c>
      <c r="G39" t="inlineStr"/>
      <c r="H39" t="inlineStr"/>
      <c r="I39" t="inlineStr">
        <is>
          <t>**Job Description**
****Full Time \- Remote, United States****
****Join the Future of Healthcare Recruitment at Vivian Health****
 Vivian Health empowers every healthcare professional to find their perfect job faster and easier than ever before. As the largest healthcare jobs marketplace, we support over 2 million clinicians in finding their next career opportunities. Our AI\-driven platform also enhances process efficiencies for staffing agencies and healthcare employers, significantly reducing time to hire.
 Vivian Health is backed by world\-class investors, including Thoma Bravo and IAC, with over $75 million in capital raised. Our accolades include BuiltIn's awards for “Fully Remote Best Startup,” “Fully Remote Best Places to Work,” and “U.S. Best Startups to Work For” in 2024\.
****About the team:****
 Vivian Health is a remote\-first company at the forefront of transforming the healthcare staffing landscape. Vivian Health is searching for a software engineer to join the data team. The Data Team plays a critical role in providing insights that drive business strategy and empower data\-driven decision making across the organization. Our team is a centralized group of talented data professionals, with experience across BI and analytics, engineering, data science, and machine learning.
****What you’ll do:****
 You'll work on our data pipelines and build APIs that serve data to our product. You'll own the full stack of our client\-facing analytics and admin tool. You'll implement data pipelines with DBT, Airflow, DynamoDB, and AWS Lambda. You'll also contribute front\-end code to our core product to help us quickly integrate our data into product experiences and build out telemetry to power our analytics decision\-making and machine learning models.
****What we’re looking for:****
 We’re looking for a builder who loves data, cares about quality, and thrives in cross\-functional collaboration. Ideally, you bring:
* 4\+ years of professional experience in software engineering
* Strong experience with Python and SQL
* Experience building and maintaining APIs
* Familiarity with cloud data warehouses like Snowflake, BigQuery, or Redshift
* Knowledge of AWS technologies like DynamoDB, Lambda, and Elastic Beanstalk
* Experience with Infrastructure\-as\-Code tools like CloudFormation or Terraform
* Experience with Airflow and DBT
* Exposure to streaming data pipelines and/or machine learning workflows
* Comfort working with JavaScript and React
 Your First Year at Vivian
****Within one month, you’ll****
* Have spun up our environments locally
* Have built a new data API resource, complete with unit testing and monitoring
* Have build a new dbt model
****Within three months, you'll****
* Own a new core function in our admin tool, including the data model, pipeline, and API
* Have built out robust testing and monitoring for our data infrastructure
* Help to steer the architecture decisions and direction of the data engineering team
****Within six months, you'll****
* Contribute to tech stack decision\-making around streaming data
* Have replaced one of our existing batch data pipelines with a streaming pipeline
****Within a year, you'll****
* Power near real time data to predictive models that provide a personalized experience for our users
* Have built a data platform to make ingesting new data sources and spinning up new API services a breeze
 At Vivian Health, we offer a competitive compensation package, with benefits including:
* Flexible Time Off
* Comprehensive Health Insurance Plans, including HSA and FSA Options
* 401K Retirement Savings Plan with Generous Employer Match (10% match)
* Generous Parental Leave
* Work\-from\-home stipend
* Access to Corporate Discount Program
* Pet Insurance</t>
        </is>
      </c>
    </row>
    <row r="40">
      <c r="A40" t="inlineStr">
        <is>
          <t>li-4374729739</t>
        </is>
      </c>
      <c r="B40" t="inlineStr">
        <is>
          <t>Mid-Senior Level Data Engineer w/ Data Governance Experience | Salary + Bonus | Hybrid Position in NYC!</t>
        </is>
      </c>
      <c r="C40" t="inlineStr">
        <is>
          <t>Integris Group</t>
        </is>
      </c>
      <c r="D40" t="inlineStr">
        <is>
          <t>linkedin</t>
        </is>
      </c>
      <c r="E40">
        <f>HYPERLINK("https://www.linkedin.com/jobs/view/4374729739", "https://www.linkedin.com/jobs/view/4374729739")</f>
        <v/>
      </c>
      <c r="F40" t="inlineStr"/>
      <c r="G40" t="inlineStr"/>
      <c r="H40" t="inlineStr"/>
      <c r="I40" t="inlineStr">
        <is>
          <t>**Position Title:** 
 Mid\-Senior Level Data Engineer w/ Data Governance experience
**Location:** 
 New York City (Hybrid – 4 Days Onsite / 1 Day Remote)
**Employment Type:** 
 Full\-Time / Permanent
**Compensation:** 
 Competitive Base Salary \+ Bonus \+ Full Benefits
**About the Role:** 
 Our client is seeking a
 **Mid\-to\-Senior Level Data Engineer / Data Governance / Enterprise Data Management** 
 who possesses
 a strong background and genuine passion for "
 **Data Governance"** 
 to join a growing enterprise data team in New York City.
 This is NOT a traditional pipeline builder role!! While modern data engineering skills are important, the primary focus of this position is
 **data governance, access control, data stewardship, and responsible data enablement across a complex, multi\-institutional environment** 
 .
 The organization is actively integrating data across 3\-major institutions and each of them have different standards, access rules, risk tolerances, and definitions of sensitive data.
 Governance is what makes this integration safe, scalable, and strategic. The team is embarking on a Data Monetization program, and Governance will be the foundation that determines what data can be used, by whom, and under what controls.
**What You’ll Be Responsible For:** 
***Data Governance \&amp; Stewardship (Primary Focus)***
* Design and implement Governance frameworks that define who can access what data — and why.
* Establish policies around PHI classification, data sensitivity tiers, and domain\-based access.
* Partner with security, compliance, and business leaders to align governance controls with regulatory and operational needs.
* Create enforceable standards across multiple legacy data environments.
* Define data lineage, ownership, stewardship, and accountability models.
**Help answer critical questions such as:** 
* Who should see what data?
* What level of PHI is appropriate per domain?
* How do we harmonize policies across historically independent institutions?
**Access Control \&amp; Risk Mitigation:** 
* Implement role\-based and attribute\-based access controls.
* Ensure proper separation of sensitive datasets.
* Collaborate with InfoSec and Compliance Teams to minimize risk exposure.
* Prevent governance gaps that could create liability in a unified data platform.
**Platform Collaboration (Secondary Focus):** 
* Work with Data Engineers to align governance with ingestion and transformation processes.
* Ensure data products are compliant by design.
* Contribute to scalable governance models within Snowflake and other modern data platforms.
**Required Experience:** 
* ***5–10\+ years in Data Engineering, Data Governance, or Enterprise Data Management***
* ***Demonstrated experience implementing Data Governance Frameworks, not just documentation but actual enforcement.***
**Strong experience with:** 
* Data Classification
* PHI (Protected Health Information / HIPAA\-aligned controls)
* Access Management
* Metadata Management
* Data Stewardship models
* Experience working in complex, regulated environments such as Healthcare or Finance
* Comfortable working onsite in NYC 4 days per week (Hybrid Model)
**Snowflake \&amp; Tooling:** 
* Snowflake experience is a nice\-to\-have, but not a blocker
* Exposure to Snowflake or similar modern cloud data warehouses is preferred
* The ideal candidate is not intimidated by Snowflake and understands how governance is implemented within modern cloud platforms
* This is fundamentally a Data Governance\-focused role, not a Snowflake tuning position.
**Why Join:** 
* Competitive base salary plus performance bonus.
* First\-class medical, dental, and vision benefits.
* Generous PTO.
* 401(k) with company match.
* Career growth within a rapidly expanding enterprise data organization.
* Opportunity to help shape governance strategy during a transformative data integration initiative.</t>
        </is>
      </c>
    </row>
    <row r="41">
      <c r="A41" t="inlineStr">
        <is>
          <t>li-4373774613</t>
        </is>
      </c>
      <c r="B41" t="inlineStr">
        <is>
          <t>Flight Data Engineer</t>
        </is>
      </c>
      <c r="C41" t="inlineStr">
        <is>
          <t>Boeing</t>
        </is>
      </c>
      <c r="D41" t="inlineStr">
        <is>
          <t>linkedin</t>
        </is>
      </c>
      <c r="E41">
        <f>HYPERLINK("https://www.linkedin.com/jobs/view/4373774613", "https://www.linkedin.com/jobs/view/4373774613")</f>
        <v/>
      </c>
      <c r="F41">
        <f>HYPERLINK("https://ad.doubleclick.net/ddm/clk/517492914;325447798;a?https://jobs.boeing.com/job/-/-/185/91961417472?utm_source=linkedin&amp;utm_medium=job_posting&amp;utm_campaign=ra-us&amp;urlHash=ddEd", "https://ad.doubleclick.net/ddm/clk/517492914;325447798;a?https://jobs.boeing.com/job/-/-/185/91961417472?utm_source=linkedin&amp;utm_medium=job_posting&amp;utm_campaign=ra-us&amp;urlHash=ddEd")</f>
        <v/>
      </c>
      <c r="G41" t="inlineStr">
        <is>
          <t>Seattle, WA</t>
        </is>
      </c>
      <c r="H41" t="inlineStr"/>
      <c r="I41" t="inlineStr">
        <is>
          <t>**Job Description**
 At Boeing, we innovate and collaborate to make the world a better place. We’re committed to fostering an environment for every teammate that’s welcoming, respectful and inclusive, with great opportunity for professional growth. Find your future with us.
 We are Boeing Global Services (BGS) Engineering team creating and implementing innovative technologies that make the impossible possible and enabling the future of aerospace. We provide engineering design and support, including aftermarket modifications, and are innovating to make product and services safety even stronger. Join us and put your passion, determination, and skill to work building the future! \#TheFutureIsBuiltHere \#ChangeTheWorld
 Boeing Seattle is seeking a
 **Flight Data Engineer** 
 in
 **Seattle, Washington** 
 to automate flight data translations within the Boeing Global Services, reporting to the Manager of Prognostics Development working out of the Seattle, WA office.
 The Flight Data Translation Engineer will be responsible for the delivery of cutting\-edge flight data analytics products to commercial aviation customers. As part of an integrated product team, the successful candidate will be part of a technical team supporting product feature development and life support. In this role, the Flight Data Translation Engineer will work with a team of highly motivated aviation SMEs, software architects, developers, and data scientists. This role will work with portfolio leadership, development teams and stakeholders to establish and drive the implementation of flight data management for the success of each product and initiative.
**Position Responsibilities:**
* Leverage the power of data and engagement insights to drive advancements in flight safety, fleet reliability and sustainability, while executing on the Boeing Flight Data Analytics value and vision
* Collaborate closely with engineering, DevOps, product management, and airline customers in an agile environment
* Ensure high quality aviation domain data is available for advanced aviation data insights that benefit both our internal teams and customers
* Gain a deep understanding of our customers, their flight operations, and their analytics needs; you will play a pivotal role in finding innovative solutions to meet their evolving needs
* Configure, test and validate aircraft safety, maintenance, sustainability and reliability data models for use in product development, and create high quality documentation required to support these tasks
* Define and validate experiments using Machine Learning, as assigned by Lead Data Architect, or Product Management
* Ensure data integrity across the entire data pipeline by leveraging expert\-level knowledge of ARINC 717, 767 and other protocols, as applied to different aircraft types, including Boeing and Airbus
* Proactively identify and troubleshoot data integrity issues to ensure products are providing an exceptional customer experience
* Employ expertise in database and schema design, anticipating the data questions and data narratives that stakeholders may require
* Perform hands\-on technical work, including working with data, building utilities and tooling, and providing flight data and integrated dataset support to both the product team and customers
* Work closely with the lead data architect and product managers to strategically shape the future direction of our analytics product
* Undertake other tasks, projects, and initiatives as needed
**Basic Qualifications (Required Skills/Experience):**
* Bachelor of Science degree in Engineering (with a focus in Electrical, Mechanical or Aeronautical), Computer Science, Data Science, Mathematics, Physics, Chemistry or non\-US equivalent
* 1\+ years of progressive experience in software development and design
* Experienced working with aerospace systems ARINC standards (ARINC 717, 767\)
* 9\+ years of related work experience or an equivalent combination of technical education and experience
**Preferred Qualifications (Education/Experience):**
* Working experience with cloud solutions Experience with programming, eg java or python, SQL
* Experience in data science and/or data analytics Advanced experience in business intelligence tools, statistics and data modelling
* Experience working in a global technology organization and managing many stakeholders
* Experience with airline safety, airline maintenance engineering, avionics or aircraft flight data recording
* Experience with Airbus and Boeing aircraft operations
**Drug Free Workplace:**
 Boeing is a Drug Free Workplace where post offer applicants and employees are subject to testing for marijuana, cocaine, opioids, amphetamines, PCP, and alcohol when criteria is met as outlined in our policies.
**Total Rewards and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Expert $146,200 \- $197,800
 Applications for this position will be accepted until
 **Feb. 24, 2026**
**Export Control Requirements:**
 This is not an Export Control position.
**Education**
 Bachelor's Degree or Equivalent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2">
      <c r="A42" t="inlineStr">
        <is>
          <t>li-4375303697</t>
        </is>
      </c>
      <c r="B42" t="inlineStr">
        <is>
          <t>ETL/GCP Data Engineer - Charlotte, NC</t>
        </is>
      </c>
      <c r="C42" t="inlineStr">
        <is>
          <t>Randstad Digital Americas</t>
        </is>
      </c>
      <c r="D42" t="inlineStr">
        <is>
          <t>linkedin</t>
        </is>
      </c>
      <c r="E42">
        <f>HYPERLINK("https://www.linkedin.com/jobs/view/4375303697", "https://www.linkedin.com/jobs/view/4375303697")</f>
        <v/>
      </c>
      <c r="F42">
        <f>HYPERLINK("https://www.randstadusa.com/jobs/4/1323615/etl-gcp-data-engineer-charlotte-nc_charlotte/&amp;urlHash=CuXi", "https://www.randstadusa.com/jobs/4/1323615/etl-gcp-data-engineer-charlotte-nc_charlotte/&amp;urlHash=CuXi")</f>
        <v/>
      </c>
      <c r="G42" t="inlineStr">
        <is>
          <t>Charlotte, NC</t>
        </is>
      </c>
      <c r="H42" t="inlineStr"/>
      <c r="I42" t="inlineStr">
        <is>
          <t>**Job Summary:**
 The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**In This Role, You Will:**
 Lead complex initiatives with broad impact and act as key participant in large scale software planning for the Technology area
 Design, develop, and run tooling to discover problems in data and applications and report the issues to engineering and product leadership
 Review and analyze complex software enhancement initiatives for business, operational or technical improvements that require in depth evaluation of multiple factors including intangibles or unprecedented factors
 Make decisions in complex and multi\-faceted data engineering situations requiring understanding of software package options and programming language and compliance requirements that influence and lead Technology to meet deliverables and drive organizational change
 Strategically collaborate and consult with internal partners to resolve highly risky data engineering challenges
**Required Qualifications:**
 7\+ years of experience with GCP, Big Query, Ab\-Initio ETL, Teradata
**Desired Qualifications:**
 7\+ years of experience with Java, Python, Finance / Banking
**Job Expectations:**
 Ability to work in a fast\-paced environment
 Ability to understand business requirements and translate into data models and solutions that efficiently meet customer needs
 Works quickly and independently to meet required sprint objectives
 Actively participates in cross\-team meetings and is excited to share knowledge for broader team improvement
 Effective Communicator
 location: Charlotte, North Carolina
 job type: Contract
 salary: $58\.73 \- 61\.00 per hour
 work hours: 8am to 5pm
 education: Bachelors
**Responsibilities:**
 The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**In This Role, You Will:**
* Lead complex initiatives with broad impact and act as key participant in large scale software planning for the Technology area
* Design, develop, and run tooling to discover problems in data and applications and report the issues to engineering and product leadership
* Review and analyze complex software enhancement initiatives for business, operational or technical improvements that require in depth evaluation of multiple factors including intangibles or unprecedented factors
* Make decisions in complex and multi\-faceted data engineering situations requiring understanding of software package options and programming language and compliance requirements that influence and lead Technology to meet deliverables and drive organizational change
* Strategically collaborate and consult with internal partners to resolve highly risky data engineering challenges
**Required Qualifications:**
* 7\+ years of experience with GCP, Big Query, Ab\-Initio ETL, Teradata
**Desired Qualifications:**
* 7\+ years of experience with Java, Python, Finance / Banking
**Job Expectations:**
* Ability to work in a fast\-paced environment
* Ability to understand business requirements and translate into data models and solutions that efficiently meet customer needs
* Works quickly and independently to meet required sprint objectives
* Actively participates in cross\-team meetings and is excited to share knowledge for broader team improvement
* Effective Communicator
**Qualifications:**
 The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**Job Expectations:**
 Ability to work in a fast\-paced environment
 Ability to understand business requirements and translate into data models and solutions that efficiently meet customer needs
 Works quickly and independently to meet required sprint objectives
 Actively participates in cross\-team meetings and is excited to share knowledge for broader team improvement
 Effective Communicator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43">
      <c r="A43" t="inlineStr">
        <is>
          <t>li-4373394170</t>
        </is>
      </c>
      <c r="B43" t="inlineStr">
        <is>
          <t>Data Engineer, Analytics</t>
        </is>
      </c>
      <c r="C43" t="inlineStr">
        <is>
          <t>Jobs via Dice</t>
        </is>
      </c>
      <c r="D43" t="inlineStr">
        <is>
          <t>linkedin</t>
        </is>
      </c>
      <c r="E43">
        <f>HYPERLINK("https://www.linkedin.com/jobs/view/4373394170", "https://www.linkedin.com/jobs/view/4373394170")</f>
        <v/>
      </c>
      <c r="F43">
        <f>HYPERLINK("https://click.appcast.io/t/I2cgPnRSKlYVTfBXrO4ynMy72eFiU3KbOd7ZSXRlmFg=&amp;urlHash=tVgf", "https://click.appcast.io/t/I2cgPnRSKlYVTfBXrO4ynMy72eFiU3KbOd7ZSXRlmFg=&amp;urlHash=tVgf")</f>
        <v/>
      </c>
      <c r="G43" t="inlineStr">
        <is>
          <t>Redmond, WA</t>
        </is>
      </c>
      <c r="H43" t="inlineStr"/>
      <c r="I43" t="inlineStr">
        <is>
          <t>**Meta Platforms, Inc. (f/k/a Facebook, Inc.) has the following positions in Redmond, WA**
 Data Engineer, Analytics: Design, model, and implement data warehousing activities to deliver the data foundation that drives impact through informed decision making. (ref. code REQ\-2602\-159194: $166,698/year to $199,650/year).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44">
      <c r="A44" t="inlineStr">
        <is>
          <t>li-4374080115</t>
        </is>
      </c>
      <c r="B44" t="inlineStr">
        <is>
          <t>Big Data Engineer</t>
        </is>
      </c>
      <c r="C44" t="inlineStr">
        <is>
          <t>Jobs via Dice</t>
        </is>
      </c>
      <c r="D44" t="inlineStr">
        <is>
          <t>linkedin</t>
        </is>
      </c>
      <c r="E44">
        <f>HYPERLINK("https://www.linkedin.com/jobs/view/4374080115", "https://www.linkedin.com/jobs/view/4374080115")</f>
        <v/>
      </c>
      <c r="F44">
        <f>HYPERLINK("https://click.appcast.io/t/fuIvNGl8S4lB6QoCZb9iy74HAQ7ORBDgpzxq2IFmsKg=&amp;urlHash=aDZ0", "https://click.appcast.io/t/fuIvNGl8S4lB6QoCZb9iy74HAQ7ORBDgpzxq2IFmsKg=&amp;urlHash=aDZ0")</f>
        <v/>
      </c>
      <c r="G44" t="inlineStr">
        <is>
          <t>Pennsylvania, United States</t>
        </is>
      </c>
      <c r="H44" t="inlineStr"/>
      <c r="I44" t="inlineStr">
        <is>
          <t>job summary:
**Responsibilities**
 Writes ETL (Extract / Transform / Load) processes, designs database systems, and develops tools for real\-time and offline analytic processing.
 Troubleshoots software and processes for data consistency and integrity.
 Integrates data from a variety of sources for business partners to generate insight and make decisions.
 Translates business specifications into design specifications and code.
 Responsible for writing programs, ad hoc queries, and reports.
 Ensures that all code is well structured, includes sufficient documentation, and is easy to maintain and reuse.
 Partners with internal clients to gain a basic understanding of business functions and informational needs.
 Gains working knowledge in tools, technologies, and applications/databases in specific business areas and company\-wide systems.
 Participates in all phases of solution development. Explains technical considerations at related meetings, including those with business clients.
 Tests code thoroughly for accuracy of intended purpose.
 Reviews end product with the client to ensure adequate understanding. Provides data analysis guidance as required.
 Provides tool and data support to business users and fellow team members.
 Tests and implements new software releases through regression testing. Identifies issues and engages with vendors to resolve and elevate software into production.
 Participates in special projects and performs other duties as assigned.
**Qualifications**
 1\-3 years Data Engineering Experience with SQL, Python \&amp; AWS
 Experience with CI/CD and Jira. Experience with Data Quality
 Experience with setting up lineage
 Undergraduate degree or equivalent combination of training and experience.
 location: Malvern, Pennsylvania
 job type: Contract
 salary: $47\.66 \- 52\.66 per hour
 work hours: 8am to 5pm
 education: Bachelors
 responsibilities:
****Responsibilities****
* Writes ETL (Extract / Transform / Load) processes, designs database systems, and develops tools for real\-time and offline analytic processing.
* Troubleshoots software and processes for data consistency and integrity.
* Integrates data from a variety of sources for business partners to generate insight and make decisions.
* Translates business specifications into design specifications and code.
* Responsible for writing programs, ad hoc queries, and reports.
* Ensures that all code is well structured, includes sufficient documentation, and is easy to maintain and reuse.
* Partners with internal clients to gain a basic understanding of business functions and informational needs.
* Gains working knowledge in tools, technologies, and applications/databases in specific business areas and company\-wide systems.
* Participates in all phases of solution development. Explains technical considerations at related meetings, including those with business clients.
* Tests code thoroughly for accuracy of intended purpose.
* Reviews end product with the client to ensure adequate understanding. Provides data analysis guidance as required.
* Provides tool and data support to business users and fellow team members.
* Tests and implements new software releases through regression testing. Identifies issues and engages with vendors to resolve and elevate software into production.
* Participates in special projects and performs other duties as assigned.
 qualifications:
**Qualifications**
 1\-3 years Data Engineering Experience with SQL, Python \&amp; AWS
 Experience with CI/CD and Jira. Experience with Data Quality
 Experience with setting up lineage
 Undergraduate degree or equivalent combination of training and experience.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row>
    <row r="45">
      <c r="A45" t="inlineStr">
        <is>
          <t>li-4373620962</t>
        </is>
      </c>
      <c r="B45" t="inlineStr">
        <is>
          <t>Senior Data Engineer</t>
        </is>
      </c>
      <c r="C45" t="inlineStr">
        <is>
          <t>Jobs via Dice</t>
        </is>
      </c>
      <c r="D45" t="inlineStr">
        <is>
          <t>linkedin</t>
        </is>
      </c>
      <c r="E45">
        <f>HYPERLINK("https://www.linkedin.com/jobs/view/4373620962", "https://www.linkedin.com/jobs/view/4373620962")</f>
        <v/>
      </c>
      <c r="F45">
        <f>HYPERLINK("https://click.appcast.io/t/tc6vniRiYkDUEolxVQ8ibF11KAgV9rSsQr9L1OtHxgk=&amp;urlHash=0qQG", "https://click.appcast.io/t/tc6vniRiYkDUEolxVQ8ibF11KAgV9rSsQr9L1OtHxgk=&amp;urlHash=0qQG")</f>
        <v/>
      </c>
      <c r="G45" t="inlineStr">
        <is>
          <t>San Jose, CA</t>
        </is>
      </c>
      <c r="H45" t="inlineStr"/>
      <c r="I45" t="inlineStr">
        <is>
          <t>RESPONSIBILITIES:
 Kforce is immediately seeking an experienced Senior Data Engineer to remotely support our enterprise networking and cloud solutions customer based in San Jose, CA
 Summary:
 We are building next\-generation foundation models for machine\-generated data \- including time series, logs, and large\-scale event streams. We're looking for a strong Data Engineer to design and scale the data pipelines that power model training and production systems. This role sits at the intersection of distributed systems, data infrastructure, and machine learning.
 What You'll Do:
* Senior Data Engineer will build and scale distributed data pipelines for large\-scale time series and log data
* Design reliable, high\-performance Spark/Python workflows for model training datasets
* Analyze and resolve performance bottlenecks (latency, memory, skew, throughput)
* Improve data quality, validation, and reproducibility for ML workloads
* As a Senior Data Engineer, you will partner with ML engineers and researchers to accelerate foundation model development
* Measure and optimize application and transaction performance in production systems
 REQUIREMENTS:
* 5\+ years of software engineering experience
* Hands\-on experience with Apache Spark (PySpark or Scala)
* Experience building large\-scale data pipelines in distributed environments
* Experience working with time series, logs, or high\-volume event data
* Strong proficiency in Python
* Strong debugging and performance optimization skills
 Nice to Have:
* Experience supporting ML or large model training workflows
* Experience with streaming systems (Kafka, Spark Streaming)
* Experience with cloud\-native or Kubernetes\-based platforms
* Familiarity with sequence modeling or time series data systems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46">
      <c r="A46" t="inlineStr">
        <is>
          <t>li-4374995821</t>
        </is>
      </c>
      <c r="B46" t="inlineStr">
        <is>
          <t>AWS Cloud Data Engineer</t>
        </is>
      </c>
      <c r="C46" t="inlineStr">
        <is>
          <t>Jobs via Dice</t>
        </is>
      </c>
      <c r="D46" t="inlineStr">
        <is>
          <t>linkedin</t>
        </is>
      </c>
      <c r="E46">
        <f>HYPERLINK("https://www.linkedin.com/jobs/view/4374995821", "https://www.linkedin.com/jobs/view/4374995821")</f>
        <v/>
      </c>
      <c r="F46">
        <f>HYPERLINK("https://click.appcast.io/t/LAGOsEizCWUbo4kuQ-QcP4hQ6pMvBzsq6k4K2kobSHk=&amp;urlHash=0Yj7", "https://click.appcast.io/t/LAGOsEizCWUbo4kuQ-QcP4hQ6pMvBzsq6k4K2kobSHk=&amp;urlHash=0Yj7")</f>
        <v/>
      </c>
      <c r="G46" t="inlineStr"/>
      <c r="H46" t="inlineStr"/>
      <c r="I46" t="inlineStr">
        <is>
          <t>Dice is the leading career destination for tech experts at every stage of their careers. Our client, Appiness Inc., is seeking the following. Apply via Dice today!
**Job: AWS Cloud Data Engineer**
**Location: Remote from US(\+travel)**
**Duration: 6\+ months**
**Industry Experience: Healthcare industry exp is preferred**
**Job Description**
 We’re seeking an enthusiastic, experienced, Cloud Data Engineer. The ideal candidate must have a DevOps background, strong Python and SQL programming, and have a solid grasp of data warehousing fundamentals. Beyond technical prowess, the Cloud Data Engineer will need soft skills for clearly communicating to both technical and non\-technical colleagues. The Cloud Data Engineer must be comfortable developing reliable documentation and visualizations. We’re looking for someone who appreciates the importance of a data\-driven approach to create optimal outcomes and is comfortable working in a high\-speed environment.
**Responsibilities**
* Builds the infrastructure required for optimal extraction, transformation, and loading of data from a wide variety of data sources using SQL and AWS cloud native technologies.
* Performs ETL/ELT development.
* Creates and maintains optimal data pipeline architecture integrating large, complex data sets that meet functional and non\-functional business requirements.
* Works with project stakeholders to create reports and develop extracts for dashboards.
* Identifies, designs, and implements internal process improvements such as automating manual processes, optimizing data delivery, and re\-designing infrastructure for greater scalability.
* Participates in rotating 24x7 production support.
* Works with technical and non\-technical business owners to streamline and update business logic and processes as needed.</t>
        </is>
      </c>
    </row>
    <row r="47">
      <c r="A47" t="inlineStr">
        <is>
          <t>li-4373658529</t>
        </is>
      </c>
      <c r="B47" t="inlineStr">
        <is>
          <t>Lead Data Engineer</t>
        </is>
      </c>
      <c r="C47" t="inlineStr">
        <is>
          <t>Jobs via Dice</t>
        </is>
      </c>
      <c r="D47" t="inlineStr">
        <is>
          <t>linkedin</t>
        </is>
      </c>
      <c r="E47">
        <f>HYPERLINK("https://www.linkedin.com/jobs/view/4373658529", "https://www.linkedin.com/jobs/view/4373658529")</f>
        <v/>
      </c>
      <c r="F47" t="inlineStr"/>
      <c r="G47" t="inlineStr">
        <is>
          <t>Plano, TX</t>
        </is>
      </c>
      <c r="H47" t="inlineStr"/>
      <c r="I47" t="inlineStr">
        <is>
          <t>**Location:** 
 Plano, TX
**Salary:** 
 $75\.00 USD Hourly \- $80\.00 USD Hourly
**Description:**
**Job Title: Lead Data Engineer**
**Duration: 6 months contract to Perm**
**Location: Plano, TX (onsite)**
**Interview Type: Initial interview on zoom and In\-Person**
**MUST HAVE\- 10\+ with Data Engineering WITH** 
**Databricks, Snowflake, Spark, (Java OR Python)**
**NICE TO HAVE\- EMR, AWS**
**Skillset \-**
 1\.5\+ years of experience with data modelling, warehousing, analysis \&amp; data profiling experience, and ability to identify trends and anomalies in the data
* Experience on AWS technologies like S3, AWS Glue, EMR, and IAM roles/permissions
* Experience with one or more query language (e.g., SQL, PL/SQL, DDL, Spark SQL, Scala)
* Experience working with relational database such as Teradata and handling both structured and unstructured datasets
**Ideal to have \-**
* Proficiency in SQL, Python/Java
* Experience with NoSQL, non\-relational databases / data stores (e.g., object storage, document or key\-value stores, graph databases, column\-family databases)
* Experience with Snowflake and Databricks
**Experience**
* Bachelor's or Master's degree (or equivalent work experience) in Data Science, Statistics, Computer Science, or Mathematics
* Experience with one or more scripting languages (e.g., Python, KornShell)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2026-02-22T22:18:14Z</dcterms:created>
  <dcterms:modified xsi:type="dcterms:W3CDTF">2026-02-22T22:18:14Z</dcterms:modified>
</cp:coreProperties>
</file>