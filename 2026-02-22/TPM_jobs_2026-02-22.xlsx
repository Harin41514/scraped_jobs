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in-b221a57bd6dbd48b</t>
        </is>
      </c>
      <c r="B2" t="inlineStr">
        <is>
          <t>Principal Product Manager - Tech, Sponsored Products and Brands</t>
        </is>
      </c>
      <c r="C2" t="inlineStr">
        <is>
          <t>Amazon.com</t>
        </is>
      </c>
      <c r="D2" t="inlineStr">
        <is>
          <t>indeed</t>
        </is>
      </c>
      <c r="E2" t="inlineStr"/>
      <c r="F2" t="inlineStr"/>
      <c r="G2" t="inlineStr">
        <is>
          <t>New York, NY, US</t>
        </is>
      </c>
      <c r="H2" s="1" t="n">
        <v>46019</v>
      </c>
      <c r="I2"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This position will be part of the Conversational Ad Experiences team within the Amazon Advertising organization. Our cross\-functional team focuses on designing, developing and launching innovative ad experiences delivered to shoppers in conversational contexts. We utilize leading\-edge engineering and science technologies in generative AI to help shoppers discover new products and brands through intuitive, conversational, multi\-turn interfaces. We also empower advertisers to reach shoppers, using their own voice to explain and demonstrate how their products meet shoppers' needs. We collaborate with various teams across multiple Amazon organizations to push the boundary of what's possible in these fields.  
As a Principal Product Manager for the team, you will define the product strategy for the business, drive appropriate technology choices, lead the way for continuous innovation, and shape the future of e\-commerce. This is an opportunity to make a significant impact on the future of the Amazon vision. You will guide the team's roadmap and drive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Key job responsibilities  
* Set a long\-term vision for conversational ads on Amazon.com and beyond
* Launch high impact ad experiences that delight customers on Amazon.com drive business success with advertisers
* Manage roadmap prioritization and trade\-offs among customer experience, monetization, technical and operational lift, and competing priorities across multiple stakeholder teams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Ad Tech Experience
* Gen AI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in-3a3e350a3cf0a36e</t>
        </is>
      </c>
      <c r="B3" t="inlineStr">
        <is>
          <t>Principal Product Manager - Tech, Sponsored Products and Brands</t>
        </is>
      </c>
      <c r="C3" t="inlineStr">
        <is>
          <t>Amazon.com</t>
        </is>
      </c>
      <c r="D3" t="inlineStr">
        <is>
          <t>indeed</t>
        </is>
      </c>
      <c r="E3" t="inlineStr"/>
      <c r="F3" t="inlineStr"/>
      <c r="G3" t="inlineStr">
        <is>
          <t>Palo Alto, CA, US</t>
        </is>
      </c>
      <c r="H3" s="1" t="n">
        <v>46019</v>
      </c>
      <c r="I3"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This position will be part of the Conversational Ad Experiences team within the Amazon Advertising organization. Our cross\-functional team focuses on designing, developing and launching innovative ad experiences delivered to shoppers in conversational contexts. We utilize leading\-edge engineering and science technologies in generative AI to help shoppers discover new products and brands through intuitive, conversational, multi\-turn interfaces. We also empower advertisers to reach shoppers, using their own voice to explain and demonstrate how their products meet shoppers' needs. We collaborate with various teams across multiple Amazon organizations to push the boundary of what's possible in these fields.  
As a Principal Product Manager for the team, you will define the product strategy for the business, drive appropriate technology choices, lead the way for continuous innovation, and shape the future of e\-commerce. This is an opportunity to make a significant impact on the future of the Amazon vision. You will guide the team's roadmap and drive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Key job responsibilities  
* Set a long\-term vision for conversational ads on Amazon.com and beyond
* Launch high impact ad experiences that delight customers on Amazon.com drive business success with advertisers
* Manage roadmap prioritization and trade\-offs among customer experience, monetization, technical and operational lift, and competing priorities across multiple stakeholder teams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Ad Tech Experience
* Gen AI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in-9d23db4e72330902</t>
        </is>
      </c>
      <c r="B4" t="inlineStr">
        <is>
          <t>Principal Product Manager - Tech, Sponsored Products and Brands</t>
        </is>
      </c>
      <c r="C4" t="inlineStr">
        <is>
          <t>Amazon.com</t>
        </is>
      </c>
      <c r="D4" t="inlineStr">
        <is>
          <t>indeed</t>
        </is>
      </c>
      <c r="E4" t="inlineStr"/>
      <c r="F4" t="inlineStr"/>
      <c r="G4" t="inlineStr">
        <is>
          <t>Seattle, WA, US</t>
        </is>
      </c>
      <c r="H4" s="1" t="n">
        <v>46019</v>
      </c>
      <c r="I4"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This position will be part of the Conversational Ad Experiences team within the Amazon Advertising organization. Our cross\-functional team focuses on designing, developing and launching innovative ad experiences delivered to shoppers in conversational contexts. We utilize leading\-edge engineering and science technologies in generative AI to help shoppers discover new products and brands through intuitive, conversational, multi\-turn interfaces. We also empower advertisers to reach shoppers, using their own voice to explain and demonstrate how their products meet shoppers' needs. We collaborate with various teams across multiple Amazon organizations to push the boundary of what's possible in these fields.  
As a Principal Product Manager for the team, you will define the product strategy for the business, drive appropriate technology choices, lead the way for continuous innovation, and shape the future of e\-commerce. This is an opportunity to make a significant impact on the future of the Amazon vision. You will guide the team's roadmap and drive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Key job responsibilities  
* Set a long\-term vision for conversational ads on Amazon.com and beyond
* Launch high impact ad experiences that delight customers on Amazon.com drive business success with advertisers
* Manage roadmap prioritization and trade\-offs among customer experience, monetization, technical and operational lift, and competing priorities across multiple stakeholder teams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Ad Tech Experience
* Gen AI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in-fd53b6515033dc9c</t>
        </is>
      </c>
      <c r="B5" t="inlineStr">
        <is>
          <t>Sr. Product Manager - Technical, CS Intelligence, AWS Specialist and Partner Organization</t>
        </is>
      </c>
      <c r="C5" t="inlineStr">
        <is>
          <t>Amazon Web Services</t>
        </is>
      </c>
      <c r="D5" t="inlineStr">
        <is>
          <t>indeed</t>
        </is>
      </c>
      <c r="E5" t="inlineStr"/>
      <c r="F5" t="inlineStr"/>
      <c r="G5" t="inlineStr">
        <is>
          <t>Mountain View, CA, US</t>
        </is>
      </c>
      <c r="H5" s="1" t="n">
        <v>46002</v>
      </c>
      <c r="I5"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6">
      <c r="A6" t="inlineStr">
        <is>
          <t>in-2b0c7e6896341751</t>
        </is>
      </c>
      <c r="B6" t="inlineStr">
        <is>
          <t>Sr. Product Manager - Technical, CS Intelligence, AWS Specialist and Partner Organization</t>
        </is>
      </c>
      <c r="C6" t="inlineStr">
        <is>
          <t>Amazon Web Services</t>
        </is>
      </c>
      <c r="D6" t="inlineStr">
        <is>
          <t>indeed</t>
        </is>
      </c>
      <c r="E6" t="inlineStr"/>
      <c r="F6" t="inlineStr"/>
      <c r="G6" t="inlineStr">
        <is>
          <t>Seattle, WA, US</t>
        </is>
      </c>
      <c r="H6" s="1" t="n">
        <v>46002</v>
      </c>
      <c r="I6"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7">
      <c r="A7" t="inlineStr">
        <is>
          <t>in-7aa8d9789bd1aeb4</t>
        </is>
      </c>
      <c r="B7" t="inlineStr">
        <is>
          <t>Sr. Product Manager - Technical, CS Intelligence, AWS Specialist and Partner Organization</t>
        </is>
      </c>
      <c r="C7" t="inlineStr">
        <is>
          <t>Amazon Web Services</t>
        </is>
      </c>
      <c r="D7" t="inlineStr">
        <is>
          <t>indeed</t>
        </is>
      </c>
      <c r="E7" t="inlineStr"/>
      <c r="F7" t="inlineStr"/>
      <c r="G7" t="inlineStr">
        <is>
          <t>Sunnyvale, CA, US</t>
        </is>
      </c>
      <c r="H7" s="1" t="n">
        <v>46002</v>
      </c>
      <c r="I7"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8">
      <c r="A8" t="inlineStr">
        <is>
          <t>in-0d1215b9484ce556</t>
        </is>
      </c>
      <c r="B8" t="inlineStr">
        <is>
          <t>Sr. Product Manager - Technical, CS Intelligence, AWS Specialist and Partner Organization</t>
        </is>
      </c>
      <c r="C8" t="inlineStr">
        <is>
          <t>Amazon Web Services</t>
        </is>
      </c>
      <c r="D8" t="inlineStr">
        <is>
          <t>indeed</t>
        </is>
      </c>
      <c r="E8" t="inlineStr"/>
      <c r="F8" t="inlineStr"/>
      <c r="G8" t="inlineStr">
        <is>
          <t>San Francisco, CA, US</t>
        </is>
      </c>
      <c r="H8" s="1" t="n">
        <v>46002</v>
      </c>
      <c r="I8"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9">
      <c r="A9" t="inlineStr">
        <is>
          <t>in-feb9428228a9b172</t>
        </is>
      </c>
      <c r="B9" t="inlineStr">
        <is>
          <t>Senior Product Manager Tech, EFS</t>
        </is>
      </c>
      <c r="C9" t="inlineStr">
        <is>
          <t>Amazon Web Services</t>
        </is>
      </c>
      <c r="D9" t="inlineStr">
        <is>
          <t>indeed</t>
        </is>
      </c>
      <c r="E9" t="inlineStr"/>
      <c r="F9" t="inlineStr"/>
      <c r="G9" t="inlineStr">
        <is>
          <t>Boston, MA, US</t>
        </is>
      </c>
      <c r="H9" s="1" t="n">
        <v>46001</v>
      </c>
      <c r="I9" t="inlineStr">
        <is>
          <t>**DESCRIPTION**
---------------
Amazon EFS (Elastic File System) is looking for a dynamic and seasoned product leader to help define and build the future of cloud\-based file storage. Customers around the world rely on Amazon EFS to provide scalable, elastic, high\-performance, secure, and cost\-effective shared file storage to support their growing infrastructure needs. Within EFS, you will work with a team that delivers fully managed, cloud\-native file storage services with diverse customers ranging from startups to well\-known enterprises. As a member of the broader Storage Services Product Management team, you'll join other highly respected product and engineering leaders to create the future of cloud file storage.  
Key job responsibilities  
We are looking for a senior product manager who will own and drive product management across the Amazon EFS portfolio, including performance modes, throughput modes, storage classes, lifecycle management, and integration with other AWS services. You will be responsible for end\-to\-end ownership of current and new features targeting a broad spectrum of file storage workloads (ex: content management, web serving, data analytics, machine learning training, home directories, container storage, etc.) across mission critical, enterprise, machine learning, and emerging domains. You will work on defining the roadmap for new products and features at the intersection of file storage and cloud technologies (ex: NFS protocol enhancements, performance optimization, data durability, replication, encryption, intelligent tiering, etc.) to help meet critical customer requirements, incentivize new migrations to AWS, and help drive the overall business. You will have strong ownership over portfolio strategy, product definition, feature prioritization, messaging, pricing, adoption, customer interaction, sales enablement, and team development. You will also identify and drive operational improvements and cost reductions.  
Working closely with and across agile teams, you will be able to see and feel the impact of your work on our customers. This is a high visibility and high impact role that will interact with all levels of AWS leadership.  
The ideal candidate is excited about the incredible opportunity cloud computing represents and is deeply passionate about working with great teams that deliver the highest quality services. You are naturally customer centric and thrive in a fast\-paced environment that requires strong technical and business judgment and solid communication skills.  
About the team  
About AWS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of technical product management with internet business experience
* 5\+ years of technical (software development, network development, IT, other related) experience
* 5\+ years of working as a Technical Product Manager experience
* 7\+ years of full product life cycle experience
* 5\+ years of P\&amp;L management and pricing experience
* 5\+ years of creating written docs for development of new products experience
* Bachelor's degree in a quantitative/technical field such as computer science, engineering, statistics
* Experience in taking a product from conception \&amp; definition phase through engineering design and taking it to market
* Experience delivering large\-scale SaaS, PaaS or LaaS products where you are responsible for the full product lifecycle, from concept through GTM (go to market)
**PREFERRED QUALIFICATIONS**
----------------------------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Experience working with customers, technical teams, and management to collect requirements, describe software product features, and technical designs
* product management experience preferably with IT Infrastructure including storage, file systems, networking and/or Internet business experience.
* · Knowledge of file storage workloads, file system protocols (NFS, SMB), distributed file systems, and cloud storage architectures
* · Knowledge of file storage performance optimization, caching strategies, and storage tiering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in-2ddf510f1135a574</t>
        </is>
      </c>
      <c r="B10" t="inlineStr">
        <is>
          <t>Senior Product Manager Tech, EFS</t>
        </is>
      </c>
      <c r="C10" t="inlineStr">
        <is>
          <t>Amazon Web Services</t>
        </is>
      </c>
      <c r="D10" t="inlineStr">
        <is>
          <t>indeed</t>
        </is>
      </c>
      <c r="E10" t="inlineStr"/>
      <c r="F10" t="inlineStr"/>
      <c r="G10" t="inlineStr">
        <is>
          <t>New York, NY, US</t>
        </is>
      </c>
      <c r="H10" s="1" t="n">
        <v>46001</v>
      </c>
      <c r="I10" t="inlineStr">
        <is>
          <t>**DESCRIPTION**
---------------
Amazon EFS (Elastic File System) is looking for a dynamic and seasoned product leader to help define and build the future of cloud\-based file storage. Customers around the world rely on Amazon EFS to provide scalable, elastic, high\-performance, secure, and cost\-effective shared file storage to support their growing infrastructure needs. Within EFS, you will work with a team that delivers fully managed, cloud\-native file storage services with diverse customers ranging from startups to well\-known enterprises. As a member of the broader Storage Services Product Management team, you'll join other highly respected product and engineering leaders to create the future of cloud file storage.  
Key job responsibilities  
We are looking for a senior product manager who will own and drive product management across the Amazon EFS portfolio, including performance modes, throughput modes, storage classes, lifecycle management, and integration with other AWS services. You will be responsible for end\-to\-end ownership of current and new features targeting a broad spectrum of file storage workloads (ex: content management, web serving, data analytics, machine learning training, home directories, container storage, etc.) across mission critical, enterprise, machine learning, and emerging domains. You will work on defining the roadmap for new products and features at the intersection of file storage and cloud technologies (ex: NFS protocol enhancements, performance optimization, data durability, replication, encryption, intelligent tiering, etc.) to help meet critical customer requirements, incentivize new migrations to AWS, and help drive the overall business. You will have strong ownership over portfolio strategy, product definition, feature prioritization, messaging, pricing, adoption, customer interaction, sales enablement, and team development. You will also identify and drive operational improvements and cost reductions.  
Working closely with and across agile teams, you will be able to see and feel the impact of your work on our customers. This is a high visibility and high impact role that will interact with all levels of AWS leadership.  
The ideal candidate is excited about the incredible opportunity cloud computing represents and is deeply passionate about working with great teams that deliver the highest quality services. You are naturally customer centric and thrive in a fast\-paced environment that requires strong technical and business judgment and solid communication skills.  
About the team  
About AWS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of technical product management with internet business experience
* 5\+ years of technical (software development, network development, IT, other related) experience
* 5\+ years of working as a Technical Product Manager experience
* 7\+ years of full product life cycle experience
* 5\+ years of P\&amp;L management and pricing experience
* 5\+ years of creating written docs for development of new products experience
* Bachelor's degree in a quantitative/technical field such as computer science, engineering, statistics
* Experience in taking a product from conception \&amp; definition phase through engineering design and taking it to market
* Experience delivering large\-scale SaaS, PaaS or LaaS products where you are responsible for the full product lifecycle, from concept through GTM (go to market)
**PREFERRED QUALIFICATIONS**
----------------------------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Experience working with customers, technical teams, and management to collect requirements, describe software product features, and technical designs
* product management experience preferably with IT Infrastructure including storage, file systems, networking and/or Internet business experience.
* · Knowledge of file storage workloads, file system protocols (NFS, SMB), distributed file systems, and cloud storage architectures
* · Knowledge of file storage performance optimization, caching strategies, and storage tiering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in-f321e54f104b9b3f</t>
        </is>
      </c>
      <c r="B11" t="inlineStr">
        <is>
          <t>Global Signage &amp; Wayfinding Designer Program Manager, Workplace Design &amp; Construction (WD&amp;C)</t>
        </is>
      </c>
      <c r="C11" t="inlineStr">
        <is>
          <t>Amazon.com</t>
        </is>
      </c>
      <c r="D11" t="inlineStr">
        <is>
          <t>indeed</t>
        </is>
      </c>
      <c r="E11" t="inlineStr"/>
      <c r="F11" t="inlineStr"/>
      <c r="G11" t="inlineStr">
        <is>
          <t>Seattle, WA, US</t>
        </is>
      </c>
      <c r="H11" s="1" t="n">
        <v>45998</v>
      </c>
      <c r="I11"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in-428ae82725caa0ee</t>
        </is>
      </c>
      <c r="B12" t="inlineStr">
        <is>
          <t>Global Signage &amp; Wayfinding Designer Program Manager, Workplace Design &amp; Construction (WD&amp;C)</t>
        </is>
      </c>
      <c r="C12" t="inlineStr">
        <is>
          <t>Amazon.com</t>
        </is>
      </c>
      <c r="D12" t="inlineStr">
        <is>
          <t>indeed</t>
        </is>
      </c>
      <c r="E12" t="inlineStr"/>
      <c r="F12" t="inlineStr"/>
      <c r="G12" t="inlineStr">
        <is>
          <t>Arlington, VA, US</t>
        </is>
      </c>
      <c r="H12" s="1" t="n">
        <v>45998</v>
      </c>
      <c r="I12"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in-9456ccb6bd163668</t>
        </is>
      </c>
      <c r="B13" t="inlineStr">
        <is>
          <t>Senior Product Manager, Ads</t>
        </is>
      </c>
      <c r="C13" t="inlineStr">
        <is>
          <t>Amazon.com</t>
        </is>
      </c>
      <c r="D13" t="inlineStr">
        <is>
          <t>indeed</t>
        </is>
      </c>
      <c r="E13" t="inlineStr"/>
      <c r="F13" t="inlineStr"/>
      <c r="G13" t="inlineStr">
        <is>
          <t>Seattle, WA, US</t>
        </is>
      </c>
      <c r="H13" s="1" t="n">
        <v>45994</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in-b848a691578299fc</t>
        </is>
      </c>
      <c r="B14" t="inlineStr">
        <is>
          <t>Senior Product Manager, Ads</t>
        </is>
      </c>
      <c r="C14" t="inlineStr">
        <is>
          <t>Amazon.com</t>
        </is>
      </c>
      <c r="D14" t="inlineStr">
        <is>
          <t>indeed</t>
        </is>
      </c>
      <c r="E14" t="inlineStr"/>
      <c r="F14" t="inlineStr"/>
      <c r="G14" t="inlineStr">
        <is>
          <t>Los Angeles, CA, US</t>
        </is>
      </c>
      <c r="H14" s="1" t="n">
        <v>45994</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in-c4d9609a31f32c27</t>
        </is>
      </c>
      <c r="B15" t="inlineStr">
        <is>
          <t>Senior Product Manager, Ads</t>
        </is>
      </c>
      <c r="C15" t="inlineStr">
        <is>
          <t>Amazon.com</t>
        </is>
      </c>
      <c r="D15" t="inlineStr">
        <is>
          <t>indeed</t>
        </is>
      </c>
      <c r="E15" t="inlineStr"/>
      <c r="F15" t="inlineStr"/>
      <c r="G15" t="inlineStr">
        <is>
          <t>New York, NY, US</t>
        </is>
      </c>
      <c r="H15" s="1" t="n">
        <v>45994</v>
      </c>
      <c r="I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in-33f4c8f5a29ab31e</t>
        </is>
      </c>
      <c r="B16" t="inlineStr">
        <is>
          <t>Senior Product Manager, Ads</t>
        </is>
      </c>
      <c r="C16" t="inlineStr">
        <is>
          <t>Amazon.com</t>
        </is>
      </c>
      <c r="D16" t="inlineStr">
        <is>
          <t>indeed</t>
        </is>
      </c>
      <c r="E16" t="inlineStr"/>
      <c r="F16" t="inlineStr"/>
      <c r="G16" t="inlineStr">
        <is>
          <t>Irvine, CA, US</t>
        </is>
      </c>
      <c r="H16" s="1" t="n">
        <v>45994</v>
      </c>
      <c r="I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in-1511f103a3d08865</t>
        </is>
      </c>
      <c r="B17" t="inlineStr">
        <is>
          <t>Senior Product Manager, Ads</t>
        </is>
      </c>
      <c r="C17" t="inlineStr">
        <is>
          <t>Amazon.com</t>
        </is>
      </c>
      <c r="D17" t="inlineStr">
        <is>
          <t>indeed</t>
        </is>
      </c>
      <c r="E17" t="inlineStr"/>
      <c r="F17" t="inlineStr"/>
      <c r="G17" t="inlineStr">
        <is>
          <t>San Francisco, CA, US</t>
        </is>
      </c>
      <c r="H17" s="1" t="n">
        <v>45994</v>
      </c>
      <c r="I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in-c414fb4f75e18dca</t>
        </is>
      </c>
      <c r="B18" t="inlineStr">
        <is>
          <t>Senior Product Manager, Ads</t>
        </is>
      </c>
      <c r="C18" t="inlineStr">
        <is>
          <t>Amazon.com</t>
        </is>
      </c>
      <c r="D18" t="inlineStr">
        <is>
          <t>indeed</t>
        </is>
      </c>
      <c r="E18" t="inlineStr"/>
      <c r="F18" t="inlineStr"/>
      <c r="G18" t="inlineStr">
        <is>
          <t>Irvine, CA, US</t>
        </is>
      </c>
      <c r="H18" s="1" t="n">
        <v>45994</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in-1c01b6d7bfab44eb</t>
        </is>
      </c>
      <c r="B19" t="inlineStr">
        <is>
          <t>Senior Product Manager, Ads</t>
        </is>
      </c>
      <c r="C19" t="inlineStr">
        <is>
          <t>Amazon.com</t>
        </is>
      </c>
      <c r="D19" t="inlineStr">
        <is>
          <t>indeed</t>
        </is>
      </c>
      <c r="E19" t="inlineStr"/>
      <c r="F19" t="inlineStr"/>
      <c r="G19" t="inlineStr">
        <is>
          <t>San Francisco, CA, US</t>
        </is>
      </c>
      <c r="H19" s="1" t="n">
        <v>45994</v>
      </c>
      <c r="I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in-fa5d6bd251800e16</t>
        </is>
      </c>
      <c r="B20" t="inlineStr">
        <is>
          <t>Senior Product Manager, Ads</t>
        </is>
      </c>
      <c r="C20" t="inlineStr">
        <is>
          <t>Amazon.com</t>
        </is>
      </c>
      <c r="D20" t="inlineStr">
        <is>
          <t>indeed</t>
        </is>
      </c>
      <c r="E20" t="inlineStr"/>
      <c r="F20" t="inlineStr"/>
      <c r="G20" t="inlineStr">
        <is>
          <t>Los Angeles, CA, US</t>
        </is>
      </c>
      <c r="H20" s="1" t="n">
        <v>45994</v>
      </c>
      <c r="I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in-883a079035a8dbc5</t>
        </is>
      </c>
      <c r="B21" t="inlineStr">
        <is>
          <t>Senior Product Manager, Ads</t>
        </is>
      </c>
      <c r="C21" t="inlineStr">
        <is>
          <t>Amazon.com</t>
        </is>
      </c>
      <c r="D21" t="inlineStr">
        <is>
          <t>indeed</t>
        </is>
      </c>
      <c r="E21" t="inlineStr"/>
      <c r="F21" t="inlineStr"/>
      <c r="G21" t="inlineStr">
        <is>
          <t>New York, NY, US</t>
        </is>
      </c>
      <c r="H21" s="1" t="n">
        <v>45994</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in-3df8d63d45484aaa</t>
        </is>
      </c>
      <c r="B22" t="inlineStr">
        <is>
          <t>Senior Product Manager, Ads</t>
        </is>
      </c>
      <c r="C22" t="inlineStr">
        <is>
          <t>Amazon.com</t>
        </is>
      </c>
      <c r="D22" t="inlineStr">
        <is>
          <t>indeed</t>
        </is>
      </c>
      <c r="E22" t="inlineStr"/>
      <c r="F22" t="inlineStr"/>
      <c r="G22" t="inlineStr">
        <is>
          <t>Seattle, WA, US</t>
        </is>
      </c>
      <c r="H22" s="1" t="n">
        <v>45994</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in-7c04eb81e7c6c64c</t>
        </is>
      </c>
      <c r="B23" t="inlineStr">
        <is>
          <t>Sr. Product Manager Technical, Deal Tooling &amp; Insights, Strategic Customer Engagements</t>
        </is>
      </c>
      <c r="C23" t="inlineStr">
        <is>
          <t>Amazon Web Services</t>
        </is>
      </c>
      <c r="D23" t="inlineStr">
        <is>
          <t>indeed</t>
        </is>
      </c>
      <c r="E23" t="inlineStr"/>
      <c r="F23" t="inlineStr"/>
      <c r="G23" t="inlineStr">
        <is>
          <t>Herndon, VA, US</t>
        </is>
      </c>
      <c r="H23" s="1" t="n">
        <v>45994</v>
      </c>
      <c r="I2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4">
      <c r="A24" t="inlineStr">
        <is>
          <t>in-96e55da344300d22</t>
        </is>
      </c>
      <c r="B24" t="inlineStr">
        <is>
          <t>Sr. Product Manager Technical, Deal Tooling &amp; Insights, Strategic Customer Engagements</t>
        </is>
      </c>
      <c r="C24" t="inlineStr">
        <is>
          <t>Amazon Web Services</t>
        </is>
      </c>
      <c r="D24" t="inlineStr">
        <is>
          <t>indeed</t>
        </is>
      </c>
      <c r="E24" t="inlineStr"/>
      <c r="F24" t="inlineStr"/>
      <c r="G24" t="inlineStr">
        <is>
          <t>New York, NY, US</t>
        </is>
      </c>
      <c r="H24" s="1" t="n">
        <v>45994</v>
      </c>
      <c r="I2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5">
      <c r="A25" t="inlineStr">
        <is>
          <t>in-9c08a22b8bcc094e</t>
        </is>
      </c>
      <c r="B25" t="inlineStr">
        <is>
          <t>Sr. Product Manager Technical, Deal Tooling &amp; Insights, Strategic Customer Engagements</t>
        </is>
      </c>
      <c r="C25" t="inlineStr">
        <is>
          <t>Amazon Web Services</t>
        </is>
      </c>
      <c r="D25" t="inlineStr">
        <is>
          <t>indeed</t>
        </is>
      </c>
      <c r="E25" t="inlineStr"/>
      <c r="F25" t="inlineStr"/>
      <c r="G25" t="inlineStr">
        <is>
          <t>Austin, TX, US</t>
        </is>
      </c>
      <c r="H25" s="1" t="n">
        <v>45994</v>
      </c>
      <c r="I2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6">
      <c r="A26" t="inlineStr">
        <is>
          <t>in-401595cc6b546d18</t>
        </is>
      </c>
      <c r="B26" t="inlineStr">
        <is>
          <t>Sr. Product Manager Technical, Deal Tooling &amp; Insights, Strategic Customer Engagements</t>
        </is>
      </c>
      <c r="C26" t="inlineStr">
        <is>
          <t>Amazon Web Services</t>
        </is>
      </c>
      <c r="D26" t="inlineStr">
        <is>
          <t>indeed</t>
        </is>
      </c>
      <c r="E26" t="inlineStr"/>
      <c r="F26" t="inlineStr"/>
      <c r="G26" t="inlineStr">
        <is>
          <t>Seattle, WA, US</t>
        </is>
      </c>
      <c r="H26" s="1" t="n">
        <v>45994</v>
      </c>
      <c r="I2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7">
      <c r="A27" t="inlineStr">
        <is>
          <t>in-bdad1d403adcb432</t>
        </is>
      </c>
      <c r="B27" t="inlineStr">
        <is>
          <t>Sr. Product Manager Technical, Deal Tooling &amp; Insights, Strategic Customer Engagements</t>
        </is>
      </c>
      <c r="C27" t="inlineStr">
        <is>
          <t>Amazon Web Services</t>
        </is>
      </c>
      <c r="D27" t="inlineStr">
        <is>
          <t>indeed</t>
        </is>
      </c>
      <c r="E27" t="inlineStr"/>
      <c r="F27" t="inlineStr"/>
      <c r="G27" t="inlineStr">
        <is>
          <t>Dallas, TX, US</t>
        </is>
      </c>
      <c r="H27" s="1" t="n">
        <v>45994</v>
      </c>
      <c r="I2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8">
      <c r="A28" t="inlineStr">
        <is>
          <t>in-d2a05b98ff0f7193</t>
        </is>
      </c>
      <c r="B28" t="inlineStr">
        <is>
          <t>Sr. Product Manager Technical, Deal Tooling &amp; Insights, Strategic Customer Engagements</t>
        </is>
      </c>
      <c r="C28" t="inlineStr">
        <is>
          <t>Amazon Web Services</t>
        </is>
      </c>
      <c r="D28" t="inlineStr">
        <is>
          <t>indeed</t>
        </is>
      </c>
      <c r="E28" t="inlineStr"/>
      <c r="F28" t="inlineStr"/>
      <c r="G28" t="inlineStr">
        <is>
          <t>Arlington, VA, US</t>
        </is>
      </c>
      <c r="H28" s="1" t="n">
        <v>45994</v>
      </c>
      <c r="I2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9">
      <c r="A29" t="inlineStr">
        <is>
          <t>in-09d7f4eb5d36a791</t>
        </is>
      </c>
      <c r="B29" t="inlineStr">
        <is>
          <t>Sr. Product Manager</t>
        </is>
      </c>
      <c r="C29" t="inlineStr">
        <is>
          <t>Amazon.com</t>
        </is>
      </c>
      <c r="D29" t="inlineStr">
        <is>
          <t>indeed</t>
        </is>
      </c>
      <c r="E29" t="inlineStr"/>
      <c r="F29" t="inlineStr"/>
      <c r="G29" t="inlineStr">
        <is>
          <t>Los Angeles, CA, US</t>
        </is>
      </c>
      <c r="H29" s="1" t="n">
        <v>45979</v>
      </c>
      <c r="I2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in-36238c8d11256c7c</t>
        </is>
      </c>
      <c r="B30" t="inlineStr">
        <is>
          <t>Sr. Product Manager</t>
        </is>
      </c>
      <c r="C30" t="inlineStr">
        <is>
          <t>Amazon.com</t>
        </is>
      </c>
      <c r="D30" t="inlineStr">
        <is>
          <t>indeed</t>
        </is>
      </c>
      <c r="E30" t="inlineStr"/>
      <c r="F30" t="inlineStr"/>
      <c r="G30" t="inlineStr">
        <is>
          <t>San Francisco, CA, US</t>
        </is>
      </c>
      <c r="H30" s="1" t="n">
        <v>45979</v>
      </c>
      <c r="I3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in-5e58aaf664e7b899</t>
        </is>
      </c>
      <c r="B31" t="inlineStr">
        <is>
          <t>Sr. Product Manager</t>
        </is>
      </c>
      <c r="C31" t="inlineStr">
        <is>
          <t>Amazon.com</t>
        </is>
      </c>
      <c r="D31" t="inlineStr">
        <is>
          <t>indeed</t>
        </is>
      </c>
      <c r="E31" t="inlineStr"/>
      <c r="F31" t="inlineStr"/>
      <c r="G31" t="inlineStr">
        <is>
          <t>Irvine, CA, US</t>
        </is>
      </c>
      <c r="H31" s="1" t="n">
        <v>45979</v>
      </c>
      <c r="I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in-dee6b9652c45d2d7</t>
        </is>
      </c>
      <c r="B32" t="inlineStr">
        <is>
          <t>Sr. Product Manager</t>
        </is>
      </c>
      <c r="C32" t="inlineStr">
        <is>
          <t>Amazon.com</t>
        </is>
      </c>
      <c r="D32" t="inlineStr">
        <is>
          <t>indeed</t>
        </is>
      </c>
      <c r="E32" t="inlineStr"/>
      <c r="F32" t="inlineStr"/>
      <c r="G32" t="inlineStr">
        <is>
          <t>New York, NY, US</t>
        </is>
      </c>
      <c r="H32" s="1" t="n">
        <v>45979</v>
      </c>
      <c r="I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in-306ac8e4d79d0d76</t>
        </is>
      </c>
      <c r="B33" t="inlineStr">
        <is>
          <t>Sr. Product Manager</t>
        </is>
      </c>
      <c r="C33" t="inlineStr">
        <is>
          <t>Amazon.com</t>
        </is>
      </c>
      <c r="D33" t="inlineStr">
        <is>
          <t>indeed</t>
        </is>
      </c>
      <c r="E33" t="inlineStr"/>
      <c r="F33" t="inlineStr"/>
      <c r="G33" t="inlineStr">
        <is>
          <t>Seattle, WA, US</t>
        </is>
      </c>
      <c r="H33" s="1" t="n">
        <v>45979</v>
      </c>
      <c r="I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in-386698017224256c</t>
        </is>
      </c>
      <c r="B34" t="inlineStr">
        <is>
          <t>Program Manager, Executive Content and Programs, Global Executive Marketing</t>
        </is>
      </c>
      <c r="C34" t="inlineStr">
        <is>
          <t>Amazon Web Services</t>
        </is>
      </c>
      <c r="D34" t="inlineStr">
        <is>
          <t>indeed</t>
        </is>
      </c>
      <c r="E34" t="inlineStr"/>
      <c r="F34" t="inlineStr"/>
      <c r="G34" t="inlineStr">
        <is>
          <t>Arlington, VA, US</t>
        </is>
      </c>
      <c r="H34" s="1" t="n">
        <v>45970</v>
      </c>
      <c r="I34"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in-6361bf1acb8f66fa</t>
        </is>
      </c>
      <c r="B35" t="inlineStr">
        <is>
          <t>Program Manager, Executive Content and Programs, Global Executive Marketing</t>
        </is>
      </c>
      <c r="C35" t="inlineStr">
        <is>
          <t>Amazon Web Services</t>
        </is>
      </c>
      <c r="D35" t="inlineStr">
        <is>
          <t>indeed</t>
        </is>
      </c>
      <c r="E35" t="inlineStr"/>
      <c r="F35" t="inlineStr"/>
      <c r="G35" t="inlineStr">
        <is>
          <t>Seattle, WA, US</t>
        </is>
      </c>
      <c r="H35" s="1" t="n">
        <v>45970</v>
      </c>
      <c r="I35"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in-c2b8f005bf6c9414</t>
        </is>
      </c>
      <c r="B36" t="inlineStr">
        <is>
          <t>Sr Product Manager – Technical, Amazon Leo for Government</t>
        </is>
      </c>
      <c r="C36" t="inlineStr">
        <is>
          <t>Amazon.com</t>
        </is>
      </c>
      <c r="D36" t="inlineStr">
        <is>
          <t>indeed</t>
        </is>
      </c>
      <c r="E36" t="inlineStr"/>
      <c r="F36" t="inlineStr"/>
      <c r="G36" t="inlineStr">
        <is>
          <t>El Segundo, CA, US</t>
        </is>
      </c>
      <c r="H36" s="1" t="n">
        <v>45951</v>
      </c>
      <c r="I36"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in-753dc9f9f1e8e1da</t>
        </is>
      </c>
      <c r="B37" t="inlineStr">
        <is>
          <t>Sr Product Manager – Technical, Amazon Leo for Government</t>
        </is>
      </c>
      <c r="C37" t="inlineStr">
        <is>
          <t>Amazon.com</t>
        </is>
      </c>
      <c r="D37" t="inlineStr">
        <is>
          <t>indeed</t>
        </is>
      </c>
      <c r="E37" t="inlineStr"/>
      <c r="F37" t="inlineStr"/>
      <c r="G37" t="inlineStr">
        <is>
          <t>Redmond, WA, US</t>
        </is>
      </c>
      <c r="H37" s="1" t="n">
        <v>45951</v>
      </c>
      <c r="I37"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in-fc77dc96eab0bf17</t>
        </is>
      </c>
      <c r="B38" t="inlineStr">
        <is>
          <t>Sr Product Manager – Technical, Amazon Leo for Government</t>
        </is>
      </c>
      <c r="C38" t="inlineStr">
        <is>
          <t>Amazon.com</t>
        </is>
      </c>
      <c r="D38" t="inlineStr">
        <is>
          <t>indeed</t>
        </is>
      </c>
      <c r="E38" t="inlineStr"/>
      <c r="F38" t="inlineStr"/>
      <c r="G38" t="inlineStr">
        <is>
          <t>Arlington, VA, US</t>
        </is>
      </c>
      <c r="H38" s="1" t="n">
        <v>45951</v>
      </c>
      <c r="I38"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in-842d431ef4f531af</t>
        </is>
      </c>
      <c r="B39" t="inlineStr">
        <is>
          <t>Principal Product Manager-Tech, World Wide Grocery Store Tech</t>
        </is>
      </c>
      <c r="C39" t="inlineStr">
        <is>
          <t>Amazon.com</t>
        </is>
      </c>
      <c r="D39" t="inlineStr">
        <is>
          <t>indeed</t>
        </is>
      </c>
      <c r="E39" t="inlineStr"/>
      <c r="F39" t="inlineStr"/>
      <c r="G39" t="inlineStr">
        <is>
          <t>Seattle, WA, US</t>
        </is>
      </c>
      <c r="H39" s="1" t="n">
        <v>45948</v>
      </c>
      <c r="I39" t="inlineStr">
        <is>
          <t>**DESCRIPTION**
---------------
Amazon Worldwide Grocery Store Tech is seeking a talented Principal Product Manager\-Tech (PMT) to help us grow and evolve our technology platform to further scale under the roof technology.  
Amazon provides Prime members unparalleled convenience and ease of mind by offering one\-hour, ultra fast delivery as well as two\-hour scheduled delivery of tens and thousands of essential products.
To be successful you need to be flexible and entrepreneurial. You are a true owner \- you are passionate about the business and innovate on behalf of our customers. You ideally have experience presenting a strategic vision to SVP/VP leadership, and are excited to think\-out\-of\-the box to solve complex problems.  
Key job responsibilities  
* Define the long\-term tech\-product vision for our stores (e.g., Amazon Fresh stores, Whole Foods Market, Go stores).
* Define the metrics, and your work will have direct impact on the day\-to\-day operations.
* Own the product roadmap to deliver incrementally on the vision.
* Partner closely with engineering teams, UX teams, and operations stakeholders across NA, EU/UK, JP, SG, IN, and MENA.
**BASIC QUALIFICATIONS**
------------------------
* Bachelor's degree
* Experience owning/driving roadmap strategy and definition
* Experience with feature delivery and tradeoffs of a product
* 10\+ years of technical product or program management experience
* Experience contributing to engineering discussions around technology decisions and strategy related to a product
* Experience managing technical products or online services
**PREFERRED QUALIFICATIONS**
----------------------------
* Experience working directly with Engineers on product enhancements
* Experience in project management methodologies, business analysis, or process improvement
* 10\+ years of end to end product delivery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\- 179,900\.00 \- 243,400\.00 USD annually  
USA, WA, Seattle \- 179,900\.00 \- 243,400\.00 USD annually</t>
        </is>
      </c>
    </row>
    <row r="40">
      <c r="A40" t="inlineStr">
        <is>
          <t>in-e4dc58f87955abf2</t>
        </is>
      </c>
      <c r="B40" t="inlineStr">
        <is>
          <t>Principal Product Manager-Tech, World Wide Grocery Store Tech</t>
        </is>
      </c>
      <c r="C40" t="inlineStr">
        <is>
          <t>Amazon.com</t>
        </is>
      </c>
      <c r="D40" t="inlineStr">
        <is>
          <t>indeed</t>
        </is>
      </c>
      <c r="E40" t="inlineStr"/>
      <c r="F40" t="inlineStr"/>
      <c r="G40" t="inlineStr">
        <is>
          <t>Austin, TX, US</t>
        </is>
      </c>
      <c r="H40" s="1" t="n">
        <v>45948</v>
      </c>
      <c r="I40" t="inlineStr">
        <is>
          <t>**DESCRIPTION**
---------------
Amazon Worldwide Grocery Store Tech is seeking a talented Principal Product Manager\-Tech (PMT) to help us grow and evolve our technology platform to further scale under the roof technology.  
Amazon provides Prime members unparalleled convenience and ease of mind by offering one\-hour, ultra fast delivery as well as two\-hour scheduled delivery of tens and thousands of essential products.
To be successful you need to be flexible and entrepreneurial. You are a true owner \- you are passionate about the business and innovate on behalf of our customers. You ideally have experience presenting a strategic vision to SVP/VP leadership, and are excited to think\-out\-of\-the box to solve complex problems.  
Key job responsibilities  
* Define the long\-term tech\-product vision for our stores (e.g., Amazon Fresh stores, Whole Foods Market, Go stores).
* Define the metrics, and your work will have direct impact on the day\-to\-day operations.
* Own the product roadmap to deliver incrementally on the vision.
* Partner closely with engineering teams, UX teams, and operations stakeholders across NA, EU/UK, JP, SG, IN, and MENA.
**BASIC QUALIFICATIONS**
------------------------
* Bachelor's degree
* Experience owning/driving roadmap strategy and definition
* Experience with feature delivery and tradeoffs of a product
* 10\+ years of technical product or program management experience
* Experience contributing to engineering discussions around technology decisions and strategy related to a product
* Experience managing technical products or online services
**PREFERRED QUALIFICATIONS**
----------------------------
* Experience working directly with Engineers on product enhancements
* Experience in project management methodologies, business analysis, or process improvement
* 10\+ years of end to end product delivery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\- 179,900\.00 \- 243,400\.00 USD annually  
USA, WA, Seattle \- 179,900\.00 \- 243,400\.00 USD annually</t>
        </is>
      </c>
    </row>
    <row r="41">
      <c r="A41" t="inlineStr">
        <is>
          <t>in-0378c589abfeadf7</t>
        </is>
      </c>
      <c r="B41" t="inlineStr">
        <is>
          <t>Principal Product Manager Technical, Creative X - RAPID</t>
        </is>
      </c>
      <c r="C41" t="inlineStr">
        <is>
          <t>Amazon.com</t>
        </is>
      </c>
      <c r="D41" t="inlineStr">
        <is>
          <t>indeed</t>
        </is>
      </c>
      <c r="E41" t="inlineStr"/>
      <c r="F41" t="inlineStr"/>
      <c r="G41" t="inlineStr">
        <is>
          <t>Seattle, WA, US</t>
        </is>
      </c>
      <c r="H41" s="1" t="n">
        <v>45939</v>
      </c>
      <c r="I41"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42">
      <c r="A42" t="inlineStr">
        <is>
          <t>in-bf23f7087e461dfc</t>
        </is>
      </c>
      <c r="B42" t="inlineStr">
        <is>
          <t>Principal Product Manager Technical, Creative X - RAPID</t>
        </is>
      </c>
      <c r="C42" t="inlineStr">
        <is>
          <t>Amazon.com</t>
        </is>
      </c>
      <c r="D42" t="inlineStr">
        <is>
          <t>indeed</t>
        </is>
      </c>
      <c r="E42" t="inlineStr"/>
      <c r="F42" t="inlineStr"/>
      <c r="G42" t="inlineStr">
        <is>
          <t>New York, NY, US</t>
        </is>
      </c>
      <c r="H42" s="1" t="n">
        <v>45939</v>
      </c>
      <c r="I42"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43">
      <c r="A43" t="inlineStr">
        <is>
          <t>in-6f3e0fb3bacdc482</t>
        </is>
      </c>
      <c r="B43" t="inlineStr">
        <is>
          <t>Principal Product Manager - Tech, Sponsored Products and Brands</t>
        </is>
      </c>
      <c r="C43" t="inlineStr">
        <is>
          <t>Amazon.com</t>
        </is>
      </c>
      <c r="D43" t="inlineStr">
        <is>
          <t>indeed</t>
        </is>
      </c>
      <c r="E43" t="inlineStr"/>
      <c r="F43" t="inlineStr"/>
      <c r="G43" t="inlineStr">
        <is>
          <t>Seattle, WA, US</t>
        </is>
      </c>
      <c r="H43" s="1" t="n">
        <v>45928</v>
      </c>
      <c r="I43"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in-fce4df36a22740b8</t>
        </is>
      </c>
      <c r="B44" t="inlineStr">
        <is>
          <t>Principal Product Manager - Tech, Sponsored Products and Brands</t>
        </is>
      </c>
      <c r="C44" t="inlineStr">
        <is>
          <t>Amazon.com</t>
        </is>
      </c>
      <c r="D44" t="inlineStr">
        <is>
          <t>indeed</t>
        </is>
      </c>
      <c r="E44" t="inlineStr"/>
      <c r="F44" t="inlineStr"/>
      <c r="G44" t="inlineStr">
        <is>
          <t>New York, NY, US</t>
        </is>
      </c>
      <c r="H44" s="1" t="n">
        <v>45928</v>
      </c>
      <c r="I44"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in-9ef22db414c42a21</t>
        </is>
      </c>
      <c r="B45" t="inlineStr">
        <is>
          <t>Principal Product Manager - Tech, Sponsored Products and Brands</t>
        </is>
      </c>
      <c r="C45" t="inlineStr">
        <is>
          <t>Amazon.com</t>
        </is>
      </c>
      <c r="D45" t="inlineStr">
        <is>
          <t>indeed</t>
        </is>
      </c>
      <c r="E45" t="inlineStr"/>
      <c r="F45" t="inlineStr"/>
      <c r="G45" t="inlineStr">
        <is>
          <t>Palo Alto, CA, US</t>
        </is>
      </c>
      <c r="H45" s="1" t="n">
        <v>45928</v>
      </c>
      <c r="I45"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in-6f53011eb98fff65</t>
        </is>
      </c>
      <c r="B46" t="inlineStr">
        <is>
          <t>Principal Product Manager Tech, Sponsored Products and Brands</t>
        </is>
      </c>
      <c r="C46" t="inlineStr">
        <is>
          <t>Amazon.com</t>
        </is>
      </c>
      <c r="D46" t="inlineStr">
        <is>
          <t>indeed</t>
        </is>
      </c>
      <c r="E46" t="inlineStr"/>
      <c r="F46" t="inlineStr"/>
      <c r="G46" t="inlineStr">
        <is>
          <t>Seattle, WA, US</t>
        </is>
      </c>
      <c r="H46" s="1" t="n">
        <v>45923</v>
      </c>
      <c r="I4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in-b26b303a260b7cf5</t>
        </is>
      </c>
      <c r="B47" t="inlineStr">
        <is>
          <t>Principal Product Manager Tech, Sponsored Products and Brands</t>
        </is>
      </c>
      <c r="C47" t="inlineStr">
        <is>
          <t>Amazon.com</t>
        </is>
      </c>
      <c r="D47" t="inlineStr">
        <is>
          <t>indeed</t>
        </is>
      </c>
      <c r="E47" t="inlineStr"/>
      <c r="F47" t="inlineStr"/>
      <c r="G47" t="inlineStr">
        <is>
          <t>New York, NY, US</t>
        </is>
      </c>
      <c r="H47" s="1" t="n">
        <v>45923</v>
      </c>
      <c r="I4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in-44c53de9b781eb3d</t>
        </is>
      </c>
      <c r="B48" t="inlineStr">
        <is>
          <t>Sr. EHS Program Manager, Safety Learning and Development</t>
        </is>
      </c>
      <c r="C48" t="inlineStr">
        <is>
          <t>Amazon.com</t>
        </is>
      </c>
      <c r="D48" t="inlineStr">
        <is>
          <t>indeed</t>
        </is>
      </c>
      <c r="E48" t="inlineStr"/>
      <c r="F48" t="inlineStr"/>
      <c r="G48" t="inlineStr">
        <is>
          <t>Bellevue, WA, US</t>
        </is>
      </c>
      <c r="H48" s="1" t="n">
        <v>45910</v>
      </c>
      <c r="I48"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in-3c3c1a06291e92d4</t>
        </is>
      </c>
      <c r="B49" t="inlineStr">
        <is>
          <t>Sr. EHS Program Manager, Safety Learning and Development</t>
        </is>
      </c>
      <c r="C49" t="inlineStr">
        <is>
          <t>Amazon.com</t>
        </is>
      </c>
      <c r="D49" t="inlineStr">
        <is>
          <t>indeed</t>
        </is>
      </c>
      <c r="E49" t="inlineStr"/>
      <c r="F49" t="inlineStr"/>
      <c r="G49" t="inlineStr">
        <is>
          <t>Nashville, TN, US</t>
        </is>
      </c>
      <c r="H49" s="1" t="n">
        <v>45910</v>
      </c>
      <c r="I49"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in-328e4efe55b5afad</t>
        </is>
      </c>
      <c r="B50" t="inlineStr">
        <is>
          <t>Principal Product Manager - Tech, Viewer Experience, Prime Video Global App Experience</t>
        </is>
      </c>
      <c r="C50" t="inlineStr">
        <is>
          <t>Amazon.com</t>
        </is>
      </c>
      <c r="D50" t="inlineStr">
        <is>
          <t>indeed</t>
        </is>
      </c>
      <c r="E50" t="inlineStr"/>
      <c r="F50" t="inlineStr"/>
      <c r="G50" t="inlineStr">
        <is>
          <t>Seattle, WA, US</t>
        </is>
      </c>
      <c r="H50" s="1" t="n">
        <v>46057</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in Prime Video Tech takes you!  
Help make Prime Video's content\-watching experience innovative and world class! You will help ensure the experience of watching content on Prime Video is delightful and consistent across devices and content types. You will have end\-to\-end ownership of product, user experience, design, and technology. Prime Video's scale and selection is unprecedented, so you will get an opportunity to work on fast\-paced and challenging projects where you get to define a customer experience that will be used by millions of viewers, across 100s of devices (Living Room and Mobile), in 250\+ countries. You will participate in developing the strategy and vision and create a product roadmap to execute on that vision. This role is inherently cross\-functional; you will work closely with science, engineering, project management, design, operations, finance, legal, business development, customer service, content acquisition, and executive teams to bring products to market. You will develop and grow product opportunities, and enhance our customer experience.  
We are looking for a hands\-on leader who is highly analytical, resourceful, customer focused, and team oriented. You have a consistent track record of taking on end\-to\-end ownership and successfully delivering results in a fast\-paced and dynamic business environment. You are comfortable presenting your point of view to influence stakeholders and senior leadership. You excel through innovation, creativity, and attention to detail. You are a collaborator who flourishes in a large organization. You have experience working directly with applied scientists and software engineers to deliver customer\-facing technology products. You are technically savvy and can weigh in on the pros and cons of a technology choice while providing your opinion on trade\-offs.
Key job responsibilities  
* Develop a deep understanding of the Prime Video customers and the current viewer experiences. Experience running voice of the customer programs to guide product decisions.
* Develop a thorough understanding of the digital video market segments, and continually assess the competitive landscape and emerging industry trends.
* Partner with key stakeholders to define the product vision, strategy, roadmap and supporting metrics required to deliver and enhance a best in class digital video customer experience.
* Own the development of detailed product requirements documents.
* Work cross\-functionally with science, engineering, design, and project management teams to deliver on the product roadmap.
* Drive projects, products, and feature launches with other teams both inside and outside of the Prime Video team including: marketing, content acquisition, legal, finance, customer service, and operations.
About the team  
Prime Video's Global App Experience (GAE) organization is responsible for building simple, intuitive, fast, responsive and personalized streaming experience for Prime Video customers WW, for web, mobile and living room devices. Our goal is to make Prime Video a daily destination where customers want to come to watch their favorite content. The Viewer Experience team within GAE is responsible for the in\-playback experience, spanning player controls, X\-Ray, recaps, in\-playback content discovery, and more.
**BASIC QUALIFICATIONS**
------------------------
* 4\+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Experience working with and influencing senior level stakeholders
* Experience with AI/ML technologies
**PREFERRED QUALIFICATIONS**
----------------------------
* Experience in project management methodologies, business analysis, or process improvement
* Master's degree in a technical field, or Master of Business Administration
* Experience with machine learning (ML) tools and methods
* Experience reviewing user research and data to build a strategic and user\-friendly design
* 5\+ years of planning, designing, developing and delivering consumer software experience
* Familiarity with modern GenAI or LLM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\- 179,900\.00 \- 243,400\.00 USD annually  
USA, WA, Seattle \- 179,900\.00 \- 243,400\.00 USD annually</t>
        </is>
      </c>
    </row>
    <row r="51">
      <c r="A51" t="inlineStr">
        <is>
          <t>in-97246606c54b4de0</t>
        </is>
      </c>
      <c r="B51" t="inlineStr">
        <is>
          <t>Principal Product Manager - Tech, Viewer Experience, Prime Video Global App Experience</t>
        </is>
      </c>
      <c r="C51" t="inlineStr">
        <is>
          <t>Amazon.com</t>
        </is>
      </c>
      <c r="D51" t="inlineStr">
        <is>
          <t>indeed</t>
        </is>
      </c>
      <c r="E51" t="inlineStr"/>
      <c r="F51" t="inlineStr"/>
      <c r="G51" t="inlineStr">
        <is>
          <t>Culver City, CA, US</t>
        </is>
      </c>
      <c r="H51" s="1" t="n">
        <v>46057</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in Prime Video Tech takes you!  
Help make Prime Video's content\-watching experience innovative and world class! You will help ensure the experience of watching content on Prime Video is delightful and consistent across devices and content types. You will have end\-to\-end ownership of product, user experience, design, and technology. Prime Video's scale and selection is unprecedented, so you will get an opportunity to work on fast\-paced and challenging projects where you get to define a customer experience that will be used by millions of viewers, across 100s of devices (Living Room and Mobile), in 250\+ countries. You will participate in developing the strategy and vision and create a product roadmap to execute on that vision. This role is inherently cross\-functional; you will work closely with science, engineering, project management, design, operations, finance, legal, business development, customer service, content acquisition, and executive teams to bring products to market. You will develop and grow product opportunities, and enhance our customer experience.  
We are looking for a hands\-on leader who is highly analytical, resourceful, customer focused, and team oriented. You have a consistent track record of taking on end\-to\-end ownership and successfully delivering results in a fast\-paced and dynamic business environment. You are comfortable presenting your point of view to influence stakeholders and senior leadership. You excel through innovation, creativity, and attention to detail. You are a collaborator who flourishes in a large organization. You have experience working directly with applied scientists and software engineers to deliver customer\-facing technology products. You are technically savvy and can weigh in on the pros and cons of a technology choice while providing your opinion on trade\-offs.
Key job responsibilities  
* Develop a deep understanding of the Prime Video customers and the current viewer experiences. Experience running voice of the customer programs to guide product decisions.
* Develop a thorough understanding of the digital video market segments, and continually assess the competitive landscape and emerging industry trends.
* Partner with key stakeholders to define the product vision, strategy, roadmap and supporting metrics required to deliver and enhance a best in class digital video customer experience.
* Own the development of detailed product requirements documents.
* Work cross\-functionally with science, engineering, design, and project management teams to deliver on the product roadmap.
* Drive projects, products, and feature launches with other teams both inside and outside of the Prime Video team including: marketing, content acquisition, legal, finance, customer service, and operations.
About the team  
Prime Video's Global App Experience (GAE) organization is responsible for building simple, intuitive, fast, responsive and personalized streaming experience for Prime Video customers WW, for web, mobile and living room devices. Our goal is to make Prime Video a daily destination where customers want to come to watch their favorite content. The Viewer Experience team within GAE is responsible for the in\-playback experience, spanning player controls, X\-Ray, recaps, in\-playback content discovery, and more.
**BASIC QUALIFICATIONS**
------------------------
* 4\+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Experience working with and influencing senior level stakeholders
* Experience with AI/ML technologies
**PREFERRED QUALIFICATIONS**
----------------------------
* Experience in project management methodologies, business analysis, or process improvement
* Master's degree in a technical field, or Master of Business Administration
* Experience with machine learning (ML) tools and methods
* Experience reviewing user research and data to build a strategic and user\-friendly design
* 5\+ years of planning, designing, developing and delivering consumer software experience
* Familiarity with modern GenAI or LLM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\- 179,900\.00 \- 243,400\.00 USD annually  
USA, WA, Seattle \- 179,900\.00 \- 243,400\.00 USD annually</t>
        </is>
      </c>
    </row>
    <row r="52">
      <c r="A52" t="inlineStr">
        <is>
          <t>in-80d55fc8b9bd8a63</t>
        </is>
      </c>
      <c r="B52" t="inlineStr">
        <is>
          <t>Principal Product Manager - Technical, Alexa Communications</t>
        </is>
      </c>
      <c r="C52" t="inlineStr">
        <is>
          <t>Amazon.com</t>
        </is>
      </c>
      <c r="D52" t="inlineStr">
        <is>
          <t>indeed</t>
        </is>
      </c>
      <c r="E52" t="inlineStr"/>
      <c r="F52" t="inlineStr"/>
      <c r="G52" t="inlineStr">
        <is>
          <t>Seattle, WA, US</t>
        </is>
      </c>
      <c r="H52" s="1" t="n">
        <v>45993</v>
      </c>
      <c r="I52"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53">
      <c r="A53" t="inlineStr">
        <is>
          <t>in-77869403dfba3044</t>
        </is>
      </c>
      <c r="B53" t="inlineStr">
        <is>
          <t>Principal Product Manager - Technical, Alexa Communications</t>
        </is>
      </c>
      <c r="C53" t="inlineStr">
        <is>
          <t>Amazon.com</t>
        </is>
      </c>
      <c r="D53" t="inlineStr">
        <is>
          <t>indeed</t>
        </is>
      </c>
      <c r="E53" t="inlineStr"/>
      <c r="F53" t="inlineStr"/>
      <c r="G53" t="inlineStr">
        <is>
          <t>Irvine, CA, US</t>
        </is>
      </c>
      <c r="H53" s="1" t="n">
        <v>45993</v>
      </c>
      <c r="I53"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54">
      <c r="A54" t="inlineStr">
        <is>
          <t>in-691b71ac3c278144</t>
        </is>
      </c>
      <c r="B54" t="inlineStr">
        <is>
          <t>Principal Product Manager - Technical, Alexa Communications</t>
        </is>
      </c>
      <c r="C54" t="inlineStr">
        <is>
          <t>Amazon.com</t>
        </is>
      </c>
      <c r="D54" t="inlineStr">
        <is>
          <t>indeed</t>
        </is>
      </c>
      <c r="E54" t="inlineStr"/>
      <c r="F54" t="inlineStr"/>
      <c r="G54" t="inlineStr">
        <is>
          <t>Sunnyvale, CA, US</t>
        </is>
      </c>
      <c r="H54" s="1" t="n">
        <v>45993</v>
      </c>
      <c r="I54"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55">
      <c r="A55" t="inlineStr">
        <is>
          <t>in-1b27d664632525d1</t>
        </is>
      </c>
      <c r="B55" t="inlineStr">
        <is>
          <t>Principal Product Manager - Tech, Recommender Systems, Prime Video Personalization &amp; Discovery</t>
        </is>
      </c>
      <c r="C55" t="inlineStr">
        <is>
          <t>Amazon.com</t>
        </is>
      </c>
      <c r="D55" t="inlineStr">
        <is>
          <t>indeed</t>
        </is>
      </c>
      <c r="E55" t="inlineStr"/>
      <c r="F55" t="inlineStr"/>
      <c r="G55" t="inlineStr">
        <is>
          <t>Washington, DC, US</t>
        </is>
      </c>
      <c r="H55" s="1" t="n">
        <v>45753</v>
      </c>
      <c r="I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in-7501d7aaf7b002cb</t>
        </is>
      </c>
      <c r="B56" t="inlineStr">
        <is>
          <t>Principal Product Manager - Tech, Recommender Systems, Prime Video Personalization &amp; Discovery</t>
        </is>
      </c>
      <c r="C56" t="inlineStr">
        <is>
          <t>Amazon.com</t>
        </is>
      </c>
      <c r="D56" t="inlineStr">
        <is>
          <t>indeed</t>
        </is>
      </c>
      <c r="E56" t="inlineStr"/>
      <c r="F56" t="inlineStr"/>
      <c r="G56" t="inlineStr">
        <is>
          <t>Seattle, WA, US</t>
        </is>
      </c>
      <c r="H56" s="1" t="n">
        <v>45753</v>
      </c>
      <c r="I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in-77746af58e36472e</t>
        </is>
      </c>
      <c r="B57" t="inlineStr">
        <is>
          <t>Program Manager, ReLo Ops Excellence, Relo Ops Integration</t>
        </is>
      </c>
      <c r="C57" t="inlineStr">
        <is>
          <t>Amazon.com</t>
        </is>
      </c>
      <c r="D57" t="inlineStr">
        <is>
          <t>indeed</t>
        </is>
      </c>
      <c r="E57" t="inlineStr"/>
      <c r="F57" t="inlineStr"/>
      <c r="G57" t="inlineStr">
        <is>
          <t>Bellevue, WA, US</t>
        </is>
      </c>
      <c r="H57" s="1" t="n">
        <v>46020</v>
      </c>
      <c r="I57"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58">
      <c r="A58" t="inlineStr">
        <is>
          <t>in-ed80d02761b0d1b5</t>
        </is>
      </c>
      <c r="B58" t="inlineStr">
        <is>
          <t>Program Manager, ReLo Ops Excellence, Relo Ops Integration</t>
        </is>
      </c>
      <c r="C58" t="inlineStr">
        <is>
          <t>Amazon.com</t>
        </is>
      </c>
      <c r="D58" t="inlineStr">
        <is>
          <t>indeed</t>
        </is>
      </c>
      <c r="E58" t="inlineStr"/>
      <c r="F58" t="inlineStr"/>
      <c r="G58" t="inlineStr">
        <is>
          <t>Dallas, TX, US</t>
        </is>
      </c>
      <c r="H58" s="1" t="n">
        <v>46020</v>
      </c>
      <c r="I58"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59">
      <c r="A59" t="inlineStr">
        <is>
          <t>in-7eb86e68570e796e</t>
        </is>
      </c>
      <c r="B59" t="inlineStr">
        <is>
          <t>Program Manager, ReLo Ops Excellence, Relo Ops Integration</t>
        </is>
      </c>
      <c r="C59" t="inlineStr">
        <is>
          <t>Amazon.com</t>
        </is>
      </c>
      <c r="D59" t="inlineStr">
        <is>
          <t>indeed</t>
        </is>
      </c>
      <c r="E59" t="inlineStr"/>
      <c r="F59" t="inlineStr"/>
      <c r="G59" t="inlineStr">
        <is>
          <t>Phoenix, AZ, US</t>
        </is>
      </c>
      <c r="H59" s="1" t="n">
        <v>46020</v>
      </c>
      <c r="I59"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60">
      <c r="A60" t="inlineStr">
        <is>
          <t>in-31380c610d43be30</t>
        </is>
      </c>
      <c r="B60" t="inlineStr">
        <is>
          <t>Program Manager, ReLo Ops Excellence, Relo Ops Integration</t>
        </is>
      </c>
      <c r="C60" t="inlineStr">
        <is>
          <t>Amazon.com</t>
        </is>
      </c>
      <c r="D60" t="inlineStr">
        <is>
          <t>indeed</t>
        </is>
      </c>
      <c r="E60" t="inlineStr"/>
      <c r="F60" t="inlineStr"/>
      <c r="G60" t="inlineStr">
        <is>
          <t>Nashville, TN, US</t>
        </is>
      </c>
      <c r="H60" s="1" t="n">
        <v>46020</v>
      </c>
      <c r="I60"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61">
      <c r="A61" t="inlineStr">
        <is>
          <t>in-71419f6de9477e98</t>
        </is>
      </c>
      <c r="B61" t="inlineStr">
        <is>
          <t>Program Manager, Relo Ops Excellence, Relo Ops Integration</t>
        </is>
      </c>
      <c r="C61" t="inlineStr">
        <is>
          <t>Amazon.com</t>
        </is>
      </c>
      <c r="D61" t="inlineStr">
        <is>
          <t>indeed</t>
        </is>
      </c>
      <c r="E61" t="inlineStr"/>
      <c r="F61" t="inlineStr"/>
      <c r="G61" t="inlineStr">
        <is>
          <t>Dallas, TX, US</t>
        </is>
      </c>
      <c r="H61" s="1" t="n">
        <v>46020</v>
      </c>
      <c r="I61"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62">
      <c r="A62" t="inlineStr">
        <is>
          <t>in-5f781cbd587b19c1</t>
        </is>
      </c>
      <c r="B62" t="inlineStr">
        <is>
          <t>Program Manager, Relo Ops Excellence, Relo Ops Integration</t>
        </is>
      </c>
      <c r="C62" t="inlineStr">
        <is>
          <t>Amazon.com</t>
        </is>
      </c>
      <c r="D62" t="inlineStr">
        <is>
          <t>indeed</t>
        </is>
      </c>
      <c r="E62" t="inlineStr"/>
      <c r="F62" t="inlineStr"/>
      <c r="G62" t="inlineStr">
        <is>
          <t>Bellevue, WA, US</t>
        </is>
      </c>
      <c r="H62" s="1" t="n">
        <v>46020</v>
      </c>
      <c r="I62"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63">
      <c r="A63" t="inlineStr">
        <is>
          <t>in-bb790983d44d0301</t>
        </is>
      </c>
      <c r="B63" t="inlineStr">
        <is>
          <t>Program Manager, Relo Ops Excellence, Relo Ops Integration</t>
        </is>
      </c>
      <c r="C63" t="inlineStr">
        <is>
          <t>Amazon.com</t>
        </is>
      </c>
      <c r="D63" t="inlineStr">
        <is>
          <t>indeed</t>
        </is>
      </c>
      <c r="E63" t="inlineStr"/>
      <c r="F63" t="inlineStr"/>
      <c r="G63" t="inlineStr">
        <is>
          <t>Nashville, TN, US</t>
        </is>
      </c>
      <c r="H63" s="1" t="n">
        <v>46020</v>
      </c>
      <c r="I63"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64">
      <c r="A64" t="inlineStr">
        <is>
          <t>in-e2bf7ce0fa1e632d</t>
        </is>
      </c>
      <c r="B64" t="inlineStr">
        <is>
          <t>Program Manager, Relo Ops Excellence, Relo Ops Integration</t>
        </is>
      </c>
      <c r="C64" t="inlineStr">
        <is>
          <t>Amazon.com</t>
        </is>
      </c>
      <c r="D64" t="inlineStr">
        <is>
          <t>indeed</t>
        </is>
      </c>
      <c r="E64" t="inlineStr"/>
      <c r="F64" t="inlineStr"/>
      <c r="G64" t="inlineStr">
        <is>
          <t>Dallas, TX, US</t>
        </is>
      </c>
      <c r="H64" s="1" t="n">
        <v>46020</v>
      </c>
      <c r="I64"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manage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65">
      <c r="A65" t="inlineStr">
        <is>
          <t>in-88f3b77d0fcc93e0</t>
        </is>
      </c>
      <c r="B65" t="inlineStr">
        <is>
          <t>Program Manager, Relo Ops Excellence, Relo Ops Integration</t>
        </is>
      </c>
      <c r="C65" t="inlineStr">
        <is>
          <t>Amazon.com</t>
        </is>
      </c>
      <c r="D65" t="inlineStr">
        <is>
          <t>indeed</t>
        </is>
      </c>
      <c r="E65" t="inlineStr"/>
      <c r="F65" t="inlineStr"/>
      <c r="G65" t="inlineStr">
        <is>
          <t>Nashville, TN, US</t>
        </is>
      </c>
      <c r="H65" s="1" t="n">
        <v>46020</v>
      </c>
      <c r="I65"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manage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66">
      <c r="A66" t="inlineStr">
        <is>
          <t>in-dea7fe1a4357080b</t>
        </is>
      </c>
      <c r="B66" t="inlineStr">
        <is>
          <t>Program Manager, Relo Ops Excellence, Relo Ops Integration</t>
        </is>
      </c>
      <c r="C66" t="inlineStr">
        <is>
          <t>Amazon.com</t>
        </is>
      </c>
      <c r="D66" t="inlineStr">
        <is>
          <t>indeed</t>
        </is>
      </c>
      <c r="E66" t="inlineStr"/>
      <c r="F66" t="inlineStr"/>
      <c r="G66" t="inlineStr">
        <is>
          <t>Phoenix, AZ, US</t>
        </is>
      </c>
      <c r="H66" s="1" t="n">
        <v>46020</v>
      </c>
      <c r="I66"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67">
      <c r="A67" t="inlineStr">
        <is>
          <t>in-5d98b8ac33b343ec</t>
        </is>
      </c>
      <c r="B67" t="inlineStr">
        <is>
          <t>Program Manager, Relo Ops Excellence, Relo Ops Integration</t>
        </is>
      </c>
      <c r="C67" t="inlineStr">
        <is>
          <t>Amazon.com</t>
        </is>
      </c>
      <c r="D67" t="inlineStr">
        <is>
          <t>indeed</t>
        </is>
      </c>
      <c r="E67" t="inlineStr"/>
      <c r="F67" t="inlineStr"/>
      <c r="G67" t="inlineStr">
        <is>
          <t>Phoenix, AZ, US</t>
        </is>
      </c>
      <c r="H67" s="1" t="n">
        <v>46020</v>
      </c>
      <c r="I67"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manage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68">
      <c r="A68" t="inlineStr">
        <is>
          <t>in-13b2035f1733a05a</t>
        </is>
      </c>
      <c r="B68" t="inlineStr">
        <is>
          <t>Program Manager, Relo Ops Excellence, Relo Ops Integration</t>
        </is>
      </c>
      <c r="C68" t="inlineStr">
        <is>
          <t>Amazon.com</t>
        </is>
      </c>
      <c r="D68" t="inlineStr">
        <is>
          <t>indeed</t>
        </is>
      </c>
      <c r="E68" t="inlineStr"/>
      <c r="F68" t="inlineStr"/>
      <c r="G68" t="inlineStr">
        <is>
          <t>Bellevue, WA, US</t>
        </is>
      </c>
      <c r="H68" s="1" t="n">
        <v>46020</v>
      </c>
      <c r="I68"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manage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69">
      <c r="A69" t="inlineStr">
        <is>
          <t>in-f0afd00da61cdf88</t>
        </is>
      </c>
      <c r="B69" t="inlineStr">
        <is>
          <t>Cyber Program Manager</t>
        </is>
      </c>
      <c r="C69" t="inlineStr"/>
      <c r="D69" t="inlineStr">
        <is>
          <t>indeed</t>
        </is>
      </c>
      <c r="E69">
        <f>HYPERLINK("https://www.indeed.com/viewjob?jk=f0afd00da61cdf88", "https://www.indeed.com/viewjob?jk=f0afd00da61cdf88")</f>
        <v/>
      </c>
      <c r="F69">
        <f>HYPERLINK("https://aitsdefence.isolvedhire.com/jobs/1711178-628005.html", "https://aitsdefence.isolvedhire.com/jobs/1711178-628005.html")</f>
        <v/>
      </c>
      <c r="G69" t="inlineStr">
        <is>
          <t>Augusta, GA, US</t>
        </is>
      </c>
      <c r="H69" s="2" t="n">
        <v>46075</v>
      </c>
      <c r="I69" t="inlineStr">
        <is>
          <t>AITS Corporation is a veteran\-led prime contractor delivering sovereign\-grade cybersecurity and applied defense grade secure cross\-domain solutions for the U.S. government, defense\-industrial base, and allied sovereign partners.
Our business is growing, and we are accepting applications for **PROGRAM MANAGER** at our Fort Gordon, GA location.
If you are qualified and interested in joining a fast\-growing company with the goal of protecting national infrastructure, defense networks, and classified operations, please apply!
**Position Summary**
The Program Manager oversees security\-focused projects, ensuring the successful implementation of cybersecurity initiatives across a contract. You will govern multiple workstreams and ensure alignment with the Sovereign Standard. The Program Manager will manage high\-level client relationships and will be responsible for the P\&amp;L of the assigned program area.
**Job Responsibilities**
* Govern the multiple workstreams and regulatory protocols that mandate how data must be protected across OSI Layers, ensuring alignment with the Sovereign Standard.
* Translate federal mandates into the technical roadmaps executed by the team.
* ProjectManagement:Managemultiplecybersecurityprojects,facilitatingplanningandprioritizationtomeetorganizationalgoals.Thisincludesbothshort\-term andlong\-term projects that may involve significant business and technology changes.
* Collaboration:Workwithpartners,vendors,andinternalteamstoensureproject success,includingcoordinatingwithlegal,procurement,andfinancedepartments.
* ProgramDevelopment:Supportthedevelopment,implementation,and communicationofcybersecurityactivitiesandprograms,leadingprogramevents, briefings,andmeetings.
* RiskManagement:Developmethodstomonitorandmeasurerisk,compliance,andassuranceefforts,ensuringthatallacquisitionsandoutsourcingeffortsaddress informationsecurityrequirements.
* Reporting:Createprojectplans,statusreports,andexecutivepresentationsto communicateprogressandchallengestostakeholders
**Qualifications**
* Bachelor of Science in Computer Science, IFSM or Cybersecurity
* Minimum 10 years of relevant experience
* PMP certification required and/or Six Sigma Black Belt preferred
* CGEIT
* SAFe Agile – Scrum Master
* Superb understanding of ITIL 4 Strategic Leader
* Familiarity with NIST 800\-171, CMMC 2\.0, and FISMA
* Strong problem\-solving abilities and attention to detail, to effectively support contract teams daily initiatives.
* Excellentverbalandwrittencommunicationskillstoreportfindingsandcollaboratewithteammembersandmanagement.
* Active TS/SCI security clearance required
We offer competitive benefits, including but not limited to Medical, Dental and Vision Insurance, Life Insurance, Paid Time Off (PTO), Retirement benefits, professional development opportunities, and more.
***We are an Equal Opportunity Employer****. All qualified applicants will receive consideration for employment without regard to race, color, gender, age, national origin, disability, Veteran status, or any other protected class by federal, state or local laws.*</t>
        </is>
      </c>
    </row>
    <row r="70">
      <c r="A70" t="inlineStr">
        <is>
          <t>in-a43f80b368b0240e</t>
        </is>
      </c>
      <c r="B70" t="inlineStr">
        <is>
          <t>Product Manager</t>
        </is>
      </c>
      <c r="C70" t="inlineStr">
        <is>
          <t>SLIIIP Medical Group, P.A.</t>
        </is>
      </c>
      <c r="D70" t="inlineStr">
        <is>
          <t>indeed</t>
        </is>
      </c>
      <c r="E70">
        <f>HYPERLINK("https://www.indeed.com/viewjob?jk=a43f80b368b0240e", "https://www.indeed.com/viewjob?jk=a43f80b368b0240e")</f>
        <v/>
      </c>
      <c r="F70">
        <f>HYPERLINK("http://www.indeed.com/job/product-manager-a43f80b368b0240e", "http://www.indeed.com/job/product-manager-a43f80b368b0240e")</f>
        <v/>
      </c>
      <c r="G70" t="inlineStr">
        <is>
          <t>Remote, US</t>
        </is>
      </c>
      <c r="H70" s="2" t="n">
        <v>46075</v>
      </c>
      <c r="I70" t="inlineStr">
        <is>
          <t>**Job Overview**  
We are seeking an energetic and strategic Product Manager to lead the lifecycle management \&amp; customer experience in our organization.
In this pivotal role, you will drive product vision, coordinate cross\-functional teams, and ensure the successful delivery of solutions that meet market needs and business objectives. Your expertise in product management methodologies, technical understanding, and leadership will empower you to influence product strategy from conception through deployment, fostering a culture of continuous improvement and excellence.
This role is perfect for someone who thrives in a fast‑moving environment, data\-driven, loves solving operational puzzles, and is energized by building healthcare products that actually work for real people.
**Duties**
* Oversee and optimize the full patient journey — identify bottlenecks and design solutions that improve speed, accuracy, and patient satisfaction.
* Build workflows that support **revenue integrity**, reduce leakage, and ensure clean, operations.
* Define and communicate clear product vision, strategy, and roadmaps aligned with organizational goals.
* Lead the brand experience within product flows, ensuring SLIIIP feels **relevant, trustworthy, and useful** at every touchpoint.
* Partner with design and marketing to ensure tone, visuals, and interactions reflect SLIIIP’s identity and values.
* Collaborate with stakeholders to gather detailed requirements, translating them into actionable user stories and technical specifications.
* Oversee user acceptance testing (UAT), creating test cases, managing feedback, and ensuring products \&amp; services meet quality standards before release.
* Partner with operations to streamline SOPs, reduce errors, and improve turnaround times.
* Build scalable systems that support national expansion and high‑volume clinical workflows.
**Requirements**
* Excellent analysis skills with the ability to interpret data from analytics platforms like Looker for strategic insights.
* Demonstrated leadership capabilities with effective communication skills to influence diverse teams and stakeholders at all levels.
* Ability to manage multiple projects simultaneously while maintaining attention to detail in a fast\-paced environment.
* 3–6\+ years of product management experience, ideally in healthcare, health tech, or operations‑heavy environments.
* Strong ability to translate complex clinical or operational concepts into simple, actionable product requirements.
* Experience owning end‑to‑end workflows and optimizing for both revenue and user experience.
* Comfort with data analysis, experimentation, A/B testing, and iterative problem‑solving.
Job Type: Full\-time
Pay: $50,099\.88 \- $80,260\.07 per year
Benefits:
* Employee discount
* Health insurance
Work Location: Remote</t>
        </is>
      </c>
    </row>
    <row r="71">
      <c r="A71" t="inlineStr">
        <is>
          <t>in-a77d56dc17c28323</t>
        </is>
      </c>
      <c r="B71" t="inlineStr">
        <is>
          <t>Product Manager-Power Electronics and Thermal Systems</t>
        </is>
      </c>
      <c r="C71" t="inlineStr">
        <is>
          <t>HRC Global Services</t>
        </is>
      </c>
      <c r="D71" t="inlineStr">
        <is>
          <t>indeed</t>
        </is>
      </c>
      <c r="E71">
        <f>HYPERLINK("https://www.indeed.com/viewjob?jk=a77d56dc17c28323", "https://www.indeed.com/viewjob?jk=a77d56dc17c28323")</f>
        <v/>
      </c>
      <c r="F71">
        <f>HYPERLINK("http://www.indeed.com/job/product-manager-power-electronics-and-thermal-systems-a77d56dc17c28323", "http://www.indeed.com/job/product-manager-power-electronics-and-thermal-systems-a77d56dc17c28323")</f>
        <v/>
      </c>
      <c r="G71" t="inlineStr">
        <is>
          <t>Greenville, NC, US</t>
        </is>
      </c>
      <c r="H71" s="2" t="n">
        <v>46075</v>
      </c>
      <c r="I71" t="inlineStr">
        <is>
          <t>**Location:** Research Triangle Park (RTP), North Carolina, USA  
**Job Type:** Full\-Time \| Direct Hire  
**Work Mode:** Onsite / Hybrid as per business needs (No Remote)  
**Travel:** 20–30% (Domestic \&amp; International)  
**Relocation Assistance:** Yes  
**Visa Sponsorship:** Available for eligible candidates *(Citizen / Green Card / TN only)*
*MANDARIN IS MANDATORY*
**About the Company**
Our client is a **global leader in power and thermal management solutions**, widely recognized for engineering excellence, innovation, and energy\-efficient industrial technologies. Their solutions support a broad range of industries including **industrial automation, renewable energy, utilities, transportation, defense, and smart infrastructure**.
Their advanced platforms are shaping the future through:
* Power and thermal management solutions
* Microgrid solutions for data centers
* Smart energy infrastructure for utilities and residential applications
* Industrial automation and advanced manufacturing technologies
* Solar and battery farms
This is an exciting opportunity to join a highly respected organization where innovation meets real\-world impact.
**Position Summary**
We are seeking an experienced **Product Manager – Power Electronics \&amp; Thermal Systems** to lead product strategy, roadmap development, and lifecycle execution for advanced power and thermal technologies in the North American market.
This role requires a strong blend of **technical depth in power electronics**, strong commercial judgment, and the ability to influence cross\-functional teams across engineering, sales, applications, and global stakeholders.
**Key Responsibilities**
* Own product strategy, product roadmap, and lifecycle management for power and/or thermal product lines.
* Act as the product champion internally and externally, supporting customer engagement, channel strategy, and market adoption.
* Identify market needs, customer pain points, competitive landscape, and growth opportunities.
* Develop Go\-To\-Market strategies, business cases, and pricing models to drive revenue and profitability.
* Collaborate closely with engineering, sales, applications, and leadership teams to ensure alignment and successful execution.
* Drive innovation through industry engagement including trade events, partnerships, and professional networks.
* Support industrial customer segments such as HVACR, logistics, automation, food \&amp; beverage, material handling, and manufacturing.
**Must\-Have Qualifications (Non\-Negotiable)**
✅ Bachelor’s degree in **Electrical Engineering, Mechanical Engineering**, or related discipline  
✅ **5\+ years of Product Management experience** in power and/or thermal solutions  
✅ Strong technical understanding of **power electronics**, including:
* **AC/DC, DC/DC, DC/AC converters**
* Drives, chargers, and power conversion systems
✅ Strong understanding of **thermal management technologies**, such as:
* EC fans, liquid cooling systems
* Pumps, solenoids, heat exchangers
✅ Proven ability to conduct market research, analyze data, and develop business cases  
✅ Strong cross\-functional leadership experience working with engineering, sales, and global teams  
✅ Excellent communication and presentation skills (technical \+ commercial audiences)  
✅ Must be comfortable with **20–30% travel**  
✅ **Must speak Mandarin/Chinese** (required)
**Preferred / Nice\-to\-Have Skills**
* Familiarity with industrial automation ecosystems including:
* PLC / SCADA
* Ethernet/IP, PROFINET, EtherCAT
* Exposure to industries such as Appliance, Packaging, CNC, Off\-Road, Oil \&amp; Gas, Energy, Utilities, Material Handling, and Manufacturing
* Experience with VFDs, pumps, fans, liquid cooling, and motor drive\-related product platforms
**Compensation \&amp; Benefits**
* Competitive base salary
* Annual bonus: **10–15% target**
* Medical, Dental, Vision Insurance (low out\-of\-pocket costs)
* 401(k) Retirement Plan: **50% company match up to 10% of salary**
* Short\-Term and Long\-Term Disability
* Flexible Spending Accounts (FSA)
* Employee Assistance Program (EAP) with counseling support
* Professional Development and Career Advancement Programs
* Collaborative culture with global exposure
\#ProductManager \#ProductManagement \#PowerElectronics \#PowerConversion \#ACDC \#DCDC \#Inverters \#MotorDrives \#ThermalManagement \#IndustrialAutomation \#Microgrid \#RenewableEnergy \#SmartEnergy \#EnergyEfficiency \#HVACR \#EngineeringJobs \#NorthCarolinaJobs \#RaleighJobs \#ResearchTrianglePark \#Mandarin \#ChineseSpeaking
Job Type: Full\-time
Pay: $150,000\.00 \- $185,000\.00 per year
Benefits:
* 401(k) matching
* Health insurance
* Life insurance
* Paid time off
* Vision insurance
Work Location: In person</t>
        </is>
      </c>
    </row>
    <row r="72">
      <c r="A72" t="inlineStr">
        <is>
          <t>in-f46daa8c22e0d583</t>
        </is>
      </c>
      <c r="B72" t="inlineStr">
        <is>
          <t>Program Manager- Developmental Disabilities Services</t>
        </is>
      </c>
      <c r="C72" t="inlineStr"/>
      <c r="D72" t="inlineStr">
        <is>
          <t>indeed</t>
        </is>
      </c>
      <c r="E72">
        <f>HYPERLINK("https://www.indeed.com/viewjob?jk=f46daa8c22e0d583", "https://www.indeed.com/viewjob?jk=f46daa8c22e0d583")</f>
        <v/>
      </c>
      <c r="F72">
        <f>HYPERLINK("https://jobs.apploi.com/view/1411267?utm_campaign=integration&amp;utm_medium=job-board-feed&amp;utm_source=indeed-apply-feed", "https://jobs.apploi.com/view/1411267?utm_campaign=integration&amp;utm_medium=job-board-feed&amp;utm_source=indeed-apply-feed")</f>
        <v/>
      </c>
      <c r="G72" t="inlineStr">
        <is>
          <t>OH, US</t>
        </is>
      </c>
      <c r="H72" s="2" t="n">
        <v>46075</v>
      </c>
      <c r="I72" t="inlineStr">
        <is>
          <t>The primary responsibility of this position will provide leadership and support the Home Coordinators and the Direct Support Professionals to ensure policies and procedures and delivery of services are consistent with agency mission and in accordance with contract requirements, state and federal regulations. In addition to ensuring the overall health and safety of our individual’s, the Program Manager also ensures the effective and efficient use of available resources and is responsible for overall management of program staff including the supervision style and effort for the retention of staff and continuity of care for the individuals. This position is on call 24/7\.
Essential Job Functions:
Staff/Team:
* Observe, monitor and coach House Coordinator Team and direct reports to assure consistency and compliance with ISP contract requirements, and agency policies not limited to the following areas, ISP, BSP, Outcome goals, etc.
* Collaborate with Quality Assurance to ensure quality of all services and establish systems and procedures to maintain quality and correct deficiencies.
* Facilitate positive communication between all staff and team members.
* Follow retention programs for all Home Coordinators and DSPs.
* Complete performance appraisal documents and meetings for all direct reports as directed.
* Ensure staff are trained within agency guidelines and training required by OAC.
* Attend and coordinator regular Site Team Meetings.
Individual:
* Review individual specific ISP, BSP and any other relative services that a individual is receiving or is eligible for to ensure compliance with contracts.
* Ensure development and maintenance of accurate and appropriate records and documentation for compliance with the program requirements, agency policy and ensure completion of all reports as required. (HPCs, QAs, LPS, etc.)
* Responds to complaints, grievances and appeals regarding individual services and escalate and effectively communicates as needed.
* Facilitates communication and coordination of care between individuals, family, and the support team.
* Comply with all DSP and Home Coordinators job responsibilities as necessary.
* Ensure follow up on all Quality Assurance reviews and medical reviews as required.
* Follow up on reviews of UI/MUI reports.</t>
        </is>
      </c>
    </row>
    <row r="73">
      <c r="A73" t="inlineStr">
        <is>
          <t>in-3640df7ae66ba2d2</t>
        </is>
      </c>
      <c r="B73" t="inlineStr">
        <is>
          <t>Rehabilitation Program Manager</t>
        </is>
      </c>
      <c r="C73" t="inlineStr">
        <is>
          <t>Driftwood Healthcare Center Santa Cruz</t>
        </is>
      </c>
      <c r="D73" t="inlineStr">
        <is>
          <t>indeed</t>
        </is>
      </c>
      <c r="E73">
        <f>HYPERLINK("https://www.indeed.com/viewjob?jk=3640df7ae66ba2d2", "https://www.indeed.com/viewjob?jk=3640df7ae66ba2d2")</f>
        <v/>
      </c>
      <c r="F73">
        <f>HYPERLINK("https://jobs.apploi.com/view/20k03c02b2805?utm_campaign=integration&amp;utm_medium=job-board-feed&amp;utm_source=indeed-apply-feed", "https://jobs.apploi.com/view/20k03c02b2805?utm_campaign=integration&amp;utm_medium=job-board-feed&amp;utm_source=indeed-apply-feed")</f>
        <v/>
      </c>
      <c r="G73" t="inlineStr">
        <is>
          <t>Hayward, CA, US</t>
        </is>
      </c>
      <c r="H73" s="2" t="n">
        <v>46075</v>
      </c>
      <c r="I73" t="inlineStr">
        <is>
          <t>**Driftwood Healthcare Center\-Santa Cruz is hiring for a Rehabilitation Program Manager.****We value our management team and are committed to providing a professional and supportive work environment. We treat our residents and employees as part of our family.**
**Rehabilitation Program Manager Salary:****$104,00 \- $135,200****Full/Part Time**
**Sign\-on Bonus Available!**
**Rehabilitation Program Manager Benefits:**
* Medical insurance
* Dental insurance
* Vision insurance
* 401K
* PTO Package
* Referral Bonuses
* Relocation Reimbursement
* Management Training Program
**Rehabilitation Program Manager essential duties and****responsibilities****:**
* Maintain established standards for quality and principles of patient care.
* Supervises the scheduling of residents for therapy services.
* Manages therapy programs provided by Physical, Occupational, and Speech\-Language Pathology.
* Responsible for clinical performance for the rehabilitation department.
* Responsible for the financial performance of the rehabilitation department.
* Maintains confidentiality of patient records.
* Completes required forms and documents in accordance with company policy and state and/or federal regulations.
**Rehabilitation Program Manager Entry Qualifications and Skills:**
* Degree from an accredited school in Physical Therapy, Occupational Therapy, or Speech\-Language Pathology.
* Current valid state licensure as a PT, OT, or SLP where applicable.
* Three to Five years (3\-5\) clinical experience preferred.</t>
        </is>
      </c>
    </row>
    <row r="74">
      <c r="A74" t="inlineStr">
        <is>
          <t>in-87310b45f8280c4b</t>
        </is>
      </c>
      <c r="B74" t="inlineStr">
        <is>
          <t>Senior Instructional Designer / Learning Program Manager (Contract, Remote)</t>
        </is>
      </c>
      <c r="C74" t="inlineStr">
        <is>
          <t>CapeTalent</t>
        </is>
      </c>
      <c r="D74" t="inlineStr">
        <is>
          <t>indeed</t>
        </is>
      </c>
      <c r="E74">
        <f>HYPERLINK("https://www.indeed.com/viewjob?jk=87310b45f8280c4b", "https://www.indeed.com/viewjob?jk=87310b45f8280c4b")</f>
        <v/>
      </c>
      <c r="F74">
        <f>HYPERLINK("https://recruiterflow.com/capetalent/jobs/80?source=indeed&amp;utm_channel=recruiterflow-posting&amp;location=1", "https://recruiterflow.com/capetalent/jobs/80?source=indeed&amp;utm_channel=recruiterflow-posting&amp;location=1")</f>
        <v/>
      </c>
      <c r="G74" t="inlineStr">
        <is>
          <t>Indian Harbour Beach, FL, US</t>
        </is>
      </c>
      <c r="H74" s="2" t="n">
        <v>46074</v>
      </c>
      <c r="I74" t="inlineStr">
        <is>
          <t>**Senior Instructional Designer / Learning Program Manager (Remote, Contract)**
===============================================================================
CapeTalent isn’t your average staffing agency. We connect AI\-forward Learning \&amp; Development professionals with Fortune 100 companies who are shaping the future.
We’re hiring a **REMOTE CONTRACT** Senior Instructional Designer / Learning Program Manager to support a high\-visibility External Academy within a fast\-paced FinTech environment. This is a strategic contract role blending instructional design, curriculum development, learning strategy, program management, stakeholder alignment, and AI\-enabled content development. If you have experience designing enterprise eLearning programs and managing complex learning initiatives end\-to\-end, this role is for you.
**1099 or C2C Contract Details (No W2\)**
-----------------------------------------
* 6\-month contract (strong likelihood of extension)
* 100% Remote (U.S. or Canadian candidates only) with a start date of March 2026
* 40 hours/week
* $65–$75/hour (C2C or 1099\), based on experience
* Standard U.S. business hours (EST/CST/MST/PST)
* Heavy Slack collaboration
* Laptop provided
* **\*\*Portfolio REQUIRED\*\***
**Core Responsibilities (Instructional Design \+ Program Management)**
----------------------------------------------------------------------
This is a senior\-level hybrid role combining learning strategy, instructional design, and learning program management.
You will:
* Serve as a trusted learning strategist applying systems thinking to enterprise training programs
* Design and develop domain\-rich curriculum, eLearning, and blended learning solutions
* Co\-create executive dashboards and presentations that communicate learning ROI and business impact
* Define learning KPIs and track measurable success metrics
* Conduct learning data analysis and recommend program improvements
* Manage cross\-functional stakeholders and SMEs in a fully remote environment
* Forecast instructional design workload, timelines, and resource planning
* Estimate project scope and manage SLAs
* Bring structure to complex, fast\-moving learning initiatives
**Curriculum \&amp; Learning Program Leadership**
---------------------------------------------
* Develop applied learning experiences (workflows, simulations, compliance, real\-world practice scenarios)
* Create pre\- and post\-assessments and evaluation strategies
* Support “test\-out” frameworks and competency validation models
* Partner with vendors and contingent workforce Instructional Designers
* Ensure accessibility, retention, and knowledge transfer across diverse learning audiences
**AI\-Enabled Learning \&amp; GenAI Experience**
--------------------------------------------
This External Academy values modern, AI\-powered workflows.
You will use AI tools to:
* Draft scripts and storyboards
* Build job aids and microlearning assets
* Accelerate research and content development
* Prototype interactive learning experiences
* Analyze learning data and insights
Experience with ChatGPT, Gemini, NotebookLM, AI bots, or similar GenAI tools is strongly preferred.
**Required Tools \&amp; Technical Skills**
--------------------------------------
* Articulate Storyline (advanced triggers)
* Rise 360
* 7taps
* Synthesia (interactive, branching video)
* GenAI tools (ChatGPT, Gemini, NotebookLM, AI bots)
**Leadership \&amp; Stakeholder Profile**
-------------------------------------
* 10\+ years of instructional design experience
* Experience managing enterprise learning programs
* Strong executive communication and presentation skills
* Comfortable presenting learning metrics to senior leadership
* Proven stakeholder management and cross\-functional collaboration experience
* Ability to operate independently in remote environments
**Why This Remote Contract?**
-----------------------------
* Strategic influence within an External Academy
* High\-impact, enterprise\-level learning initiatives
* AI\-forward FinTech environment
* Blended Instructional Design and Learning Program Management scope
* Strong potential for extension</t>
        </is>
      </c>
    </row>
    <row r="75">
      <c r="A75" t="inlineStr">
        <is>
          <t>in-c5c61a58ca89bc0a</t>
        </is>
      </c>
      <c r="B75" t="inlineStr">
        <is>
          <t>Innovation &amp; Consortium Program Manager – Digital Supplier Solutions</t>
        </is>
      </c>
      <c r="C75" t="inlineStr">
        <is>
          <t>BSI</t>
        </is>
      </c>
      <c r="D75" t="inlineStr">
        <is>
          <t>indeed</t>
        </is>
      </c>
      <c r="E75">
        <f>HYPERLINK("https://www.indeed.com/viewjob?jk=c5c61a58ca89bc0a", "https://www.indeed.com/viewjob?jk=c5c61a58ca89bc0a")</f>
        <v/>
      </c>
      <c r="F75">
        <f>HYPERLINK("https://wd3.myworkdaysite.com/en-US/recruiting/bsigroup/BSI_Careers/job/USA/Innovation---Consortium-Program-Manager---Digital-Supplier-Solutions_JR0019649", "https://wd3.myworkdaysite.com/en-US/recruiting/bsigroup/BSI_Careers/job/USA/Innovation---Consortium-Program-Manager---Digital-Supplier-Solutions_JR0019649")</f>
        <v/>
      </c>
      <c r="G75" t="inlineStr">
        <is>
          <t>US</t>
        </is>
      </c>
      <c r="H75" s="2" t="n">
        <v>46074</v>
      </c>
      <c r="I75" t="inlineStr">
        <is>
          <t>We exist to create positive change for people and the planet. Join us and make a difference too!
Job Title: Innovation \&amp; Consortium Program Manager – Digital Supplier Solutions
Location: USA \- Remote  
Are you driven by innovation, energized by collaboration, and motivated to shape the future of global supply chains? BSI is seeking an exceptional Consortium Program Lead to guide a multi‑company industry program focused on supplier auditing, data intelligence, and digital transformation.
This is your opportunity to influence a global community, champion cutting‑edge technologies, and deliver strategic impact across a rapidly evolving landscape.
About the Role
As the Consortium Program Lead, you will manage a high‑visibility initiative bringing together industry leaders, technology partners, and BSI experts. Your mission: drive innovation, improve risk management and compliance, and create commercial value for the consortium and BSI.
You will act as the connector, strategist, and change leader who turns insights into future‑ready solutions.
What You’ll Lead \&amp; Deliver* Lead and govern a multi‑company consortium, fostering effective collaboration, knowledge sharing, and stakeholder alignment.
* Drive digital transformation in supplier auditing, utilizing AI, automation, and predictive analytics.
* Oversee development of data dashboards and intelligence platforms that elevate supplier transparency and risk management.
* Promote adoption of emerging supply chain technologies, such as blockchain for traceability and verification.
* Translate external stakeholder insights into actionable business strategies and decisions.
* Ensure innovation programs deliver commercial and strategic value for BSI.
* Anticipate industry and regulatory trends to future‑proof the consortium’s initiatives.
* Prepare and deliver strategic reports for internal and external stakeholders.
Key Success Indicators* On‑time delivery of consortium milestones and strategic outputs
* Adoption and measurable impact of digital solutions
* High levels of stakeholder satisfaction and engagement
* Contribution to innovation ROI and overall business alignment
* Demonstrated forward‑looking and future‑ready planning
What You Bring* 5\+ years in program management, supplier compliance, or digital transformation
* Experience managing multi‑stakeholder collaborations
* Strong commercial acumen and strategic mindset
* Demonstrated digital transformation leadership
* Data‑driven decision\-making
* Strong stakeholder engagement and communication skills
* Risk and change management expertise
* Initiative, resilience, and adaptability
* Bachelor’s degree in business, technology, supply chain, or a related field required.
* Experience in complex or highly regulated industries
* PMP certification
* Familiarity with AI/ML technologies
* Experience in consortium‑based environments
* Understanding of regulatory trends and supplier governance frameworks
Why BSI:
At BSI, you’ll be part of a collaborative, mission\-driven organization that helps companies protect people, the planet, and their business. You’ll have the autonomy to shape regional strategy, the support of national leadership, and the opportunity to make a lasting impact on clients and communities across the Southwest and beyond.
We offer flexible working arrangements, continuous learning and development opportunities, and a wide range of U.S. benefits
What we offer:
BSI offers a competitive total reward package, an independent and varied job in an international environment, flexible working hours, ongoing training and development with the inclusion of 20\-days annual leave, bank holidays, medical, dental, vision, and life insurance, 401(K) with company contribution, short\-term and long\-term disability, maternal leave, paid parental leave, paid bereavement leave, learning and development opportunities, and a wide range of flexible benefits that you can tailor to suit your lifestyle.
The salary for this position can range from $110,250 \- 147,000\.00 USD annually; actual compensation is based on various factors, including but not limited to the candidate’s competencies, level of experience, education, location, divisional budget, and internal peer compensation comparisons.
About Us
BSI is a business improvement and standards company and for over a century BSI has been recognized for having a positive impact on organizations and society, building trust and enhancing lives.  
Today BSI partners with more than 77,500 clients in 195 countries and engages with a 15,000 strong global community of experts, industry and consumer groups, organizations and governments.  
Utilizing its extensive expertise in key industry sectors \- including automotive, aerospace, built environment, food and retail, and healthcare \- BSI delivers on its purpose by helping its clients fulfil theirs.  
Living by our core values of Client\-Centricity, Agility, and Collaboration, BSI provides organizations with the confidence to grow by partnering with them to tackle society’s critical issues – from climate change to building trust in digital transformation and everything in between \- to accelerate progress towards a better society and a sustainable world.
BSI is an Equal Opportunity Employer dedicated to fostering a diverse and inclusive workplace.</t>
        </is>
      </c>
    </row>
    <row r="76">
      <c r="A76" t="inlineStr">
        <is>
          <t>in-8cd59038d3c08424</t>
        </is>
      </c>
      <c r="B76" t="inlineStr">
        <is>
          <t>Capacity Expansion Program Manager - Air Dominance</t>
        </is>
      </c>
      <c r="C76" t="inlineStr">
        <is>
          <t>Lockheed Martin</t>
        </is>
      </c>
      <c r="D76" t="inlineStr">
        <is>
          <t>indeed</t>
        </is>
      </c>
      <c r="E76">
        <f>HYPERLINK("https://www.indeed.com/viewjob?jk=8cd59038d3c08424", "https://www.indeed.com/viewjob?jk=8cd59038d3c08424")</f>
        <v/>
      </c>
      <c r="F76">
        <f>HYPERLINK("https://click.appcast.io/t/pGmLEI-jxPhClxDYNjkRVgsKDzecDYld_NJ0VAdIKSM=", "https://click.appcast.io/t/pGmLEI-jxPhClxDYNjkRVgsKDzecDYld_NJ0VAdIKSM=")</f>
        <v/>
      </c>
      <c r="G76" t="inlineStr">
        <is>
          <t>Orlando, FL, US</t>
        </is>
      </c>
      <c r="H76" s="2" t="n">
        <v>46068</v>
      </c>
      <c r="I76" t="inlineStr">
        <is>
          <t>**Job ID:** 715330BR
**Date posted:** Jan. 19, 2026  
**Description:**Lockheed Martin's Missiles and Fire Control (MFC) business, the leading provider and pioneer for superior weapon systems, sensors and services is seeking an experienced Program Manager to join the Air Dominance team in Orlando, FL. You will be responsible for leading the production capacity expansion activities for this program.  
**What You Will Be Doing**  
As the Sustainment Lead Program Manager, you will be responsible for sustainment scope across multiple contracts. Your program management responsibilities will include but are not limited to:  
* Lead the development of sustainment strategy and capability
* Lead the cross functional team to include direct reports responsible for the establishment and facilitization of the infrastructure across multiple sites and suppliers in support of sustainment
* Oversee day\-to\-day sustainment activities including oversight of cost, schedule, contract requirements and execution for warranty.
* Lead proposal activities and input for the associated new business efforts in support of DMSMS
* Be responsible for customer interface and communication to program teams.
**Why Join Us**  
The ideal candidate is a collaborative leader who thrives in a fast‑paced environment, excels at influencing cross‑functional teams, and is passionate about delivering high‑impact solutions that keep our nation secure. This role offers direct influence over a flagship air‑dominance program and the chance to shape its long‑term success.  
We are committed to supporting your work‑life balance and overall well‑being, offering flexible scheduling options. Learn more about Lockheed Martin's comprehensive benefits package here.  
**Further Information About This Opportunity**  
This position is in Orlando. Discover more about our Orlando, Florida location.  
MUST BE A U.S. CITIZEN \- This position is located at a facility that requires special access. The selected candidate must possess an active Secret clearance to start.  
\#mfcnews  
**Basic Qualifications:**  
Prior program management experience of sizable and complex activities.  
Prior experience leading cross functional teams to include direct reports with responsibility for quality, technical, schedule, and cost performance.  
Exceptional interpersonal communication and formal presentation skills, including the ability to interface at all levels and across multiple functions and customer sets.  
Active Secret clearance with continuous investigation  
**Desired Skills:**  
Previous sustainment and/or production management experience.
Demonstrated high integrity and professionalism  
Proven program or project leadership  
Demonstrated ability to lead teams  
Ability to develop strong relationships with all stakeholders  
Previous experience developing statements of work, program schedules and conducting customer negotiations.  
**Security Clearance Statement:** This position requires a government security clearance, you must be a US Citizen for consideration.  
**Clearance Level:** Secret with Investigation or CV date within 5 years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MISSILES AND FIRE CONTROL  
**Relocation Available:** Possible  
**Career Area:** Program Management  
**Type:** Full\-Time  
**Shift:** First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4"/>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li-4324960715</t>
        </is>
      </c>
      <c r="B2" t="inlineStr">
        <is>
          <t>Product Manager</t>
        </is>
      </c>
      <c r="C2" t="inlineStr">
        <is>
          <t>Whatnot</t>
        </is>
      </c>
      <c r="D2" t="inlineStr">
        <is>
          <t>linkedin</t>
        </is>
      </c>
      <c r="E2" t="inlineStr"/>
      <c r="F2" t="inlineStr"/>
      <c r="G2" t="inlineStr">
        <is>
          <t>Los Angeles, CA</t>
        </is>
      </c>
      <c r="H2" t="inlineStr"/>
      <c r="I2"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Whatnot is looking for thoughtful, experienced Product Managers to help shape the strategy, vision, and execution of key initiatives across our marketplace ranging from improving selling formats and inventory management to building ads \&amp; promotion tools and scaling our core platform.
 We hire PMs who enjoy working across different parts of the business, collaborating closely with engineers, designers, and operators to solve meaningful problems for our users and community.
 We’re looking for someone who brings strong product intuition, a love for building, and a drive to create simple, impactful experiences that make Whatnot better every day.
*We’re remote\-first, but this role requires being within commuting distance of one of our office hubs: Los Angeles, San Francisco, Seattle, or New York City.*
**You Will**
* Drive the product roadmap, product strategy and execution for a given problem space, balancing short and long\-term goals.
* Partner cross\-functionally with engineering, design, data science, and operations to bring new features and systems to life.
* Translate complex problems into clear requirements and simple, high\-quality user experiences.
* Establish product metrics and experimentation frameworks to validate performance and user impact.
* Communicate progress, insights, and priorities across teams and stakeholders.
* Help the team stay focused and move efficiently, removing blockers and ensuring alignment.
* Contribute to the growth and evolution of Whatnot’s product culture and processes.
****👋 You****
* 8\+ years of product management experience, ideally in fast\-moving consumer or marketplace environments.
* A track record of shipping complex, technical systems or large\-scale consumer products.
* Deep empathy for users and a passion for delivering outstanding user experiences and driving adoption of products.
* Strong analytical skills — comfortable working with data, hypotheses, and experimentation.
* A balance of strategic thinking and hands\-on execution — able to zoom in and out as needed.
* Experience partnering with design and data science; proficiency with SQL is a plus.
****💰Compensation****
 For US\-based applicants: $240,000/year to $275,000/year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$240K \- $275K</t>
        </is>
      </c>
    </row>
    <row r="3">
      <c r="A3" t="inlineStr">
        <is>
          <t>li-4357073204</t>
        </is>
      </c>
      <c r="B3" t="inlineStr">
        <is>
          <t>Product Manager</t>
        </is>
      </c>
      <c r="C3" t="inlineStr">
        <is>
          <t>Meta</t>
        </is>
      </c>
      <c r="D3" t="inlineStr">
        <is>
          <t>linkedin</t>
        </is>
      </c>
      <c r="E3" t="inlineStr"/>
      <c r="F3" t="inlineStr"/>
      <c r="G3" t="inlineStr">
        <is>
          <t>New York, NY</t>
        </is>
      </c>
      <c r="H3" t="inlineStr"/>
      <c r="I3"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vision,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senior executive audiences
* BA/BS in Computer Science or related field
 Preferred Qualifications:
* Experience building and shipping high quality work and achieving high reliability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
      <c r="A4" t="inlineStr">
        <is>
          <t>li-4345252869</t>
        </is>
      </c>
      <c r="B4" t="inlineStr">
        <is>
          <t>Product Manager - AI</t>
        </is>
      </c>
      <c r="C4" t="inlineStr">
        <is>
          <t>Zelis</t>
        </is>
      </c>
      <c r="D4" t="inlineStr">
        <is>
          <t>linkedin</t>
        </is>
      </c>
      <c r="E4" t="inlineStr"/>
      <c r="F4" t="inlineStr"/>
      <c r="G4" t="inlineStr">
        <is>
          <t>New Jersey, United States</t>
        </is>
      </c>
      <c r="H4" t="inlineStr"/>
      <c r="I4" t="inlineStr">
        <is>
          <t>At Zelis, we Get Stuff Done. So, let’s get to it!
**A Little About Us**
 Zelis is modernizing the healthcare financial experience across payers, providers, and healthcare consumers. We serve more than 750 payers, including the top five national health plans, regional health plans, TPAs and millions of healthcare providers and consumers across our platform of solutions. Zelis sees across the system to identify, optimize, and solve problems holistically with technology built by healthcare experts – driving real, measurable results for clients.
**A Little About You**
 You bring a unique blend of personality and professional expertise to your work, inspiring others with your passion and dedication. Your career is a testament to your diverse experiences, community involvement, and the valuable lessons you've learned along the way. You are more than just your resume; you are a reflection of your achievements, the knowledge you've gained, and the personal interests that shape who you are.
**Position Overview**
**PRODUCT MANAGER, AI**
**Remote**
 Our enterprise Data and Technology team at Zelis is seeking a driven and analytical AI Product Manager to join our technical product team. As an AI Product Manager, you will be responsible for the product lifecycle of new AI solutions and use cases in close collaboration with data science and engineering leads through definition of business requirements, coordination with various technical and non\-technical teams, and facilitation of a robust pipeline for the application of AI. Together with other product managers, you’ll be responsible for delivering on our product roadmap to support the current and future needs of the business.
 We are looking for someone passionate about data, AI, and analytics with strong product management experience to join our growing technical product team.
**Responsibilities**
* Become an expert in your product areas, acting as the go to person for other stakeholders before speaking to the technical data science and software engineering teams
* Collaborate with software engineers, data engineers, data scientists and other product teams to scope new or refine existing AI solutions that increase business value, adoption, and user engagement
* Lead discussions with BU stakeholders to identify business process and underlying needs. Draft clear and concise business requirements and technical product documentation
* Interface with internal to Zelis engineering and product teams to manage the intake process for new requests
* Understand how your product areas link into the wider roadmap and be able to highlight both dependencies and opportunities for growth
* Define key performance indicators to evaluate product
* Be the voice of the customer in technical discussions and facilitate the relationship between the application teams and technical data teams for your product areas
* Work with cross\-functional teams and various stakeholders, including engineering, architecture, operations, product, marketing, partnerships, and customer success
* Collaborate with technical product analysts to support engineering teams through the delivery lifecycle
* Understand the implications of AI products to the healthcare industry, and be able to tell the story of how an individual receiving care maps to the problem you are solving.
**Experience**
* 3\+ years of technical product management with demonstrated ability to define product scope and deliver alongside technical teams
* Strong understanding of and experience with Data Science, ML, GenAI, and Data Analytics concepts and other data/product tools such as SQL, Python, R, Spark, AWS, Azure, and Snowflake
* An ability to listen to diverse audiences, identify requirements, gaps and barriers, and translate needs into AI and analytics solutions
* Understanding and experience with machine learning, data engineering, and software engineering.
* Technical depth that enables you to drive discussions about design of AI solutions (including GenAI), machine learning models, ETLs, AI infrastructure
* Possess strong communication skills, including experience being an active and expert listener, with clear verbal communication as well as explicit and mindful written communication skills
* Well\-versed in Agile frameworks and product tools such as Jira and Confluence
* Experience guiding teams through the AI lifecycle, including collecting and collating use cases and managing intake processes for new AI use cases
* Open to candidates with either B2B or B2C experience and outside the healthcare industry; critical to success in this role is being intellectually curious, a self\-starter, and experience building AI products
**EOE Committed to Diversity**
***Please note at this time we are unable to proceed with candidates who require visa sponsorship now or in the future.***
**Location and Workplace Flexibility**
 We have offices in Atlanta GA, Boston MA, Morristown NJ, Plano TX, St. Louis MO, St. Petersburg FL, and Hyderabad, India. We foster a hybrid and remote friendly culture, and all our employee's work locations are based on the needs of the position and determined by the Leadership team. In\-office work and activities, if applicable, vary based on the work and team objectives in accordance with Company policies.
**Base Salary Range**
 $105,000\.00 \- $140,000\.00
 At Zelis we are committed to providing fair and equitable compensation packages. The base salary range allows us to make an offer that considers multiple individualized factors, including experience, education, qualifications, as well as job\-related and industry\-related knowledge and skills, etc. Base pay is just one part of our Total Rewards package, which may also include discretionary bonus plans, commissions, or other incentives depending on the role.
 Zelis’ full\-time associates are eligible for a highly competitive benefits package as well, which demonstrates our commitment to our employees’ health, well\-being, and financial protection. The US\-based benefits include a 401k plan with employer match, flexible paid time off, holidays, parental leaves, life and disability insurance, and health benefits including medical, dental, vision, and prescription drug coverage.
**Equal Employment Opportunity**
 Zelis is proud to be an equal opportunity employer.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welcome applicants from all backgrounds and encourage you to apply even if you don’t meet 100% of the qualifications for the role. We believe in the value of diverse perspectives and experiences and are committed to building an inclusive workplace for all.
**Accessibility Support**
 We are dedicated to ensuring our application process is accessible to all candidates. If you are a qualified individual with a disability or a disabled veteran and require a reasonable accommodation with any part of the application and/or interview process, please email TalentAcquisition@zelis.com.
**Disclaimer**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duties, and skills from time to time.*</t>
        </is>
      </c>
    </row>
    <row r="5">
      <c r="A5" t="inlineStr">
        <is>
          <t>li-4260404234</t>
        </is>
      </c>
      <c r="B5" t="inlineStr">
        <is>
          <t>Digital Product Owner - Noke</t>
        </is>
      </c>
      <c r="C5" t="inlineStr">
        <is>
          <t>Janus International</t>
        </is>
      </c>
      <c r="D5" t="inlineStr">
        <is>
          <t>linkedin</t>
        </is>
      </c>
      <c r="E5" t="inlineStr"/>
      <c r="F5" t="inlineStr"/>
      <c r="G5" t="inlineStr">
        <is>
          <t>Atlanta, GA</t>
        </is>
      </c>
      <c r="H5" t="inlineStr"/>
      <c r="I5" t="inlineStr">
        <is>
          <t>The Noke Digital Product Owner owns the definition and execution of the product roadmap and is passionate about delivering customer impact. If you are ready to add rocket fuel to your career, our organization, and our customers’ lives, we want you on our team!
**Responsibilities**
* Proven experience leading Digital Products both mobile app and website
* Define and communicate the digital product vision, roadmap, and key performance indicators (KPIs).
* Align product strategy with business goals and customer needs.
* Conduct market research, competitor analysis, and user feedback sessions to drive innovation.
* Own and prioritize the product backlog, ensuring features align with business objectives.
* Work closely with UX/UI designers, engineers, and data analysts to develop and optimize digital solutions.
* Collaborate with Scrum teams to define user stories, acceptance criteria, and sprint goals.
* Ensure timely delivery of high\-quality digital experiences through Agile methodologies.
* Act as the primary liaison between business units, technology teams, and external partners.
* Translate business requirements into clear product specifications.
* Present progress updates, insights, and recommendations to leadership and stakeholders.
* Use data analytics, A/B testing, and user feedback to continuously improve digital products.
* Identify opportunities for automation, personalization, and conversion optimization.
* Monitor KPIs and ensure products meet performance, usability, and revenue goals.
* Other duties assigned.
**Qualifications**
* \+5 years of experience in digital product management, e\-commerce, SaaS, or IoT related domain.
* Strong understanding of Agile, Scrum, and Lean methodologies.
* Experience working with cross\-functional teams, developers, and UX/UI designers.
* Strong analytical mindset with experience in using data tools (Google Analytics, Amplitude, Mixpanel).
* Excellent communication, stakeholder management, and problem\-solving skills.
* Hybrid work environment with an awesome office location across from Truist Park @ Galleria.
 PHYSICAL DEMANDS:
* Regularly required to sit, stand, and walk
* Reasonable accommodations may be made to enable individuals with disabilities to perform the essential functions of the position.
* Up to 20% travel may be required.</t>
        </is>
      </c>
    </row>
    <row r="6">
      <c r="A6" t="inlineStr">
        <is>
          <t>li-4345034803</t>
        </is>
      </c>
      <c r="B6" t="inlineStr">
        <is>
          <t>Product Owner</t>
        </is>
      </c>
      <c r="C6" t="inlineStr">
        <is>
          <t>Q2</t>
        </is>
      </c>
      <c r="D6" t="inlineStr">
        <is>
          <t>linkedin</t>
        </is>
      </c>
      <c r="E6" t="inlineStr"/>
      <c r="F6" t="inlineStr"/>
      <c r="G6" t="inlineStr">
        <is>
          <t>Austin, TX</t>
        </is>
      </c>
      <c r="H6" t="inlineStr"/>
      <c r="I6" t="inlineStr">
        <is>
          <t>**As passionate about our people as we are about our mission.**
**Why Join Q2?**
 Q2 is a leading provider of digital banking and lending solutions to banks, credit unions, alternative finance companies, and fintechs in the U.S. and internationally. Our mission is simple: build strong and diverse communities through innovative financial technology—and we do that by empowering our people to help create success for our customers.
**What Makes Q2 Special?**
 Being as passionate about our people as we are about our mission. We celebrate our employees in many ways, including our “Circle of Awesomeness” award ceremony and day of employee celebration among others! We invest in the growth and development of our team members through ongoing learning opportunities, mentorship programs, internal mobility, and meaningful leadership relationships. We also know that nothing builds trust and collaboration like having fun. We hold an annual Dodgeball for Charity event at our Q2 Stadium in Austin, inviting other local companies to play, and community organizations we support to raise money and awareness together.
**The Job At\-A\-Glance**
 Q2 is seeking a
 **Product Owner** 
 that is focused on supporting our Platform Integrations engineering team by delivering high quality, Core Integration products and features. The Product Owner will work closely with the Sr. Core Integrations Product Owner, adjacent product teams, product managers, the development team, internal \&amp; external stakeholders, vendors and support to analyze and define requirements for core integrations and back\-end solutions.
 If you are the right fit for this position, you approach business opportunities with an unwavering sense of optimism. You likely wake up each morning with a passion to solve problems through meaningful human interactions, listening intently for needs and requirements, executing to the roadmap set by the Product Manager, fostering collaborative vendor relationships and growing value for all stakeholders involved, including the development team. This position is heavily backend focused, and necessitates technical knowledge of APIs, multi\-tenant services and integration layers. The Product Owner will manage solutions into Bank. \&amp; Credit Union core systems and normalizing the data into Online Banking.
**RESPONSIBILITIES**
* Align with Product \&amp; Delivery leadership to prioritize product backlog.
* Define product functionality and write detailed user stories/epics with end\-user empathy.
* Manage sprints: planning, review, and acceptance of completed work.
* Apply Agile methods to encourage disciplined software development and frequent inspection.
* Articulate product vision and user stories clearly to teams and clients.
* Deliver product acceptance criteria and ensure quality delivery.
* Drive Objectives and Key Results (OKRs) and roadmap execution. EXPERIENCE AND KNOWLEDGE
* Bachelor’s degree; 2–5 years of related experience.
* Technical background with backend integrations, APIs, and scalable solutions.
* Experience with Agile Scrum methodology and process management.
* Proven ability to manage complex rollouts with multiple stakeholders.
* Strong analytical and problem\-solving abilities.
* Proficiency with Atlassian Suite (Jira, Confluence).
* Comfortable working across distributed teams
*This position requires fluent written and oral communication in English.*
*Applicants must be authorized to work for any employer in the U.S. We are unable to sponsor or take over sponsorship of an employment Visa at this time.*
**Health \&amp; Wellness**
* Hybrid Work Opportunities
* Flexible Time Off
* Career Development \&amp; Mentoring Programs
* Health \&amp; Wellness Benefits, including competitive health insurance offerings and generous paid parental leave for eligible new parents
* Community Volunteering \&amp; Company Philanthropy Programs
* Employee Peer Recognition Programs – “You Earned it”
 Click here to find out more about the benefits we offer.
**Our Culture \&amp; Commitment**
 We’re proud to foster a supportive, inclusive environment where career growth, collaboration, and wellness are prioritized. And our benefits go beyond healthcare—offering resources for physical, mental, and professional well\-being. Click here to find out more about the benefits we offer. Q2 employees are encouraged to give back through volunteer work and nonprofit support through our Spark Program (see more). We believe in making an impact—in the industry and in the community.
 We are an Equal Opportunity Employer. All qualified applicants will receive consideration for employment without regard to race, color, religion, sex, sexual orientation, gender identity, national origin, age, disability, genetic information, or veteran status.
*Applicants in California or Washington State may not be exempt from federal and state overtime requirements*</t>
        </is>
      </c>
    </row>
    <row r="7">
      <c r="A7" t="inlineStr">
        <is>
          <t>li-4338072276</t>
        </is>
      </c>
      <c r="B7" t="inlineStr">
        <is>
          <t>Lead Product Manager, Enterprise Systems</t>
        </is>
      </c>
      <c r="C7" t="inlineStr">
        <is>
          <t>Realtor.com</t>
        </is>
      </c>
      <c r="D7" t="inlineStr">
        <is>
          <t>linkedin</t>
        </is>
      </c>
      <c r="E7" t="inlineStr"/>
      <c r="F7" t="inlineStr"/>
      <c r="G7" t="inlineStr">
        <is>
          <t>Austin, TX</t>
        </is>
      </c>
      <c r="H7" t="inlineStr"/>
      <c r="I7"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**Lead Product Manager, Enterprise Systems** 
 Location: Austin, TX HQ
 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**About the role** 
 We are seeking an experienced technical Product Manager to join the Enterprise Systems Product team in Austin, Texas, where you will have the opportunity to deliver the products and services that serve as foundational enablers to the company’s revenue streams. Enterprise Systems sits at the intersection where strategic company initiatives meet the sales, billing, inventory management, fulfillment, and customer service platforms that drive business growth. You get to form collaborative partnerships with key stakeholders from all parts of the business from engineering, design, product, finance, analytics, sales, operations, legal, and deeply understand their processes in order to distill multiple points of view into prioritized technical requirements. 
 This is a dynamic role that will be expected to solve highly technical challenges by working with industry leading 3rd party SaaS and hybrid technologies to achieve higher levels of scale and automation needed to fuel growth.  
**What You'll Do** 
* Partner closely with analytics, engineering, and QA, to deliver timely and high quality requirements to ensure seamless execution throughout the development lifecycle.
* Own the product roadmap and prioritize features based on impact, feasibility, and requirements from key stakeholders across the revenue organization.
* Drive cross\-functional alignment across product, engineering, sales, and service to drive operational efficiencies by simplify complex workflows and improve the user experience
* Analyze, research, and observe front\-line teams that use the enterprise systems on a daily basis to form data\-driven platform enhancements and optimization strategies
* Lead product operations \- intake, planning, prioritization, measurement and reporting routines that increase the quality and speed of delivery
* Work with 3rd party vendors to assess emerging AI features and platform capabilities to inform upgrade investment decisions
**What You'll Bring** 
* Bachelor’s degree plus 10\+ years of relevant product management experience delivering software products
* Technical background and/or hands\-on experience with CRM, ERP, and CPQ platforms such as SalesForce and Oracle.
* Working knowledge of quote\-to\-cash processes, revenue recognition, pricing, promotion, and other finance concepts
* Exceptional communicator, able to distill complex technical concepts across a broad spectrum of audiences at all levels
* Comfortable thriving in ambiguous and fast\-paced environment, able to make difficult trade\-off decisions
* Demonstrate high levels of ownership and accountability, working across organizational boundaries to drive a high performance culture
* Ability to organize and foster cross\-functional team collaboration and coordination
* Bachelor’s degree or equivalent professional experience
**How We Work** 
 We balance creativity and innovation on a foundation of in\-person collaboration. For most roles, our employees work three or more days in our office in Austin, TX, where they have the opportunity to collaborate in\-person, adding richness to our culture and knitting us closer together.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8">
      <c r="A8" t="inlineStr">
        <is>
          <t>li-4345291733</t>
        </is>
      </c>
      <c r="B8" t="inlineStr">
        <is>
          <t>Senior Staff Product Manager - Fintech API Platform Strategy</t>
        </is>
      </c>
      <c r="C8" t="inlineStr">
        <is>
          <t>Intuit</t>
        </is>
      </c>
      <c r="D8" t="inlineStr">
        <is>
          <t>linkedin</t>
        </is>
      </c>
      <c r="E8" t="inlineStr"/>
      <c r="F8" t="inlineStr"/>
      <c r="G8" t="inlineStr">
        <is>
          <t>Mountain View, CA</t>
        </is>
      </c>
      <c r="H8" t="inlineStr"/>
      <c r="I8" t="inlineStr">
        <is>
          <t>**Overview**
 Are you a visionary product leader passionate about the intersection of
 **Fintech, cutting\-edge Artificial Intelligence, and developer platforms** 
 ? Do you thrive on building foundational API platforms that empower innovative financial products at scale and unlock new growth opportunities?
 We're seeking a
 **Senior Staff Product Manager, Fintech API** 
 to define and execute the strategy for our core Fintech API capabilities, driving the next generation of intelligent financial services and enabling an "invisible finance" paradigm.
 In this pivotal role, you'll own the roadmap for our AI\-native API platform, enabling product teams, 3rd party developers, and AI agents to leverage Intuit's high\-value Fintech capabilities. You'll be instrumental in shaping the future of financial technology by externalizing our core intelligence, expanding our platform reach, and driving long\-term ecosystem and customer growth.
**Responsibilities**
* Strategic Leadership \&amp; Vision: Develop and champion the strategic vision and roadmap for our Fintech API platform, identifying key opportunities to leverage AI/ML to externalize high\-value financial capabilities and support AI\-initiated workflows. This includes defining short\-term deliverables and long\-term transformational goals to enable "invisible finance" for small businesses.
* Platform Product Ownership: Drive the end\-to\-end product lifecycle for core Fintech API services and infrastructure, including the Intuit Model Context Protocol (MCP) server, the Intuit Agent Toolkit, and AI\-driven automation in core APIs. You'll oversee product management processes from backlog grooming to prioritizing initiatives and features, partnering closely with engineering and architecture colleagues.
* Cross\-Functional Collaboration \&amp; Influence: Partner closely with AI/ML engineers, data scientists, product teams, design, legal, and compliance to translate complex technical concepts into clear API product requirements and deliver impactful solutions. You'll manage upstream and downstream dependency requests and timelines efficiently, influencing stakeholders and senior leadership effectively.
* Innovation \&amp; Experimentation: Foster a culture of continuous innovation and experimentation, leading rapid iteration on AI\-ready API solutions based on performance metrics, user feedback, and market trends. This includes refreshing and extending Fintech APIs and offering developer\-friendly tooling.
* Technical Depth \&amp; Quality: Possess a deep technical understanding of API design principles, AI infrastructure, and their practical applications within the fintech domain. You'll work closely with external partners, architects, and engineers to design and build secure, high\-scale integrations, ensuring high\-quality outcomes and proactively resolving issues, particularly around authentication protocols and MFA\-support for high\-stakes agent actions.
* Data\-Driven Decision Making: Implement prioritization principles using a data\-backed approach for defining priorities and making tradeoff decisions. Utilize data\-driven methods to define and measure success metrics, prioritize requirements, and communicate plans and launches, delivering impactful business results.
* Customer \&amp; Partner Obsession: Conduct thorough customer discovery with end\-users and developers to understand their challenges and derive insights on resolving significant customer issues delightfully. You'll work closely with customers and partners, adopting a customer\-focused approach to strategy and priorities, especially in enabling 3rd party developers and AI builders to integrate with Intuit's APIs.
* Communication \&amp; Documentation: Employ prolific writing skills to craft effective Product Requirements Documents, decision documents, executive summaries, and presentations for communication across various levels, from engineers and architects to senior executives. This includes ensuring clear guides on using Intuit APIs with OpenAI, LangChain, and other popular dev tools.
* Risk \&amp; Compliance: Work closely with legal and compliance teams to ensure all API initiatives adhere to financial regulations, data privacy standards, and ethical AI principles, incorporating fraud\-detection hooks and strict authentication.
* Program Management Collaboration: Collaborate with program management to ensure precise project execution and delivery by managing dependencies and plans across various services and teams, demonstrating proficiency in managing complex deliveries across multiple teams.
**Qualifications**
* 8\+ years of experience in product management or a related field.
* At least 3\+ years focused on API products within the fintech or financial services industry, with a strong understanding of AI/ML's impact on API strategy.
* Proven track record of defining, building, and launching successful, scalable API\-powered platforms or products that meet enterprise needs.
* Deep technical understanding of API design principles, AI infrastructure, and their practical applications within the fintech domain, including exposure to concepts like Model Context Protocol (MCP) and agentic toolkits.
* Strong ability to think strategically, identify market opportunities, and translate them into actionable product roadmaps, aligning long\-term transformation goals with immediate delivery milestones.
* Exceptional leadership and communication skills, with the ability to influence and align diverse stakeholders across an organization, including executive leadership.
* Demonstrated excellence in executing transformation roadmaps and delivering incremental value while addressing legacy system deprecation.
* In\-depth knowledge of product management processes and adeptness at driving consensus across diverse teams.
* Experience with Agile methodologies as a product owner, establishing clear requirements through detailed epics.
* Quick learner with minimal supervision required to become a domain expert.
* A passion for solving complex problems at the intersection of finance, artificial intelligence, and developer platforms.
* Bachelor’s degree in Engineering, Computer Science, or a related field. Master’s degree preferred.
* Domain knowledge in FinTech, Payment Standards, and FinTech Compliance is highly advantageous.
 If you're ready to make a significant impact and lead the charge in building the intelligent, API\-driven financial systems of tomorrow, we encourage you to apply!
 Pay offered is based on factors such as job\-related knowledge, skills, experience, and work location. To drive ongoing fair pay for employees, Intuit conducts regular comparisons across categories of ethnicity and gender.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Mountain View, CA: $196,500 \- $266,000</t>
        </is>
      </c>
    </row>
    <row r="9">
      <c r="A9" t="inlineStr">
        <is>
          <t>li-4345171934</t>
        </is>
      </c>
      <c r="B9" t="inlineStr">
        <is>
          <t>Senior Staff Product Manager - AI Context</t>
        </is>
      </c>
      <c r="C9" t="inlineStr">
        <is>
          <t>Intuit</t>
        </is>
      </c>
      <c r="D9" t="inlineStr">
        <is>
          <t>linkedin</t>
        </is>
      </c>
      <c r="E9" t="inlineStr"/>
      <c r="F9" t="inlineStr"/>
      <c r="G9" t="inlineStr">
        <is>
          <t>San Diego, CA</t>
        </is>
      </c>
      <c r="H9" t="inlineStr"/>
      <c r="I9" t="inlineStr">
        <is>
          <t>**Overview**
 Come join the AI Foundations Product Management Team at Intuit as a Senior Staff Product Manager for our AI Context Platform. Our AI Foundations team is part of the Product Development Acceleration (PDX) organization. We empower developers, including data scientists, ML engineers, and software engineers, across Intuit to build, train, deploy, and innovate with Machine Learning, Generative AI, and Agentic AI technologies. Our goal is to deliver high\-impact, AI\-native product experiences that delight our customers and transform the industry.
 We are seeking a highly technical product manager to define the future of our developer platform capabilities that provide context to the AI. You will be the driving force in bridging Data and AI Platform capabilities, recognizing that high\-quality data is the foundational pillar for high\-quality AI. You will own and innovate on key platform services, including but not limited to: Feature Management: Defining the platform for managing and serving the high\-quality data features that power our AI models. RAG (Retrieval\-Augmented Generation) as a Service: Building the platform to enable our Generative AI initiatives to leverage relevant, high\-fidelity data at scale. Agent Memory: Developing core services that provide persistent, dynamic memory capabilities for Agentic AI, ensuring personalized, context\-aware customer experiences.
 You will play a crucial role in enabling developers to create high\-quality and personalized product experiences. This involves partnering across Intuit to understand diverse use cases and workload requirements, then delivering optimal AI Context platform solutions with speed and at scale.
**Responsibilities**
* Define the vision, strategy, roadmap, objective, key results and success metrics for your AI Platform products.
* Collect feedback and understand user needs from AI/ML practitioners and BU stakeholders, derive requirements, analyze trade\-offs, and prioritize areas of investments.
* Ensure product success from ideation, execution, to launch, ongoing support and improvements of the roadmap.
* Create user education and onboarding programs to grow adoptions and further democratize AI across the company.
* Follow and assess industry trends and innovations, bringing advanced technologies to the AI Platform where appropriate.
**Qualifications**
* 7\+ years of product management or equivalent experience (engineer manager, data scientist manager) for technical platform products in a fast paced, rapidly evolving environment.
* Extensive experience working and innovating on a centralized AI/ML Platform supporting diverse applications.
* High degree of technical understanding to be able to closely collaborate with engineers, architects, and AI/ML practitioners in both strategic and tactical discussions.
* Excellent written and verbal communication skills with ability to present technical content to non\-technical audiences and work with cross\-functional teams to drive real business impact.
* Proven track record of working effectively with engineers, data scientists, other product managers, AI/ML practitioners, executives and vendors, with demonstrated leadership to inspire and influence beyond your immediate organization.
* Familiarity with AI/ML model development lifecycle. Familiarity with Intuit’s product offerings is a plus.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$196,500\-266,500
 Southern, California $179,000\-242,500</t>
        </is>
      </c>
    </row>
    <row r="10">
      <c r="A10" t="inlineStr">
        <is>
          <t>li-4359765926</t>
        </is>
      </c>
      <c r="B10" t="inlineStr">
        <is>
          <t>Principal Product Manager - Digital Experiences (Mailchimp)</t>
        </is>
      </c>
      <c r="C10" t="inlineStr">
        <is>
          <t>Intuit</t>
        </is>
      </c>
      <c r="D10" t="inlineStr">
        <is>
          <t>linkedin</t>
        </is>
      </c>
      <c r="E10" t="inlineStr"/>
      <c r="F10" t="inlineStr"/>
      <c r="G10" t="inlineStr">
        <is>
          <t>Mountain View, CA</t>
        </is>
      </c>
      <c r="H10" t="inlineStr"/>
      <c r="I10" t="inlineStr">
        <is>
          <t>**Overview**
 Mailchimp is a global leader in marketing automation, empowering millions of small businesses to grow through smarter marketing and customer engagement
 Join Intuit’s Customer Success Digital Organization as a Principal Product Manager leading Mailchimp digital experiences. In this role you will work with a team of product and platform product management, design, and analytics professionals in a fast\-paced and collaborative environment driving experiences that answer customer questions and elevate Intuit Mailchimp offerings when and where it matters the most.
**Responsibilities**
* Product Vision \&amp; Strategy: Drive a bold and innovative digital\-first vision for the future, broken down into MVP experiences to quickly learn and iterate based on data and customer feedback. Establish strategy, roadmaps, and requirements, aligning teams for execution.
* Customer Focus: Develop deep customer empathy through immersion in customer research. Transform insights into a roadmap of innovative solutions that address key customer pain points and drive business outcomes
* Cross\-functional Leadership: Align the team, executives, and stakeholders around a bold vision with a digital first strategy
* Execution Excellence: Work with the product and platform teams to align roadmaps, priorities and drive E2E experiences that deliver value to our customers. Reduce RTB leveraging platform and AI capabilities shifting efforts into high value initiatives
* Performance Monitoring: Establish and track key performance indicators (KPIs) to assess the efficacy of the work delivered. Report on business performance and make data\-driven adjustments as necessary
**Qualifications**
* Experience: 8\+ years in Product Management with a proven track record of driving strategy, programs, projects, and requirements reimagining help and customer success experiences, in technology\-driven service environments.
* Leadership: Demonstrated ability to lead cross\-functional teams and drive transformational change. Experience partnering with teams to define, build, and deliver bold innovation through experiences that are critical to user growth, engagement, and retention. Strong partnership and influence skill \- driving prioritization and feature requirements to product and platform teams. Self\-aware with a strong desire to learn and continuously improve.
* Customer Centricity: Passionate about understanding customer needs and translating them into actionable customer\-backed digital first solutions.
* Operational Excellence: Strong operational acumen with the ability to implement processes that drive efficiency and scale. Capable of decomposing a big vision into bite\-size milestones. Experience in navigating high levels of ambiguity and visibility
* Communication Skills: Excellent verbal and written communication skills, with the ability to influence and inspire at all organizational levels
* Technical Proficiency: Strong understanding of technical concepts, platform requirements, and the ability to work closely with engineering teams to deliver scalable solutions. AI \&amp; ML experience in product offerings/experiences a plus
* Educational Background: Bachelor's degree in Business, Technology or a related field required. MBA, MS or advanced degree preferred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Southern California \- $213,500 \- $288,500
 Bay Area California \- $236,000 \- $319,000</t>
        </is>
      </c>
    </row>
    <row r="11">
      <c r="A11" t="inlineStr">
        <is>
          <t>li-4273988983</t>
        </is>
      </c>
      <c r="B11" t="inlineStr">
        <is>
          <t>Product Manager - Education</t>
        </is>
      </c>
      <c r="C11" t="inlineStr">
        <is>
          <t>Art of Problem Solving</t>
        </is>
      </c>
      <c r="D11" t="inlineStr">
        <is>
          <t>linkedin</t>
        </is>
      </c>
      <c r="E11" t="inlineStr"/>
      <c r="F11" t="inlineStr"/>
      <c r="G11" t="inlineStr">
        <is>
          <t>San Diego, CA</t>
        </is>
      </c>
      <c r="H11" t="inlineStr"/>
      <c r="I11" t="inlineStr">
        <is>
          <t>We're looking for two Product Managers to join our Course Experience team, building learning experiences that inspire and train the great problem solvers of the next generation. One will focus on independent learning experiences for students; the other will build the curriculum management systems that power all AoPS learning experiences.
**Self\-Study Experience:** 
 The Self\-Study Experience pod creates independent learning experiences where students direct their own learning and embrace productive struggle. This team builds homework, resource, and support experiences for students learning outside of class sessions, as well as self\-paced class experiences and standalone learning tools like e\-books.
**Curriculum Systems:** 
 The Curriculum Systems pod creates the foundational curriculum management systems that power all AoPS learning experiences. They enable curriculum developers to create content, configure learning experiences, build engaging experiences using libraries of pedagogical interactives, capture learning analytics, and run experiments.
**Key Responsibilities**
* Customer Advocacy: Deeply understand and champion the needs of students and educators, ensuring their voices are embedded in day\-to\-day product decisions
* Vision \&amp; Strategy: Define a clear vision for course experience enhancements, aligning with broader business objectives
* Cross\-Functional Collaboration: Work closely with design, engineering, curriculum, and operations to deliver delightful and impactful learning experiences
* Prototyping \&amp; User Testing: Collaborate with design and engineering to quickly prototype and test new ideas, gathering user feedback to iterate and improve
* Data\-Informed Decision Making: Utilize customer feedback, analytics, educational research, and market research to inform product decisions and prioritize roadmap
**Qualifications**
* Experience: 3\+ years in product management, with a focus on user experience and customer\-facing products
* Communication: Excellent verbal and written communication skills, with the ability to articulate complex ideas clearly
* Empathy: A strong user\-first mindset, and a passion for improving real\-world experiences for students
* Analytical Skills: Comfort with data analysis tools and approaches for extracting actionable insights
* Growth Mindset: Curiosity to learn, with a collaborative and open approach to feedback
**Preferred Qualifications**
* Education in Business, Computer Science, Design, Education, or a related field
* Experience in EdTech, K\-12 education, or consumer products designed for children and families
* Technical acumen that lets you dive into data and complex technical problems
* Interest in pedagogy and how students build deep conceptual understanding of mathematics
**Why Join AoPS**
 Join a collaborative, mission\-aligned team that’s passionate about transforming how students learn and how educators teach. You’ll work alongside brilliant educators, curriculum designers, and product leaders in a culture that values curiosity, innovation, and continuous learning. Your work will directly support students, families, and schools across the country.
 This Is a Hybrid Full\-time Position Based At Our Headquarters In San Diego, CA. The Full Salary Range For This Position Is 116\.6k\-185\.5k. Here Are Some Things You Can Look Forward To
* Impact: Work and collaborate with an organization filled with builders and life\-long learners who strive to discover, inspire, and train the great problem solvers of the next generation
* Flexibility: Casual work environment with a hybrid work week and flexible scheduling
* Benefits: Multiple options for Medical, Dental and Vision plans
* Future Planning: 401(k) with company match
* Quality of Life: PTO Plan and supportive leadership that gives you the work\-life balance you deserve
* Ease of Transition: Relocation bonus (if currently located outside of San Diego)
**Background Check**
 Please note that employment is contingent on the successful completion of a background check.
**Work Authorization**
 Please note that in order to be considered for this position you must be legally authorized to work in the US. We are unable to offer sponsorship, including STEM\-OPT and H\-1B.
**About AoPS**
 Art of Problem Solving (AoPS) is on a mission to discover, inspire, and train the great problem solvers of the next generation. Since 2003, we have trained hundreds of thousands of the country’s top students, including nearly all the members of the US International Math Olympiad team, through our online school, in\-person academies, textbooks, and online learning systems. While our primary focus has been math for most of our history, through the years we have expanded our unique problem solving curriculum into more subjects, such as language arts, science, and computer science.</t>
        </is>
      </c>
    </row>
    <row r="12">
      <c r="A12" t="inlineStr">
        <is>
          <t>li-4328331135</t>
        </is>
      </c>
      <c r="B12" t="inlineStr">
        <is>
          <t>Connected Product Manager</t>
        </is>
      </c>
      <c r="C12" t="inlineStr">
        <is>
          <t>Zurn Elkay Water Solutions</t>
        </is>
      </c>
      <c r="D12" t="inlineStr">
        <is>
          <t>linkedin</t>
        </is>
      </c>
      <c r="E12" t="inlineStr"/>
      <c r="F12" t="inlineStr"/>
      <c r="G12" t="inlineStr">
        <is>
          <t>Milwaukee, WI</t>
        </is>
      </c>
      <c r="H12" t="inlineStr"/>
      <c r="I12" t="inlineStr">
        <is>
          <t>*The Company*
 Zurn Elkay Water Solutions Corporation is a thriving, values\-driven company focused on doing the right things. We’re a fast growing, publicly traded company (NYSE: ZWS), with an enduring reputation for integrity, giving back, and providing an engaging, inclusive environment where careers flourish and grow.
 Named by Newsweek as One of America’s Most Responsible Companies and an Energage USA Top Workplace, at Zurn Elkay Water Solutions Corporation, we never forget that our people are at the center of what makes us successful. They are the driving force behind our superior quality, product ingenuity, and exceptional customer experience. Our commitment to our people and their professional development is a recipe for success that has fueled our growth for over 100 years, as one of today’s leading international suppliers of plumbing and water delivery solutions.
 Headquartered in Milwaukee, WI, Zurn Elkay Water Solutions Corporation employs over 2800 employees worldwide, working from 24 locations across the U.S., China, Canada, Dubai, and Mexico, with sales offices available around the globe. We hope you’ll visit our website and learn more about Zurn Elkay at zurnelkay.com.
 If you’re ready to join a company where what you do makes a difference and you have pride in the work you are doing, talk to us about joining the Zurn Elkay Water Solutions Corporation family!
**If you are a current employee, please navigate** 
 here
 **to apply internally.**
**Role Overview**
 The Connected Product Manager leads product planning, pricing, channel strategies, and go\-to\-market activities for Zurn Elkay’s connected products and services. This role integrates connected solutions across product families, manages the product lifecycle, and collaborates with engineering, sales, marketing, and cross\-functional teams to deliver winning products and ensure customer satisfaction.
**Key Responsibilities**
* Maintain centralized repositories for product information, ensuring materials are current and easily accessible.
* Define and own the vision and roadmap for Connected Solutions across B2B omni\-channels, ensuring alignment with business unit strategies.
* Analyze product performance, competitiveness, and market trends; develop strategies based on research and analysis.
* Conduct market and user research, leveraging VOC and usability testing to identify needs and communicate impactful value propositions.
* Work with engineering, hardware, marketing, sales, commercial, and IT teams to align priorities and deliver integrated release plans.
* Understand IoT platform architecture, APIs, integrations, and connectivity standards (e.g., BLE, LoRa, BACnet) to ensure scalability, reliability, and security.
* Own and manage the product backlog, ensuring well\-defined user stories, epics, and acceptance criteria aligned with the roadmap and stage\-gate milestones.
* Gather and analyze user feedback and product data to guide enhancements, prioritize features, and measure adoption and engagement via KPIs.
* Use structured stage\-gate principles for product lifecycle management, ensuring clear deliverables and data\-driven decisions.
* Collaborate with marketing to launch and optimize digital campaigns, landing pages, and lead generation funnels, ensuring robust tracking and continuous improvement.
* Ensure key leaders have visibility into product launches, marketing reviews, and connected positioning, including analysis of wins/losses and quantifiable reasons.
* Drive scaling and growth of connected solutions, optimize subscription and monetization models, standardize features, and track adoption metrics. Work with sales to identify and implement effective sales strategies.
**Qualifications**
* Bachelor’s degree in Engineering, Business, Marketing, or related field; MBA highly preferred.
* 5\+ years’ experience in product management/ownership, preferably with connected products or IoT.
* Experience in the plumbing market or related segment preferred.
* Experience with data visualization tools (Excel Charts, PowerBI, Tableau) preferred.
* Certified Scrum Product Owner (CSPO) or equivalent highly desired.
* Solid understanding of Agile, Scrum, Kanban, and software development processes.
* Experience with project management tools (Jira, Trello, Azure DevOps) preferred.
* Technical acumen in cloud platforms, APIs, or query languages (T\-SQL, oData) preferred.
* Proficiency in VOC, customer journey mapping, and agile delivery practices.
* Strong communication and decision\-making skills.
* Willingness to travel 15–25% of the time.
**Success Factors**
* Strategic Mindset: Anticipates future possibilities and translates them into breakthrough strategies.
* Business Insight: Applies marketplace knowledge to advance organizational goals.
* Collaboration: Builds partnerships and works collaboratively to meet shared objectives.
* Planning \&amp; Alignment: Prioritizes work to meet commitments aligned with organizational goals.
* Customer Focus: Builds strong customer relationships and delivers customer\-centric solutions.
 The compensation range identified below are a good faith estimate of the salary expected to be paid as performed from these locations. Actual salaries may vary based on compensable factors including but not limited to skillset, experience, education and training, and other relevant business and organizational factors. Most candidates will start in the lower half of the range.
 The Salary Range: $118,000 \- $163,000
*Total Rewards and Benefits*
* Competitive Salary
* Medical, Dental, Vision, STD, LTD, AD\&amp;D, and Life Insurance
* Matching 401(k) Contribution
* Health Savings Account
* Up to 3 weeks starting Vacation (may increase with tenure)
* 12 Paid Holidays
* Annual Bonus Eligibility
* Educational Reimbursement
* Matching Gift Program
* Employee Stock Purchase Plan – purchase company stock at a discount!
 \*\*THIRD PARTY AGENCY: Any unsolicited submissions received from recruitment agencies will be considered property of Zurn Elkay, and we will not be liable for any fees or obligations related to those submissions.\*\*
 Equal Opportunity Employer – Minority/Female/Disability/Veteran</t>
        </is>
      </c>
    </row>
    <row r="13">
      <c r="A13" t="inlineStr">
        <is>
          <t>li-4352392304</t>
        </is>
      </c>
      <c r="B13" t="inlineStr">
        <is>
          <t>Local Product Owner, Power Amplifer</t>
        </is>
      </c>
      <c r="C13" t="inlineStr">
        <is>
          <t>Nokia</t>
        </is>
      </c>
      <c r="D13" t="inlineStr">
        <is>
          <t>linkedin</t>
        </is>
      </c>
      <c r="E13" t="inlineStr"/>
      <c r="F13" t="inlineStr"/>
      <c r="G13" t="inlineStr">
        <is>
          <t>Coppell, TX</t>
        </is>
      </c>
      <c r="H13" t="inlineStr"/>
      <c r="I13" t="inlineStr">
        <is>
          <t>**Job Description**
 We are currently seeking a local product owner to support power amplifier team for development of radios used for mobile network infrastructure from program start to end of life in the field. The ideal candidate is responsible for collaborating with PA design team, Hardware project manager and global APO
**How You Will Contribute And What You Will Learn**
 As part of the team, you will:
* Ownership of Team Backlog items (elements from decomposed Fusion Product Backlog affecting Team)
* Responsible for maintaining Team Backlog item Pipeline
* Accountable for the transparent Team Backlog
* Developing and communicating Team targets related to the Product/Feature goals
* Creating and communicating Team Backlog items
* Transparent prioritization of Team Backlog items
* Defining Team level backlog items
* Helps to provide input for Team Backlog refinement
* Responsible for following DoD and for declaring Team Backlog items as done
* Continuous coordination of Team Backlog items dependencies with other teams' Backlog items
* Participates in PO Sync to address relevant topics with stakeholders, e.g., with other LPO’s , APO’s and FOT Leaders
* Manages Team level execution risks
**Key Skills And Experience**
 You have:
* Must have good all\-around knowledge of RF products and/or Software development/verification
* Must have good project management skills to create schedules, track progress, and provide status reports.
* Must be self\-motivated and able to work both independently and within a group.
* Good English communication for reports, presentations, and technical writing.
* Good computer skills and well organized. Having a specialty in data mining is preferred.
* BS in Electrical or related Engineering
 It would be nice if you also had:
* Previous industrial experience preferred
* Proven track record \- previous involvement in successful product development programs is a definite plus
 Personal Attributes:
* Excellent verbal and written communication skills
* Technical leadership potential is a plus.
* Good planner and organizer.
* Adept Problem Solver
* Ability to travel internationally on short notice, if needed
**About The Team**
 Some of our benefits in US :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 Check the salary ranges in the job info section for this role.
**All North America job posts will post for a minimum of 7 calendar days and up to 180 days or until candidate/s identified.**</t>
        </is>
      </c>
    </row>
    <row r="14">
      <c r="A14" t="inlineStr">
        <is>
          <t>li-4338072422</t>
        </is>
      </c>
      <c r="B14" t="inlineStr">
        <is>
          <t>Product Manager - Medium Voltage Products</t>
        </is>
      </c>
      <c r="C14" t="inlineStr">
        <is>
          <t>Industrial Electric Mfg. (IEM)</t>
        </is>
      </c>
      <c r="D14" t="inlineStr">
        <is>
          <t>linkedin</t>
        </is>
      </c>
      <c r="E14" t="inlineStr"/>
      <c r="F14" t="inlineStr"/>
      <c r="G14" t="inlineStr">
        <is>
          <t>Tualatin, OR</t>
        </is>
      </c>
      <c r="H14" t="inlineStr"/>
      <c r="I14" t="inlineStr">
        <is>
          <t>**About IEM**
 Industrial Electric Mfg. (IEM) is the largest independent full\-line manufacturer of custom power distribution systems in North America. Founded more than 75 years ago in Fremont, California, IEM grew alongside Silicon Valley and today operates over 1\.7 million square feet of manufacturing capacity. With $1B\+ in annual sales and 10,000\+ commissioned projects across technology, data centers, commercial, energy, utilities, healthcare, industrial, and infrastructure markets, IEM continues to deliver exceptional product quality, dependable service, and the flexibility to meet complex technical requirements at scale.
**Position Summary**
 The Product Manager is responsible for guiding assigned product lines throughout their lifecycle, from ideation to obsolescence. This role ensures that product strategy aligns with company goals and market needs while driving collaboration across Engineering, Sales, Operations, and Marketing. Product Managers act as product advocates, developing business cases, supporting new product introductions, and ensuring ongoing product success.
**Key Responsibilities**
* Managing assigned product lines throughout the full lifecycle, including planning, development, launch, growth, and end\-of\-life.
* Supporting product roadmap development and aligning requirements with overall company strategy.
* Conducting competitive analysis and validating market requirements in coordination with the Strategy and Sales teams.
* Developing product documentation, including business cases, technical requirements, guide specifications, and other sales tools.
* Collaborating with Engineering, Operations, Marketing, and Sales teams to ensure successful product development and market launch.
* Supporting Steering Committee reviews, R\&amp;D processes, and New Product Introduction deliverables.
* Assisting Sales and Marketing with product launch activities and providing ongoing product training and positioning support.
* Acting as a product ambassador, communicating roadmap updates and product performance to stakeholders.
* Monitoring product performance, analyzing data, and preparing reports for continuous improvement.
**Qualifications**
* Bachelor’s degree in engineering, business, or a related technical field (or equivalent experience). MBA is a plus.
* Minimum 4 years of relevant experience in the power distribution equipment industry or a closely related field, preferably with switchgear.
* Technical knowledge of medium voltage power distribution products, markets, and applications.
* Strong communication skills, ability to collaborate with cross\-functional teams, and comfort working through ambiguity.
* Proficiency with Microsoft Office tools, particularly Word, Excel and PowerPoint.
**Workplace Conditions**
* Hybrid flexibility if located on\-site or fully remote.
* Up to 25% travel may be required.
**Compensation**
 The salary range for this role is $91,200 \-$135,200 per year, based on location, experience, and qualifications.
**Location**
 This position is available in multiple locations, including Vancouver (CAN), Tualatin (OR), Franklin (TN), Fremont (CA), Jacksonville (FL), and Remote.
**Why Join IEM**
 At IEM, you’ll join a team that powers some of the world’s most ambitious projects. We’re engineers, makers, and problem\-solvers who thrive on tackling complex challenges and delivering solutions that keep industries moving forward. If you’re driven, collaborative, and ready to make an impact, we’d love to hear from you. Your creativity and passion can help us achieve great things—come be part of the journey.
 Learn more about IEM at https://www.iemfg.com
 We offer comprehensive and competitive benefits package designed to support our employees' well\-being, growth, and long\-term success. View a snapshot of our benefits at https://www.iemfg.com/careers
**Recruiting Scams**
 Beware of recruiting scams. IEM never charges candidates fees, and all recruiter emails come from an @iemfg.com address. If you suspect fraudulent activity, do not share personal information and report it to us at iemfg.com/contact
**Non\-Discrimination Statement**
 IEM does not discriminate against any applicant based on any characteristic protected by law.
**Privacy**
 Information collected and processed as part of your IEM Careers profile, and any job applications you choose to submit is subject to IEM's Workforce Member Privacy Policy.</t>
        </is>
      </c>
    </row>
    <row r="15">
      <c r="A15" t="inlineStr">
        <is>
          <t>li-4345491644</t>
        </is>
      </c>
      <c r="B15" t="inlineStr">
        <is>
          <t>Senior Staff Product Manager, Mobile (Mailchimp)</t>
        </is>
      </c>
      <c r="C15" t="inlineStr">
        <is>
          <t>Intuit</t>
        </is>
      </c>
      <c r="D15" t="inlineStr">
        <is>
          <t>linkedin</t>
        </is>
      </c>
      <c r="E15" t="inlineStr"/>
      <c r="F15" t="inlineStr"/>
      <c r="G15" t="inlineStr">
        <is>
          <t>Atlanta, GA</t>
        </is>
      </c>
      <c r="H15" t="inlineStr"/>
      <c r="I15" t="inlineStr">
        <is>
          <t>**Overview**
 Mailchimp is a global leader in marketing automation, empowering millions of small businesses to grow through smarter marketing and customer engagement. As part of the Intuit platform, we’re building the next generation of tools that help small business owners thrive — wherever they are.
 Mobile plays a critical role in that vision. As our customers increasingly run their businesses on the go, we’re investing in modern, intelligent mobile experiences that meet them in the moment and deliver real business impact. Backed by Intuit’s decades\-long investment in AI and data, Mailchimp’s mobile apps are evolving to become proactive, personalized, and deeply integrated with the broader Intuit ecosystem.
 We’re looking for a Senior Staff Product Manager to lead the vision, strategy, and execution for Mailchimp’s iOS and Android apps. You’ll shape how mobile drives value across the customer journey, helping small businesses grow through fast, relevant, and intuitive tools \- all in the palm of their hand.
**Responsibilities**
* Set a bold vision for mobile – Define how our apps can uniquely empower small businesses to grow their audience, run campaigns, and build customer relationships from anywhere.
* Lead the mobile roadmap – Shape the end\-to\-end product strategy for iOS and Android, balancing core improvements with innovative, cross\-platform opportunities.
* Enable two\-way customer engagement – Build tools that let business owners communicate directly with customers, manage replies, and nurture relationships in real time.
* Deliver omnichannel value – Extend Mailchimp’s capabilities across touchpoints, integrating with web, email, and other surfaces to ensure mobile supports a full\-funnel journey.
* Integrate the Intuit ecosystem – Create seamless experiences across Mailchimp, QuickBooks, and other Intuit tools, empowering small businesses to market smarter and operate more efficiently.
* Drive innovation with native capabilities and AI – Leverage platform features like push notifications, widgets, and personalization to make every interaction relevant and effortless.
* Be deeply customer\-led – Partner with research, data science, and support to understand customer needs, prioritize high\-impact work, and test rapidly.
* Deliver with excellence – Collaborate with engineering, design, and marketing to launch high\-quality, performant updates. Define success metrics and continuously improve.
* Mentor and influence – Uplevel junior PMs and help shape how mobile fits into our broader product strategy, working closely with senior leaders across Intuit.
 Intuit Provides a Competitive Compensation Package With a Strong Pay For Performance Rewards Approach. The Expected Base Pay Range For This Position Is
 Bay Area California $196,500\.00 \- 266,000\.00
 New York $195,000\.00 \- 264,000\.00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**Qualifications**
* 5\-7 years of product management experience, with 3\+ years leading mobile product development at scale.
* Deep mobile expertise, including familiarity with native UX, platform patterns, development practices, and app store dynamics.
* Strategic mindset, with a strong ability to define vision, prioritize ruthlessly, and communicate clearly across org levels.
* Customer obsession, with a strong pulse on the needs of small businesses and service\-based entrepreneurs.
* Cross\-functional fluency, with experience working closely with engineers, designers, marketers, and data teams.
* Strong analytical skills, with a data\-informed approach to decision\-making and experimentation.
* Experience building communication or messaging features, or integrating across multiple product surfaces, is a plus.
* Bonus: Experience with Intuit products, or products that blend marketing, commerce, and financial tools.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$ 196,500\- 266,000
 New York $ 195,000\- 264,000</t>
        </is>
      </c>
    </row>
    <row r="16">
      <c r="A16" t="inlineStr">
        <is>
          <t>li-4294861371</t>
        </is>
      </c>
      <c r="B16" t="inlineStr">
        <is>
          <t>Product Manager, Nail Category</t>
        </is>
      </c>
      <c r="C16" t="inlineStr">
        <is>
          <t>Kiss Products, Inc.</t>
        </is>
      </c>
      <c r="D16" t="inlineStr">
        <is>
          <t>linkedin</t>
        </is>
      </c>
      <c r="E16" t="inlineStr"/>
      <c r="F16" t="inlineStr"/>
      <c r="G16" t="inlineStr">
        <is>
          <t>Port Washington, NY</t>
        </is>
      </c>
      <c r="H16" t="inlineStr"/>
      <c r="I16" t="inlineStr">
        <is>
          <t>**Job Description Summary**
 The Product Manager leads the end\-to\-end development of new nail products from concept through launch, ensuring alignment with brand strategy, market trends, and retailer requirements. This role manages timelines, vendor relationships, and cross\-functional collaboration to deliver innovative, profitable products on schedule. The Product Manager is also responsible for competitive analysis, consumer insights, and trend identification to inform product pipeline planning.
**Job Description**
 The Product Manager owns the nail product development lifecycle, guiding projects through ideation, formulation, packaging, costing, and commercialization. They analyze market trends, identify white space opportunities, and work closely with Marketing, Sales, Regulatory, and Operations teams. The Product Manager is also the main point of contact with domestic and international vendors and ensures nail products meet quality and compliance standards. They own the development timeline, budget, and communication between internal teams and suppliers, ensuring each launch aligns with brand and retailer goals.
**Key Responsibilities**
* Lead new product development from concept to launch.
* Conduct market(Beauty and Nail), trend(Fashion, Beauty, Cosmetic, Color and Nail), and competitive analysis to guide product strategy.
* Conduct competitive brand audits and in\-depth product testing for benchmarking.
* Analyze market trends and coordinate focus groups or surveys for consumer feedback.
* Collaborate with Marketing and Sales to define product positioning and go\-to\-market strategies.
* Manage project timelines and deliverables using tools like Smartsheet or project space.
* Communicate with vendors to source, negotiate, and monitor production and quality.
* Track and manage project budgets, COGs, and margins.
* Collaborate with Regulatory and QA for compliance and claims substantiation.
* Drive innovation and improvement in development processes.
**Benefits**
* Premium Medical Insurance Coverage
* 401(k) Savings Plan
* Paid Time Off (PTO) based on seniority
* Paid Holidays
**Additional Workplace Offerings (subject To Change Or Eligibility.)**
* Annual Bonus Plan
* Onsite Employee Fitness Center with Indoor Racquetball Court and Yoga Room
* Summer Fridays
* Complimentary Gourmet Breakfast, Lunch, and Dinner
* Relocation Support for New Hires
* Work Anniversary Recognitions
* Congratulatory \&amp; Condolence Gifts
* Employee Referral Bonus Program
* License/Certification Reimbursements
* Corporate Employee Discounts
* Visa Sponsorships (100% paid by the company) i.e., New H\-1B, H\-1B Transfer, O\-1, and Green Card
* Commuter Support (Shuttle Bus Program and EZPass Support)
* Vehicle Perks
**Qualification(s)**
**Education(s):**
 Bachelor of Arts (B.A) (Required)
**Work Experience**
 Experience Range III: 4 \- 8 years of relevant experience or industry exposure in a related field
**Skill(s)**
 Leadership Initiatives, New Projects Development (Inactive)
**Language(s)**
 Korean
**Certification(s)**
 Not Applicable
 The anticipated compensation range is
 69,000\.00 \- 137,000\.00 USD Annual
 Actual compensation will be determined based on various factors including qualifications, education, experience, and location. The pay range is subject to change at any time dependent on a variety of internal and external factors.
 Kiss Nail Products, Inc., KDC GA Corp., Ivy Enterprises, Inc., AST Systems, LLC, Red Beauty, Inc., or Dae Do, Inc. (collectively, the “Company”) is an equal opportunity employer and is committed to a diverse and inclusive workplace. All qualified applicants will receive consideration for employment without regard to race, color, religion, sex, national origin, age, disability, or any other characteristic protected by law.</t>
        </is>
      </c>
    </row>
    <row r="17">
      <c r="A17" t="inlineStr">
        <is>
          <t>li-4359772207</t>
        </is>
      </c>
      <c r="B17" t="inlineStr">
        <is>
          <t>Sr. Business Product Manager, Web Platform</t>
        </is>
      </c>
      <c r="C17" t="inlineStr">
        <is>
          <t>Genentech</t>
        </is>
      </c>
      <c r="D17" t="inlineStr">
        <is>
          <t>linkedin</t>
        </is>
      </c>
      <c r="E17" t="inlineStr"/>
      <c r="F17" t="inlineStr"/>
      <c r="G17" t="inlineStr">
        <is>
          <t>South San Francisco, CA</t>
        </is>
      </c>
      <c r="H17" t="inlineStr"/>
      <c r="I17" t="inlineStr">
        <is>
          <t>The Position
 Why Genentech
 We’re passionate about delivering on Our Promise to improve the lives of patients and create healthier communities for all. We foster a culture of inclusivity, integrity and creativity while boldly pursuing answers to the world’s most complex health challenges and transforming society.
 Who We Are
 Digital Experience is shaping the future of how Genentech connects with our patients and customers by harnessing the power of digital innovation and human\-centered design. As healthcare evolves, we are bold in our approach – leveraging cutting edge AI, advanced digital engagement, end\-to\-end content management, and omnichannel technologies and operations to create seamless, personalized, and meaningful experiences for our patients and customers. This is your opportunity to lead transformative change, integrating advanced technology with strategic vision to drive impact at scale. If you are passionate about redefining the healthcare experiences and building something extraordinary, we want you on this journey. Let’s redefine what’s possible together!
 This combined team, in collaboration with key partners, builds solutions to serve Marketing, Customer Engagement, Medical Affairs, Public Affairs \&amp; Access (“CMG”), and other patient\- and customer\-facing teams across CMG to shape and drive a seamless, consistent, meaningful, and compliant experience for patients and customers across our interactions. The team is specifically accountable for:
* Defining omnichannel solutions, shaping engagement strategies, designing, operationalizing, and producing seamless, consistent \&amp; meaningful patient and customer experiences.
* Accelerating, connecting, and enabling the development of digital solutions that enhance the patient and customer experience across CMG.
* Advancing the mission of seamless, consistent \&amp; meaningful patient and customer experiences that maximize patient impact while keeping compliance at the forefront.
**Job Summary**
 The Sr. Business Product Manager – Web Platform will drive the strategic development and enhancement of Genentech’s web platform capabilities, ensuring seamless integration across omnichannel journeys and accelerating time to market for content and design experiences.This role will be a critical bridge between Marketing, AEM Core Dev Teams CX , enabling scalability and personalization through Adobe Experience Manager, analytics, and connected data systems (HCP/Patient 360\). The product manager will define and prioritize the product roadmap for web templates, components, and digital experiences across therapeutic areas, ensuring alignment with omnichannel strategy, personalization and user experience. The product manager brings a strong background in Adobe AEM, pharma\-grade web deployment, and omnichannel activation\-balancing both strategic and execution.
 Key Responsibilities
* Partner with the Business Product Owner and/or Director \- Web Platform to support the creation of product(s) roadmaps, including experience, features, timelines, and dependencies to scale across all US brand sites.
* Define and own the Web Platform product roadmap, including AEM components and modular templates that enable faster and compliant web publishing.
* Help evangelize the role of web features(s) in achieving enterprise objectives, communicating their value proposition and roadmap(s) to senior leaders and organization\-wide stakeholders.
* Oversee business process \&amp; user insights collection through User Acceptance Testing (UAT) to ensure the successful implementation of new features and capabilities.
* Collaborate with Web Operations Manager to establish business standards \&amp; templates and ensure pull\-through.
* Partner with Omnichannel and Marketing stakeholders to align platform features with enterprise goals for personalization and analytics capabilities.
* Identify innovation opportunities to to integrate personalization, consent management, and data\-driven insights into the web experience.
* Collaborate closely with Technical Product Owner, AEM developers, UX designers, QA, and partners to deliver platform features.
* Serve as the business lead for new template and component rollouts, ensuring user adoption, documentation, and training across marketing teams.
* Define platform KPIs and dashboards for visibility into adoption, speed\-to\-market, and user satisfaction.
* Establish and manage governance for AEM component usage, taxonomy, and tagging standards to support omnichannel measurement and orchestration.
* Lead pilot initiatives leveraging AI\-driven features for the web, and stay ahead of digital trends, identifying technologies to evolve the web ecosystem for future readiness.
* Comply with all laws, regulations and policies that govern the conduct of Genentech activities.
 Who You Are
**Minimum Candidate Qualifications \&amp; Experience**
* Bachelor’s degree in business, technology, operations, science, marketing, or a related field.
* 5 years of experience, with 3 years in digital product management, web platform development, or equivalent experience.
* 2\+ years of experience with Adobe Experience Manager (AEM), including component development, modular templates and asset management.
* Experience with Veeva Vault PromoMats (VVPM) or similar MLR/PRC systems.
* Demonstrated understanding of omnichannel ecosystems (web, CRM, email, paid media, and personalization frameworks).
* Experience with sole ownership of tactics or product components, demonstrating the ability to articulate business problems, identify solutions, and drive execution from strategy through implementation.
* Demonstrated ability to develop and execute product roadmaps, including feature planning, timelines, and dependencies.
* Experience with User Acceptance Testing (UAT) and rolling out new features across user bases and multi\-brand component deployment.
* Proven success in aligning stakeholders and collaborating with cross\-functional teams to deliver seamless product integration.
* Strong analytical and problem\-solving skills, with experience driving experimentation and optimization.
* Exceptional communication and presentation skills, with the ability to evangelize product vision and value across all levels of an organization.
* Proven ability to adapt and navigate ambiguous or evolving environments.
* Strong analytical, organizational, and stakeholder management skills.
* Ability to innovate and foster experimentation to improve product capabilities.
* Additional Desired Candidate Qualifications \&amp; Experience
+ Advanced degree, or equivalent experience (e.g., MBA or related graduate\-level qualification).
+ Experience in healthcare, pharmaceutical, or highly regulated industries.
+ Ability to innovate and foster experimentation to improve product capabilities.
+ Experience with AI/GenAI\-enabled features, personalization tools, and web automation workflows.
+ Familiarity with Adobe Target, Adobe Journey Optimizer, Adobe Analytics, or CDP integrations.
* Location
+ This position is based in South San Francisco, CA.
+ Relocation Assistance is not available
*The expected salary range for this position based on the primary location of South San Francisco, CA is $148,600 and $276,000\.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18">
      <c r="A18" t="inlineStr">
        <is>
          <t>li-4374982705</t>
        </is>
      </c>
      <c r="B18" t="inlineStr">
        <is>
          <t>AI Product Manager - Remote</t>
        </is>
      </c>
      <c r="C18" t="inlineStr">
        <is>
          <t>RemoteHunter</t>
        </is>
      </c>
      <c r="D18" t="inlineStr">
        <is>
          <t>linkedin</t>
        </is>
      </c>
      <c r="E18" t="inlineStr"/>
      <c r="F18" t="inlineStr"/>
      <c r="G18" t="inlineStr"/>
      <c r="H18" t="inlineStr"/>
      <c r="I18" t="inlineStr">
        <is>
          <t>About the Opportunity:
 This AI Product Manager role is responsible for defining product roadmaps and leading the development of multiple new digital offerings to expand digital services within a highly visible, innovative, digitally\-savvy, and customer\-centric healthcare organization. The position collaborates with cross\-functional teams, drives a lean and agile development process, and ensures seamless delivery of a product vision aligned with operational needs.
 Responsibilities:
 • Manage key initiatives end\-to\-end, from ideation to implementation, defining project requirements and collaborating with cross\-functional teams.
 • Conduct research on best practices and analyze data to monitor project performance and identify improvement areas.
 • Develop and implement data analytics strategies to identify trends, risks, and opportunities and address performance bottlenecks.
 • Ensure AI investments translate into scalable solutions with high adoption across departments.
 • Drive adoption by engaging clinicians and staff, integrating solutions into workflows, and aligning deployments with organizational goals.
 • Define KPIs and track clinical, operational, financial, and satisfaction outcomes to communicate impact and refine the AI product portfolio.
 • Address risk, ethics, alignment, and ensure AI tools are usable, safe, compliant, and trustworthy in a hospital context.
 • Represent patient perspectives in defining and selecting innovative digital solutions, understanding user personas, pain points, and journeys.
 • Translate user needs and business problems into clear solutions and product requirements; shape product strategy and priorities.
 • Collaborate cross\-functionally with teams in Engineering, Design, Customer Support, Marketing, and Business Development on complex projects.
 • Develop feature lists, user stories, roadmaps; maintain an agile backlog and sprint process.
 • Lead sprint ceremonies and manage product documentation.
 • Gather and manage product feedback via surveys, concept testing, analytics, and A/B testing; make product decisions based on user needs, business goals, and operational capabilities.
 • Champion the MVP concept, focusing on desirability, viability, and feasibility.
 • Define product goals and KPIs; monitor, report, and improve product performance; adjust roadmaps as needed; manage multiple product roadmaps concurrently.
 • Act as liaison between clinical and operational teams to identify needs, ideate, prioritize, design, test concepts, and deliver innovative solutions.
 • Assist with business case development and operating plans.
 • Develop communication materials to share vision and progress with leadership and identify growth opportunities.
 • Influence and partner with key stakeholders to promote solution\-oriented approaches.
 • Monitor market competition and evaluate competitive offerings to ensure product competitiveness.
 • Refine product strategy, including pricing, target personas, and distribution channels.
 Requirements:
 • Minimum of three years’ experience as a Product Manager leading cross\-functional teams, preferably with Artificial Intelligence workflows.
 • Project management experience is highly preferred.
 • Ability to manage multiple priorities simultaneously.
 • High School Diploma or GED required.
 • Bachelor’s degree in Computer Science, Information Technology, Healthcare, or a related field preferred.
 Compensation:
 • Minimum salary 100,110\.40
 • Maximum salary 160,180\.80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9">
      <c r="A19" t="inlineStr">
        <is>
          <t>li-4345221996</t>
        </is>
      </c>
      <c r="B19" t="inlineStr">
        <is>
          <t>Group Product Manager, Intuit AI Platform</t>
        </is>
      </c>
      <c r="C19" t="inlineStr">
        <is>
          <t>Intuit</t>
        </is>
      </c>
      <c r="D19" t="inlineStr">
        <is>
          <t>linkedin</t>
        </is>
      </c>
      <c r="E19" t="inlineStr"/>
      <c r="F19" t="inlineStr"/>
      <c r="G19" t="inlineStr">
        <is>
          <t>Mountain View, CA</t>
        </is>
      </c>
      <c r="H19" t="inlineStr"/>
      <c r="I19" t="inlineStr">
        <is>
          <t>**Overview**
 Come join the PDX Product Team as a Head of AI Platform Product Management at Intuit. The AI Platform team in PDX is responsible for providing development teams (including data scientists, ML engineers, data analysts, software engineers, and product managers) across Intuit the means to build, train, deploy, experiment and innovate with AI and Generative AI technologies, delivering high impact AI native product experiences and and features that delight our customers and transform the industry.
 We are looking for a highly technical product management leader to shape the future of AI Platform capabilities that democratize AI development for classically trained AI experts and virtually every development team across Intuit. You will play a crucial role in accelerating access to the latest AI and Generative AI technologies for our development teams, ensuring the optimal balance of AI development velocity and quality. You will work with organizations across Intuit to understand their use cases, developer persona, and drive the transformation of AI native product development from not only product (developer tooling), but also people and process perspectives.
 In this role, you will lead a team of seasoned AI Platform product managers, covering the end to end AI model and AI application development lifecycle, including front\-end development interface, MLOPs, ML Observability, and various back\-end capabilities.
**Responsibilities**
* Define the vision, strategy, roadmap, objective, key results and success metrics for AI Platform products.
* Collect feedback and understand user needs from AI/ML practitioners and BU stakeholders, derive requirements, analyze trade\-offs, and prioritize areas of investments.
* Ensure product success from ideation, execution, to launch, ongoing support and improvements of the roadmap.
* Create user education and onboarding programs to grow adoptions and further democratize AI across the company.
* Follow and assess industry trends and innovations, bringing advanced technologies to the AI Platform where appropriate.
* Represent Intuit in engagement with AI Platform industry leaders, bringing in the latest AI breakthroughs that are suitable to be adopted by Intuit.
* Hire and develop the AI Platform product management team.
**Qualifications**
* 12\+ years of product management or equivalent experience (e.g. Data
* Scientist Manager, Engineer Manager) for technical platform products in a fast
* paced, rapidly evolving environment, with 5\+ years in people management roles.
* Extensive experience working and innovating on a centralized AI/ML Platform supporting diverse applications and developers.
* High degree of technical understanding to be able to closely collaborate with engineers, architects, and AI/ML practitioners in both strategic and tactical discussions.
* Excellent written and verbal communication skills with ability to present technical content to non\-technical audiences and work with cross\-functional teams to drive real business impact.
* Proven track record of working effectively with engineers, data scientists, other product managers, AI/ML practitioners, executives and vendors, with demonstrated leadership to inspire and influence beyond your immediate organization.
* Experience leading and raising the bar of product management teams.
* Familiarity with AI/ML model development lifecycle. Familiarity with Intuit’s product offerings is a plus.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$237,500\- 321,500
 Southern California: $242,057\- 290,000</t>
        </is>
      </c>
    </row>
    <row r="20">
      <c r="A20" t="inlineStr">
        <is>
          <t>li-4344947274</t>
        </is>
      </c>
      <c r="B20" t="inlineStr">
        <is>
          <t>Product Owner</t>
        </is>
      </c>
      <c r="C20" t="inlineStr">
        <is>
          <t>Q2</t>
        </is>
      </c>
      <c r="D20" t="inlineStr">
        <is>
          <t>linkedin</t>
        </is>
      </c>
      <c r="E20" t="inlineStr"/>
      <c r="F20" t="inlineStr"/>
      <c r="G20" t="inlineStr">
        <is>
          <t>Charlotte, NC</t>
        </is>
      </c>
      <c r="H20" t="inlineStr"/>
      <c r="I20" t="inlineStr">
        <is>
          <t>**As passionate about our people as we are about our mission.**
**Why Join Q2?**
 Q2 is a leading provider of digital banking and lending solutions to banks, credit unions, alternative finance companies, and fintechs in the U.S. and internationally. Our mission is simple: build strong and diverse communities through innovative financial technology—and we do that by empowering our people to help create success for our customers.
**What Makes Q2 Special?**
 Being as passionate about our people as we are about our mission. We celebrate our employees in many ways, including our “Circle of Awesomeness” award ceremony and day of employee celebration among others! We invest in the growth and development of our team members through ongoing learning opportunities, mentorship programs, internal mobility, and meaningful leadership relationships. We also know that nothing builds trust and collaboration like having fun. We hold an annual Dodgeball for Charity event at our Q2 Stadium in Austin, inviting other local companies to play, and community organizations we support to raise money and awareness together.
**The Job At\-A\-Glance**
 Q2 is seeking a
 **Product Owner** 
 that is focused on supporting our Platform Integrations engineering team by delivering high quality, Core Integration products and features. The Product Owner will work closely with the Sr. Core Integrations Product Owner, adjacent product teams, product managers, the development team, internal \&amp; external stakeholders, vendors and support to analyze and define requirements for core integrations and back\-end solutions.
 If you are the right fit for this position, you approach business opportunities with an unwavering sense of optimism. You likely wake up each morning with a passion to solve problems through meaningful human interactions, listening intently for needs and requirements, executing to the roadmap set by the Product Manager, fostering collaborative vendor relationships and growing value for all stakeholders involved, including the development team. This position is heavily backend focused, and necessitates technical knowledge of APIs, multi\-tenant services and integration layers. The Product Owner will manage solutions into Bank. \&amp; Credit Union core systems and normalizing the data into Online Banking.
**RESPONSIBILITIES**
* Align with Product \&amp; Delivery leadership to prioritize product backlog.
* Define product functionality and write detailed user stories/epics with end\-user empathy.
* Manage sprints: planning, review, and acceptance of completed work.
* Apply Agile methods to encourage disciplined software development and frequent inspection.
* Articulate product vision and user stories clearly to teams and clients.
* Deliver product acceptance criteria and ensure quality delivery.
* Drive Objectives and Key Results (OKRs) and roadmap execution. EXPERIENCE AND KNOWLEDGE
* Bachelor’s degree; 2–5 years of related experience.
* Technical background with backend integrations, APIs, and scalable solutions.
* Experience with Agile Scrum methodology and process management.
* Proven ability to manage complex rollouts with multiple stakeholders.
* Strong analytical and problem\-solving abilities.
* Proficiency with Atlassian Suite (Jira, Confluence).
* Comfortable working across distributed teams
*This position requires fluent written and oral communication in English.*
*Applicants must be authorized to work for any employer in the U.S. We are unable to sponsor or take over sponsorship of an employment Visa at this time.*
**Health \&amp; Wellness**
* Hybrid Work Opportunities
* Flexible Time Off
* Career Development \&amp; Mentoring Programs
* Health \&amp; Wellness Benefits, including competitive health insurance offerings and generous paid parental leave for eligible new parents
* Community Volunteering \&amp; Company Philanthropy Programs
* Employee Peer Recognition Programs – “You Earned it”
 Click here to find out more about the benefits we offer.
**Our Culture \&amp; Commitment**
 We’re proud to foster a supportive, inclusive environment where career growth, collaboration, and wellness are prioritized. And our benefits go beyond healthcare—offering resources for physical, mental, and professional well\-being. Click here to find out more about the benefits we offer. Q2 employees are encouraged to give back through volunteer work and nonprofit support through our Spark Program (see more). We believe in making an impact—in the industry and in the community.
 We are an Equal Opportunity Employer. All qualified applicants will receive consideration for employment without regard to race, color, religion, sex, sexual orientation, gender identity, national origin, age, disability, genetic information, or veteran status.
*Applicants in California or Washington State may not be exempt from federal and state overtime requirements*</t>
        </is>
      </c>
    </row>
    <row r="21">
      <c r="A21" t="inlineStr">
        <is>
          <t>li-4359695646</t>
        </is>
      </c>
      <c r="B21" t="inlineStr">
        <is>
          <t>Senior Product Manager - Payments</t>
        </is>
      </c>
      <c r="C21" t="inlineStr">
        <is>
          <t>StubHub</t>
        </is>
      </c>
      <c r="D21" t="inlineStr">
        <is>
          <t>linkedin</t>
        </is>
      </c>
      <c r="E21" t="inlineStr"/>
      <c r="F21" t="inlineStr"/>
      <c r="G21" t="inlineStr">
        <is>
          <t>New York, NY</t>
        </is>
      </c>
      <c r="H21" t="inlineStr"/>
      <c r="I21"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**About Payments \&amp; Checkout**
 Payments \&amp; Checkout owns the end\-to\-end flow that enables fans to purchase tickets on StubHub. We build the systems that make buying tickets simple, reliable, and accessible – across languages, currencies, and payment preferences. This work sits at the heart of StubHub’s business: without a seamless checkout experience, live events don’t happen.
 International Payments is a critical pillar of this mission. Our goal is to ensure that fans around the world can complete a purchase using the payment methods they trust, with high authorization rates and minimal friction – regardless of market\-specific complexity. Success in this space directly drives global growth by making StubHub a truly international marketplace.
**Location:** 
 Hybrid (3 days in office / 2 days remote) – New York, NY
**About the Role:** 
 As
 **Senior Product Manager – International Payments** 
 , you will be the clear owner of StubHub’s international payments experience. You’ll focus on improving international buyer pipeline completion and authorization rates by expanding payment method coverage, orchestrating authorization optimization initiatives, and building adaptable systems that perform across diverse global markets.
 This is a senior, hands\-on product role designed for someone with deep experience in payments, fintech, or fraud technology. You’ll work closely with engineering, data science, risk, and operations to solve complex approval\-rate challenges — balancing global consistency with local optimization and making thoughtful build vs. buy decisions at scale.
 If you’re excited by the intersection of consumer experience, financial infrastructure, and global systems design, this role offers a rare opportunity to shape the payments foundation that enables live events for millions of fans worldwide.
**What You’ll Do**
**Own International Payments Performance**
* Serve as the end\-to\-end product owner for international payments, with accountability for buyer pipeline completion and authorization performance outside North America.
* Identify and prioritize opportunities to improve conversion across markets with different payment norms, issuer behaviors, and risk profiles.
* Define success metrics and drive sustained improvements in international checkout reliability and performance.
**Expand And Optimize Payment Capabilities**
* Lead integrations with new international payment methods and providers, ensuring scalable, reliable implementations.
* Make strategic localization vs. global standardization decisions across payment flows, configurations, and experiences.
* Design and evolve routing strategies, merchant descriptors, and issuer\-facing optimizations to improve authorization outcomes.
**Build Intelligent, Adaptive Authorization \&amp; Risk Systems**
* Partner with engineering and data science to build and evolve adaptable international fraud and authorization systems.
* Orchestrate initiatives across internal models, payment routing, and third\-party tools to improve end\-to\-end performance.
* Understand how fraud controls, issuer behavior, and payment methods interact across different markets.
**Lead Complex, Cross\-Functional Execution**
* Work closely with engineering, data science, risk, and operations teams to deliver high\-impact initiatives from concept to launch.
* Drive build vs. buy decisions, evaluating vendors and internal capabilities with a focus on speed, scalability, and long\-term flexibility.
* Translate complex payments and fraud challenges into clear product strategy and execution plans.
**What You’ve Done**
* 5\+ years of experience in product management, with significant experience in payments, fintech, fraud technology, or adjacent financial systems.
* Strong technical and analytical fluency – comfortable working with SQL, payments data, and complex system flows.
* Experience integrating with payment methods, processors, and fraud tools, including vendor evaluation and system design.
* Ability to operate independently in ambiguous problem spaces, setting direction while driving hands\-on execution.
* Systems thinker who understands how checkout experience, authorization logic, and risk controls interact across a global ecosystem.
* Strong cross\-functional leadership skills, with experience partnering closely with engineering, data science, risk, and operations teams.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$175,000—$270,000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22">
      <c r="A22" t="inlineStr">
        <is>
          <t>li-4345181894</t>
        </is>
      </c>
      <c r="B22" t="inlineStr">
        <is>
          <t>Group Product Manager, Intuit AI Platform</t>
        </is>
      </c>
      <c r="C22" t="inlineStr">
        <is>
          <t>Intuit</t>
        </is>
      </c>
      <c r="D22" t="inlineStr">
        <is>
          <t>linkedin</t>
        </is>
      </c>
      <c r="E22" t="inlineStr"/>
      <c r="F22" t="inlineStr"/>
      <c r="G22" t="inlineStr">
        <is>
          <t>San Diego, CA</t>
        </is>
      </c>
      <c r="H22" t="inlineStr"/>
      <c r="I22" t="inlineStr">
        <is>
          <t>**Overview**
 Come join the PDX Product Team as a Head of AI Platform Product Management at Intuit. The AI Platform team in PDX is responsible for providing development teams (including data scientists, ML engineers, data analysts, software engineers, and product managers) across Intuit the means to build, train, deploy, experiment and innovate with AI and Generative AI technologies, delivering high impact AI native product experiences and and features that delight our customers and transform the industry.
 We are looking for a highly technical product management leader to shape the future of AI Platform capabilities that democratize AI development for classically trained AI experts and virtually every development team across Intuit. You will play a crucial role in accelerating access to the latest AI and Generative AI technologies for our development teams, ensuring the optimal balance of AI development velocity and quality. You will work with organizations across Intuit to understand their use cases, developer persona, and drive the transformation of AI native product development from not only product (developer tooling), but also people and process perspectives.
 In this role, you will lead a team of seasoned AI Platform product managers, covering the end to end AI model and AI application development lifecycle, including front\-end development interface, MLOPs, ML Observability, and various back\-end capabilities.
**Responsibilities**
* Define the vision, strategy, roadmap, objective, key results and success metrics for AI Platform products.
* Collect feedback and understand user needs from AI/ML practitioners and BU stakeholders, derive requirements, analyze trade\-offs, and prioritize areas of investments.
* Ensure product success from ideation, execution, to launch, ongoing support and improvements of the roadmap.
* Create user education and onboarding programs to grow adoptions and further democratize AI across the company.
* Follow and assess industry trends and innovations, bringing advanced technologies to the AI Platform where appropriate.
* Represent Intuit in engagement with AI Platform industry leaders, bringing in the latest AI breakthroughs that are suitable to be adopted by Intuit.
* Hire and develop the AI Platform product management team.
**Qualifications**
* 12\+ years of product management or equivalent experience (e.g. Data
* Scientist Manager, Engineer Manager) for technical platform products in a fast
* paced, rapidly evolving environment, with 5\+ years in people management roles.
* Extensive experience working and innovating on a centralized AI/ML Platform supporting diverse applications and developers.
* High degree of technical understanding to be able to closely collaborate with engineers, architects, and AI/ML practitioners in both strategic and tactical discussions.
* Excellent written and verbal communication skills with ability to present technical content to non\-technical audiences and work with cross\-functional teams to drive real business impact.
* Proven track record of working effectively with engineers, data scientists, other product managers, AI/ML practitioners, executives and vendors, with demonstrated leadership to inspire and influence beyond your immediate organization.
* Experience leading and raising the bar of product management teams.
* Familiarity with AI/ML model development lifecycle. Familiarity with Intuit’s product offerings is a plus.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$237,500\- 321,500
 Southern California: $242,057\- 290,000</t>
        </is>
      </c>
    </row>
    <row r="23">
      <c r="A23" t="inlineStr">
        <is>
          <t>li-4352285649</t>
        </is>
      </c>
      <c r="B23" t="inlineStr">
        <is>
          <t>(USA) Product Manager III</t>
        </is>
      </c>
      <c r="C23" t="inlineStr">
        <is>
          <t>Walmart Data Ventures</t>
        </is>
      </c>
      <c r="D23" t="inlineStr">
        <is>
          <t>linkedin</t>
        </is>
      </c>
      <c r="E23" t="inlineStr"/>
      <c r="F23" t="inlineStr"/>
      <c r="G23" t="inlineStr">
        <is>
          <t>San Bruno, CA</t>
        </is>
      </c>
      <c r="H23" t="inlineStr"/>
      <c r="I23" t="inlineStr">
        <is>
          <t>Position Summary...
 What you'll do...About Us At Walmart Data Ventures, we’re building the future of data\-driven decision\-making. As a centralized product and data organization, we turn the scale and richness of Walmart’s first\-party data into actionable insights for merchants, suppliers, and internal teams.
 Customer Voice — a key team within Data Ventures — powers feedback loops that combine what customers say with what they do. Through our proprietary Spark Community, we enable the company and its partners to better understand evolving needs, improve experiences, and drive long\-term customer value. We’re reimagining how customer feedback can shape Walmart\-scale innovation. What You'll Do As a Product Manager on the Spark Community team, you will support the strategy and roadmap for Walmart’s exclusive B2C research community — focusing on both the member\-facing experience and the internal platform that enables scalable operations. You will own initiatives to improve customer satisfaction, engagement, and retention while partnering cross\-functionally to ensure a seamless and efficient experience for both members and internal teams. Responsibilities
* Lead product roadmap and vision for Spark’s member experience across mobile, web, and communication touchpoints
* Improve customer satisfaction and engagement by designing features that reduce friction and drive retention
* Enhance the internal platform used by operations and support teams to manage the community, communication, and segmentation
* Collaborate with Customer Care to optimize issue resolution workflows and reduce support volume
* Work cross\-functionally with Engineering, Legal, Data Science, and Ops to align platform capabilities with privacy, compliance, and growth goals
* Monitor product performance using behavioral data and customer feedback, and use those insights to prioritize future work
* Advocate for the voice of the customer throughout the product development lifecycle
**Minimum Qualifications**
* Bachelor’s degree in Business, Computer Science, Engineering, or related field
* 3\+ years of experience in Product Management
* Demonstrated success managing consumer\-facing digital experiences (web or mobile)
* Experience improving internal tools or platforms used by operations, support, or community teams
* Proficient in product analytics and metrics\-driven decision making
* Excellent communication and stakeholder management skills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San Bruno, California US\-08848: The annual salary range for this position is $117,000\.00 \- $234,000\.00
 Bentonville, Arkansas US\-09401: The annual salary range for this position is $90,000\.00 \- $180,000\.00
 Hoboken, New Jersey US\-10279: The annual salary range for this position is $108,000\.00 \- $216,000\.00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engineering, or related area and 3 years’ experience in product management. Option 2: 5 years’ experience in product management or related area.
**Preferred Qualifications...**
**Outlined below are the optional preferred qualifications for this position. If none are listed, there are no preferred qualifications.**
 Master’s degree in Computer Science, Engineering, Business Administration, or related area and 2 years’ experience as a product manager, ideally working on consumer\-facing, large\-scale, highly complex B2B/C products,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Business Administration, Masters: Computer Engineering, Masters: Computer Science
 Primary Location...
 850 Cherry Avenue, San Bruno, CA 94066\-3031,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4">
      <c r="A24" t="inlineStr">
        <is>
          <t>li-4345251881</t>
        </is>
      </c>
      <c r="B24" t="inlineStr">
        <is>
          <t>Principal Product Manager - Stablecoin</t>
        </is>
      </c>
      <c r="C24" t="inlineStr">
        <is>
          <t>Intuit</t>
        </is>
      </c>
      <c r="D24" t="inlineStr">
        <is>
          <t>linkedin</t>
        </is>
      </c>
      <c r="E24" t="inlineStr"/>
      <c r="F24" t="inlineStr"/>
      <c r="G24" t="inlineStr">
        <is>
          <t>Mountain View, CA</t>
        </is>
      </c>
      <c r="H24" t="inlineStr"/>
      <c r="I24" t="inlineStr">
        <is>
          <t>**Overview**
 Intuit’s Fintech Platform team is building the future of money movement for millions of consumers and small businesses. We already process hundreds of billions of dollars in transactions across Quickbooks, Mailchimp, TurboTax and Credit Karma.
 We are seeking a passionate and experienced Principal Product Manager to join our team. This role is critical in shaping the future of Intuit’s global financial services offerings and requires a strategic thinker who can drive our forward thinking on how crypto and stablecoins can bring prosperity to our customers. You’ll need to define and execute the integration of programmable money into both existing roadmaps, and help our platform think about new bets.
**You Will Bring**
 Passion for the future \- A genuine enthusiasm for stablecoin and blockchain technologies, with a solid understanding of stablecoins and their real\-world impact on the future of global financial services.
 Endless curiosity \- A deep understanding of the future of commerce and how stablecoins fits into commerce with wallets, agentic commerce, and money movement.
 Customer oriented \- Ensure the needs and feedback of users are central to product development, creating user\-friendly and accessible products.
 Platform Mindset \- Developing durable and reusable capabilities that solve near term objectives while also building for the future. Ensure compatibility with our existing money movement capabilities.
 Experience in Product Management \- Proven track record in product management with a history of launching successful products that meet high\-quality standards and find product market fit.
 Attention to Detail \- Exceptional attention to detail, with the ability to manage multiple priorities and deadlines.
 Fast Execution \- Demonstrated capability to ship high\-quality products quickly in a fast\-paced environment.
 Communication Skills \- Strong verbal and written communication skills to clearly articulate product vision and strategy to stakeholders.
**Responsibilities**
 Develop and Execute Product Strategy \- Lead the development and execution of our stablecoin product roadmaps, ensuring alignment with the company's overall vision and customer needs.
 Cross\-Functional Leadership \- Collaborate closely with other product teams, engineering, design, marketing, legal, compliance and other teams to ensure seamless execution and high\-impact delivery.
 Market Analysis \- Conduct market research and competitive analysis to identify customer needs and emerging trends in the crypto space.
 Innovation and Product Development \- Drive innovation by identifying new opportunities and developing features that account for changes in customer behavior, from adoption of wallets, to agentic commerce.
 Performance Metrics \- Set and analyze key performance indicators to ensure product success and iterate based on user feedback and data\-driven insights.
**Qualifications**
 8\+ years of experience in platform product management. Deep experience in crypto, blockchain, stablecoins or wallets are a must.
 Ability to speak the language of many different stakeholders – move effortlessly from technical solutions to compliance and legal.
 Experience aligning a broad set of stakeholders via strong written and verbal communication skills.
 Ability to thrive with significant autonomy and responsibility in a matrixed environment.
 Degree in a technical field. Masters a Plus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$236,000 to $319,000</t>
        </is>
      </c>
    </row>
    <row r="25">
      <c r="A25" t="inlineStr">
        <is>
          <t>li-4345491623</t>
        </is>
      </c>
      <c r="B25" t="inlineStr">
        <is>
          <t>Principal Product Manager, Connected Workflows &amp; Payments</t>
        </is>
      </c>
      <c r="C25" t="inlineStr">
        <is>
          <t>Intuit</t>
        </is>
      </c>
      <c r="D25" t="inlineStr">
        <is>
          <t>linkedin</t>
        </is>
      </c>
      <c r="E25" t="inlineStr"/>
      <c r="F25" t="inlineStr"/>
      <c r="G25" t="inlineStr">
        <is>
          <t>Mountain View, CA</t>
        </is>
      </c>
      <c r="H25" t="inlineStr"/>
      <c r="I25" t="inlineStr">
        <is>
          <t>**Overview**
 We are looking for a Principal Product Manager to lead a transformative strategy for QuickBooks Payments, helping small businesses eliminate manual work from the process of getting paid while unlocking a massive new growth engine for our Payments business.
 Small businesses are managing an increasingly fragmented set of tools to run their business. A typical business today might use one app to schedule appointments, another to manage projects, a third to sign contracts, and fourth to send invoices—leaving their financial data siloed and the critical process of getting paid disconnected from the work itself. Ultimately, this forces business owners to spend hours on manual data entry and reconciliation, pulling them away from the work they love.
 This is where you come in. Your mission will be to more deeply connect QuickBooks to the broader ecosystem of tools small businesses use to run their business in order to streamline their "lead\-to\-cash" journey. Whether through building new first\-party solutions, creating deep integrations, or forging strategic partnerships, you will architect solutions to reduce friction for our customers and – in turn – drive massive growth for our payments business.
**Responsibilities**
* Set a bold vision and strategy for how QuickBooks will better connect currently\-disjointed workflows and tools to better serve customers and drive Total Payment Volume (TPV)
* Lead roadmap development and execution, prioritizing across opportunities to build and/or partner to deliver customer\-facing solutions within the QuickBooks platform and/or embed our Payments solutions in key third\-party platforms
* Develop, track and own a set of business and customer outcomes and metrics, ultimately delivering material impact for the business.
* Drive rigorous prioritization and investment decisions necessary to deliver your team’s vision and roadmap.
* Partner with business development, GTM, design, engineering, legal, compliance, data science, and other functional teams to pursue a mission.
* Identify and pursue 3rd party partnership opportunities to deliver
* Galvanize cross\-functional teams across the QuickBooks ecosystem to drive momentum and velocity
* Go deep with customers and the data to inform strategic choices and build solutions that customers use and value
**Qualifications**
* Experience: 8\+ years of product management experience; with a proven track record of success in developing business workflow solutions, embedded/API\-based solutions, or partnership\-enabled experiences.
* Impact Delivery: Proven track record of leading complex product initiatives that result in significant business growth.
* Excel in Ambiguity: can take open\-ended business problems and distill them into concrete, actionable product roadmaps.
* Strategic Thinking: Strong strategic planning skills with the ability to translate market insights into actionable product strategies.
* Strong analytical and problem\-solving skills, with a demonstrated ability to use data to inform decisions, identify market opportunities, and optimize for growth.
* Technical Proficiency: Ability to engage effectively with engineering teams on technical topics. Understanding of payments and APIs a plus.
* Customer Obsession: passion for deeply understanding customer needs
* Cross\-functional Leadership: Demonstrated ability to lead and influence without authority in a complex, matrixed organization.
* Executive Presence and Influence: The ability to work closely with Senior and C\-level executives to develop product strategy and gain alignment.
* Communication Skills: Excellent verbal and written communication skills, with the ability to effectively convey complex ideas to both technical and non\-technical audiences.
* Bonus for having a strong understanding of the unique workflows of service\-based industries (e.g., Field Services, Construction, Professional Services)
* A Bachelor's degree in a relevant field; an MBA or advanced degree is a bonus. Equivalent experience will be considered.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$236,000 \- $319,900</t>
        </is>
      </c>
    </row>
    <row r="26">
      <c r="A26" t="inlineStr">
        <is>
          <t>li-4334742406</t>
        </is>
      </c>
      <c r="B26" t="inlineStr">
        <is>
          <t>Technical Product Manager Sr</t>
        </is>
      </c>
      <c r="C26" t="inlineStr">
        <is>
          <t>Mercury Insurance</t>
        </is>
      </c>
      <c r="D26" t="inlineStr">
        <is>
          <t>linkedin</t>
        </is>
      </c>
      <c r="E26" t="inlineStr"/>
      <c r="F26" t="inlineStr"/>
      <c r="G26" t="inlineStr"/>
      <c r="H26" t="inlineStr"/>
      <c r="I26" t="inlineStr">
        <is>
          <t>**Position Summary**
 This role's main responsibility will be to manage the product roadmap for identified areas by defining and delivering the next generation of insurance services. Will not only develop innovative product solutions but also execute strategic go\-to\-market plans and cultivate essential business relationships to seize market opportunities. Responsibilities for this role encompass managing the product roadmap, providing mentorship to junior product managers, nurturing vendor relationships, and fostering cross\-domain collaboration. The role also entails ensuring that product direction aligns seamlessly with organizational objectives.
 An in\-person interview may be required during the hiring process.
**Geo\-Salary Information**
 State specific pay scales for this role are as follows:
**$105,245 to $199,452** 
 (CA, NJ, NY, WA, HI, AK, MD, CT, RI, MA)
**$95,677 to $181,320** 
 (NV, OR, AZ, CO, WY, TX, ND, MN, MO, IL, WI, FL, GA, MI, OH, VA, PA, DE, VT, NH, ME)
**$86,110 to $163,188** 
 (UT, ID, MT, NM, SD, NE, KS, OK, IA, AR, LA, MS, AL, TN, KY, IN, SC, NC, WV)
 The expected base salary for this position will vary depending on a number of factors, including relevant experience, skills and location.
**Responsibilities**
 Essential Job Functions:
* Create buy\-in for the product vision and strategy with leadership and internal partners.
* Shape and own the product tech roadmap with input from senior leadership and stakeholders.
* Efficiently manage the product backlog by prioritizing and making trade\-offs between customer experience, performance, and operational load or competing features.
* Drive decision making and product launches in partnership with engineering, UX, operations, business development, third party vendors and other cross\-functional teams.
* Regularly update stakeholders and customers on the roadmap and product status.
* Utilize data, usability studies, research, and market analysis to inform product strategies.
* Establish and track key metrics for product success.
* Develop clear business requirements and user stories for product specifications and architecture.
* Work efficiently with engineering team to deliver key product features and manage delivery risks.
**Education**
**Qualifications**
* Bachelor's degree in business, computer science, engineering, or equivalent practical experience in product management.
**Preferred**
* Property and Casualty Insurance experience preferred.
**Experience**
* 5\+ years product management and/or product design
* 5\+ years managing complex initiatives from initiation to completion using product management processes and best practices.
* Experience in defining and implementing product metrics to track performance and success.
* Experience handling all stages of product delivery.
* Experience contributing to tech discussions and product strategy.
* Experience managing technical products or online services.
* Experience representing various customers and stakeholders during planning.
**Skills \&amp; Abilities**
* Ability to build ground\-up solutions where none exist including all steps of ideation, problem discovery, customer usage, design, implementation, and monitoring.
* Strong critical thinking skills, with the ability to analyze complex situations, assess information, and make sound decisions based on data and evidence.
* Ability to work as a partner and peer to your counterparts in engineering, program management and quality assurance.
* Ability to navigate through ambiguity and drive strategic direction.
* Strong skills in managing relationships with stakeholders, ensuring alignment between business goals and product development.
* Comfort operating at different vertical levels at the organization including individual contributors to senior executives.
* Able to develop and present complex problems in a straightforward way
* Exceptional verbal, oral, and written communication skills.
**About The Company**
**Why choose a career at Mercury?**
 At Mercury, we have been guided by our purpose to help people reduce risk and overcome unexpected events for more than 60 years. We are one team with a common goal to help others. Everyone needs insurance and we can’t imagine a world without it.
 Our team will encourage you to grow, make time to have fun, and work together to make great things happen. We embrace the strengths and values of each team member. We believe in having diverse perspectives where everyone is included, to serve customers from all walks of life.
 We care about our people, and we mean it. We reward our talented professionals with a competitive salary, bonus potential, and a variety of benefits to help our team members reach their health, retirement, and professional goals.
 Learn more about us here: https://www.mercuryinsurance.com/about/careers
**Perks And Benefits**
**We offer many great benefits, including:**
* Competitive compensation
* Flexibility to work from anywhere in the United States for most positions
* Paid time off (vacation time, sick time, 9 paid Company holidays, volunteer hours)
* Incentive bonus programs (potential for holiday bonus, referral bonus, and performance\-based bonus)
* Medical, dental, vision, life, and pet insurance
* 401 (k) retirement savings plan with company match
* Engaging work environment
* Promotional opportunities
* Education assistance
* Professional and personal development opportunities
* Company recognition program
* Health and wellbeing resources, including free mental wellbeing therapy/coaching sessions, child and eldercare resources, and more
 Mercury Insurance is an equal opportunity employer. All qualified applicants will receive consideration for employment without regard to race, color, religion, sex, sexual orientation, gender identity, national origin, disability, status as a protected veteran, or any other characteristic protected by federal, state, or local law.
**Pay Range**
 USD $105,245\.00 \- USD $199,452\.00 /Yr.</t>
        </is>
      </c>
    </row>
    <row r="27">
      <c r="A27" t="inlineStr">
        <is>
          <t>li-4359478797</t>
        </is>
      </c>
      <c r="B27" t="inlineStr">
        <is>
          <t>Product Manager, SaaS Platform</t>
        </is>
      </c>
      <c r="C27" t="inlineStr">
        <is>
          <t>Gordian</t>
        </is>
      </c>
      <c r="D27" t="inlineStr">
        <is>
          <t>linkedin</t>
        </is>
      </c>
      <c r="E27" t="inlineStr"/>
      <c r="F27" t="inlineStr"/>
      <c r="G27" t="inlineStr"/>
      <c r="H27" t="inlineStr"/>
      <c r="I27" t="inlineStr">
        <is>
          <t>**Role Summary**
 Gordian is seeking a seasoned Product Manager to join our Platform Product Management organization. As a Product Manager, SaaS Platform, you will develop a deep understanding of customer challenges within the construction industry, using this insight to shape market\-leading software and data solutions. This role involves translating customer pain points into scalable, integrated platform solutions that align with Gordian's strategic goals. You will be responsible for managing roadmap initiatives, ensuring that customer value is delivered in iterative releases, and effectively communicating complex concepts to both technical and non\-technical audiences. Collaboration with cross\-functional teams—including product, engineering, design and market planning—will be essential to gather information, conduct research, and refine product deliverables. Staying updated on industry trends and best practices in platform development will enable you to adapt and innovate continuously, maintaining Gordian’s competitive edge.
**Key Responsibilities**
**Customer \&amp; Stakeholder Engagement**
* Customer Value Delivery: Drive the execution of platform capabilities that address defined customer needs, delivering impactful functionality in manageable, iterative releases aligned to Gordian’s North Star Strategy.
* Feedback Integration \&amp; Voice of Customer: Actively gather and synthesize input from customers, market research, and internal teams to ensure deliverables reflect evolving needs. Leverage Voice of Customer insights to adapt solutions and demonstrate responsiveness and agility.
* Value Communication: Support internal and external communications of deliverables, including roadmap updates, to clearly convey the value and timing of market deliverables.
* Subject Matter Expertise: Build expertise in customer challenges and foster strong market planning relationships to guide customer\-focused product decisions.
**Roadmap \&amp; Execution**
* Roadmap Execution: Manage specific items on the roadmap, ensuring alignment with the North Star strategy and prioritized LPM initiatives; track milestones to ensure timely delivery while adhering to the Development Lifecycle Process.
* Cross\-Functional Coordination: Collaborate closely with product, engineering, design and market planning to streamline execution and support smooth communication of priorities. Facilitate scope discussions, balancing customer, business and technical needs to ensure value\-based delivery.
* Strategic Awareness: Deconstruct complex problems into manageable, value\-driven epics and features for efficient, iterative delivery. Actively contribute to prioritization discussions and build expertise in owning and refining focus area priorities.
* Success Metrics: Define and track key performance indicators such as churn reduction, expansion revenue (including upsell and cross\-sell), and trial conversion rates to evaluate the effectiveness of delivered solutions.
**Qualifications**
* Bachelor’s degree in Business, Engineering, or related field; MBA is a plus.
* 4\+ years of experience in product management, platform strategy, or a related field, preferably in a SaaS environment.
* Strong understanding of Agile methodologies and product development lifecycle.
* Proven track record in managing product roadmaps, writing customer\-centric initiatives, and delivering measurable results.
* Excellent communication, collaboration, and stakeholder management skills.
* Experience with tools like Aha!, Jira, Confluence, Figma, and analytics platforms.
* Strong analytical skills, with the ability to assess data and feedback to inform strategic decisions.
* Understanding of the construction industry, including key customer challenges and market trends is a plus.
* AI Product Management experience is a plus.
**Fortive Corporation Overview**
 Fortive's essential technology makes the world safer and more productive. We accelerate transformation in high\-impact fields like workplace safety, build environments, and healthcare.
 We are a global industrial technology innovator with a startup spirit. Our forward\-looking companies lead the way in healthcare sterilization, industrial safety, predictive maintenance, and other mission\-critical solutions. We're a force for progress, working alongside our customers and partners to solve challenges on a global scale, from workplace safety in the most demanding conditions to advanced technologies that help providers focus on exceptional patient care.
 We are a diverse team 10,000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
 At Fortive, we believe in growth. We're honest about what's working and what isn't, and we never stop improving and innovating.
 Fortive: For you, for us, for growth.
**About Gordian**
 Gordian is the world’s leading provider of facility and construction cost data, software and services for all phases of the building lifecycle. A pioneer of Job Order Contracting (JOC), Gordian’s offerings also include our proprietary RSMeans data and Sightlines Facility Intelligence solutions. From planning to design, procurement, construction and operations, Gordian’s solutions help clients maximize efficiency, optimize cost savings and increase building quality. Gordian is a part of the international business group Fortive, with 26,000 people employed worldwide.We offer an excellent benefits package including medical, dental, vision, life and LTD insurance, HSA, and a 401(k) retirement plan. EOE/AA/M/F/Vets/Disabled.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
**Pay Range**
 The salary range for this position (in local currency) is 88,000\.00 \- 147,000\.00
 Gordian is the world’s leading provider of facility and construction cost data, software and services for all phases of the building lifecycle. A pioneer of Job Order Contracting (JOC), Gordian’s offerings also include our proprietary RSMeans data and Sightlines Facility Intelligence solutions. From planning to design, procurement, construction and operations, Gordian’s solutions help clients maximize efficiency, optimize cost savings and increase building quality. Gordian is a part of the international business group Fortive, with 26,000 people employed worldwide.We offer an excellent benefits package including medical, dental, vision, life and LTD insurance, HSA, and a 401(k) retirement plan. EOE/AA/M/F/Vets/Disabled.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
 The salary range for this position (in local currency) is 88,000\.00 \- 147,000\.00</t>
        </is>
      </c>
    </row>
    <row r="28">
      <c r="A28" t="inlineStr">
        <is>
          <t>li-4374979864</t>
        </is>
      </c>
      <c r="B28" t="inlineStr">
        <is>
          <t>Sr. Product Manager - AI Platform</t>
        </is>
      </c>
      <c r="C28" t="inlineStr">
        <is>
          <t>RemoteHunter</t>
        </is>
      </c>
      <c r="D28" t="inlineStr">
        <is>
          <t>linkedin</t>
        </is>
      </c>
      <c r="E28" t="inlineStr"/>
      <c r="F28" t="inlineStr"/>
      <c r="G28" t="inlineStr"/>
      <c r="H28" t="inlineStr"/>
      <c r="I28" t="inlineStr">
        <is>
          <t>About the Opportunity:
 The organization offers an AI\-native community management performance platform designed to automate routine tasks, deliver actionable insights, and enhance revenue, efficiency, flexibility, and control. The platform is built on modern cloud architecture with AI\-powered automation that predicts future events and recommends actions. The Senior Product Manager will lead strategy, roadmap, development, and delivery of the intelligent platform capabilities supporting AI\-native products, focusing on real\-time AI, predictive analytics, and intelligent automation at scale.
 Responsibilities:
 • Define and execute platform modernization roadmap for AI\-optimized microservices
 • Establish performance standards for agentic automation and superior user experience
 • Partner with engineering on event\-driven, AI\-native infrastructure and proactive insights
 • Ensure platform supports real\-time AI inference, model orchestration, and intelligent automation
 • Drive product vision and strategy aligning with AI\-native goals, technical needs, and customer requirements
 • Identify platform bottlenecks, performance patterns, and technical debt using quantitative and qualitative methods; prioritize roadmap accordingly
 • Evaluate and incorporate emerging AI infrastructure technologies, cloud\-native patterns, and tooling
 • Define and monitor milestones, metrics, and KPIs; use AI tools to analyze performance, detect anomalies, and generate insights from telemetry data
 • Collaborate with platform engineers to develop developer experiences and rapidly prototype architectural patterns using AI tools
 • Regularly engage with internal customers through interviews and discovery sessions to ensure platform meets their needs
 • Partner with AI/ML teams to identify platform improvements for accelerating AI development including model serving, embedding pipelines, prompt optimization, and LLM integration
 • Work closely with engineering, architecture, and DevOps teams to deliver high\-quality releases and iterate based on feedback
 • Ensure platform requirements are well\-defined, documented, communicated, and maintain a roadmap and backlog for 2\-3 sprints ahead
 Requirements:
 • Deep knowledge of modern platform architecture and AI\-native infrastructure
 • Experience designing for low\-latency AI inference and event\-driven architectures
 • Strong skills in platform modernization, including microservices and cloud\-native technologies
 • Ability to analyze system performance and telemetry data with AI tools
 • Proven collaboration skills with cross\-functional teams including engineers, data scientists, and product managers
 • Experience with AI/ML infrastructure, model serving, embedding pipelines, and LLM integration patterns
 • Strong communication skills for engaging internal stakeholders and documenting technical requirements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9">
      <c r="A29" t="inlineStr">
        <is>
          <t>li-4256497453</t>
        </is>
      </c>
      <c r="B29" t="inlineStr">
        <is>
          <t>Principal Product Manager - Strategy</t>
        </is>
      </c>
      <c r="C29" t="inlineStr">
        <is>
          <t>Oracle</t>
        </is>
      </c>
      <c r="D29" t="inlineStr">
        <is>
          <t>linkedin</t>
        </is>
      </c>
      <c r="E29" t="inlineStr"/>
      <c r="F29" t="inlineStr"/>
      <c r="G29" t="inlineStr">
        <is>
          <t>Nashville, TN</t>
        </is>
      </c>
      <c r="H29" t="inlineStr"/>
      <c r="I29" t="inlineStr">
        <is>
          <t>**Job Description**
 The team at OCI is constructed with an entrepreneurial drive that promotes an energetic and creative environment. We are unencumbered and will need your contribution to continue to support our world class engineering center with the focus on excellence.
 The ideal candidate should be self\-motivated with a proven and deeply technical track record within the cloud industry. A demonstrated capacity to approach business, products, and technical challenges with a strategic mindset is essential. We seek individuals who seamlessly navigate the intersection of technology and business. This role demands high technical proficiency, customer focus, requiring broad competence across various technologies and the ability to work with technology leaders
**Responsibilities**
 Key responsibilities include:
* Provide strategic guidance, lead and drive rapid customer and partner adoption of multicloud platforms by working directly with customers, account teams, and engineering teams.
* Collaborate closely with sales and product teams to drive successful client engagements for products across OCI.
* Stay at the forefront of technological advancements, guiding the adoption of cutting\-edge solutions.
* Present solutions to customers and partners at multiple levels, from engineers up to CxO while explaining transformational concepts to executive decision makers and influencing their technology strategy.
* Drive lighthouse wins while developing and executing scalable adoption programs and identifying repeatable solutions to solve customers’ challenges and help the broader field organization.
* Develop a passion for educating, training, and enabling cloud solutions experts for a challenging set of customers and circumstances.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$115,400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0">
      <c r="A30" t="inlineStr">
        <is>
          <t>li-4359698404</t>
        </is>
      </c>
      <c r="B30" t="inlineStr">
        <is>
          <t>Product Manager, Districts</t>
        </is>
      </c>
      <c r="C30" t="inlineStr">
        <is>
          <t>ClassDojo</t>
        </is>
      </c>
      <c r="D30" t="inlineStr">
        <is>
          <t>linkedin</t>
        </is>
      </c>
      <c r="E30" t="inlineStr"/>
      <c r="F30" t="inlineStr"/>
      <c r="G30" t="inlineStr">
        <is>
          <t>San Francisco, CA</t>
        </is>
      </c>
      <c r="H30" t="inlineStr"/>
      <c r="I30" t="inlineStr">
        <is>
          <t>ClassDojo's goal is to give every child on Earth an education they love.
 We started by building a powerful network for communication. ClassDojo’s flagship app is the \#1 communication app connecting K\-8 teachers, children, and families globally. Teachers use it to share what’s happening throughout the day through photos, videos, and messages that make parents feel like they’re there. It’s actively used in over 95% of US schools, reaching over 50 million children in 180 countries, with a team of just around 250 people.
 We can achieve this impact because we hire for talent density. Our team comprises the most talented, entrepreneurial, and innovative teammates from around the world, with experience in education and top consumer internet training grounds, including Instagram, Lyft, Dropbox, Stripe, Airbnb, Y Combinator, and more. We’re building a company where the most talented people want to work. We believe you’ll do the best work of your life here—and you’ll pioneer the future of education, too.
**About ClassDojo For Districts**
 ClassDojo is a $1bn\+ company that initially grew bottoms‑up through teachers and school leaders. However, more recently, districts are making decisions about family communications at the District level. So, we started a GTM motion for Districts and are building product features for District Leaders (e.g. rostering, SSO, District → Parent announcements). We’ve signed 150\+ Districts already and are excited to serve this new user, while remaining free for Teachers, Schools, and Districts.
**Role Overview**
 We are a team of builders, and we’re looking for someone who loves being hands\-on discovering user needs, building with the team and partnering with GTM to deliver successful outcomes. You’ll be responsible for critical district workflows and features that unlock partnerships, enable scaled adoption and drive retention. In this role you’ll get to know the various stakeholders and lead the decision on what to build, for whom. Also, you’ll connect the dots between district needs and the everyday magic that keeps teachers and families engaged.
 You’ll thrive here if you have a bias to action, love working with users, and can align cross‑functional partners to land complex enterprise workflows.
**What You’ll Do**
* Go deep on critical district workflows (e.g., school\-wide and district\-wide points and communications, rostering) to make them smooth, reliable, and lovable
* Break big problems into small releases and figure out how to measure what matters, early
* Define clear success metrics, design adoption funnels and always be looking for ways to improve adoption, activation, engagement and retention
* Work with GTM, CS, and Support on launches so that your stakeholders are enabled, and districts can see the value that you built
* Work to make district features and their adoption a flywheel for bottoms‑up growth in teacher signups and activation
* Enable the ecosystem by building platform capabilities that let districts/schools and third parties build on Dojo and that allow important partners to access our network
**Example Problem Areas You’ll Drive**
* Stakeholders \&amp; JTBD: Identify district roles (e.g., CIO, Communications, Curriculum, Data/IT, Security, Superintendents, Principals) and map their jobs‑to‑be‑done to the product.
* Drive decisions on difficult trade\-offs: Do we spend time improving what we've built / moving on to the next layer of value, or do we pick up new features to support GTM?
* Articulate value: Dojo builds communities, so how might we best help District leaders see this value. Both on its own and in relation to other important outcomes (like test scores)
* Migration: Orchestrate high‑stakes district transitions with low friction, high trust, and strong post‑launch engagement, so that partners become evangelists
**Qualifications**
* 7\+ years in product management, shipping successful products in enterprise or education workflows; district/IT stakeholder exposure is a plus
* Proven ability to define MVPs, and deliver iteratively with engineering/design partners
* Comfortable with instrumentation, using AI to answer most data questions
* Experience enabling sales/CS for launches and migrations, including strong communication with external stakeholders
* The ability to balance top‑down district needs with delivering world class bottoms‑up teacher and parent experiences
**Nice to Have**
* Experience improving activation, engagement, and retention via product‑led growth mechanics
* Familiarity with SSO, rostering standards, and building partner integrations or APIs
* Background in K‑12 or youth‑serving organizations
**How We Work**
 We design roles around people and believe this leads to win‑wins. You’ll have autonomy within your product areas, strong partners across GTM and R\&amp;D, and clear outcomes. Freedom to ship, rigor to measure, and focus on growing the pond.
 (If you are on LinkedIn, you will not be able to access the hyperlinks below. Once you click apply, you will be directed to our career website (if you are not on there already) and will be able to access the hyperlinks)
* How ClassDojo Connects Parents, Students, and Teachers
* “Whats New on ClassDojo 2023”
* TechCrunch Article: Second Act comes with First Profits
 We are committed to equal employment opportunity regardless of race, color, ancestry, religion, sex, national origin, sexual orientation, age, citizenship, marital status, disability, gender identity or Veteran status. In accordance with the San Francisco Fair Chance Ordinance, we will consider for employment qualified applicants with arrest and conviction records. We are happy to accommodate any disabilities or special needs. We are a distributed company, so we hire regardless of location, as long as you are willing to have significant hours overlap with one of the Americas time zones.
 ClassDojo takes a number of factors into consideration when determining compensation, including geographic location, experience, and skillset. This role is eligible for an incentive pay component. The estimated range below represents annual base salary:
 CA, WA, NY, NJ, CT states: $200,000 \- $270,000 (USD)
 All other states in the US: $170,000\- $229,500 (USD)</t>
        </is>
      </c>
    </row>
    <row r="31">
      <c r="A31" t="inlineStr">
        <is>
          <t>li-4359659348</t>
        </is>
      </c>
      <c r="B31" t="inlineStr">
        <is>
          <t>Product Manager - Digital Marketing, Operations and Technology</t>
        </is>
      </c>
      <c r="C31" t="inlineStr">
        <is>
          <t>McKinsey &amp; Company</t>
        </is>
      </c>
      <c r="D31" t="inlineStr">
        <is>
          <t>linkedin</t>
        </is>
      </c>
      <c r="E31" t="inlineStr"/>
      <c r="F31" t="inlineStr"/>
      <c r="G31" t="inlineStr">
        <is>
          <t>New York, NY</t>
        </is>
      </c>
      <c r="H31" t="inlineStr"/>
      <c r="I31"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You will help our clients develop their vision and guide them through the implementation of mar\-tech and / or ad\-tech products that help them attract and grow customers using digital marketing strategies and technology.
 You will communicate the product vision to key stakeholders. You will use your marketing and deep understanding of the industry to provide directions on technology platforms and features that will deliver enhanced customer experience.
 You will build strong relationships with key stakeholders to ensure alignment with the overall strategy. You will help our clients build cross\-functional Agile teams across marketing, sales, engineering, account managers, client services, etc.
 You will make decisions on an ambitious and visionary product roadmap to deliver the most value/ROI and prioritize initiatives in areas such as retail media networks, personalization at scale, privacy\-safe growth, direct to consumer activation, etc.
 In this role, you will be the liaison between engineering, sales, marketing, and support to ensure business case and client goals are met. You will understand client needs to develop use cases, sizing them for business value, and prioritizing the activation roadmap based on value and feasibility. You will work in an Agile operating model to develop user stories, and solution the underlying data and solution architecture for use cases.
 You will own the design and delivery of platforms: As the owner and translator of technology, you will facilitate the creation and communication of business requirements to solution architects, data scientists, and development teams. You will support Agile development by creating sprint plans, removing roadblocks, flagging problems, and ensuring progress.
**Your Qualifications and Skills**
* Bachelor’s degree in information technology, software engineering, computer science, marketing, STEM, IT project management, or related field. Master's degree in computer science or software engineering is preferred
* Product management certification is nice to have but not required
* 8\+ years’ experience preferred with MarTech product management, solutioning, and / or implementation (Adobe, Salesforce, Google, Amazon, Oracle, etc.; Ad products, Media planning)
* Breadth of knowledge across all areas of marketing and advertising technology (Data, Analytics, Email, Website, CRM, Paid media etc.) with depth and hands\-on experience in at least one area
* Experience with creating a product roadmap, prioritizing initiatives against value, and facilitating sprint planning and backlog grooming
* Experience leading teams in an Agile setting, leading collaboration across business users, technology enablement, marketing activation, and marketing operations
* Experience with digital products, and the ability to work with in\-house teams and external agencies
* Ability to lead an implementation team to set strategic priorities and resolve issues with strong problem\-solving capabilities
* Passion to challenge the status quo and find new solutions and drive out of the box ideas – loves and embraces change
* Believes in a non\-hierarchical culture of collaboration, transparency, safety, and trust
* Not afraid to “roll up the sleeves” and seeks to go outside comfort zone to learn – pushes teams to do the same
* Willingness to travel up to 80% and work in varying environments that may be challenging and/or not accessible (e.g., factories, hospitals, mines)</t>
        </is>
      </c>
    </row>
    <row r="32">
      <c r="A32" t="inlineStr">
        <is>
          <t>li-4345435533</t>
        </is>
      </c>
      <c r="B32" t="inlineStr">
        <is>
          <t>Product Manager - Technical, Production &amp; Post Technology</t>
        </is>
      </c>
      <c r="C32" t="inlineStr">
        <is>
          <t>Prime Video &amp; Amazon MGM Studios</t>
        </is>
      </c>
      <c r="D32" t="inlineStr">
        <is>
          <t>linkedin</t>
        </is>
      </c>
      <c r="E32" t="inlineStr"/>
      <c r="F32" t="inlineStr"/>
      <c r="G32" t="inlineStr">
        <is>
          <t>Culver City, CA</t>
        </is>
      </c>
      <c r="H32" t="inlineStr"/>
      <c r="I32" t="inlineStr">
        <is>
          <t>**Description**
 Amazon MGM Studios is seeking an experienced Product Manager \- Technical (PMT III) to drive the product vision and strategy for our Studio in the Cloud (SITC) initiative. SITC is transforming how entertainment content is created by moving all major production and post\-production workflows from traditional on\-premises infrastructure to AWS cloud\-based solutions. This initiative encompasses nine core workflows—Dailies, Editorial, VFX, Sound, Conform, Color, Mastering, QC/Delivery, and Remote Production—representing the complete content creation lifecycle from Original Camera Footage (OCF) ingestion through final delivery.
 In this role, you will own the product lifecycle for workflows that enable creative professionals, production companies, and post\-production vendors to collaborate globally using industry\-standard tools integrated on AWS. You will work with leading creative tool providers including Avid, Adobe, Colorfront, and Blackmagic, as well as major post\-production vendors such as Company 3, Fotokem, Picture Shop, and others who service the majority of high\-value productions. Your work will reduce hardware dependencies, eliminate physical media transport, enable real\-time global collaboration, and accelerate production timelines while maintaining the creative quality and flexibility that content creators demand.
 As a PMT III, you will operate independently with limited guidance, managing high ambiguity as you define product strategy, feature design, and technology approaches for a highly relationship\-driven industry. You will navigate the complex dynamics between creative trust, vendor partnerships, technical innovation, and business transformation. Your work will influence engineering organization priorities and the strategic direction of cloud\-based production across Amazon MGM Studios' International Originals and Global Originals slates, spanning over 150 productions annually across multiple regions.
 This role requires a unique blend of technical depth in distributed systems and media workflows, product management expertise, deep understanding of creative production processes, and exceptional stakeholder management. You will work backwards from the needs of directors, editors, colorists, VFX artists, and production teams to define solutions that enhance rather than disrupt their creative process. Success requires building consensus across diverse stakeholder groups including creative teams, engineering organizations, vendors, compliance teams, legal, business affairs, and executive leadership.
 Key job responsibilities
 Own product roadmap and feature priorities for SITC's nine core workflows (Dailies, Editorial, VFX, Sound, Conform, Color, Mastering, QC/Delivery, Remote Production), defining customer experience, vision, tenets, and product strategy across production and post\-production domains
 Develop differentiated adoption strategies for International Originals (flexible vendor ecosystems) versus US Global Originals (entrenched creative partnerships), prioritizing deployment based on technical readiness, creative acceptance, and business value
 Understand SITC systems including OCF ingestion pipelines, media asset management, rendering infrastructure, and real\-time collaboration—their limitations, scaling factors, and architectural decisions. Define technical requirements for latency\-sensitive creative workflows requiring near\-instantaneous response (4:4:4 10\-bit color processing, high\-resolution playback)
 Address high\-bandwidth, low\-latency challenges across regions with varying network infrastructure, determining when to use Project Kuiper satellite bandwidth, regional ingest hubs, or hybrid approaches. Ensure solutions scale to 100\+ concurrent productions
 Build strategic relationships with top\-tier post\-production vendors (Company 3, Picture Shop, Fotokem, Pivotal, Harbor, Goldcrest) and creative tool providers (Avid, Adobe, Autodesk, Blackmagic, Colorfront). Partner with Business Development, Legal, and Business Affairs to develop vendor onboarding processes, rate card structures, and technical validation frameworks
 Drive product discussions with senior creative leadership, distilling clear requirements from diverse stakeholders including directors, editors, production companies, post\-production supervisors, and Studios finance. Build consensus across competing priorities and communicate with executives across Studios, Studios Tech, Finance, Legal, and Business Affairs
 Contribute to OP1/OP2 budget narratives and influence engineering organization roadmaps. Write PR/FAQs and perform market research with directors, editors, and post\-production supervisors to validate solutions
 Develop product roadmaps with clear success criteria including workflow adoption rates by region, production satisfaction, platform reliability, and workflow cycle time reductions. Define showstoppers related to creative quality and ensure urgent bug triage
 Actively recruit, mentor, and develop others in technical product management, media production workflows, and stakeholder management. Participate in hiring loops and perform PMT assessments
**About The Team**
 Amazon MGM Studios creates and produces original films and television series for a global audience. Leveraging technology and our catalogue of original Movies and Series, AMS is uniquely positioned to succeed in providing by taking advantage of Amazon's vast scope including AWS, retail, gaming, and publishing, to create immersive entertainment experiences across multiple platforms. Our vision is to be the most technology\-advanced studio and the entertainment home for talent and customers.
 Studios Technology at AMS is at the forefront of the entertainment revolution, where Hollywood meets tech. We own the technology strategy that powers one of the world's largest entertainment studios. Based in Los Angeles, our team delivers cloud\-first solutions and modern applications that drive the entire Studios Production Lifecycle, shaping the future of entertainment delivery from content creation through distribution.
 Via tooling, automation, and AI, we support five key stages in the Studios Production Lifecycle: IP \&amp; Rights, Content Production, Sales \&amp; Distribution, Financial Management, and Studios Operations. We serve thousands of AMS employees and creative and executive partners across development, acquisition, legal, programming strategy, internal and external production, post\-production, visual effects, localization, delivery, marketing, sales, licensing, finance, accounting, and operations.
**Basic Qualifications**
* 5\+ years of technical product or program management experience
* 2\+ years of end to end product delivery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Experience with creative tool ecosystems (Avid Media Composer, Adobe Premiere Pro, DaVinci Resolve, Autodesk Maya, Nuke) and understanding of how creative professionals use these tools
* Deep understanding of media and entertainment production workflows including one or more of: dailies processing, editorial systems, color grading pipelines, VFX rendering, sound mixing, mastering, or QC/delivery processes
* Experience with virtual workstation technologies, GPU virtualization (NVIDIA GRID, AMD MxGPU), remote desktop protocols (PCoIP, Parsec, Teradici), or DCC (Digital Content Creation) tools in cloud environments
* Knowledge of media industry technical standards including codecs (ProRes, DNxHD, H.264/H.265\), color pipelines (4:4:4 color sampling, 10\-bit depth, HDR), and professional video/audio formats
* Track record of launching products in relationship\-driven industries where user trust, creative control, and quality perception are critical to adoption
* Experience managing products for highly skilled professional users (creative professionals, engineers, designers) where workflow disruption is unacceptable and change management requires careful planning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A3146654</t>
        </is>
      </c>
    </row>
    <row r="33">
      <c r="A33" t="inlineStr">
        <is>
          <t>li-4345255189</t>
        </is>
      </c>
      <c r="B33" t="inlineStr">
        <is>
          <t>Vice President - Product Manager - Home Lending Transformation</t>
        </is>
      </c>
      <c r="C33" t="inlineStr">
        <is>
          <t>JPMorganChase</t>
        </is>
      </c>
      <c r="D33" t="inlineStr">
        <is>
          <t>linkedin</t>
        </is>
      </c>
      <c r="E33" t="inlineStr"/>
      <c r="F33" t="inlineStr"/>
      <c r="G33" t="inlineStr">
        <is>
          <t>Plano, TX</t>
        </is>
      </c>
      <c r="H33" t="inlineStr"/>
      <c r="I33" t="inlineStr">
        <is>
          <t>**Job Description**
**If you're ready to lead with ownership and precision, and have a knack for turning vision into reality, we want to hear from you!** 
 Unleash your passion for product innovation by spearheading customer\-centric development, inspiring groundbreaking solutions, and shaping the future with your strategic vision, influence and execution!
 As a Vice President,
 **Product Manager in Home Lending** 
 , you will lead the charge in creating products and features that captivate and delight customers. You will harness your expertise to challenge the status quo, eliminate obstacles, and cultivate a culture of continuous innovation. You will partner with cross\-functional teams to deliver transformative solutions and deliver best\-in\-class products.
***Join us in redefining the future of Home Lending!***
**Job Responsibilities**
* Define and Prioritize Product Backlog: Work closely with stakeholders to gather requirements, define user stories, and prioritize the product backlog to ensure alignment with business goals and customer needs.
* Collaborate with Development Teams: Engage daily with engineering and design teams to set strategy, clarify requirements, provide feedback, and ensure that product increments are delivered on time and meet quality standards.
* Conduct User Research and Testing: Organize and participate in user research sessions and usability testing to gather insights and validate product features, iterating based on feedback.
* Facilitate Agile Ceremonies: Lead and participate in agile ceremonies such as sprint planning, daily stand\-ups, sprint reviews, and retrospectives to ensure effective team collaboration and continuous improvement.
* Monitor Product Performance: Analyze product performance metrics and user feedback to identify areas for improvement and make data\-driven decisions to enhance the product.
* Communicate with Stakeholders: Regularly update stakeholders on product progress, challenges, and upcoming priorities, ensuring transparency and alignment across the organization.
* Develop Product Roadmaps: Create and maintain product roadmaps that outline the strategic direction and key milestones, ensuring they are communicated and understood by all relevant parties.
* Educate Yourself on Industry Trends: Continuously research and stay informed about industry trends, competitor products, and emerging technologies to identify opportunities for innovation and differentiation.
**Required Qualifications, Capabilities And Skills**
* 5\+ Years Product Management Experience: Demonstrated success in running and managing products end\-to\-end, including strategy, execution, and delivery.
* 5\+ Years Experience in Lending Domain: Deep expertise in lending products
* Customer\-Centric Mindset: Demonstrate a deep understanding of customer needs and pain points, uncovering root cause, and use this knowledge to guide product development and prioritize features that deliver maximum value.
* Data\-Driven Decision Making: Proficiency in using data and analytics to inform product decisions, measure success, and iterate on product features to improve user experience and business outcomes.
* Collaboration and Communication: Strong skills in collaborating with engineering, design, and business teams, and effectively communicating product goals, priorities, and progress to stakeholders at all levels.
* Technical Acumen: A solid understanding of the technical aspects of product development, enabling effective collaboration with engineering teams and informed decision\-making regarding technical trade\-offs.
* Agile Methodology Expertise: Experience in working within agile frameworks, such as Scrum or Kanban, to manage product backlogs, plan sprints, and ensure timely delivery of high\-quality product increments.
* Market and Competitive Analysis: Conduct thorough market research and competitive analysis to identify opportunities for differentiation and innovation, and incorporate these insights into the product roadmap.
**Preferred Qualifications, Capabilities And Skills**
* Bachelor's Degree in a Relevant Field: A degree in Business, Computer Science, Engineering, or a related field, or equivalent practical experience.
* Previous experience in user experience design and solution design
* Proficient in Figma, JIRA, JIRA Align, Excel, PowerPoint, Process Mapping Tools
* Experience in Mortgage is preferred
**To be eligible for this position, you must be authorized to work in the United States. We do not offer any type of employment\-based immigration sponsorship for this position. Likewise, JPMorgan Chase \&amp; Co., will not provide any assistance or sign any documentation in support of any other form of immigration sponsorship or benefit including optional practical training (OPT) or curricular practical training (CPT).**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34">
      <c r="A34" t="inlineStr">
        <is>
          <t>li-4312412546</t>
        </is>
      </c>
      <c r="B34" t="inlineStr">
        <is>
          <t>Senior Product Manager, Growth – Dynamic Landing Pages</t>
        </is>
      </c>
      <c r="C34" t="inlineStr">
        <is>
          <t>Fanatics</t>
        </is>
      </c>
      <c r="D34" t="inlineStr">
        <is>
          <t>linkedin</t>
        </is>
      </c>
      <c r="E34" t="inlineStr"/>
      <c r="F34" t="inlineStr"/>
      <c r="G34" t="inlineStr">
        <is>
          <t>San Mateo, CA</t>
        </is>
      </c>
      <c r="H34" t="inlineStr"/>
      <c r="I34" t="inlineStr">
        <is>
          <t>**Job Description**
*At Fanatics Commerce, we’re more than just a leader in licensed sports merchandise – we’re a team united by a relentless passion for our fans and a commitment to innovation. We live by our BOLD Leadership principles:
 **We Build Championship Teams,** 
 we’re
 **Obsessed with Fans** 
 , we embrace
 **a Limitless Entrepreneurial Spirit** 
 , and we approach every challenge with a
 **Determined and Relentless Mindset** 
 . If you’re ready to contribute to a dynamic, fast\-paced environment that thrives on collaboration and growth, we want you to be part of our team.*
**Role Overview**
 We’re looking for a growth\-minded
 **Senior Product Manager** 
 to lead
 **Dynamic Landing Pages and Digital Marketing** 
 strategy. This role will own the
 **post\-click journey** 
 for key acquisition channels—across Paid Search, PLA, SEO, and
 **emerging AI\-native surfaces** 
 —ensuring that every visitor lands on the most relevant, personalized, and high\-converting experience.
 You will work closely with Marketing, Engineering, and Personalization teams to define routing logic, design content modules, and optimize journeys based on channel\-specific signals. This role is ideal for someone who thrives on measurable impact—driving increases in ROAS, LTV, and revenue per session through smarter landing strategy and AI\-enhanced optimization.
**How You Will Make An Impact**
**Growth Strategy \&amp; Channel Ownership**
* Own the product vision and roadmap for channel\-specific landing experiences across:
* Paid channels: SEM, PLA, Paid Social
* Organic: SEO, influencer\-driven
**AI\-native Experiences**
* Search Generative Experience (SGE), chat\-based shopping, LLM\-powered discovery surfaces.
* Partner with Marketing to align pre\-click strategy (ad creative, copy, audience targeting) with post\-click journeys (landing modules, CTAs, merchandising).
**Landing Page Intelligence \&amp; Routing**
* Design dynamic landing page systems that adapt in real\-time based on:
* Entry channel \&amp; campaign
* Keyword/search intent
* Geolocation and user segment
* Referring content (ads, influencers, AI bots, etc.)
* Define routing and fallback logic to ensure every user lands in the right context—even when traffic is long\-tail or unstructured (e.g., from AI bots).
**AI \&amp; Personalization Integration**
* Collaborate with Personalization and Data Science teams to:
* Inject real\-time recommendations, offers, and loyalty hooks
* Build dynamic templates driven by user affinity, behavior, and context
* Experiment with AI\-generated variants for content, images, or layout
**Experimentation \&amp; Insights**
* Define and run growth experiments to improve bounce rate, CTR, and revenue per session across traffic cohorts.
* Leverage A/B testing and analytics to:
* Compare performance by traffic source
* Uncover drop\-offs and friction in early\-funnel user journeys
* Validate effectiveness of dynamic elements vs static ones
**Cross\-Functional Execution**
* Partner with Engineering and CMS teams to ship scalable landing frameworks.
* Collaborate with SEO and Content teams to preserve indexability and relevance of dynamic pages.
* Ensure AI\-driven traffic (SGE, Bing Copilot, ChatGPT plugins) is measured, understood, and optimized.
**What You Bring To The Team**
* 6\+ years in Product Management with 3\+ years in growth or digital marketing\-related roles
* Experience owning landing page strategy, performance marketing, or full\-funnel optimization
* Deep familiarity with SEO, SEM, PLA, Paid Social, and how each channel affects user intent
* Strong understanding of analytics, experimentation, and metrics like ROAS, CAC, LTV, and bounce rate
* Proficiency in tools like GA4, Amplitude, Adobe Analytics, Optimizely, or similar
* Awareness of emerging AI channels (SGE, voice/assistant\-based search, chat shopping) and interest in defining user experiences for them
* Demonstrated ability to influence both Marketing and Product stakeholders
* Strong technical intuition and ability to collaborate with engineers, especially in routing logic and dynamic templating
**Bonus Points**
* Familiarity with LLM\-driven shopping assistants, AI\-driven content systems, or recommendation engines
* Prior experience with personalization platforms, CMS systems, or routing APIs
* Background in eCommerce, marketplaces, or high\-scale performance environments
*At Fanatics, we value transparency and honesty. If you don’t meet every single requirement, that’s okay – we still want to hear from you! We believe in the power of diverse experiences and talents. If you’re excited about the role and confident that you can contribute, don’t hesitate to apply. We’re genuinely interested in how your unique skills and perspective can help us build something amazing together.*
*The salary for this position is between $160,000 and $200,000 per year, in compliance with California's salary transparency requirements. This range reflects the expected compensation based on qualifications, experience, and location.*
**Where You’ll Work And What’s Required**
* Hybrid work environment with flexibility between 3 days in office and 2 days remote work.
* Fast\-paced team environment with exposure to multiple aspects of the Fanatics Commerce business.
**What’s In It For You**
* Culture: Join a team where you're surrounded by top\-tier talent, driven by a shared passion to relentlessly enhance the fan experience. With a focus on collaboration, support, and continuous development, you’ll be empowered to help shape a our culture that celebrates both individual and team successes.
* Benefits: We provide a wide range of health, financial, legal, and development assistance, including wellness programs with fitness and weight management partners, paid maternity paternity leave, and infertility treatment. Additionally, we offer flexible time off to help you recharge. At Fanatics, we’re dedicated to supporting you in all aspects of work and life.
* You’ll shape the most critical fan journeys—from first click to first cart. If you thrive in a performance\-first environment, love marrying data, content, and AI, and want to push what’s possible in growth product—this is the opportunity for you.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Fanatics Commerce is a leading designer, manufacturer, and seller of licensed fan gear, jerseys, lifestyle and streetwear products, headwear, and hardgoods. It operates a vertically\-integrated platform of digital and physical capabilities for leading sports leagues, teams, colleges, and associations globally – as well as its flagship site, www.fanatics.com.
 Fanatics Commerce has a broad range of online, sports venue, and vertical apparel partnerships worldwide, including comprehensive partnerships with leading leagues, teams, colleges, and sports organizations across the world—including the NFL, NBA, MLB, NHL, MLS, Formula 1, and Australian Football League (AFL); the Dallas Cowboys, Golden State Warriors, Paris Saint\-Germain, Manchester United, Chelsea FC, and Tokyo Giants; the University of Notre Dame, University of Alabama, and University of Texas; the International Olympic Committee (IOC), England Rugby, and the Union of European Football Associations (UEFA).
 At Fanatics Commerce, we infuse our BOLD Leadership Principles in everything we do:
* Build Championship Teams
* Obsessed with Fans
* Limitless Entrepreneurial Spirit
* Determined and Relentless Mindset</t>
        </is>
      </c>
    </row>
    <row r="35">
      <c r="A35" t="inlineStr">
        <is>
          <t>li-4328301273</t>
        </is>
      </c>
      <c r="B35" t="inlineStr">
        <is>
          <t>Connected Product Manager</t>
        </is>
      </c>
      <c r="C35" t="inlineStr">
        <is>
          <t>Zurn Elkay Water Solutions</t>
        </is>
      </c>
      <c r="D35" t="inlineStr">
        <is>
          <t>linkedin</t>
        </is>
      </c>
      <c r="E35" t="inlineStr"/>
      <c r="F35" t="inlineStr"/>
      <c r="G35" t="inlineStr">
        <is>
          <t>Downers Grove, IL</t>
        </is>
      </c>
      <c r="H35" t="inlineStr"/>
      <c r="I35" t="inlineStr">
        <is>
          <t>*The Company*
 Zurn Elkay Water Solutions Corporation is a thriving, values\-driven company focused on doing the right things. We’re a fast growing, publicly traded company (NYSE: ZWS), with an enduring reputation for integrity, giving back, and providing an engaging, inclusive environment where careers flourish and grow.
 Named by Newsweek as One of America’s Most Responsible Companies and an Energage USA Top Workplace, at Zurn Elkay Water Solutions Corporation, we never forget that our people are at the center of what makes us successful. They are the driving force behind our superior quality, product ingenuity, and exceptional customer experience. Our commitment to our people and their professional development is a recipe for success that has fueled our growth for over 100 years, as one of today’s leading international suppliers of plumbing and water delivery solutions.
 Headquartered in Milwaukee, WI, Zurn Elkay Water Solutions Corporation employs over 2800 employees worldwide, working from 24 locations across the U.S., China, Canada, Dubai, and Mexico, with sales offices available around the globe. We hope you’ll visit our website and learn more about Zurn Elkay at zurnelkay.com.
 If you’re ready to join a company where what you do makes a difference and you have pride in the work you are doing, talk to us about joining the Zurn Elkay Water Solutions Corporation family!
**If you are a current employee, please navigate** 
 here
 **to apply internally.**
**Role Overview**
 The Connected Product Manager leads product planning, pricing, channel strategies, and go\-to\-market activities for Zurn Elkay’s connected products and services. This role integrates connected solutions across product families, manages the product lifecycle, and collaborates with engineering, sales, marketing, and cross\-functional teams to deliver winning products and ensure customer satisfaction.
**Key Responsibilities**
* Maintain centralized repositories for product information, ensuring materials are current and easily accessible.
* Define and own the vision and roadmap for Connected Solutions across B2B omni\-channels, ensuring alignment with business unit strategies.
* Analyze product performance, competitiveness, and market trends; develop strategies based on research and analysis.
* Conduct market and user research, leveraging VOC and usability testing to identify needs and communicate impactful value propositions.
* Work with engineering, hardware, marketing, sales, commercial, and IT teams to align priorities and deliver integrated release plans.
* Understand IoT platform architecture, APIs, integrations, and connectivity standards (e.g., BLE, LoRa, BACnet) to ensure scalability, reliability, and security.
* Own and manage the product backlog, ensuring well\-defined user stories, epics, and acceptance criteria aligned with the roadmap and stage\-gate milestones.
* Gather and analyze user feedback and product data to guide enhancements, prioritize features, and measure adoption and engagement via KPIs.
* Use structured stage\-gate principles for product lifecycle management, ensuring clear deliverables and data\-driven decisions.
* Collaborate with marketing to launch and optimize digital campaigns, landing pages, and lead generation funnels, ensuring robust tracking and continuous improvement.
* Ensure key leaders have visibility into product launches, marketing reviews, and connected positioning, including analysis of wins/losses and quantifiable reasons.
* Drive scaling and growth of connected solutions, optimize subscription and monetization models, standardize features, and track adoption metrics. Work with sales to identify and implement effective sales strategies.
**Qualifications**
* Bachelor’s degree in Engineering, Business, Marketing, or related field; MBA highly preferred.
* 5\+ years’ experience in product management/ownership, preferably with connected products or IoT.
* Experience in the plumbing market or related segment preferred.
* Experience with data visualization tools (Excel Charts, PowerBI, Tableau) preferred.
* Certified Scrum Product Owner (CSPO) or equivalent highly desired.
* Solid understanding of Agile, Scrum, Kanban, and software development processes.
* Experience with project management tools (Jira, Trello, Azure DevOps) preferred.
* Technical acumen in cloud platforms, APIs, or query languages (T\-SQL, oData) preferred.
* Proficiency in VOC, customer journey mapping, and agile delivery practices.
* Strong communication and decision\-making skills.
* Willingness to travel 15–25% of the time.
**Success Factors**
* Strategic Mindset: Anticipates future possibilities and translates them into breakthrough strategies.
* Business Insight: Applies marketplace knowledge to advance organizational goals.
* Collaboration: Builds partnerships and works collaboratively to meet shared objectives.
* Planning \&amp; Alignment: Prioritizes work to meet commitments aligned with organizational goals.
* Customer Focus: Builds strong customer relationships and delivers customer\-centric solutions.
 The compensation range identified below are a good faith estimate of the salary expected to be paid as performed from these locations. Actual salaries may vary based on compensable factors including but not limited to skillset, experience, education and training, and other relevant business and organizational factors. Most candidates will start in the lower half of the range.
 The Salary Range: $118,000 \- $163,000
*Total Rewards and Benefits*
* Competitive Salary
* Medical, Dental, Vision, STD, LTD, AD\&amp;D, and Life Insurance
* Matching 401(k) Contribution
* Health Savings Account
* Up to 3 weeks starting Vacation (may increase with tenure)
* 12 Paid Holidays
* Annual Bonus Eligibility
* Educational Reimbursement
* Matching Gift Program
* Employee Stock Purchase Plan – purchase company stock at a discount!
 \*\*THIRD PARTY AGENCY: Any unsolicited submissions received from recruitment agencies will be considered property of Zurn Elkay, and we will not be liable for any fees or obligations related to those submissions.\*\*
 Equal Opportunity Employer – Minority/Female/Disability/Veteran</t>
        </is>
      </c>
    </row>
    <row r="36">
      <c r="A36" t="inlineStr">
        <is>
          <t>li-4345102089</t>
        </is>
      </c>
      <c r="B36" t="inlineStr">
        <is>
          <t>Staff Product Manager- Consumer Group Platform</t>
        </is>
      </c>
      <c r="C36" t="inlineStr">
        <is>
          <t>Intuit</t>
        </is>
      </c>
      <c r="D36" t="inlineStr">
        <is>
          <t>linkedin</t>
        </is>
      </c>
      <c r="E36" t="inlineStr"/>
      <c r="F36" t="inlineStr"/>
      <c r="G36" t="inlineStr">
        <is>
          <t>San Diego, CA</t>
        </is>
      </c>
      <c r="H36" t="inlineStr"/>
      <c r="I36" t="inlineStr">
        <is>
          <t>**Overview**
 The Staff Platform Product Manager at Intuit will be responsible for driving the strategic vision for the platform product team and managing key product initiatives. They will work closely with cross\-functional stakeholders across the business to ensure timely, efficient and successful product launch and delivery. The Staff Platform Product Manager will also be responsible for maintaining technical excellence, domain expertise, and a deep understanding of the organizational strategy.
**Responsibilities**
* Craft a platform product strategy in collaboration with the product development (PD), design, and architecture teams starting from customer requirements and understanding business goals.
* Build a short and long term platform vision and roadmap in collaboration with Architecture, PD, and end customer product manager stakeholders.
* Manage the product management process from backlog grooming, roadmapping, including initiative and feature prioritization, in collaboration with colleagues from engineering and architecture. Drive the roadmap and execution from MVP to significant scale.
* Manage upstream and downstream dependency requests and timelines.
* Create product requirements document based on the strategy, dependencies, long\-term vision and customer needs and review and refine it with the architecture and PD team
* Drive technology and functional maturity of reusable platform components
* Communicate and coordinate with the program management team.
* Work closely with architects and engineers to design secure and high\-scale solutions that are easy for Intuit’s customer\-facing teams to integrate and deploy.
* Take a data driven approach in defining success metrics, prioritizing requirements, and communicating plan, progress and success
* Experimenting with data to influence business outcomes.
* Partner with program management to nail project execution and delivery by managing dependencies and plans across different services and teams.
* Spend time with end\-users to understand their pain points, gather insights on how we can solve some of those big customer problems in a delightful way.
* Represent the team in presentations, meetings, customer and partner events internally and externally
**Qualifications**
* Bachelor's degree in Engineering, Computer Science, or related field
* 5\+ years of experience in product management or related field
* Deep understanding of product management processes.
* Strong written and verbal communication skills
* Track record and prior experience working in platform PM roles, and in delivering platform capabilities that serve enterprise needs.
* Demonstrable technical depth in SaaS software development \- ie reading code, architecture and design discussions \- with strong engagement with engineering and architecture teams
* Data curious; taking data driven approach and delivering impactful business results
* AI competency \- readying platform capabilities for an AI\-first world
* Proven experience in defining big visions and inspiring teams to deliver new innovations and impactful products
* Track record of working closely with customers, partners, listening and taking a customer\-focused approach to strategy and priorities \- passion for the customer
* Excellent collaboration skills \- leading execution across teams, influencing across organizations
* Domain knowledge in Income Tax, FinTech, Payments, and Tax Compliance is advantageous, though not mandatory.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Southern California $ 169,000\- 229,000</t>
        </is>
      </c>
    </row>
    <row r="37">
      <c r="A37" t="inlineStr">
        <is>
          <t>li-4359900928</t>
        </is>
      </c>
      <c r="B37" t="inlineStr">
        <is>
          <t>Product Manager- Claims</t>
        </is>
      </c>
      <c r="C37" t="inlineStr">
        <is>
          <t>Berkley Technology Services</t>
        </is>
      </c>
      <c r="D37" t="inlineStr">
        <is>
          <t>linkedin</t>
        </is>
      </c>
      <c r="E37" t="inlineStr"/>
      <c r="F37" t="inlineStr"/>
      <c r="G37" t="inlineStr">
        <is>
          <t>Manassas, VA</t>
        </is>
      </c>
      <c r="H37" t="inlineStr"/>
      <c r="I37" t="inlineStr">
        <is>
          <t>**Company Details**
 Company URL: https://www.berkleytechnologyservices.com/
 Berkley Technology Services (BTS) is the dynamic technology solution for W. R. Berkley Corporation, a Fortune 500 Commercial Lines Insurance Company. With key locations in Urbandale, IA and Wilmington, DE, BTS provides innovative and customer\-focused IT solutions to the majority of WRBC’s 60\+ operating units across the globe. BTS’s wide reach ensures that ideas and opinions are considered at every level of the organization to guarantee we find the best solutions possible.
 Driven by a commitment to collaboration, BTS acts as consultants to our customers and Operating Units by providing comprehensive solutions that not only address the challenge at hand, but proactively plan for the “ What’s Next ” in our industry and beyond.
 With a culture centered on innovation and entrepreneurial spirit, BTS stands as a community of technology leaders with eyes toward the future \-\- leaders who truly care about growing not only their team members, but themselves, and take pride in their employees who shine. BTS offers endless ways to get involved and have the chance to grow your career into a wide range of roles you'd never known existed. Come join us as we push forward into the future of industry leading technological solutions.
 Berkley Technology Services: Right Team, Right Technology, Simple and Secure.
**Responsibilities**
 As a
 **Product Manager** 
 , you will be responsible for building software products that delight our customers and advance our business interests. Specifically, you will own the vision, strategy, design, and execution of a technology product, while also building consensus across your stakeholders and teammates.
 Beyond that, we’re looking for someone with a high degree of ownership. And the way we tend to define ownership is in terms of your willingness to look critically at yourself and make changes. Problems are inevitable, and you are going to fail a lot. We are looking for people who will take responsibility for failures, learn from them, and reinvest that learning in their work.
* Delivering Results . You will curate the best ideas, hypothesize their value, and implement the most promising of them. You will constantly re\-assess what we have built to make sure we are realizing actual value.
* Focusing on the Data . You will establish OKRs that define our goals and quantify our results. You will regularly review your indicators for actionable insights and you will host OKR Reviews to create cross\-functional alignment.
* Understanding Our Customers . You will keep yourself and our team highly exposed to customer feedback. You will use this exposure to anticipate customer needs and constantly improve their experiences.
* Saying No . You will help us choose the right problem to solve next. You will consistently weigh short and long term trade\-offs while keeping a healthy bias toward the long term.
* Challenging Status Quo . For various processes, you will understand what we do and why we do it. Then you will work across Business, Operations, Design, Data, and Engineering teams to reimagine how.
**Qualifications**
* Experience driving product vision, go\-to\-market strategy, and design discussions
* Experience with product discovery techniques, such as A/B testing and canary releases
* Experiences setting objectives and key results
* Experience serving as the product owner for an agile team
* Demonstrated ability to empower teams with context
* Proven record building strong stakeholder relationships
* Knowledge of data structures, algorithms, and computing fundamentals (preferred)
* Bachelor’s degree with emphasis in related field or equivalent experience.
 Behavioral Core Competencies
* Critical Thinking (E)
* Results Oriented (E)
* Personal Ownership (E)
* Business Knowledge (E)
* Customer Service Oriented (A)
* Strategic (A)
**Sponsorship Details**
 Sponsorship not Offered for this Role</t>
        </is>
      </c>
    </row>
    <row r="38">
      <c r="A38" t="inlineStr">
        <is>
          <t>li-4293110879</t>
        </is>
      </c>
      <c r="B38" t="inlineStr">
        <is>
          <t>Technical Program Manager 6 - Ads</t>
        </is>
      </c>
      <c r="C38" t="inlineStr">
        <is>
          <t>Netflix</t>
        </is>
      </c>
      <c r="D38" t="inlineStr">
        <is>
          <t>linkedin</t>
        </is>
      </c>
      <c r="E38" t="inlineStr"/>
      <c r="F38" t="inlineStr"/>
      <c r="G38" t="inlineStr">
        <is>
          <t>Los Angeles, CA</t>
        </is>
      </c>
      <c r="H38" t="inlineStr"/>
      <c r="I38"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We launched a new ad\-supported tier in November 2022 to offer our members more choice in how they consume their content. Our new tier allows us to attract new members at a lower price point, while also creating a compelling path for advertisers to reach audiences that are deeply engaged.
**Our Team**
 The Ads Platform team builds the advertising systems and integrations that power the delivery of ads using our world\-class content delivery ecosystem. We deliver ads in a manner that’s thoughtful of our members’ viewing experience and drive great outcomes for advertisers. Our team is new and yet faced with the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help us differentiate from the competition and become a market leader in record time.
 We are looking for a Technical Program Manager with Ads domain experience to drive high impact cross\-functional ads programs. This role requires strong collaboration with product, engineering, data science, business, peer technical program managers and senior leadership to drive, execute, track and deliver high impact strategic programs in the Ads space.
**Responsibilities**
* Lead multiple complex cross\-functional programs, in collaboration with product, engineering, design, and data science, that deliver technical solutions.
* Provide deep domain expertise to form sound technical strategies with engineering partners.
* Drive clarity and engagement with cross\-functional partners to align roadmaps and weigh in on relative priority.
* Work to decompose requirements into technical execution plans with measurable milestones, effectively optimize scope and schedule, manage cross\-functional dependencies, and proactively manage risks.
* Leverage the insights and experience from this work to influence the improvement of underlying technologies, architectures, and operations.
* Craft clear communication of progress toward goals, reporting status to stakeholders and leadership.
**Requirements**
* 10\+ years of technical program management experience
* Deep Ads Domain Expertise: Experience leading complex, greenfield initiatives in the advertising space, including launching new ad products, integrating ads into streaming, and/or building ad enablement capabilities from the ground up.
* Proven experience driving large\-scale software projects, managing the definition of technical strategies, and building long\-term scalable solutions
* Deep understanding and point of view on product growth and discovery solutions
* Highly skilled, experienced, and enjoys orchestrating multiple programs with many moving parts and creating partnerships with cross\-functional teams
* Able to identify gaps in solutions, debate technical approaches, and weigh in on product vs. technology tradeoffs
* Excellent written and verbal communication skills, including the ability to clearly articulate business impact and technical constraints tailored to the audience
* Self\-starter who enjoys tackling 0 to 1 problem spaces and quickly bringing organization and direction
* Exemplify the Netflix culture by understanding, advocating, and demonstrating its values.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39">
      <c r="A39" t="inlineStr">
        <is>
          <t>li-4359913424</t>
        </is>
      </c>
      <c r="B39" t="inlineStr">
        <is>
          <t>Principal Product Manager - Digital Experiences (Mailchimp)</t>
        </is>
      </c>
      <c r="C39" t="inlineStr">
        <is>
          <t>Intuit</t>
        </is>
      </c>
      <c r="D39" t="inlineStr">
        <is>
          <t>linkedin</t>
        </is>
      </c>
      <c r="E39" t="inlineStr"/>
      <c r="F39" t="inlineStr"/>
      <c r="G39" t="inlineStr">
        <is>
          <t>San Diego, CA</t>
        </is>
      </c>
      <c r="H39" t="inlineStr"/>
      <c r="I39" t="inlineStr">
        <is>
          <t>**Overview**
 Mailchimp is a global leader in marketing automation, empowering millions of small businesses to grow through smarter marketing and customer engagement
 Join Intuit’s Customer Success Digital Organization as a Principal Product Manager leading Mailchimp digital experiences. In this role you will work with a team of product and platform product management, design, and analytics professionals in a fast\-paced and collaborative environment driving experiences that answer customer questions and elevate Intuit Mailchimp offerings when and where it matters the most.
**Responsibilities**
* Product Vision \&amp; Strategy: Drive a bold and innovative digital\-first vision for the future, broken down into MVP experiences to quickly learn and iterate based on data and customer feedback. Establish strategy, roadmaps, and requirements, aligning teams for execution.
* Customer Focus: Develop deep customer empathy through immersion in customer research. Transform insights into a roadmap of innovative solutions that address key customer pain points and drive business outcomes
* Cross\-functional Leadership: Align the team, executives, and stakeholders around a bold vision with a digital first strategy
* Execution Excellence: Work with the product and platform teams to align roadmaps, priorities and drive E2E experiences that deliver value to our customers. Reduce RTB leveraging platform and AI capabilities shifting efforts into high value initiatives
* Performance Monitoring: Establish and track key performance indicators (KPIs) to assess the efficacy of the work delivered. Report on business performance and make data\-driven adjustments as necessary
**Qualifications**
* Experience: 8\+ years in Product Management with a proven track record of driving strategy, programs, projects, and requirements reimagining help and customer success experiences, in technology\-driven service environments.
* Leadership: Demonstrated ability to lead cross\-functional teams and drive transformational change. Experience partnering with teams to define, build, and deliver bold innovation through experiences that are critical to user growth, engagement, and retention. Strong partnership and influence skill \- driving prioritization and feature requirements to product and platform teams. Self\-aware with a strong desire to learn and continuously improve.
* Customer Centricity: Passionate about understanding customer needs and translating them into actionable customer\-backed digital first solutions.
* Operational Excellence: Strong operational acumen with the ability to implement processes that drive efficiency and scale. Capable of decomposing a big vision into bite\-size milestones. Experience in navigating high levels of ambiguity and visibility
* Communication Skills: Excellent verbal and written communication skills, with the ability to influence and inspire at all organizational levels
* Technical Proficiency: Strong understanding of technical concepts, platform requirements, and the ability to work closely with engineering teams to deliver scalable solutions. AI \&amp; ML experience in product offerings/experiences a plus
* Educational Background: Bachelor's degree in Business, Technology or a related field required. MBA, MS or advanced degree preferred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Southern California \- $213,500 \- $288,500
 Bay Area California \- $236,000 \- $319,000</t>
        </is>
      </c>
    </row>
    <row r="40">
      <c r="A40" t="inlineStr">
        <is>
          <t>li-4374972947</t>
        </is>
      </c>
      <c r="B40" t="inlineStr">
        <is>
          <t>Senior Product Manager, Retention &amp; Rewards - Bold.org</t>
        </is>
      </c>
      <c r="C40" t="inlineStr">
        <is>
          <t>RemoteHunter</t>
        </is>
      </c>
      <c r="D40" t="inlineStr">
        <is>
          <t>linkedin</t>
        </is>
      </c>
      <c r="E40" t="inlineStr"/>
      <c r="F40" t="inlineStr"/>
      <c r="G40" t="inlineStr"/>
      <c r="H40" t="inlineStr"/>
      <c r="I40" t="inlineStr">
        <is>
          <t>About the Opportunity:
 The organization is a rapidly growing student fintech platform in the United States focused on fighting student debt. The team serves millions of students and develops products at the intersection of fintech, education, philanthropy, and payments to expand access to education. The Senior Product Manager, Retention \&amp; Rewards, will lead strategy and execution to grow student monthly active users (MAUs) by managing key drivers such as the Rewards system, browser plugin, mobile app, and lifecycle notifications.
 Responsibilities:
 • Own strategy and execution for growing student MAUs and retention across lifecycle milestones
 • Manage Rewards system strategy, roadmap, and execution including earning, redemption, ledger experience, and expansion
 • Oversee engagement surfaces: mobile app, browser plugin, in\-app notifications, and lifecycle messaging
 • Develop Klaviyo strategy for student lifecycle flows: activation, retention, reminders, re\-engagement
 • Implement in\-product nudges, notifications, and engagement loops via push, SMS, email, and in\-app channels
 • Collaborate cross\-functionally with engineering, operations, design, and marketing to deliver features enhancing habit formation and engagement
 • Conduct experimentation and analytics to identify high\-impact retention opportunities
 • Provide strategic guidance on product decisions affecting long\-term student value, support load, and economics
 • Apply platform\-wide thinking on interactions among Rewards, plugin usage, and scholarship flow to sustain MAUs
 Requirements:
 • Proven success as a retention, rewards, or lifecycle product manager, preferably in consumer\-facing or fintech environments
 • Proficiency in SQL and strong analytical skills to build dashboards and data models for decision\-making
 • Experience working closely with engineering, operations, design, lifecycle, and marketing teams
 • Demonstrated project leadership driving end\-to\-end initiatives in fast\-growing settings
 • Familiarity with notifications, plugin adoption, lifecycle messaging, or rewards systems is highly desirable
 • Clear, simple, and considerate communication skills
 • Ability to simplify complex retention mechanics into intuitive product experiences
 • Comfortable operating in ambiguity with a builder’s mindset and creating solutions from scratch
 • Ability to work as a high\-performing individual contributor with deep focus and rapid learning
 • Positive and supportive team attitude
 Benefits \&amp; Perks:
 • Fully remote work environment allowing flexible scheduling
 • Medical, dental, and vision insurance
 • Unlimited paid time off
 Compensation:
 • Compensation packages include base salary and equity designed for both short\- and long\-term career fulfillment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1">
      <c r="A41" t="inlineStr">
        <is>
          <t>li-4283795882</t>
        </is>
      </c>
      <c r="B41" t="inlineStr">
        <is>
          <t>Staff Product Manager: Ad Campaign Recommendations and Opti-Score</t>
        </is>
      </c>
      <c r="C41" t="inlineStr">
        <is>
          <t>Reddit, Inc.</t>
        </is>
      </c>
      <c r="D41" t="inlineStr">
        <is>
          <t>linkedin</t>
        </is>
      </c>
      <c r="E41" t="inlineStr"/>
      <c r="F41" t="inlineStr"/>
      <c r="G41" t="inlineStr"/>
      <c r="H41" t="inlineStr"/>
      <c r="I41"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121 million daily active unique visitors, Reddit is one of the internet’s largest sources of information. For more information, visit www.redditinc.com.
**Team Description**
 The Reddit Ads team is poised to innovate and grow rapidly like never before. This is a unique opportunity to join a high\-performing team that will shape how we monetize the Reddit platform and help connect Redditors with brands they love.
 The Recommendations team builds automated advertising products that drive performance across the full funnel. Our goal is to abstract complexity for advertisers—allowing them to bring budget and creative, while our systems handle targeting, bidding, delivery, and optimization. In parallel, we equip advertisers and Reddit’s sales team with transparent controls, insights, and measurement to confidently optimize campaigns, whether the objective is upper\-funnel reach and frequency or lower\-funnel outcomes like ROAS, app installs, and purchases.
**Role Description**
 We are seeking a Product Manager to lead and own our Ad Recommendations \&amp; Optimization Score (Opti\-Score) charter—one of the most impactful growth areas within Reddit Ads. You will own the vision, strategy, and roadmap for how advertisers discover and act on recommendations that improve campaign performance across the full funnel.
 Partnering closely with Ads platform teams (including Ads Manager, Signals, Targeting, Retrieval, Reporting, and Optimization), you will build scalable recommendation and scoring products that help both brand and performance advertisers drive reach, efficiency, and ROAS.
 You will collaborate cross\-functionally with engineering, design, data science, sales, and marketing to deliver high\-impact products that create measurable value for advertisers while supporting a high\-quality user experience on Reddit
 In this role, you will have significant ownership and responsibility in shaping Reddit’s overall ads automation and monetization strategy.
**Responsibilities**
* Product Strategy \&amp; vision: Define and own the long\-term vision and strategy for Recommendations (including Reddit’s version of Opti\-Score), aligning it with broader business goals and market trends around ads recommendations in the industry.
* Requirements gathering: Gather insights from advertisers, agencies, and sales to understand their pain points and needs. Translate these insights into innovative Recommendations products that make optimizing budgets and creative easy so advertisers and sales teams get more of what they want: reach, video views, clicks, conversions, and app installs.
* Leadership: Be the owner and champion of Reddit’s Recommendations products. Define and own the opti\-score that makes it easy for our advertisers and Sales team to set up performant campaigns across verticals. Drive energy and excitement for the product area within the organization and help all cross\-functional teams deliver holistic solutions that make advertisers successful.
* Roadmap Ownership: Build and scale Recommendations solutions that leverage Reddit’s unique data, driving efficiency and value for advertisers. Develop, prioritize, maintain, and execute the product roadmap across all Reddit teams, balancing short\-term wins with long\-term innovation.
* Driving execution: Choose success metrics, set goals, own Opt\-Score (e.g. Reddit’s Campaign and Account health scores), and create accountability within the company. Help our teams deliver against the roadmap.
* Cross\-Functional Collaboration: Work closely with engineering, data science, design, user research, sales, marketing, legal, and other teams to ensure smooth product development. Act as the glue that keeps stakeholders aligned and on track.
* Communication: As a senior member of the Product Management team and the product owner of a business line, you’ll regularly communicate across functions and the entire ads team, including frequently presenting to C\-level executives.
* Market Analysis: Stay current with the latest trends, technologies, and competitive landscape in the fast\-moving world of ad recommendations to inform product decisions.
**Required Qualifications**
* 8\+ years of product management experience, with at least 4 years within AdTech
* End\-to\-end experience with building Recommendations advertising solutions (for ex: Google OptiScore)
* Strong depth of understanding with Machine Learning, and experience driving strategy for ML based AdTech products
* A track record of developing and championing product strategy and vision with quantifiable business impact
* A compelling influencer with demonstrated experience working with Sales \&amp; Marketing teams, along with other cross functional teams to drive alignment, leveraging strong communication and interpersonal skills.
* Exceptional analytical and problem\-solving skills.
* Strong organizational and execution skills.
* Technical degree (computer science, engineering, mathematics, economics or related field)
**Preferred Qualifications**
* Deep experience with Machine Learning is a strong plus
* Proven experience working on large initiatives, across teams, and on highly cross\-functional products
**Benefits**
* 100% remote (offices based in NY, SF \&amp; Chicago if you prefer hybrid/in office)
* Comprehensive Healthcare Benefits
* 401k Matching
* Workspace benefits for your home office
* Personal \&amp; Professional development funds
* Family Planning Support
* Flexible Vacation \&amp; Reddit Global Wellness Days
* 4\+ months of paid Parental Leave
* Paid Volunteer time off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42">
      <c r="A42" t="inlineStr">
        <is>
          <t>li-4334259869</t>
        </is>
      </c>
      <c r="B42" t="inlineStr">
        <is>
          <t>Lead Product Manager, Token</t>
        </is>
      </c>
      <c r="C42" t="inlineStr">
        <is>
          <t>Circle</t>
        </is>
      </c>
      <c r="D42" t="inlineStr">
        <is>
          <t>linkedin</t>
        </is>
      </c>
      <c r="E42" t="inlineStr"/>
      <c r="F42" t="inlineStr"/>
      <c r="G42" t="inlineStr">
        <is>
          <t>Portland, Oregon Metropolitan Area</t>
        </is>
      </c>
      <c r="H42" t="inlineStr"/>
      <c r="I42" t="inlineStr">
        <is>
          <t>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and diverse work environment where new ideas are encouraged and everyone is a stakeholder.
 What you’ll be part of
 Circle is building the internet of money. Our mission is to enable value to move globally, instantly, and cost\-effectively — the same way information moves today. Through USDC, CCTP, and Arc, we’re building the infrastructure that allows developers, institutions, and users to transact, build, and govern in a new financial internet.
 We operate with high integrity, a multistakeholder mindset, and a relentless focus on execution. Our culture values curiosity, transparency, and future\-forward thinking every Circler is a stakeholder in shaping an open, inclusive, and scalable financial system.
 What you’ll be responsible for
 Circle is seeking a Lead Product Manager, Token within the Arc product team to define and lead the exploration of utility token opportunities for the Arc ecosystem. This individual will help Circle shape the economic model, governance framework, and feature design of a potential native token on the Arc network.
 You will work cross\-functionally with Product, Business, Engineering, Data, Treasury, Legal, and Policy teams as we explore potential token design mechanisms — from validator and staking models to community participation, incentive structures, and governance evolution.
 This role sits at the intersection of economics, onchain governance, and ecosystem design, and is central to Circle’s vision for a new financial internet.
**What You’ll Work On**
* Design a potential token and governance architecture: Develop and contribute to a potential token design, tokenomics and phased roadmap for Arc and related ecosystem parties.
* Model economic systems and incentive structures: Create simulations and scenario analyses to evaluate token distributions, validator rewards, staking mechanisms, and incentive structures that drive usage of the Arc network.
* Operationalize governance frameworks: Define systems, tooling, and processes for onchain and offchain governance — from proposal frameworks to validator councils and community engagement.
* Collaborate cross\-functionally: Partner with Circle’s Product, Legal, Policy, and Treasury teams to ensure regulatory alignment and financial soundness.
* Engage the broader community: Develop documentation, playbooks, and forums to educate and activate participants — from developers to institutions to users.
* Benchmark and research: Continuously analyze market\-leading governance systems, token designs, and economic mechanisms to inform Circle’s approach.
****What you’ll bring to Circle****
* 5\+ years of experience across crypto research, token design, protocol economics, or governance operations.
* Deep understanding of tokenomics, game theory, and token governance.
* Strong analytical skills; experience running financial or economic models for token ecosystems.
* Proven ability to manage complex, cross\-functional workstreams — influencing without authority.
* Ability to distill technical concepts into clear frameworks and communications.
* Strategic mindset with bias toward execution and measurable ecosystem outcomes.
* Experience with onchain protocols or staking economics strongly preferred.
* Exceptional written and verbal communication skills.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$157,500 \- $207,500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43">
      <c r="A43" t="inlineStr">
        <is>
          <t>li-4344899902</t>
        </is>
      </c>
      <c r="B43" t="inlineStr">
        <is>
          <t>Product Manager, Online Protection Solutions</t>
        </is>
      </c>
      <c r="C43" t="inlineStr">
        <is>
          <t>Emerson</t>
        </is>
      </c>
      <c r="D43" t="inlineStr">
        <is>
          <t>linkedin</t>
        </is>
      </c>
      <c r="E43" t="inlineStr"/>
      <c r="F43" t="inlineStr"/>
      <c r="G43" t="inlineStr">
        <is>
          <t>Knoxville, TN</t>
        </is>
      </c>
      <c r="H43" t="inlineStr"/>
      <c r="I43" t="inlineStr">
        <is>
          <t>**Job Description**
 Zur Verstärkung unseres Teams suchen wir einen engagierten Portfolio\-Produktmanager, der für die Produktlinien Online\-Schutz und Sensoren verantwortet. Weiterhin verantwortest du die Portfoliostrategie, setzt die Prioritäten der Produktentwicklung und steuerst die kommerzielle Umsetzung, um Wachstum und Rentabilität für Online Protection Solutions zu steigern. Online Protection Systems überwachen kritische rotierende Anlagen wie Turbomaschinen und verfügen über Abschaltlogik, um katastrophale Maschinenausfälle zu verhindern. Für diese Position bringst du umfassende Erfahrung mit solchen Systemen mit.
**In dieser Rolle sind Sie für folgende Aufgaben verantwortlich:**
**Marktforschung \&amp; Strategie (25 %)**
* Beobachtung globaler Markttrends, des Wettbewerbsumfelds und der Preiserwartungen.
* Definition differenzierender Wertversprechen und der Zielpositionierung für Emerson.
* Einholung von Kundenfeedback zur Ableitung von Entwicklungsschwerpunkten und zur Sicherstellung einer ausgewogenen Epic\-Priorisierung.
**Produktdefinition, Planung \&amp; Lifecycle\-Management (35 %)**
* Sicherstellung der kommerziellen Verfügbarkeit der Produkte über den gesamten Produktlebenszyklus hinweg.
* Optimierung des Optionsmixes zur Steigerung der Vertriebseffizienz und Reduzierung der SKU\-Komplexität.
* Unterstützung bei der Überprüfung von Kundensupport\-Tickets sowie Bereitstellung von Marketing\-Input.
* Steuerung von Änderungen der Lebenszyklusphasen, einschließlich der Produktabkündigung.
* Definition von Use Cases und Anforderungen gemeinsam mit Kunden und Fachexperten.
* Erstellung von Direction Statements sowie Verfeinerung von Epics, Features und User Stories in Zusammenarbeit mit Product Ownern.
* Zusammenarbeit mit Technologieteams zur Priorisierung von Fehlerbehebungen und Erweiterungen für Releases.
* Entwicklung von Plattform\- und Integrationsstrategien \- einschließlich Drittanbieterkomponenten \- zur Sicherstellung von Geschwindigkeit, Rentabilität und Flexibilität.
* Leitung der Business\-Case\-Modellierung, Gate Reviews und Programm\-Updates.
* Entwicklung von Kommerzialisierungs\- und Markteinführungsplänen für neue Produkte.
**Kommerzielle Strategie \&amp; Umsetzung (40 %)**
* Bereitstellung vierteljährlicher Updates zur Produktperformance, zur Vertriebspipeline und zu wesentlichen Erfolgen.
* Aufbau und Berichterstattung von Portfolio\-Wachstumsmodellen sowie Leitung von Business\-Planning\-Reviews.
* Fungiert als Ansprechpartner für Vertriebsinitiativen, Kundentermine und interne Prozesse.
* Definition und Unterstützung der Umsetzung von Marketingprogramm\-Prioritäten und Kernbotschaften.
* Pflege von Beziehungen zu Drittanbietern, die Hardware\- und Softwarekomponenten unterstützen.
**Ihr Profil**
 Eine kollaborative, strategisch denkende Persönlichkeit mit ausgeprägten technischen und kaufmännischen Fähigkeiten. Ausgezeichnete Fähigkeit, funktionsübergreifende Teams zu beeinflussen, Kunden aktiv einzubinden und Markterkenntnisse in eine umsetzbare Produktstrategie zu überführen.
**Für diese Position werden folgende Qualifikationen benötigt:**
* Abgeschlossenes Bachelorstudium im Bereich Marketing oder Ingenieurwesen.
* Mindestens 5 Jahre Erfahrung im Software\-Produktmanagement, Vertrieb, Application Engineering oder in der Technologieentwicklung.
* Umfangreiche Erfahrung als Lieferant, Anwender oder Dienstleister für Online Protection Systems.
* Ausgeprägte Fähigkeit, konstruktive funktionsübergreifende Partnerschaften aufzubauen und Ergebnisse zu beeinflussen.
* Sehr gute mündliche und schriftliche Kommunikationsfähigkeiten.
* Starke technische, strategische und finanzielle Kompetenzen.
* Positive und kooperative Arbeitsweise.
* Fähigkeit, starke Kunden\- und Vertriebspartnerbeziehungen aufzubauen und langfristig zu pflegen.
* Erfahrung mit Fertigungsanlagen, Anlagenzuverlässigkeit, industrieller Automatisierung oder industrieller Software.
**Bevorzugte Qualifikationen, die Sie auszeichnen:**
* MBA von Vorteil.
**Unser Angebot an Sie**
 Bei Emerson legen wir großen Wert auf ein Arbeitsumfeld, in dem jede Mitarbeiterin und jeder Mitarbeiter geschätzt, respektiert und in seiner Entwicklung gefördert wird. Wir schaffen eine Kultur, die Innovation, Zusammenarbeit und vielfältige Perspektiven unterstützt \- denn wir sind überzeugt, dass großartige Ideen aus starken Teams entstehen. Unser Engagement für kontinuierliche Weiterentwicklung und eine inklusive Unternehmenskultur stellt sicher, dass Sie die Unterstützung erhalten, die Sie für Ihren Erfolg benötigen. Ob durch Mentoring, Trainings oder Führungsmöglichkeiten – wir investieren in Ihren Erfolg, damit Sie nachhaltig Wirkung erzielen können. Wir glauben, dass vielfältige Teams, die gemeinsam arbeiten, der Schlüssel zu Wachstum und nachhaltigen Geschäftsergebnissen sind.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row>
    <row r="44">
      <c r="A44" t="inlineStr">
        <is>
          <t>li-4345296970</t>
        </is>
      </c>
      <c r="B44" t="inlineStr">
        <is>
          <t>Technical Program Manager, Ranking AI</t>
        </is>
      </c>
      <c r="C44" t="inlineStr">
        <is>
          <t>Meta</t>
        </is>
      </c>
      <c r="D44" t="inlineStr">
        <is>
          <t>linkedin</t>
        </is>
      </c>
      <c r="E44" t="inlineStr"/>
      <c r="F44" t="inlineStr"/>
      <c r="G44" t="inlineStr">
        <is>
          <t>Sunnyvale, CA</t>
        </is>
      </c>
      <c r="H44" t="inlineStr"/>
      <c r="I44" t="inlineStr">
        <is>
          <t>The Meta Technical Program Management (TPM) community is pioneering technologies to bring people (and businesses) closer together at a global scale. TPMs work at the cross\-section between technical execution and business strategy and are expected to partner closely with Engineering and Product teams. Being a TPM at Meta means driving impact by delivering measurable results across a wide range of areas. You'll be responsible for defining and guiding high\-level goals and roadmaps, monitoring and communicating progress, and defining functional requirements for new products and features. It also means having a solid technical background, understanding system architecture, and the experience to effectively collaborate across functions and organizations to deliver impact.As a Technical Program Manager (TPM), for the Monetization Ranking and Foundations AI team, you will be responsible for delivering significant business value through ML innovations and development of State of the Art Ads Recommendation technologies. You will work with Infra and ML Ranking teams of experienced ML engineers, product managers, data scientists, and other cross\-functional team members to build state of the art Modeling techniques and build effective tools (and strategy) to streamline model productionization process while holding a high quality bar.You will efficiently communicate progress and lead program execution by collaborating across functions and organizations to achieve business objectives. As a key team member, you will help shape technical strategy, guide system architecture discussions, and make decisions that support long\-term product strategy and vision.
 Technical Program Manager, Ranking AI Responsibilities:
* Develop and manage end\-to\-end technical AI/ML product solutions and ensure on\-time delivery
* Manage and own cross\-functional products and programs execution in a matrix organization
* Drive and influence technical and product strategy, proactively identify risks and develop mitigation strategies, align on priorities, and set direction for a broadly cross\-functional area
* Help define the roadmap and long\-term strategy of the teams that you are working with
* Design measurements to track impact and drive internal process improvements
* Effectively communicate the technology, requirements, goals, and milestones of your team
* Move fast in a flat organization by working in concert with technical program managers, product managers and engineers across Meta to establish a shared vision for improving execution and building solutions
* Ongoing communication of planning, project status, issues and risks in a timely fashion to stakeholders
* Help drive product decisions to align with higher company initiative
 Minimum Qualifications:
* Bachelor of Computer Science or a related technical discipline, or equivalent experience
* 7\+ years of software engineering, systems engineering, hardware engineering, or technical product/program management experience
* Communication experience and experience working with technical management teams to develop systems, solutions, and products
* Experience delivering tech programs or products from inception to delivery
* Knowledge of user needs, gathering requirements, and defining scope
* Experience collaborating across multiple teams and functions, demonstrated critical thinking, and thought leadership
* Organizational coordination experience and experience establishing work relationships across multi\-disciplinary teams and multiple partners in different time zones
* Analytical and problem\-solving experience with large\-scale systems
 Preferred Qualifications:
* Extensive knowledge of Recommender Systems (RecSys), Machine Learning (ML) and Artificial Intelligence (AI) concepts, including their impact on infrastructure
* Hands\-on experience building machine learning models and/or recommender systems, with the capacity to clearly explain foundational ML concepts
* Familiarity with ML development workflows, model lifecycle management, and experimentation frameworks
* Experience with AI training environments and resource capacity planning
* Knowledge of digital advertising platforms and ads monetization strategies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$140,000/year to $198,000/year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5">
      <c r="A45" t="inlineStr">
        <is>
          <t>li-4339328581</t>
        </is>
      </c>
      <c r="B45" t="inlineStr">
        <is>
          <t>Sr. Product Manager</t>
        </is>
      </c>
      <c r="C45" t="inlineStr">
        <is>
          <t>Supermicro</t>
        </is>
      </c>
      <c r="D45" t="inlineStr">
        <is>
          <t>linkedin</t>
        </is>
      </c>
      <c r="E45" t="inlineStr"/>
      <c r="F45" t="inlineStr"/>
      <c r="G45" t="inlineStr">
        <is>
          <t>San Jose, CA</t>
        </is>
      </c>
      <c r="H45" t="inlineStr"/>
      <c r="I45" t="inlineStr">
        <is>
          <t>****Job Req ID: 27888****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Supermicro is seeking a Sr. Product Manager who can lead the development and integration of server/workstation system products for cloud and data center infrastructure. This is a key product management role focused on server/storage product solutions where communication among remote teams and on\-site product leadership for our development teams is critical to develop and enable operations to fulfill roadmap expectation. In addition to developing new top\-of\-the\-line systems, product manager is expected to collaborate with marketing and sales departments to promote products and interact with customers directly to sell these products. As a product manager, you will use strong technical and communication skills towards product definition strategy for Supermicro's core product family including research into vertical\-based customer solutions and creation of aggressive go\-to market plan. Ultimately, Product Manager will become a core member of the server product management team and engage in technical, product deve
**Essential Duties And Responsibilities**
**Includes the following essential duties and responsibilities (other duties may also be assigned):**
* Develop product roadmap and lead the development and integration of GPU server/workstation system products
* Develop and deliver a clear strategy and partner closely with marketing, engineering, and business development to provide a complete server solution to customers
* Leverage strong technical background to create technical product requirements for cloud/data center infrastructure solutions based on customer requirements, industry trends and business requirements
* Engage with customers at various levels including senior executives, engineering, and product marketing to convey our capabilities and vision, and understand their challenges and requirements
* Escalate critical issues to high level management and vendors for solution as needed
* Develop training sessions to ensure sales awareness on Supermicro GPU solution offerings
**Qualifications**
* Bachelor or Master's degree in Computer Science, Electrical Engineering, or Computer Engineering with minimum of 8 years hands\-on experience in system/server architecture is desirable
* Demonstrated ability in product marketing and/or product management role, must have managed a number of products from initial concept through development, launch, and end\-of\-life
* Strong knowledge with computer/server architecture and GPU technology
* Exceptional communication and presentation skill is a must, able to communicate effectively with customers to promote, answer questions, and receive feedback
****Salary Range****
 $162,000 \- $182,000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46">
      <c r="A46" t="inlineStr">
        <is>
          <t>li-4334630528</t>
        </is>
      </c>
      <c r="B46" t="inlineStr">
        <is>
          <t>Sr. Product Manager - Supply Chain</t>
        </is>
      </c>
      <c r="C46" t="inlineStr">
        <is>
          <t>Supermicro</t>
        </is>
      </c>
      <c r="D46" t="inlineStr">
        <is>
          <t>linkedin</t>
        </is>
      </c>
      <c r="E46" t="inlineStr"/>
      <c r="F46" t="inlineStr"/>
      <c r="G46" t="inlineStr">
        <is>
          <t>San Jose, CA</t>
        </is>
      </c>
      <c r="H46" t="inlineStr"/>
      <c r="I46" t="inlineStr">
        <is>
          <t>****Job Req ID: 27956****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A brilliant opportunity exists for an outstanding individual capable of fitting into this very rewarding Sr. Product Manager \- Key Components role. As the market leader in professional server solutions, Supermicro is looking to hire someone who can bring added value to the team. This is a fast moving, emerging business, and successful candidates will be able to move and adapt quickly to changing needs, manage multiple initiatives, engage at all executive levels both inside Supermicro and with partners, and have a proven record of developing products as well as business model from the ground up. If you are dedicated, energetic and detail\-oriented, this could be the perfect role for you.
**Essential Duties And Responsibilities**
* Coordinate new technologies / product developments among vendor and internal product management team.
* Lead supplier negotiations including legal and contract management
* Perform market/industry research as necessary to support feature development
* Understand and manage the product life cycle from the stages of introduction, growth, maturity, and to the last, decline
* Work closely with engineering, supply chain, production, finance and effectively communicate internally and externally to drive decisions from cost and supply chain perspectives
* Collaborate with vendors to achieve various cost targets
* Manage vendor relationships and performance including quarterly business review and supplier score card
**Qualifications**
* Bachelor’s degree is preferred. Degree in technical field, MBA or relevant advanced degree is highly desirable
* Knowledge of server/workstation hardware business models preferred
* Minimum of 8 years’ experience in leadership of cross\-functional teams, ideally in hardware and software solution product management and marketing preferred
* Strong analytical, marketing and project management skills \- a drive for results and a history of successful execution on projects
* Strong communication skills and ability to help direct product development and presentation
* Ability to develop business relationships from scratch, both internal and external to Supermicro
****Salary Range****
 $110,000 \- $140,000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47">
      <c r="A47" t="inlineStr">
        <is>
          <t>li-4376364568</t>
        </is>
      </c>
      <c r="B47" t="inlineStr">
        <is>
          <t>Technical Program Manager IV- Remote</t>
        </is>
      </c>
      <c r="C47" t="inlineStr">
        <is>
          <t>North Star Staffing</t>
        </is>
      </c>
      <c r="D47" t="inlineStr">
        <is>
          <t>linkedin</t>
        </is>
      </c>
      <c r="E47" t="inlineStr"/>
      <c r="F47" t="inlineStr"/>
      <c r="G47" t="inlineStr">
        <is>
          <t>California, United States</t>
        </is>
      </c>
      <c r="H47" t="inlineStr"/>
      <c r="I47" t="inlineStr">
        <is>
          <t>* **Role:** 
 Technical Program Manager IV\- Remote
* **Location:** 
 100% Remote (Global)
* **Compensation:** 
 USD 95–115 per hour
**About the Role** 
 We are seeking a highly experienced Technical Program Manager to lead and optimize a portfolio of data science initiatives. This role sits at the intersection of analytics, strategic planning, and program management, ensuring data\-driven projects are aligned with business objectives and delivered with measurable impact.
 The ideal candidate brings strong technical fluency in analytics and modeling, combined with the leadership skills necessary to manage cross\-functional stakeholders and executive priorities.
**Key Responsibilities** 
 Portfolio Oversight \&amp; Strategic Alignment
* Drive execution and visibility across operational and transformative data science initiatives
* Partner with senior leadership to define long\-term strategy, priorities, and focus areas
* Align technical roadmaps with organizational OKRs and business objectives
* Develop executive\-ready reporting on milestones, KPIs, and success metrics
**Project Intake \&amp; Resource Management** 
* Design and streamline project intake frameworks
* Balance resources across multiple teams and initiatives
* Improve project throughput, timeline adherence, and delivery efficiency
* Identify and mitigate delivery risks proactively
**Analytical Leadership** 
* Leverage advanced analytics to extract insights from structured and unstructured data
* Guide teams on modeling approaches, analytical design, and data visualization standards
* Apply emerging quantitative techniques to strengthen research and business conclusions
* Ensure analytical rigor and technical excellence across initiatives
**Cross\-Functional Collaboration** 
* Partner with data scientists, engineers, product leaders, and executives
* Facilitate planning sessions and strategic discussions
* Drive alignment across technical and non\-technical stakeholders
* Ensure consistent communication across the organization
**Operational Excellence** 
* Track progress against KPIs and portfolio\-level objectives
* Support incident management and production\-related escalations
* Improve systems, workflows, and portfolio management tools
* Establish scalable program management best practices
**Required Qualifications** 
* 7–10 years of experience working with technical teams in data science, analytics, or program management
* Strong background in data analysis, modeling, and visualization
* Experience managing multiple concurrent technical projects
* Demonstrated ability to influence executive stakeholders
* Excellent written and verbal communication skills
* Strong strategic thinking and organizational prioritization skills
* Ability to thrive in high\-growth, fast\-paced environments
**Preferred Qualifications** 
* Experience managing large\-scale data science or AI portfolios
* Background in advanced analytics or quantitative research
* Familiarity with modern data ecosystems and experimentation frameworks
* Experience building or improving program management processes at scale
**Work Environment** 
* Fully remote role (California\-based preferred)
* Fast\-paced, high\-impact environment
* High visibility with senior leadership
**Equal Opportunity Statement** 
 We are an equal opportunity employer and consider all qualified applicants without regard to legally protected characteristics. Reasonable accommodations are available upon request in accordance with applicable laws.
**APPLY NOW!**</t>
        </is>
      </c>
    </row>
    <row r="48">
      <c r="A48" t="inlineStr">
        <is>
          <t>li-4320377602</t>
        </is>
      </c>
      <c r="B48" t="inlineStr">
        <is>
          <t>Sr. Technical Program Manager</t>
        </is>
      </c>
      <c r="C48" t="inlineStr">
        <is>
          <t>Alteryx</t>
        </is>
      </c>
      <c r="D48" t="inlineStr">
        <is>
          <t>linkedin</t>
        </is>
      </c>
      <c r="E48" t="inlineStr"/>
      <c r="F48" t="inlineStr"/>
      <c r="G48" t="inlineStr"/>
      <c r="H48" t="inlineStr"/>
      <c r="I48" t="inlineStr">
        <is>
          <t>We’re looking for problem solvers, innovators, and dreamers who are searching for anything but business as usual. Like us, you’re a high performer who’s an expert at your craft, constantly challenging the status quo. You value inclusivity and want to join a culture that empowers you to show up as your authentic self. You know that success hinges on commitment, that our differences make us stronger, and that the finish line is always sweeter when the whole team crosses together.
**Title: Senior Technical Program Manager**
**Location:** 
 Remote
**Position Overview**
 At Alteryx, we empower data\-driven breakthroughs. We're looking for a Senior Technical Program Manager to lead cross\-functional teams in building world\-class analytics products. You will use your advanced program and process management expertise to drive timely product delivery and ensure strategic alignment across engineering, product, and design teams. This role is ideal for someone with a deep understanding of Agile, exceptional communication skills, and a proactive, solutions\-oriented mindset.
**Key Responsibilities**
* Own end\-to\-end delivery of complex, cross\-team product initiatives, ensuring alignment to company goals and deadlines.
* Collaborate with product, engineering, and design leads to define project scope, milestones, and deliverables.
* Drive Agile ceremonies, including sprint planning, retrospectives, and demos; facilitate quarterly planning across teams.
* Develop and maintain project artifacts including roadmaps, dashboards, risk registers, and status reports in JIRA and Confluence.
* Monitor key delivery metrics and proactively identify and mitigate risks, blockers, or delays.
* Champion best practices in delivery operations, team health, and continuous improvement.
* Mentor junior PDPMs and contribute to scaling delivery excellence across the organization.
**Required Qualifications**
* 8\+ years of relevant experience in program or project management in software development environments.
* Strong proficiency in Agile frameworks (Scrum, SAFe, Kanban) and product lifecycle management.
* Expertise in JIRA, Confluence, and related delivery tracking tools.
* Proven track record of delivering complex software projects on time and within scope.
* Excellent communication, facilitation, and relationship\-building skills.
**Preferred Qualifications**
* Agile or Scrum certification (CSM, PMI\-ACP, SAFe, etc.)
* Experience in enterprise SaaS or data analytics platforms.
* Familiarity with OKR planning and reporting.
**Compensation**
 Alteryx is committed to fair, equitable, and transparent compensation. Final compensation will be determined by various factors such as your relevant work experience, education, certifications, skills, and geographic location.
 The salary range for this role in the United States is $125,000 \- $160,000\.
 Employees may also be eligible for a wide range of other benefits, such as a bonus or commission, medical, retirement, financial, wellness, time off, employee discounts, and others.
***Interested? Learn more and apply today at alteryx.com/careers!***
 Find yourself checking a lot of these boxes but doubting whether you should apply? At Alteryx, we support a growth mindset for our associates through all stages of their careers. If you meet some of the requirements and you share our values, we encourage you to apply. As part of our ongoing commitment to a diverse, equitable, and inclusive workplace, we’re invested in building teams with a wide variety of backgrounds, identities, and experiences.
**Benefits \&amp; Perks**
 Alteryx has amazing benefits for all Associates which can be viewed here.
 For roles in San Francisco and Los Angeles: Pursuant to the San Francisco Fair Chance Ordinance and the Los Angeles Fair Chance Initiative for Hiring, Alteryx will consider for employment qualified applicants with arrest and conviction records.
 This position involves access to software/technology that is subject to U.S. export controls. Any job offer made will be contingent upon the applicant’s capacity to serve in compliance with U.S. export controls.</t>
        </is>
      </c>
    </row>
    <row r="49">
      <c r="A49" t="inlineStr">
        <is>
          <t>li-4334259687</t>
        </is>
      </c>
      <c r="B49" t="inlineStr">
        <is>
          <t>Staff Data Center Product Manager</t>
        </is>
      </c>
      <c r="C49" t="inlineStr">
        <is>
          <t>Supermicro</t>
        </is>
      </c>
      <c r="D49" t="inlineStr">
        <is>
          <t>linkedin</t>
        </is>
      </c>
      <c r="E49" t="inlineStr"/>
      <c r="F49" t="inlineStr"/>
      <c r="G49" t="inlineStr">
        <is>
          <t>San Jose, CA</t>
        </is>
      </c>
      <c r="H49" t="inlineStr"/>
      <c r="I49" t="inlineStr">
        <is>
          <t>****Job Req ID: 27959****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Supermicro seeks a Staff Data Center Product Manager to lead the development and management of modular data center platforms, integrating compute, networking, power, and cooling for scalable AI and hyperscale solutions. The role requires technical and business expertise, driving collaboration across teams to deliver efficient, cost\-effective products for rapid deployment worldwide.
**Essential Duties And Responsibilities**
**Essential Duties and Responsibilities:**
* Oversee the product roadmap and lifecycle for Modular Data Centers / DCBBS from concept to production and ongoing improvement.
* Define architecture, configuration, and specifications for integrated mechanical, electrical, and control systems.
* Collaborate with engineering and design teams to meet global performance, safety, and compliance standards.
* Coordinate across departments to solve technical and logistical issues.
* Prepare product documentation like specifications, diagrams, models, BOMs, and interfaces.
* Create power and cooling density templates (e.g., 50 kW, 100 kW, 300 kW) for varied workloads.
* Work with manufacturing and supply chain to select vendors, cut costs, and optimize logistics.
* Analyze market and competitors to identify opportunities in modular data center architectures.
* Team up with sales and business development to convert customer needs into modular solutions.
* Manage planning, tracking, and risk mitigation for quality, on\-time delivery.
* Collect customer feedback from pilots and apply insights into product updates.
* Ensure compliance with industry standards like ASHRAE TC9\.9, NEC, IEC, Uptime Institute, and regional requirements.
* Help create technical documentation, proposals, and training for field and sales teams.
* Track product KPIs such as deployment time, cost per MW, and PUE improvements.
* Align product positioning and strategy with Supermicro’s data center offerings.
* Support customer engagements and presentations to highlight modular innovations.
**Additional Responsibilities**
* Give technical support for customer reviews, factory tests, and installations.
* Stay updated on data center tech, AI trends, and infrastructure policies to inform roadmap changes.
* Represent Supermicro in industry and technical forums on modular, sustainable data centers.
* Mentor junior staff working with the modular data center program.
**Qualifications**
 Qualifications Required:
* Bachelor's in Electrical or Mechanical Engineering; Master's in Engineering or Business a plus.
* 12\+ years in data center product management, infrastructure design, or modular system development.
* Strong knowledge of electrical (MV/LV, UPS, PDU, busway) and cooling systems (CDU, towers, dry coolers, rear\-door HX, liquid loops).
* Proven ability to deliver complex hardware products from concept to launch.
* Collaborative experience with engineering, supply chain, and construction teams.
* Supplier or vendor qualification for MEP systems.
* Excellent analytical, communication, leadership skills; adept at turning technical details into strategy.
* Project management, attention to detail, and urgency in dynamic environments.
* Willing to travel domestically/internationally up to 20%.
**Preferred Qualifications**
* Knowledge of 3D modeling tools (Revit, SolidWorks, CATIA)
* Understanding of sustainability metrics (energy reuse, PUE, water efficiency)
* Success in fast\-paced, cross\-regional teams
****Salary Range****
 $180,000 \- $210,000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50">
      <c r="A50" t="inlineStr">
        <is>
          <t>li-4376379766</t>
        </is>
      </c>
      <c r="B50" t="inlineStr">
        <is>
          <t>Program Manager, Academic Partnerships (Remote-West Coast)</t>
        </is>
      </c>
      <c r="C50" t="inlineStr">
        <is>
          <t>HBI (Home Builders Institute)</t>
        </is>
      </c>
      <c r="D50" t="inlineStr">
        <is>
          <t>linkedin</t>
        </is>
      </c>
      <c r="E50" t="inlineStr"/>
      <c r="F50" t="inlineStr"/>
      <c r="G50" t="inlineStr">
        <is>
          <t>Los Angeles, CA</t>
        </is>
      </c>
      <c r="H50" t="inlineStr"/>
      <c r="I50" t="inlineStr">
        <is>
          <t>GENERAL DESCRIPTION
 The Academic Partnerships Program Manager is responsible for generating revenue from the sale of HBI curricula and related services to schools, educational organizations, and other nonprofit training entities.
 **Please note: We are solely seeking applicants in the West Coast.** 
**ABOUT HBI:** 
 HBI has been training and educating America’s home construction workforce for more than 40 years. Our proven business model has helped countless individuals create long\-term career opportunities. Over the years, we have continued to build our program offerings and expand our footprint in the construction industry. From innovative initiatives to creative partnerships, we remain committed to building careers and changing lives.
 Our programs teach highly sought after technical construction trades and entrepreneurship to youth aged 16\-24 in our Job Corps programs, Military Services, our Academies, and programs for adults and youth operating behind the fence in correctional facilities.
**Apply by March 31, 2026** 
**ESSENTIAL DUTIES AND RESPONSIBILITIES** 
 The duties and responsibilities of the Program Manager, Academic Partnerships will include, but are not limited to:
**LEAD GENERATION/PRODUCTION:** 
* Implement sales processes and business development initiatives that help drive revenue growth and expansion in target markets – primarily schools, educational organizations, and other nonprofit training entities.
* Develop criteria for identifying relevant sales prospects and build a working database of suitable prospects.
* Establish productive relationships with relevant prospects through the implementation of effective sales, outreach, and development techniques.
* Drive curriculum licensing sales and related services to meet or exceed annual financial targets as established by management.
**STEWARDSHIP:** 
* Develop, implement and manage a customer relations, stewardship, recognition and retention program in support of the Industry \&amp; Academic partnerships team.
* Participate in key industry events to increase awareness of HBI’s brand and favorably position HBI to targeted audiences.
* Manage and cultivate ongoing relationships to identify and leverage revenue enhancement opportunities.
* Lead and manage identified grant funding initiatives through completion.
* Continual internal and external stakeholder engagement.
**ADMINISTRATION:** 
* Using departmental databases, maintain current records and notes on prospective and existing partners.
* Manage project budgets as assigned
* Compliance with funder reporting
* Perform other duties as required.
**WORKING RELATIONSHIPS** 
**Internal:** 
   Communicates with the Industry \&amp; Academic Partnerships team, Education Services/curriculum development, training staff, and other HBI staff at all levels.
**External:** 
   Communicates with school and career and technical education (CTE) administrators, public officials, trade organizations, industry professionals, and vendors.
**QUALIFICATIONS:** 
**Required:** 
 Bachelor’s Degree, or an equivalent combination of training, skills, and experience. A minimum of five (5\) years related experience. 
**Preferred:** 
* Demonstrated competence in relationship building and management.
* Experience in curriculum marketing and sales in schools and educational environments.
* Demonstrated experience and knowledge of secondary education systems.
* Excellent written, oral, and presentation skills.
* Exemplary problem\-solving and negotiation skills.
* Strong Interpersonal and diplomacy skills.
* Proficiency with MS Office (Word, Excel, PowerPoint, etc.)  Database experience is needed.
* Preference for candidates with Salesforce experience.
**WORKING CONDITIONS:** 
 Usual office\-type conditions.  Routine physical conditions include walking, carrying, standing, hearing/ listening, and sitting.
 HBI offers a competitive salary and benefits program.
 HBI is an equal opportunity/affirmative action employer.  All qualified applicants will receive consideration for employment without regard to race, color, religion, sex, national origin, disability, protected veteran status, sexual orientation, gender identity or any other protected characteristic as established by federal, state, or local law.</t>
        </is>
      </c>
    </row>
    <row r="51">
      <c r="A51" t="inlineStr">
        <is>
          <t>li-4350287878</t>
        </is>
      </c>
      <c r="B51" t="inlineStr">
        <is>
          <t>Senior Technical Program Manager</t>
        </is>
      </c>
      <c r="C51" t="inlineStr">
        <is>
          <t>Compass</t>
        </is>
      </c>
      <c r="D51" t="inlineStr">
        <is>
          <t>linkedin</t>
        </is>
      </c>
      <c r="E51" t="inlineStr"/>
      <c r="F51" t="inlineStr"/>
      <c r="G51" t="inlineStr">
        <is>
          <t>Seattle, WA</t>
        </is>
      </c>
      <c r="H51" t="inlineStr"/>
      <c r="I51" t="inlineStr">
        <is>
          <t>At Compass, our mission is to help everyone find their place in the world. Founded in 2012, we’re revolutionizing the real estate industry with our end\-to\-end platform that empowers residential real estate agents to deliver exceptional service to seller and buyer clients.
**About The Role**
 As a Senior Technical Program Manager, you will be the leading force and primary interface driving high\-impact initiatives across our entire Mobile Engineering organization. Your projects will range from deep technical improvements that our platform is built on, implementation of tools, processes and metrics. You will look for ways to standardize and ensure execution, efficiency, and consistency; resolve dependencies, evaluate technical risk, track progress, and set accountability for your initiatives while maintaining clear and fluid communication with high\-level stakeholders.
**At Compass You Will**
* Lead cross org mobile initiatives at Compass.
* Manage the full life cycle of key programs including coordination of detailed functional plans, communication with key stakeholders, and issue resolution. Create awareness of cross\-functional inter\-dependencies and establish prioritization for plan execution to minimize disruption on daily operations.
* Drive business critical planning and execution of high\-impact mobile initiatives, orchestrating cross\-functional launches of Agent and Client\-facing features ensuring mobile infrastructure stability and consistent feature delivery across the organization.
* Plan, manage, and deliver multiple technical programs that may span multiple organizations and locations (BOS, NY, DC, Seattle).
* Act as a key contributor to the agile practice at Compass and high\-level planning, both quarterly and yearly.
* Own KPIs for your programs and the mobile organization.
* Drive process improvements that optimize developer velocity and reduce the cost of mobile delivery across the organization.
* Create clarity and drive decision making with data and metrics through well\-written executive\-level and team\-level narratives.
**What We Look For**
* BS/MS in Computer Science.
* 5\+ years of Program Management experience in a large high pace tech environment.
* Strong verbal and written communication — excellent ability to influence stakeholders and leadership through data\-driven reporting.
* Proven track record of successful technical program management in high\-performance teams, directing initiatives across multiple teams and managers.
* Experience managing initiatives within large scale systems in rapid growth environments.
* Familiarity with modern software development practices and technologies (e.g containerization, microservices architecture, continuous integration, and delivery).
* Knowledge of AWS and modern cloud architectures as well as security platforms and frameworks
* Enjoy collaborating on threat modeling exercises to help drive better security outcomes
* Self\-drive and ability to create a sense of urgency in a fast\-paced, entrepreneurial environment.
**Compensation:** 
 The base pay range for this position is $102,000\-$154,000; however, base pay offered may vary depending on job\-related knowledge, skills, and experience. Bonuses and restricted stock units may be provided as part of the compensation package, in addition to a full range of benefits. Base pay is based on market location. Minimum wage for the position will always be met.
**Perks That You Need To Know About**
 Participation in our incentive programs (which may include eligible cash, equity, or commissions). Plus paid vacation, holidays, sick time, parental leave, and recharge leave; medical, tele\-health, dental and vision benefits; 401(k) plan; flexible spending accounts (FSAs); commuter program; life and disability insurance; Maven (a support system for new parents); Carrot (fertility benefits); UrbanSitter (caregiver referral network); Employee Assistance Program; and pet insurance.
**Do your best work, be your authentic self.**
 At Compass, we believe that everyone deserves to find their place in the world — a place where they feel like they belong, where they can be their authentic selves, where they can thrive. Our collaborative, energetic culture is grounded in our Compass Entrepreneurship Principles and our commitment to diversity, equity, inclusion, growth and mobility. As an equal opportunity employer, we offer competitive compensation packages, robust benefits and professional growth opportunities aimed at helping to improve our employees' lives and careers.
 Notice for California Applicants
 Los Angeles County Fair Chance Notice</t>
        </is>
      </c>
    </row>
    <row r="52">
      <c r="A52" t="inlineStr">
        <is>
          <t>li-4352315762</t>
        </is>
      </c>
      <c r="B52" t="inlineStr">
        <is>
          <t>Program Manager – Academic Transformation</t>
        </is>
      </c>
      <c r="C52" t="inlineStr">
        <is>
          <t>MGT</t>
        </is>
      </c>
      <c r="D52" t="inlineStr">
        <is>
          <t>linkedin</t>
        </is>
      </c>
      <c r="E52" t="inlineStr"/>
      <c r="F52" t="inlineStr"/>
      <c r="G52" t="inlineStr"/>
      <c r="H52" t="inlineStr"/>
      <c r="I52" t="inlineStr">
        <is>
          <t>Job Details
**Description**
**Program Manager – Academic Transformation**
**FLSA Status: Exempt**
**Full\-Time**
**Location: Remote, US\-based**
**WHO WE ARE:** 
 MGT is a leading provider of technology and advisory solutions serving state, local, and education government agencies (SLED) across the United States. Through client partnerships, MGT’s almost 1,200 employees impact communities for good by managing and securing critical networks, solving complex human capital and fiscal problems, elevating education systems, and advancing equity as a performance imperative. MGT partners with thousands of agencies as a trusted advisor delivering solutions that improve technology, operational, and economic performance to help communities thrive.
 Founded in 1975, MGT initiated an ambitious restart in 2016, broadening the solutions portfolio to provide the most specialized solutions, tackling the most mission\-critical problems that live at the top of the public agency leadership agenda. MGT drives over 20% compound annual organic growth and utilizes programmatic mergers and acquisitions to grow capabilities, attract top talent, and accelerate growth scale. Since 2020, MGT has successfully completed 13 acquisitions, driving over 60% compound annual inorganic growth.
 Celebrating its 50th year in 2025, the firm attracts exceptional talent and empowers them to exceed client expectations as they navigate the dynamic demands of the clients we serve. Hear more about MGT’s culture in the words of our employees.
**WHAT YOU’LL DO:** 
 The Program Manager \- Academic Transformation supports the successful execution of complex education transformation initiatives by managing day\-to\-day program operations, coordinating workstreams, and ensuring high\-quality, on\-time delivery. This role partners closely with Directors, internal MGT teams, and client stakeholders to translate strategy into execution, monitor progress, manage risks, and support sustainable academic improvement outcomes.
 The Program Manager plays a critical role in maintaining program momentum, driving accountability, and ensuring alignment across teams, timelines, and deliverables.
**Program Planning \&amp; Execution**
* Manage day\-to\-day execution of Academic Transformation programs, ensuring milestones, deliverables, and timelines are met.
* Develop and maintain detailed project plans, schedules, and trackers across multiple workstreams.
* Monitor progress, dependencies, and risks; proactively flag issues and support timely resolution.
* Coordinate internal MGT teams, client stakeholders, and external partners to ensure alignment and consistency.
* Translating high\-level strategy into actionable plans
* Supporting goal\-setting and success metrics
* Connecting daily work to broader academic outcomes
**Stakeholder Coordination \&amp; Communications**
* Serve as a primary point of contact for program logistics, coordination, and status updates.
* Support preparation and facilitation of client meetings, working sessions, and executive briefings.
* Develop and maintain clear communication materials, agendas, notes, and follow\-ups to ensure shared understanding and accountability.
* Day\-to\-day client relationship management (as appropriate)
* Increasing ownership of client\-facing communication
* Supporting Directors by representing the program in client interactions
**Data, Reporting \&amp; Quality Assurance**
* Track program performance using dashboards, reports, and data tools to ensure transparency and accountability.
* Ensure deliverables meet quality standards and align with agreed\-upon scope and objectives.
* Support data analysis and synthesis to inform decision\-making and continuous improvement.
**Risk Management \&amp; Issue Resolution**
* Identify emerging risks, issues, and gaps related to scope, timeline, resources, or stakeholder alignment.
* Support development and implementation of mitigation plans in partnership with Directors and senior team members.
* Escalate issues appropriately while maintaining strong client relationships and program stability.
* Supporting tracking of hours, scope alignment, or contractual milestones
* Proactively identifying risks that could impact budget or delivery commitments
**Team \&amp; Practice Support**
* Support Directors in coordinating team workloads, onboarding new team members, and maintaining program documentation.
* Contribute to continuous improvement of Academic Transformation tools, templates, and best practices.
* Foster a collaborative, organized, and solutions\-oriented team culture.
* Supporting skill development of junior team members
* Providing feedback on work products
* Helping establish team norms and effective collaboration practices
* Identifying process improvements
* Recommending ways to improve program efficiency and effectiveness
* Supporting continuous improvement across engagements
**What You’ll Bring**
* Bachelor’s degree required in education, public policy, business, or a related field.
* Five (5\) or more years of experience in program or project management, preferably within education, consulting, or public\-sector environments.
* Experience supporting complex, multi\-stakeholder initiatives with multiple workstreams.
* Strong organizational and time\-management skills, with the ability to manage competing priorities effectively.
* Proficiency with project management tools such as Smartsheet and/or Asana, including dashboards, trackers, and reporting.
* Strong analytical skills and attention to detail.
* Excellent written and verbal communication skills, including experience preparing executive\-ready materials.
* Ability to work collaboratively across teams and independently in fast\-paced environments.
* Experience in consulting or client\-facing roles preferred.
* Occasional travel to client sites may be required.
* Flexibility in working hours may be required to support program needs and deadlines
**WHAT WE OFFER:** 
 Our world\-class work environment encompasses flexible and remote work options, a commitment to equity, and nationally respected teams in management consulting and technology services. We also offer opportunities to make a profound social impact through innovative projects, and professional development opportunities for career growth. Here you can read more about our extensive Employee Value Proposition (EVP).
 Specifically, we will offer you a competitive compensation package including:
* Flexible paid time off
* 5% 401K matching program
* Equity opportunities
* Incentive and bonus programs
* Up to 16 weeks of paid parental leave
* Flexible spending accounts
 Full\-health benefits with base employee coverage fully funded, comprising:
* Medical, dental, and vision coverage
* Life insurance
* Short and long\-term disability coverage
* Income protection benefits
*MGT Impact Solutions, LLC is an equal opportunity employer. We will not discriminate against any employee or applicant for employment on the basis of race, color, religion, sex, national origin, age, disability, marital status, genetic information, sexual orientation, pregnancy, gender identity, or any other characteristic or class protected by law.*</t>
        </is>
      </c>
    </row>
    <row r="53">
      <c r="A53" t="inlineStr">
        <is>
          <t>li-4376383824</t>
        </is>
      </c>
      <c r="B53" t="inlineStr">
        <is>
          <t>Operations Program Manager</t>
        </is>
      </c>
      <c r="C53" t="inlineStr">
        <is>
          <t>Swooped</t>
        </is>
      </c>
      <c r="D53" t="inlineStr">
        <is>
          <t>linkedin</t>
        </is>
      </c>
      <c r="E53" t="inlineStr"/>
      <c r="F53" t="inlineStr"/>
      <c r="G53" t="inlineStr"/>
      <c r="H53" t="inlineStr"/>
      <c r="I53" t="inlineStr">
        <is>
          <t>**About Our Client** 
 Our client is growing its team of passionate creatives and builders on a mission to make design accessible to all. The platform helps teams bring ideas to life—whether you're brainstorming, creating a prototype, translating designs into code, or iterating with AI. From idea to product, the organization empowers teams to streamline workflows, move faster, and work together in real time from anywhere in the world. If you're excited to shape the future of design and collaboration, join the team!
 Program management goes beyond tracking timelines—it’s about enabling scale, driving clarity, and delivering meaningful outcomes in a fast\-moving, product\-led organization. The company is looking for a strong individual contributor to lead complex, cross\-functional programs that help Product Support scale while maintaining a high\-quality customer and specialist experience.
**About The Role** 
 As an
 **Operations Program Manager** 
 on Product Support, you’ll own high\-impact initiatives that sit at the intersection of support operations, tooling, and process improvement. You’ll work closely with partners across Product Support, Engineering, Product, Analytics, Legal, and Security to turn ambiguous problems into structured plans and shipped outcomes. This role has real impact both internally—by enabling specialists to do their best work—and externally—by improving how customers experience support as the organization grows.
 This is a full time role that can be held from one of our US hubs or remotely in the United States.
**Key Responsibilities** 
* Own and drive complex, cross\-functional programs that improve the scalability, efficiency, and quality of Product Support
* Lead initiatives end\-to\-end, from problem definition and planning through execution, rollout, and iteration
* Partner closely with Engineering, Product, Data, and Support teams to deliver tooling, workflow, and process improvements
* Bring structure to ambiguous problem spaces by defining scope, success metrics, milestones, risks, and operating rhythms
* Support change management and adoption for new tools and processes, ensuring teams are set up for success through transitions
* Identify and surface insights from support data, customer feedback, and operational signals to inform prioritization and improvements
* Communicate progress, tradeoffs, and decisions clearly to stakeholders and leadership
**Required Qualifications** 
* Proven ability to lead complex programs as a Program Manager or similar role, with clear ownership from start to finish
* Experience working with Customer Support, Product Support, or Customer Operations teams
* Comfort partnering with technical teams and operating across both operational and technical problem spaces
* Strong communication and influencing skills, with the ability to drive alignment without direct authority
* A high\-ownership mindset, strong attention to detail, and comfort navigating ambiguity in fast\-paced environments
**Preferred Qualifications** 
* Worked on support tooling, internal tools, or operational workflows
* Supported community, social, or forum\-based support channels
* Exposure to global or multi\-language support environments
* Partnered with workforce management, vendor operations, or analytics functions
**Compensation and Benefits** 
 If based in the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**Salary Range:** 
**$122,000—$178,000 USD** 
*Examples of accommodations include but are not limited to:* 
* Holding interviews in an accessible location
* Enabling closed captioning on video conferencing
* Ensuring all written communication be compatible with screen readers
* Changing the mode or format of interviews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54">
      <c r="A54" t="inlineStr">
        <is>
          <t>li-4350147951</t>
        </is>
      </c>
      <c r="B54" t="inlineStr">
        <is>
          <t>Senior Technical Program Manager</t>
        </is>
      </c>
      <c r="C54" t="inlineStr">
        <is>
          <t>Compass</t>
        </is>
      </c>
      <c r="D54" t="inlineStr">
        <is>
          <t>linkedin</t>
        </is>
      </c>
      <c r="E54" t="inlineStr"/>
      <c r="F54" t="inlineStr"/>
      <c r="G54" t="inlineStr">
        <is>
          <t>Boston, MA</t>
        </is>
      </c>
      <c r="H54" t="inlineStr"/>
      <c r="I54" t="inlineStr">
        <is>
          <t>At Compass, our mission is to help everyone find their place in the world. Founded in 2012, we’re revolutionizing the real estate industry with our end\-to\-end platform that empowers residential real estate agents to deliver exceptional service to seller and buyer clients.
**About The Role**
 As a Senior Technical Program Manager, you will be the leading force and primary interface driving high\-impact initiatives across our entire Mobile Engineering organization. Your projects will range from deep technical improvements that our platform is built on, implementation of tools, processes and metrics. You will look for ways to standardize and ensure execution, efficiency, and consistency; resolve dependencies, evaluate technical risk, track progress, and set accountability for your initiatives while maintaining clear and fluid communication with high\-level stakeholders.
**At Compass You Will**
* Lead cross org mobile initiatives at Compass.
* Manage the full life cycle of key programs including coordination of detailed functional plans, communication with key stakeholders, and issue resolution. Create awareness of cross\-functional inter\-dependencies and establish prioritization for plan execution to minimize disruption on daily operations.
* Drive business critical planning and execution of high\-impact mobile initiatives, orchestrating cross\-functional launches of Agent and Client\-facing features ensuring mobile infrastructure stability and consistent feature delivery across the organization.
* Plan, manage, and deliver multiple technical programs that may span multiple organizations and locations (BOS, NY, DC, Seattle).
* Act as a key contributor to the agile practice at Compass and high\-level planning, both quarterly and yearly.
* Own KPIs for your programs and the mobile organization.
* Drive process improvements that optimize developer velocity and reduce the cost of mobile delivery across the organization.
* Create clarity and drive decision making with data and metrics through well\-written executive\-level and team\-level narratives.
**What We Look For**
* BS/MS in Computer Science.
* 5\+ years of Program Management experience in a large high pace tech environment.
* Strong verbal and written communication — excellent ability to influence stakeholders and leadership through data\-driven reporting.
* Proven track record of successful technical program management in high\-performance teams, directing initiatives across multiple teams and managers.
* Experience managing initiatives within large scale systems in rapid growth environments.
* Familiarity with modern software development practices and technologies (e.g containerization, microservices architecture, continuous integration, and delivery).
* Knowledge of AWS and modern cloud architectures as well as security platforms and frameworks
* Enjoy collaborating on threat modeling exercises to help drive better security outcomes
* Self\-drive and ability to create a sense of urgency in a fast\-paced, entrepreneurial environment.
**Compensation:** 
 The base pay range for this position is $102,000\-$154,000; however, base pay offered may vary depending on job\-related knowledge, skills, and experience. Bonuses and restricted stock units may be provided as part of the compensation package, in addition to a full range of benefits. Base pay is based on market location. Minimum wage for the position will always be met.
**Perks That You Need To Know About**
 Participation in our incentive programs (which may include eligible cash, equity, or commissions). Plus paid vacation, holidays, sick time, parental leave, and recharge leave; medical, tele\-health, dental and vision benefits; 401(k) plan; flexible spending accounts (FSAs); commuter program; life and disability insurance; Maven (a support system for new parents); Carrot (fertility benefits); UrbanSitter (caregiver referral network); Employee Assistance Program; and pet insurance.
**Do your best work, be your authentic self.**
 At Compass, we believe that everyone deserves to find their place in the world — a place where they feel like they belong, where they can be their authentic selves, where they can thrive. Our collaborative, energetic culture is grounded in our Compass Entrepreneurship Principles and our commitment to diversity, equity, inclusion, growth and mobility. As an equal opportunity employer, we offer competitive compensation packages, robust benefits and professional growth opportunities aimed at helping to improve our employees' lives and careers.
 Notice for California Applicants
 Los Angeles County Fair Chance Notice</t>
        </is>
      </c>
    </row>
    <row r="55">
      <c r="A55" t="inlineStr">
        <is>
          <t>li-4280357916</t>
        </is>
      </c>
      <c r="B55" t="inlineStr">
        <is>
          <t>Technical Program Manager - Defense Technology</t>
        </is>
      </c>
      <c r="C55" t="inlineStr">
        <is>
          <t>Applied Intuition</t>
        </is>
      </c>
      <c r="D55" t="inlineStr">
        <is>
          <t>linkedin</t>
        </is>
      </c>
      <c r="E55" t="inlineStr"/>
      <c r="F55" t="inlineStr"/>
      <c r="G55" t="inlineStr">
        <is>
          <t>Washington, DC</t>
        </is>
      </c>
      <c r="H55" t="inlineStr"/>
      <c r="I55" t="inlineStr">
        <is>
          <t>**About Applied Intuition**
 Applied Intuition, Inc. is powering the future of physical AI. Founded in 2017 and now valued at $15 billion, the Silicon Valley company is creating the digital infrastructure needed to bring intelligence to every moving machine on the planet. Applied Intuition services the automotive, defense, trucking, construction, mining and agriculture industries in three core areas: tools and infrastructure, operating systems, and autonomy. Eighteen of the top 20 global automakers, as well as the United States military and its allies, trust the company’s solutions to deliver physical intelligence. Applied Intuition is headquartered in Sunnyvale, California, with offices in Washington, D.C.; San Diego; Ft. Walton Beach, Florida; Ann Arbor, Michigan; London; Stuttgart; Munich; Stockholm; Bangalore; Seoul; and Tokyo. Learn more at applied.co.
*We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
**About The Role**
 We are looking for a Technical Program Manager to help architect, manage complex projects, identify gaps, and implement best practices for customers. This position will involve intense collaboration with subject matter experts within Applied Intuition and the the defense customer on a technical level in order to implement solutions for customer pain points.
 At Applied Intuition, you will:
* Execute projects as the single point of contact, track progress, and ensure successful completion of all the milestones, metrics, and final deliverables
* Continuously engage customers to understand further pain points and areas for more project engagements
* Provide regular touch points with Applied Intuition's internal teams to update on customer use cases and workflows that our current software solutions do not yet provide a solution for
* Evaluate project timings with customers and adjust resource needs for customer pursuits based on their requirements and feedback discussion
* Lead pursuits from customer RFQ release and create a detailed technical proposal by engaging all of the subject matter experts within Applied Intuition
 We're looking for someone who has:
* US citizenship, able to obtain a security clearance
* 3\+ years of industry experience leveraging data and technical knowledge to support software programs
* A Bachelor’s degree in Mechanical, Electronics, Data engineering, Computer Science or related fields
* Familiarity with the DOD autonomy ecosystem
* Hands\-on experience managing complex projects
* Ability to travel to customer site (25%)
 Nice to have:
* Active secret or top secret clearance
* Experience working directly with DOD clients supporting DOD software use cases
* Familiarity with the various data management and simulation providers available in the market and understands their advantages and disadvantages
* Hands\-on experience with data or simulation software used for autonomy
* Knowledge in both software and hardware aspects of software development and testing such as high\-performance computing and realtime test systems
 Compensation at Applied Intuition for eligible roles includes base salary, equity, and benefits. Base salary is a single component of the total compensation package, which may also include equity in the form of options and/or restricted stock units, comprehensive health, dental, vision, life and disability insurance coverage, 401k retirement benefits with employer match, learning and wellness stipends, and paid time off. Note that benefits are subject to change and may vary based on jurisdiction of employment.
 Applied Intuition pay ranges reflect the minimum and maximum intended target base salary for new hire salaries for the position. The actual base salary offered to a successful candidate will additionally be influenced by a variety of factors including experience, credentials \&amp; certifications, educational attainment, skill level requirements, interview performance, and the level and scope of the position.
 Please reference the job posting’s subtitle for where this position will be located. For pay transparency purposes, the base salary range for this full\-time position in the location listed is: $140,000 to $185,000 USD annually.
*Don’t meet every single requirement? If you’re excited about this role but your past experience doesn’t align perfectly with every qualification in the job description, we encourage you to apply anyway. You may be just the right candidate for this or other roles.*
*Applied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t>
        </is>
      </c>
    </row>
    <row r="56">
      <c r="A56" t="inlineStr">
        <is>
          <t>li-4360620168</t>
        </is>
      </c>
      <c r="B56" t="inlineStr">
        <is>
          <t>Staff Technical Program Manager</t>
        </is>
      </c>
      <c r="C56" t="inlineStr">
        <is>
          <t>Duolingo</t>
        </is>
      </c>
      <c r="D56" t="inlineStr">
        <is>
          <t>linkedin</t>
        </is>
      </c>
      <c r="E56" t="inlineStr"/>
      <c r="F56" t="inlineStr"/>
      <c r="G56" t="inlineStr">
        <is>
          <t>Pittsburgh, PA</t>
        </is>
      </c>
      <c r="H56" t="inlineStr"/>
      <c r="I56" t="inlineStr">
        <is>
          <t>Our mission at Duolingo is to develop the best education in the world and make it universally available. It’s a big mission, and that’s where you come in!
 At Duolingo, you’ll join a team that cares about finding innovative solutions to complex technical problems, running countless experiments (300\+ at a time!) with our massive user base to make data\-driven decisions, and educating our users and employees alike. You’ll have limitless learning opportunities, mentorship and collaboration with world\-class minds, and a variety of projects with large scopes — while doing work that’s both fun and meaningful.
 Join our life\-changing mission to develop education for our half a billion (and growing!) learners around the world.
**About The Role**
**:brain: You will...**
* Lead the delivery of strategic, high\-impact cross\-functional initiatives from conceptualization to launch
* Lead complex, high\-stakes technical programs within the Duolingo English Test (DET) domain, partnering with engineering, product, data science, legal, security, and external stakeholders to translate regulatory, compliance, and business requirements into clear technical plans and durable execution.
* Operate at the Staff level with significant autonomy, driving strategy across multiple workstreams, providing steady leadership through ambiguity and external scrutiny, and upleveling how DET programs are planned, communicated, and delivered.
* Partner with functions across the company—such as engineering, QA, product management, and executive leadership—to ensure communication and alignment across teams and to further collaboration across functions
* Leverage deep technical expertise to develop detailed plans with key milestones and goals, identify and mitigate risks, solve for dependencies, remove impediments, and ensure timely and smooth project launches
* Identify issues impacting delivery efficiency company\-wide and quickly take action to resolve them, working collaboratively with leadership and other relevant partners
* Drive decisions when difficult tradeoffs must be made, including those with cross\-organizational or company\-level impact; serve as role model for navigating problems with analytical approach and calming demeanor
* Guide and train others on standard processes, scaling guidelines across teams, and improving how product and engineering organizations operate, even when you are not involved day to day
**:check: You have...**
* 10\+ years of experience as TPM, Engineering Lead, or Manager
* B.S. or M.S. in Computer Science or equivalent degree or experience
* Experience working on commercial software products and their underlying infrastructure, with an understanding of client\-service architecture
* Consistent track record to communicate technical issues effectively to technical and non\-technical partners at different levels of the organization
* Proven ability to build and implement detailed plans accounting for ambiguity, dependencies, and technical complexity in an agile environment
* Flexibility to adjust plans based on new information without losing a beat and while keeping morale high
* Outstanding leadership and influence in a matrix environment, including influencing senior leaders without direct authority
* Ability to operate effectively even with only high\-level direction, setting strategy and direction across multiple teams or workstreams
* Ability to thrive in a fast\-paced, start\-up environment
* Demonstrated self\-direction, with a desire both to learn new techniques and guide others
* Ability to relocate to Pittsburgh, PA
**:star: Exceptional candidates will have...**
* 10\+ years of software engineering, systems engineering or similar experience, in addition to project/program management experience
* Deep experience with AWS
* Experience working with teams and technical projects distributed across the globe
* Experience running projects that include machine learning and large datasets
* Experience articulating business questions, and using available data to find answers that translate into business recommendations
 Take a peek at how we care for our employees' holistic well\-being with our benefits here.
 We will do everything we can within reason to make sure that your interview takes place in an environment that fairly and accurately assesses your skills. If you need assistance or accommodation, please contact accommodations@duolingo.com.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By applying for this position your data will be processed as per the Duolingo Applicant Privacy Notice.
 Sign up for job alerts here.</t>
        </is>
      </c>
    </row>
    <row r="57">
      <c r="A57" t="inlineStr">
        <is>
          <t>li-4375868265</t>
        </is>
      </c>
      <c r="B57" t="inlineStr">
        <is>
          <t>Assistant Program Manager Maize and Blue Cupboard</t>
        </is>
      </c>
      <c r="C57" t="inlineStr">
        <is>
          <t>University of Michigan</t>
        </is>
      </c>
      <c r="D57" t="inlineStr">
        <is>
          <t>linkedin</t>
        </is>
      </c>
      <c r="E57" t="inlineStr"/>
      <c r="F57" t="inlineStr"/>
      <c r="G57" t="inlineStr">
        <is>
          <t>Ann Arbor, MI</t>
        </is>
      </c>
      <c r="H57" t="inlineStr"/>
      <c r="I57" t="inlineStr">
        <is>
          <t>How to Apply
 A cover letter is required for consideration for this position and should be attached as the first page of your resume. The cover letter should address your specific interest in the position and outline skills and experience that directly relate to this position.
**Job Summary**
**Department Summary:**
 Michigan Dining is comprised of nineteen on\-campus cafes and markets, nine residential dining halls, Michigan Bakery, and the Michigan Catering unit. Our 500 professional and 1,200 student employees are committed to creative, healthy, and nutritious foods, international cuisines, and sustainability throughout all dining operations.
**Position Summary**
 The Maize and Blue Cupboard Assistant Program Manager will launch and manage day\-to\-day operations of the North Campus Maize and Blue Cupboard (MBC). This role will also support the unit and divisional strategic objectives through the lens of food insecurity and sustainability. Direct partnerships and collaborations will play an important role in developing, and delivering programming centered on these efforts, with support from Michigan Dining and Student Life. You will report to the Maize and Blue Cupboard Program Manager with a responsibility to communicate with other Student Life resource offices.
 Why Work at Michigan?
**Benefits At The University Of Michigan**
 In addition to a career filled with purpose and opportunity, The University of Michigan offers a comprehensive benefits package to help you stay well, protect yourself and your family and plan for a secure future. Benefits include:
* Generous time off
* A retirement plan that provides two\-for\-one matching contributions with immediate vesting
* Many choices for comprehensive health insurance
* Life insurance
* Long\-term disability coverage
* Flexible spending accounts for healthcare and dependent care expenses
 Responsibilities\*
* Support daily operations of the Maize \&amp; Blue Cupboard, including inventory, staffing, procurement, marketing, and food safety compliance.
* Help with budget oversight, financial compliance, and participation in budget planning.
* Coordinate, train, and oversee student employees and volunteers; manage volunteer systems and engagement.
* Develop campus and community partnerships to support food access education and resource awareness.
* Advise and mentor students and student organizations on food insecurity related projects, research, and engagement programs.
* Collaborate with academic partners and subject matter experts on food insecurity, sustainability and health initiatives.
* Help develop and implement standard operating procedures and evaluating program effectiveness using established metrics.
* Design training and educational programming related to food access, food insecurity, sustainability, and basic food skills.
* Partner with Dining and training teams to support onboarding, orientation, and ongoing development for pantry staff and volunteers.
 Required Qualifications\*
* Bachelor's degree from an accredited college or university with a major in business administration, education, hospitality, or a related field.
* Experience working with students.
* Experience working in a food service setting.
* ServSafe and HACCP certification is required within 60 days from the date of hire as a condition of employment.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Additional Information
**For a Full Job Description Please Click Here.**
 This role may have reporting obligations under Title IX and Clery.
 Authorization to work in the U.S. is a precondition of employment and applicants for this position will not be sponsored for work visas.
 Selected candidates whose start date is 4/1/2026 or after, will not be eligible for the university FY26\-27 salary/merit plan unless otherwise notified.
 Salary may vary depending on qualifications, experience, and education of the selected candidate.
 Relocation will not be offered for this role.
 \#studentlife
 Union Affiliation
 This position is included in the bargaining unit represented by University Staff United, AFT Local 284, AFL\-CIO, which represents Employees in all matters with respect to wages, benefits, hours, and other terms and conditions of employment.
 Application Deadline
 Job openings are posted for a minimum of seven calendar days. The review and selection process may begin as early as the eighth day after posting. This opening may be removed from posting boards and filled anytime after the minimum posting period has ended.
 U\-M EEO Statement
 The University of Michigan is an equal employment opportunity employer.</t>
        </is>
      </c>
    </row>
    <row r="58">
      <c r="A58" t="inlineStr">
        <is>
          <t>li-4334812215</t>
        </is>
      </c>
      <c r="B58" t="inlineStr">
        <is>
          <t>Staff Technical Program Manager, Vehicle Design</t>
        </is>
      </c>
      <c r="C58" t="inlineStr">
        <is>
          <t>Relativity Space</t>
        </is>
      </c>
      <c r="D58" t="inlineStr">
        <is>
          <t>linkedin</t>
        </is>
      </c>
      <c r="E58" t="inlineStr"/>
      <c r="F58" t="inlineStr"/>
      <c r="G58" t="inlineStr">
        <is>
          <t>Long Beach, CA</t>
        </is>
      </c>
      <c r="H58" t="inlineStr"/>
      <c r="I58" t="inlineStr">
        <is>
          <t>At Relativity Space, we’re building rockets to serve today’s needs and tomorrow’s breakthroughs. Our Terran R vehicle will deliver customer payloads to orbit, meeting the growing demand for launch capacity. But that’s just the start. Achieving commercial success with Terran R will unlock new opportunities to advance science, exploration, and innovation, pioneering progress that reaches beyond the known.
 Joining Relativity means becoming part of something where autonomy, ownership, and impact exist at every level. Here, you're not just executing tasks; you're solving problems that haven’t been solved before, helping develop a rocket, a factory, and a business from the ground up. Whether you’re in propulsion, manufacturing, software, avionics, or a corporate function, you’ll collaborate across teams, shape decisions, and see your work come to life in record time. Relativity is a place where creativity and technical rigor go hand in hand, and your voice will help define the stories we’re writing together. Now is a unique moment in time where it’s early enough to leave your mark on the product, the process, and the culture, but far enough along that Terran R is tangible and picking up momentum. The most meaningful work of your career is waiting. Join us.
**About The Team**
 The Vehicle Engineering organization at Relativity Space encompasses vehicle design, dev, \&amp; build, as well as the analysis, software, CONOPs development, risk management, and customer and regulatory activities required for vehicle testing and launch operations.
**About The Role**
 We are seeking a Technical Program Manager – Vehicle Design to establish program management methodology for our design teams, coordinate with upstream and downstream partners to optimize for effectiveness and efficiency, and drive the tempo of launch vehicle design. This role will be critical in driving operational excellence across all vehicle engineering disciplines, standardizing programmatic best practices, and acting as a senior interface to leadership across Relativity Space. Success in this role will mean establishing and executing an efficient, predictable design process with smooth handoffs at upstream and downstream interfaces.
* Execution Strategy \&amp; Risk Management
+ Own schedule adherence, risk management, and reporting cadence across all Vehicle Engineering design efforts
+ Identify, assess, and mitigate risks associated with engineering design execution, ensuring proactive problem resolution to identify risks coming down the pipeline
+ Present program updates, risks, and strategic recommendations to the executive team \-Cross\-Functional and Strategic Leadership
+ Establish and maintain a culture of excellence in program execution in Vehicle Engineering design
+ Collaborate with PMOs and department leaders across the company to integrate design schedules into a program level Integrated Master Schedule (IMS) and use the IMS to understand true program critical path, escalate issues and decision points, and make recommendations on the best solutions to program issues
* Goal Tracking \&amp; Reporting
+ Establish goals and metrics to monitor operational performance and increase the predictability and efficiency of engineering work
+ Build the scoreboard for accountability for the engineering team
+ Facilitate strong communication within departments and across the program to ensure transparent communication of program status to relevant stakeholders
* Team Growth \&amp; Development
+ Establish, standardize, and continuously improve program management methodologies, tools, templates, and best practices across all Vehicle Engineering design efforts
**About You**
* Bachelor’s degree in engineering, science, mathematics, or related fields; aerospace, electrical, or mechanical engineering degree preferred
* 5\+ years management or TPM experience of design teams, proven track record of success and strategic thinking while balancing conflicting priorities and goals
* 5\+ years in a Program Management role leading a large cross\-functional program, including hardware, software, and operations
* Demonstrated success leading large, cross\-functional hardware teams from concept through delivery in fast\-paced, high\-ambiguity environments. Seamlessly able to switch between tactical execution and 30,000\-ft perspective
* Proven ability to communicate with highly technical teams and helping bridge communication between technical and non\-technical teams
* A systems mindset: identifying program dependencies, interfaces, risks and the impact of key technical and program decisions on other teams and at company level on hardware product development
**Nice To Haves But Not Required**
* Experience with launch vehicles, propulsion systems, or aerospace hardware
* PMP, MBA, Master’s in engineering, science, mathematics or related fields, or equivalent experience preferred
* Proven ability and high confidence in presenting effectively to C\-level executives and board of directors with clarity and strategic insight
 At Relativity Space, we are committed to transparency and fairness in our compensation practices. Actual compensation will be determined based on experience, qualifications, and other job\-related factors.
 Compensation is only one part of our total rewards package. Relativity Space offers competitive salary and equity, a generous PTO and sick leave policy, parental leave, an annual learning and development stipend, and more! To see some of the benefits \&amp; perks we offer, please visit here.
**Hiring Range**
 $155,000—$197,000 USD
**We are an equal opportunity employer and value diversity at our company. We do not discriminate on the basis of race, religion, color, national origin, gender, sexual orientation, age, marital status, veteran status, or disability status.**
***If you need a reasonable accommodation, please contact us at accommodations@relativityspace.com.***</t>
        </is>
      </c>
    </row>
    <row r="59">
      <c r="A59" t="inlineStr">
        <is>
          <t>li-4316046771</t>
        </is>
      </c>
      <c r="B59" t="inlineStr">
        <is>
          <t>Senior Technical Program Manager</t>
        </is>
      </c>
      <c r="C59" t="inlineStr">
        <is>
          <t>Anduril Industries</t>
        </is>
      </c>
      <c r="D59" t="inlineStr">
        <is>
          <t>linkedin</t>
        </is>
      </c>
      <c r="E59" t="inlineStr"/>
      <c r="F59" t="inlineStr"/>
      <c r="G59" t="inlineStr">
        <is>
          <t>Lexington, MA</t>
        </is>
      </c>
      <c r="H59" t="inlineStr"/>
      <c r="I59"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Anduril Imaging team develops state\-of\-the\-art imaging systems across both hardware and software, deployed to tackle the most significant security challenges of America and its allies. The team is heavily involved in utilizing computer vision, perception, electro\-optical, infrared, and sensor data to give our war fighters and allies an advantage.
**About The Job**
 As a
 **Technical Program Manager** 
 working on our Intelligence Surveillance, and Reconnaissance (ISR) team, you will work cross\-functionally with product management, engineering, and other functional and program teams to organize, direct, and lead the development and deployment activities of one of our novel systems. You will be expected to use your technical knowledge in conjunction with your program management skills to plan and lead technical development programs and deliver the best outcome for Anduril and the customer. Developing and deploying our ISR capabilities requires thorough understanding of mission requirements, thoughtful orchestration of internal technical teams, and meticulous planning in the face of ambiguity. Your ability to collaborate and coordinate across multiple departments and disciplines will be key to driving our projects to completion on time and within budget.
**What You’ll Do**
* Ownership: TPMs are owners; we’re looking for those who have a tendency to assume responsibility, a healthy dose of skepticism, and contribute to a culture of high performance. Lead the project from start to finish with the customer and the engineering team. Work with technical leads to develop the right technical solution and then own the schedule and roadmap for success.
* Embed/Engage: Work closely with our customers to understand their specific mission challenges and represent the customer as you work with Anduril engineers to shape capabilities. Understand technical implementation at the architectural level and propose technical alternatives when necessary; ask questions that clarify priorities. Anduril engineers rely on TPMs to understand the lay of the land and bring a perspective that informs the development process.
* Build/Orchestrate: Work with Anduril engineers to build the solution and/or pivot deployment as needed to meet client needs. Successfully developing our complex hardware and software solutions requires collaborating with nearly every internal Anduril team \-engineering, product, logistics, finance, legal, contracting, technical operations, and many more.
* Narrative\-Building: Possess a strong story\-telling skillset and the ability to tailor that narrative across audiences (government stakeholders, other vendors, engineers, etc.). You'll make sure everyone on the team not only understands what we are building, but why as well.
* Execute: Successfully operationally deploy and deliver successful events from demonstrations, to tests to full site deployments and sustainments at sites, all while ensuring the technical team performs on\-schedule and on\-budget. Remove obstacles to drive clarity and progress, identify gaps in communication or schedule, manage issue escalations and provide support to teams balancing competing priorities, and drive results proactively.
**Required Qualifications**
* 5\+ years relevant industry experience
* Recent experience managing DoD programs
* Operational background working with technically advanced systems requiring an understanding of complex software and hardware products.
* Proven experience working with multi\-disciplinary engineering teams and customers
* Ability to create and deliver presentations and technical / programmatic reports to key leadership and the customer.
* Willingness to travel
* Currently possesses and is able to maintain an active U.S. Secret security clearance
**Preferred Qualifications**
* Proven ability to manage and prioritize multiple projects simultaneously while maintaining a strong attention to detail and focus on customer outcomes.
* Strong analytical and problem\-solving skills, with the ability to identify emerging trends and adapt product strategies accordingly.
* Demonstrated experience working with both internal and external stakeholders across various technical domains, fostering collaboration and driving alignment.
* Excellent written and verbal communications skills.
* Ability to organize, prioritize and simplify complex problems
* Ability to work in a fast\-paced, collaborative team environment.
 US Salary Range
 $166,000—$220,000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60">
      <c r="A60" t="inlineStr">
        <is>
          <t>li-4374214126</t>
        </is>
      </c>
      <c r="B60" t="inlineStr">
        <is>
          <t>Senior Program Manager</t>
        </is>
      </c>
      <c r="C60" t="inlineStr">
        <is>
          <t>Blue Cross and Blue Shield of Minnesota</t>
        </is>
      </c>
      <c r="D60" t="inlineStr">
        <is>
          <t>linkedin</t>
        </is>
      </c>
      <c r="E60" t="inlineStr"/>
      <c r="F60" t="inlineStr"/>
      <c r="G60" t="inlineStr">
        <is>
          <t>Eagan, MN</t>
        </is>
      </c>
      <c r="H60" t="inlineStr"/>
      <c r="I60" t="inlineStr">
        <is>
          <t>**About Blue Cross And Blue Shield Of Minnesota**
 At Blue Cross and Blue Shield of Minnesota, we are committed to paving the way for everyone to achieve their healthiest life. We are looking for dedicated and motivated individuals who share our vision of transforming healthcare. As a Blue Cross associate, you are joining a culture that is built on values of succeeding together, finding a better way, and doing the right thing. If you are ready to make a difference, join us.
**The Impact You Will Have**
 Blue Cross and Blue Shield of Minnesota is hiring a Senior Program Manager to support our Quality and Member Experience efforts in Eagan, MN. This role leads strategic initiatives to improve health care delivery and member outcomes, with a primary focus on
 **CMS‑ and state‑mandated member experience and outcomes surveys** 
 , including
 **CAHPS®, HOS, and ECHO** 
 , across Commercial, Medicaid, Medicare, and Marketplace products. It is responsible for implementing and evaluating quality improvement programs, ensuring compliance with regulatory requirements, and managing key processes such as data analysis, survey design, performance monitoring, and reporting.
 The Senior Program Manager leads the end‑to‑end survey program, including annual planning, vendor oversight, budget management, regulatory readiness, timelines, member\-facing materials, and cross\-functional alignment, while proactively monitoring and responding to regulatory changes. The role partners closely with Customer Experience, Quality, Clinical, Analytics, and Product teams to translate survey results into actionable insights, drive improvement initiatives, and clearly communicate performance trends and opportunities to leadership
 Ideal candidates will have a strong background in regulatory compliance, program management within complex health care environments, and experience working with Regulatory Quality Measurement surveys.
**Your Responsibilities**
* Drive the development and documentation of design, requirements and implementation of multiple strategic programs.
* Maintain strategic relationships and partner with key resources, both internal and external, to support the design and ensure market, member, and provider considerations are factored into the design.
* Support the business decision making process to ensure capabilities, systems and processes meet market expectations and that alternate approaches are vetted and explored.
* Support the ongoing program management work of multiple programs to ensure the strategy is in alignment to solutions put forth through skills of influence.
* Manage and monitor multiple appropriate metrics, perform data analysis and evaluation for each initiative.
* Continually update program or project plans, timelines and deliverables while coordinating multiple sub\-processes to expand and/or improve programs.
* Manage multiple communication plans in conjunction with leadership and to support initiatives, including status and progress updates.
* Stay abreast of changes in the rapidly evolving health care marketplace.
* May perform other duties as assigned.
**Required Skills And Experience**
* 5\+ years of related professional experience. All relevant experience including work, education, transferable skills, and military experience will be considered.
* Demonstrated organizational relationship management skills.
* Ability to thrive in ambiguity.
* Strong critical thinking skills and problem solving/conflict resolution skills.
* Excellent written and verbal communication skills with strong facilitation, negotiation and presentation skills, adapting approach as needed.
* Attention to detail and time management skills.
* Self\-motivated, ability to work independently, and demonstrated ability to work under tight time frames.
* Knowledge of the health care industry, payer business models, business segments and products.
* Proven ability to handle a variety of assignments in a fast paced and complex business environment.
* Proven ability to define problems, collect and analyze data, establish facts and draw valid conclusions.
* High school diploma (or equivalency) and legal authorization to work in the U.S.
**Preferred Skills And Experience**
* Bachelor's and/or Master’s degree.
* Experience in process improvement.
* Content expertise in the reduction of health risk behavior.
* Ability to combine traditional health education approaches with policy or other advocacy tactics.
**Compensation And Benefits**
**Pay Range:** 
 $90,800\.00 \- $120,300\.00 \- $149,800\.00 Annual
 Pay is based on several factors which vary based on position, including skills, ability, and knowledge the selected individual is bringing to the specific job.
**We Offer a Comprehensive Benefits Package Which May Include**
* Medical, dental, and vision insurance
* Life insurance
* 401k
* Paid Time Off (PTO)
* Volunteer Paid Time Off (VPTO)
* And more
 To discover more about what we have to offer, please review our benefits page.
**Role Designation**
 Hybrid
**Anchored in Connection**
 Our hybrid approach is designed to balance flexibility with meaningful in\-person connection and collaboration. We come together in the office two days each week – most teams designate at least one anchor day to ensure team interaction. These in\-person moments foster relationships, creativity, and alignment. The rest of the week you are empowered to work remote.
**Equal Employment Opportunity Statement**
 At Blue Cross and Blue Shield of Minnesota, we are committed to paving the way for everyone to achieve their healthiest life. Blue Cross of Minnesota is an Equal Opportunity Employer and maintains an Affirmative Action plan, as required by Minnesota law applicable to state contractors. All qualified applications will receive consideration for employment without regard to, and will not be discriminated against based on any legally protected characteristic.
 Individuals with a disability who need a reasonable accommodation in order to apply, please contact us at: talent.acquisition@bluecrossmn.com.
 Blue Cross® and Blue Shield® of Minnesota and Blue Plus® are nonprofit independent licensees of the Blue Cross and Blue Shield Association.</t>
        </is>
      </c>
    </row>
    <row r="61">
      <c r="A61" t="inlineStr">
        <is>
          <t>li-4367922380</t>
        </is>
      </c>
      <c r="B61" t="inlineStr">
        <is>
          <t>SimplrOps - Workday Product Owner - Project Manager Senior Consultant</t>
        </is>
      </c>
      <c r="C61" t="inlineStr">
        <is>
          <t>Deloitte</t>
        </is>
      </c>
      <c r="D61" t="inlineStr">
        <is>
          <t>linkedin</t>
        </is>
      </c>
      <c r="E61" t="inlineStr"/>
      <c r="F61" t="inlineStr"/>
      <c r="G61" t="inlineStr">
        <is>
          <t>Jersey City, NJ</t>
        </is>
      </c>
      <c r="H61" t="inlineStr"/>
      <c r="I61" t="inlineStr">
        <is>
          <t>The Human Capital Offering Portfolio focuses on helping organizations manage and sustain their performance through their most important asset: their people. Centered on five core issues, this Portfolio signifies to the market that we see Human Capital as a topic critical to the C\-Suite. As we go\-to\-market we will show our clients that we serve more than HR organizations \- from the CEO to CFO, Risk Manager to Business Unit leader \- and that we deliver on our issues and help create value for our clients.
 Recruiting for this role ends on 4/30/26
**SimplrOps** 
 is the \#1 Selling SaaS product at Deloitte. Acquired in January 2025,
 **SimplrOps** 
 embodies the investment Human Capital continues to make in scaling our human edge and promoting product\-based solutions for our clients. By connecting with cloud technology solutions like Workday, we provide configuration management solutions to administrators that help save time, reduce risk, and improve quality. Joining the
 **SimplrOps** 
 team means you are not only helping to build innovative, product\-led solutions, but also supporting the expansion of our market opportunities, offerings, and client base.
**The Work You'll Do:**
 The
 **SimplrOps \- Workday Product Owner \- Project Manager Senior Consultant** 
 is responsible for delivery of the planned SimplrOps Product features for the Workday roadmap. Duties include designing and maintaining JIRA stories, updating Training materials, collaborating with other SimplrOps workstreams including development, QA, Sales, and Adoption to support the overall product strategy as well as delivering training and demos to support our client teams.
**Responsibilities include, but are not limited to:**
* Create and manage JIRA stories for capability in accordance with Epics and Platform strategy
* Work with development team to clarify and answer questions during build cycle
* Work with UI/UX designer to create designs for review and planning
* Validate new feature builds
* Support Product production deployment cycles and activities including new feature content
* Own backlog for capability, working with other teams as needed to groom and meet readiness criteria
* Support SNOW ticket resolution
* Support SimplrOps training delivery
* SimplrOps Workday Capability SCRUM Master back\-up
* Support SimplrOps Workday Capability Product Manager in all of their owned tasks, working hand\-in\-hand to ensure quality delivery
* Support SimplrOps Sales and Marketing initiatives and content creation with Workday capability and SimplrOps product expertise
**The Team**
 Our Insights, Innovation \&amp; Operate Offering is designed to enhance key aspects of our clients' businesses by leveraging cutting\-edge technology, data, and a blend of deep technical and human expertise. We innovate and deliver creative, industry\-specific solutions that streamline operations and accelerate speed\-to\-value.
**Required Qualifications:**
* Bachelor's Degree
* Active Workday Certification
* 4\+ years of hands\-on Workday experience (implementation preferred)
* 4\+ years of experience in client delivery, consultative sales, account management and/or management consulting, preferably in IT service management solutions (Workday)
* 4\+ years of experience presenting to senior level clients
* 2\+ years of experience delivering training or Knowledge Transfer
* Limited immigration sponsorship may be available
**Preferred Qualifications:**
* 2\+ year of experience in Product Management
* Enthusiasm for cloud technology solutions
* A Product mindset
* Ability to work independently and manage multiple assignments
* Demonstrated ability to manage ambiguity and apply problem\-solving skills
* Demonstrated ability to employ research and analytical thinking
* Excellent oral and written communication skills, including presentation skills (MS PowerPoint, MS Word)
* Familiarity with AGILE methodologies
* Ticketing system experience (SNOW preferred)
* Product Management system experience (JIRA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Possible Locations: Atlanta, Austin, Baltimore, Birmingham, Boca Raton, Boise, Boston, Charlotte, Chicago, Cincinnati, Cleveland, Columbus, Costa Mesa, Dallas, Davenport, Dayton, Denver, Des Moines, Detroit, Fort Worth, Fresno, Grand Rapids, Hartford, Hermitage, Houston, Huntsville, Indianapolis, Jacksonville, Jericho, Jersey City, Kansas City, Las Vegas, Los Angeles, Louisville, McLean, Memphis, Miami, Midland, Minneapolis, Morristown, Nashville, New Orleans, New York, Philadelphia, Pittsburgh, Portland, Princeton, Raleigh, Richmond, Rochester, San Antonio, San Diego, San Francisco, San Jose, Seattle, St. Louis, Stamford, Tallahassee, Tampa, Tempe, Tulsa, Washington DC
**Information for applicants with a need for accommodation** 
 : https://www2\.deloitte.com/us/en/pages/careers/articles/join\-deloitte\-assistance\-for\-disabled\-applicants.html
**For more information about Human Capital, visit our landing page at:** 
 https://www2\.deloitte.com/us/en/pages/careers/articles/join\-deloitte\-human\-capital\-consulting\-jobs.html
 \#HCFY26 \#IIOFY26</t>
        </is>
      </c>
    </row>
    <row r="62">
      <c r="A62" t="inlineStr">
        <is>
          <t>li-4367918415</t>
        </is>
      </c>
      <c r="B62" t="inlineStr">
        <is>
          <t>SimplrOps - Workday Product Owner - Project Manager Senior Consultant</t>
        </is>
      </c>
      <c r="C62" t="inlineStr">
        <is>
          <t>Deloitte</t>
        </is>
      </c>
      <c r="D62" t="inlineStr">
        <is>
          <t>linkedin</t>
        </is>
      </c>
      <c r="E62" t="inlineStr"/>
      <c r="F62" t="inlineStr"/>
      <c r="G62" t="inlineStr">
        <is>
          <t>San Diego, CA</t>
        </is>
      </c>
      <c r="H62" t="inlineStr"/>
      <c r="I62" t="inlineStr">
        <is>
          <t>The Human Capital Offering Portfolio focuses on helping organizations manage and sustain their performance through their most important asset: their people. Centered on five core issues, this Portfolio signifies to the market that we see Human Capital as a topic critical to the C\-Suite. As we go\-to\-market we will show our clients that we serve more than HR organizations \- from the CEO to CFO, Risk Manager to Business Unit leader \- and that we deliver on our issues and help create value for our clients.
 Recruiting for this role ends on 4/30/26
**SimplrOps** 
 is the \#1 Selling SaaS product at Deloitte. Acquired in January 2025,
 **SimplrOps** 
 embodies the investment Human Capital continues to make in scaling our human edge and promoting product\-based solutions for our clients. By connecting with cloud technology solutions like Workday, we provide configuration management solutions to administrators that help save time, reduce risk, and improve quality. Joining the
 **SimplrOps** 
 team means you are not only helping to build innovative, product\-led solutions, but also supporting the expansion of our market opportunities, offerings, and client base.
**The Work You'll Do:**
 The
 **SimplrOps \- Workday Product Owner \- Project Manager Senior Consultant** 
 is responsible for delivery of the planned SimplrOps Product features for the Workday roadmap. Duties include designing and maintaining JIRA stories, updating Training materials, collaborating with other SimplrOps workstreams including development, QA, Sales, and Adoption to support the overall product strategy as well as delivering training and demos to support our client teams.
**Responsibilities include, but are not limited to:**
* Create and manage JIRA stories for capability in accordance with Epics and Platform strategy
* Work with development team to clarify and answer questions during build cycle
* Work with UI/UX designer to create designs for review and planning
* Validate new feature builds
* Support Product production deployment cycles and activities including new feature content
* Own backlog for capability, working with other teams as needed to groom and meet readiness criteria
* Support SNOW ticket resolution
* Support SimplrOps training delivery
* SimplrOps Workday Capability SCRUM Master back\-up
* Support SimplrOps Workday Capability Product Manager in all of their owned tasks, working hand\-in\-hand to ensure quality delivery
* Support SimplrOps Sales and Marketing initiatives and content creation with Workday capability and SimplrOps product expertise
**The Team**
 Our Insights, Innovation \&amp; Operate Offering is designed to enhance key aspects of our clients' businesses by leveraging cutting\-edge technology, data, and a blend of deep technical and human expertise. We innovate and deliver creative, industry\-specific solutions that streamline operations and accelerate speed\-to\-value.
**Required Qualifications:**
* Bachelor's Degree
* Active Workday Certification
* 4\+ years of hands\-on Workday experience (implementation preferred)
* 4\+ years of experience in client delivery, consultative sales, account management and/or management consulting, preferably in IT service management solutions (Workday)
* 4\+ years of experience presenting to senior level clients
* 2\+ years of experience delivering training or Knowledge Transfer
* Limited immigration sponsorship may be available
**Preferred Qualifications:**
* 2\+ year of experience in Product Management
* Enthusiasm for cloud technology solutions
* A Product mindset
* Ability to work independently and manage multiple assignments
* Demonstrated ability to manage ambiguity and apply problem\-solving skills
* Demonstrated ability to employ research and analytical thinking
* Excellent oral and written communication skills, including presentation skills (MS PowerPoint, MS Word)
* Familiarity with AGILE methodologies
* Ticketing system experience (SNOW preferred)
* Product Management system experience (JIRA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Possible Locations: Atlanta, Austin, Baltimore, Birmingham, Boca Raton, Boise, Boston, Charlotte, Chicago, Cincinnati, Cleveland, Columbus, Costa Mesa, Dallas, Davenport, Dayton, Denver, Des Moines, Detroit, Fort Worth, Fresno, Grand Rapids, Hartford, Hermitage, Houston, Huntsville, Indianapolis, Jacksonville, Jericho, Jersey City, Kansas City, Las Vegas, Los Angeles, Louisville, McLean, Memphis, Miami, Midland, Minneapolis, Morristown, Nashville, New Orleans, New York, Philadelphia, Pittsburgh, Portland, Princeton, Raleigh, Richmond, Rochester, San Antonio, San Diego, San Francisco, San Jose, Seattle, St. Louis, Stamford, Tallahassee, Tampa, Tempe, Tulsa, Washington DC
**Information for applicants with a need for accommodation** 
 : https://www2\.deloitte.com/us/en/pages/careers/articles/join\-deloitte\-assistance\-for\-disabled\-applicants.html
**For more information about Human Capital, visit our landing page at:** 
 https://www2\.deloitte.com/us/en/pages/careers/articles/join\-deloitte\-human\-capital\-consulting\-jobs.html
 \#HCFY26 \#IIOFY26</t>
        </is>
      </c>
    </row>
    <row r="63">
      <c r="A63" t="inlineStr">
        <is>
          <t>li-4367918411</t>
        </is>
      </c>
      <c r="B63" t="inlineStr">
        <is>
          <t>SimplrOps - Workday Product Owner - Project Manager Senior Consultant</t>
        </is>
      </c>
      <c r="C63" t="inlineStr">
        <is>
          <t>Deloitte</t>
        </is>
      </c>
      <c r="D63" t="inlineStr">
        <is>
          <t>linkedin</t>
        </is>
      </c>
      <c r="E63" t="inlineStr"/>
      <c r="F63" t="inlineStr"/>
      <c r="G63" t="inlineStr">
        <is>
          <t>Costa Mesa, CA</t>
        </is>
      </c>
      <c r="H63" t="inlineStr"/>
      <c r="I63" t="inlineStr">
        <is>
          <t>The Human Capital Offering Portfolio focuses on helping organizations manage and sustain their performance through their most important asset: their people. Centered on five core issues, this Portfolio signifies to the market that we see Human Capital as a topic critical to the C\-Suite. As we go\-to\-market we will show our clients that we serve more than HR organizations \- from the CEO to CFO, Risk Manager to Business Unit leader \- and that we deliver on our issues and help create value for our clients.
 Recruiting for this role ends on 4/30/26
**SimplrOps** 
 is the \#1 Selling SaaS product at Deloitte. Acquired in January 2025,
 **SimplrOps** 
 embodies the investment Human Capital continues to make in scaling our human edge and promoting product\-based solutions for our clients. By connecting with cloud technology solutions like Workday, we provide configuration management solutions to administrators that help save time, reduce risk, and improve quality. Joining the
 **SimplrOps** 
 team means you are not only helping to build innovative, product\-led solutions, but also supporting the expansion of our market opportunities, offerings, and client base.
**The Work You'll Do:**
 The
 **SimplrOps \- Workday Product Owner \- Project Manager Senior Consultant** 
 is responsible for delivery of the planned SimplrOps Product features for the Workday roadmap. Duties include designing and maintaining JIRA stories, updating Training materials, collaborating with other SimplrOps workstreams including development, QA, Sales, and Adoption to support the overall product strategy as well as delivering training and demos to support our client teams.
**Responsibilities include, but are not limited to:**
* Create and manage JIRA stories for capability in accordance with Epics and Platform strategy
* Work with development team to clarify and answer questions during build cycle
* Work with UI/UX designer to create designs for review and planning
* Validate new feature builds
* Support Product production deployment cycles and activities including new feature content
* Own backlog for capability, working with other teams as needed to groom and meet readiness criteria
* Support SNOW ticket resolution
* Support SimplrOps training delivery
* SimplrOps Workday Capability SCRUM Master back\-up
* Support SimplrOps Workday Capability Product Manager in all of their owned tasks, working hand\-in\-hand to ensure quality delivery
* Support SimplrOps Sales and Marketing initiatives and content creation with Workday capability and SimplrOps product expertise
**The Team**
 Our Insights, Innovation \&amp; Operate Offering is designed to enhance key aspects of our clients' businesses by leveraging cutting\-edge technology, data, and a blend of deep technical and human expertise. We innovate and deliver creative, industry\-specific solutions that streamline operations and accelerate speed\-to\-value.
**Required Qualifications:**
* Bachelor's Degree
* Active Workday Certification
* 4\+ years of hands\-on Workday experience (implementation preferred)
* 4\+ years of experience in client delivery, consultative sales, account management and/or management consulting, preferably in IT service management solutions (Workday)
* 4\+ years of experience presenting to senior level clients
* 2\+ years of experience delivering training or Knowledge Transfer
* Limited immigration sponsorship may be available
**Preferred Qualifications:**
* 2\+ year of experience in Product Management
* Enthusiasm for cloud technology solutions
* A Product mindset
* Ability to work independently and manage multiple assignments
* Demonstrated ability to manage ambiguity and apply problem\-solving skills
* Demonstrated ability to employ research and analytical thinking
* Excellent oral and written communication skills, including presentation skills (MS PowerPoint, MS Word)
* Familiarity with AGILE methodologies
* Ticketing system experience (SNOW preferred)
* Product Management system experience (JIRA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Possible Locations: Atlanta, Austin, Baltimore, Birmingham, Boca Raton, Boise, Boston, Charlotte, Chicago, Cincinnati, Cleveland, Columbus, Costa Mesa, Dallas, Davenport, Dayton, Denver, Des Moines, Detroit, Fort Worth, Fresno, Grand Rapids, Hartford, Hermitage, Houston, Huntsville, Indianapolis, Jacksonville, Jericho, Jersey City, Kansas City, Las Vegas, Los Angeles, Louisville, McLean, Memphis, Miami, Midland, Minneapolis, Morristown, Nashville, New Orleans, New York, Philadelphia, Pittsburgh, Portland, Princeton, Raleigh, Richmond, Rochester, San Antonio, San Diego, San Francisco, San Jose, Seattle, St. Louis, Stamford, Tallahassee, Tampa, Tempe, Tulsa, Washington DC
**Information for applicants with a need for accommodation** 
 : https://www2\.deloitte.com/us/en/pages/careers/articles/join\-deloitte\-assistance\-for\-disabled\-applicants.html
**For more information about Human Capital, visit our landing page at:** 
 https://www2\.deloitte.com/us/en/pages/careers/articles/join\-deloitte\-human\-capital\-consulting\-jobs.html
 \#HCFY26 \#IIOFY26</t>
        </is>
      </c>
    </row>
    <row r="64">
      <c r="A64" t="inlineStr">
        <is>
          <t>li-4325714246</t>
        </is>
      </c>
      <c r="B64" t="inlineStr">
        <is>
          <t>Sr. IT Program Manager</t>
        </is>
      </c>
      <c r="C64" t="inlineStr">
        <is>
          <t>Rivian</t>
        </is>
      </c>
      <c r="D64" t="inlineStr">
        <is>
          <t>linkedin</t>
        </is>
      </c>
      <c r="E64" t="inlineStr"/>
      <c r="F64" t="inlineStr"/>
      <c r="G64" t="inlineStr">
        <is>
          <t>Normal, IL</t>
        </is>
      </c>
      <c r="H64" t="inlineStr"/>
      <c r="I64"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As a Sr. IT Program Manager, you will drive the full life\-cycle execution of complex IT Infrastructure programs, with a specific focus on environments supporting manufacturing infrastructure and cloud programs. You will apply robust program management methodologies, supported by project management and organizational change management frameworks, to ensure all sub\-projects are initiated, planned, executed, and closed successfully against commitments.
**Responsibilities**
* Strategize, implement, and maintain program initiatives that adhere to organizational objectives.
* Communicate effectively at all levels, bridging technical discussions between manufacturing, engineers, SMEs, and senior leadership.
* Define the program charter, roles, tasks, milestones, budgets, and measures of success for each initiative.
* Develop estimates and detailed plans to manage the end\-to\-end program execution, ensuring alignment with production schedules and deployment windows.
* Ensure manufacturing and business requirements are captured accurately and completely.
* Facilitate cross\-functional sessions for planning, alignment, and design across disparate teams (e.g., ME Engineers, Network Engineers,SRE DevOps, Facilities Designers, and LV AEOR Designers ).
* Using disciplined project management methodology to define scope, develop program plan, and execute sub\-projects that adhere to guidelines and deliver within cost and schedule.
* Using problem\-solving/critical thinking skills, and independent thinking to overcome challenges.
* Develop robust program risk management plans to ensure timely delivery, testing and commissioning of all projects with no impact to business continuity.
**Qualifications**
* Bachelor's degree in Computer Science, Electrical Engineering, Systems Engineering, or equivalent practical experience.
* Experience partnering with General Contractors and Facilities during construction implementations for manufacturing buildings, data center build\-outs or expansions related to manufacturing support.
* Experience and knowledge of structured cabling, division 27 standards, AV standards, and telecom/construction drawings for both office and industrial environments.
* 8\+ years of experience managing complex, cross\-functional IT infrastructure projects and programs, specifically within a manufacturing or industrial sector.
* Proven experience leading large\-scale infrastructure implementations involving integration between plant floor systems (OT) and enterprise IT.
* Demonstrated experience leading the implementation and refreshes of enterprise network solutions (e.g., Multi\-site connectivity, Factory LAN/WLAN, DHCP, DNS).
* Demonstrated experience leading the implementation and refreshes of enterprise server, data, and backup solutions (e.g., Data Centers, NAS, Backup, DR, Server Patching within controlled manufacturing environments, Active Directory, Server OS Upgrades).
* Deep understanding of cloud computing principles, migration strategies, and deployment experience in at least one major provider (AWS, Azure and GCP).
* Demonstrated experience in project management tools such as Smartsheet, Jira, Google Suite tools.
**Pay Disclosure**
 Salary Range for this role is $89,900 \- $112,400 for Illinois and Georgia based applicants. This is the lowest to highest salary we in good faith believe we would pay for this role at the time of this posting. An employee’s position within the salary range will be based on several factors including, but not limited to, specific competencies, relevant education, qualifications, certifications, experience, skills, geographic location, shift, and organizational needs.
 The successful candidate may be eligible for annual performance bonus and equity awards.
 We offer a comprehensive package of benefits for full\-time and part\-time employees, their spouse or domestic partner, and children up to age 26, including but not limited to paid vacation, paid sick leave, and a competitive portfolio of insurance benefits including life, medical, dental, vision, short\-term disability insurance, and long\-term disability insurance to eligible employees. You may also have the opportunity to participate in Rivian’s 401(k) Plan and Employee Stock Purchase Program if you meet certain eligibility requirements. Full\-time employee coverage is effective on their first day of employment. Part\-time employee coverage is effective the first of the month following 90 days of employment. More information about benefits is available at rivianbenefits.com.
 You can apply for this role through careers.rivian.com (or through internal\-careers\-rivian.icims.com if you are a current employee). This job is not expected to be closed any sooner than February 6, 2026\.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65">
      <c r="A65" t="inlineStr">
        <is>
          <t>li-4367925333</t>
        </is>
      </c>
      <c r="B65" t="inlineStr">
        <is>
          <t>SimplrOps - Workday Product Owner - Project Manager Senior Consultant</t>
        </is>
      </c>
      <c r="C65" t="inlineStr">
        <is>
          <t>Deloitte</t>
        </is>
      </c>
      <c r="D65" t="inlineStr">
        <is>
          <t>linkedin</t>
        </is>
      </c>
      <c r="E65" t="inlineStr"/>
      <c r="F65" t="inlineStr"/>
      <c r="G65" t="inlineStr">
        <is>
          <t>Columbus, OH</t>
        </is>
      </c>
      <c r="H65" t="inlineStr"/>
      <c r="I65" t="inlineStr">
        <is>
          <t>The Human Capital Offering Portfolio focuses on helping organizations manage and sustain their performance through their most important asset: their people. Centered on five core issues, this Portfolio signifies to the market that we see Human Capital as a topic critical to the C\-Suite. As we go\-to\-market we will show our clients that we serve more than HR organizations \- from the CEO to CFO, Risk Manager to Business Unit leader \- and that we deliver on our issues and help create value for our clients.
 Recruiting for this role ends on 4/30/26
**SimplrOps** 
 is the \#1 Selling SaaS product at Deloitte. Acquired in January 2025,
 **SimplrOps** 
 embodies the investment Human Capital continues to make in scaling our human edge and promoting product\-based solutions for our clients. By connecting with cloud technology solutions like Workday, we provide configuration management solutions to administrators that help save time, reduce risk, and improve quality. Joining the
 **SimplrOps** 
 team means you are not only helping to build innovative, product\-led solutions, but also supporting the expansion of our market opportunities, offerings, and client base.
**The Work You'll Do:**
 The
 **SimplrOps \- Workday Product Owner \- Project Manager Senior Consultant** 
 is responsible for delivery of the planned SimplrOps Product features for the Workday roadmap. Duties include designing and maintaining JIRA stories, updating Training materials, collaborating with other SimplrOps workstreams including development, QA, Sales, and Adoption to support the overall product strategy as well as delivering training and demos to support our client teams.
**Responsibilities include, but are not limited to:**
* Create and manage JIRA stories for capability in accordance with Epics and Platform strategy
* Work with development team to clarify and answer questions during build cycle
* Work with UI/UX designer to create designs for review and planning
* Validate new feature builds
* Support Product production deployment cycles and activities including new feature content
* Own backlog for capability, working with other teams as needed to groom and meet readiness criteria
* Support SNOW ticket resolution
* Support SimplrOps training delivery
* SimplrOps Workday Capability SCRUM Master back\-up
* Support SimplrOps Workday Capability Product Manager in all of their owned tasks, working hand\-in\-hand to ensure quality delivery
* Support SimplrOps Sales and Marketing initiatives and content creation with Workday capability and SimplrOps product expertise
**The Team**
 Our Insights, Innovation \&amp; Operate Offering is designed to enhance key aspects of our clients' businesses by leveraging cutting\-edge technology, data, and a blend of deep technical and human expertise. We innovate and deliver creative, industry\-specific solutions that streamline operations and accelerate speed\-to\-value.
**Required Qualifications:**
* Bachelor's Degree
* Active Workday Certification
* 4\+ years of hands\-on Workday experience (implementation preferred)
* 4\+ years of experience in client delivery, consultative sales, account management and/or management consulting, preferably in IT service management solutions (Workday)
* 4\+ years of experience presenting to senior level clients
* 2\+ years of experience delivering training or Knowledge Transfer
* Limited immigration sponsorship may be available
**Preferred Qualifications:**
* 2\+ year of experience in Product Management
* Enthusiasm for cloud technology solutions
* A Product mindset
* Ability to work independently and manage multiple assignments
* Demonstrated ability to manage ambiguity and apply problem\-solving skills
* Demonstrated ability to employ research and analytical thinking
* Excellent oral and written communication skills, including presentation skills (MS PowerPoint, MS Word)
* Familiarity with AGILE methodologies
* Ticketing system experience (SNOW preferred)
* Product Management system experience (JIRA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Possible Locations: Atlanta, Austin, Baltimore, Birmingham, Boca Raton, Boise, Boston, Charlotte, Chicago, Cincinnati, Cleveland, Columbus, Costa Mesa, Dallas, Davenport, Dayton, Denver, Des Moines, Detroit, Fort Worth, Fresno, Grand Rapids, Hartford, Hermitage, Houston, Huntsville, Indianapolis, Jacksonville, Jericho, Jersey City, Kansas City, Las Vegas, Los Angeles, Louisville, McLean, Memphis, Miami, Midland, Minneapolis, Morristown, Nashville, New Orleans, New York, Philadelphia, Pittsburgh, Portland, Princeton, Raleigh, Richmond, Rochester, San Antonio, San Diego, San Francisco, San Jose, Seattle, St. Louis, Stamford, Tallahassee, Tampa, Tempe, Tulsa, Washington DC
**Information for applicants with a need for accommodation** 
 : https://www2\.deloitte.com/us/en/pages/careers/articles/join\-deloitte\-assistance\-for\-disabled\-applicants.html
**For more information about Human Capital, visit our landing page at:** 
 https://www2\.deloitte.com/us/en/pages/careers/articles/join\-deloitte\-human\-capital\-consulting\-jobs.html
 \#HCFY26 \#IIOFY26</t>
        </is>
      </c>
    </row>
    <row r="66">
      <c r="A66" t="inlineStr">
        <is>
          <t>li-4337719933</t>
        </is>
      </c>
      <c r="B66" t="inlineStr">
        <is>
          <t>Principal Program Manager - Demand Planning</t>
        </is>
      </c>
      <c r="C66" t="inlineStr">
        <is>
          <t>Oracle</t>
        </is>
      </c>
      <c r="D66" t="inlineStr">
        <is>
          <t>linkedin</t>
        </is>
      </c>
      <c r="E66" t="inlineStr"/>
      <c r="F66" t="inlineStr"/>
      <c r="G66" t="inlineStr">
        <is>
          <t>Broomfield, CO</t>
        </is>
      </c>
      <c r="H66" t="inlineStr"/>
      <c r="I66" t="inlineStr">
        <is>
          <t>**Job Description**
 We're seeking a Principal Demand Planner who enables the strategy and execution of forecasting and decision making through a strong combination of modeling, business intelligence, and market and industry trend analysis. An ideal candidate possesses a deep experience in developing data analytics, creating scenario analysis, and partnering supply management functions. The Principal Demand Planner possesses advanced knowledge of process improvement, and actively drives iteration and new learning into the inputs and methods for strategic requirement forecasting.
**Responsibilities**
**Responsibilities:**
* Develop, iterate, and maintain end to end long\-range demand planning models at the customer, initiative, SKU, and geo level. The plan will allow the team to correctly predict product demand and provide supply chain with the appropriate information to meet the customer demand.
* Build demand plans based on strategic goals, business trends, and inputs from stakeholders. Interact with engineering customer management, product management, networking, datacenter, and finance to understand demand requirements.
* Socialize demand plans with senior leaders in capacity planning and operations, supply chain, engineering, customer management, and finance to achieve alignment.
* Identify demand forecast risks and develop prioritized, effective, flexible, and durable mitigation strategies.
* Facilitate healthy balance between long range planning and short\-term execution. Understand end to end supply chain flow to help ensure customer demand is met.
* Collaborate with product management to understand product lifecycle, transition, and how that impacts forecasting.
* Provide direct inputs and analysis of demand data to management, finance, and operational teams in creating and maintaining the corporate S\&amp;OP process.
* Develop routine and ad\-hoc demand analyses and reports for senior management.
* Maintain demand planning review processes to improve forecast accuracy.
* Demand planning is both science and art. It is critical to understand how to translate business strategy into forecasting models, both quantitatively and qualitatively.
* Work with business intelligence teams to translate planning processes into system models to determine and plan resource needs that meets capacity and performance needs.
**Required Qualifications:**
* Bachelor’s degree in Business Administration, Supply Chain Management, Engineering or related fields
* 5\+ years’ relevant experience within demand planning and forecasting
* Extensive experience in developing demand plans and forecasts for new and existing products
* Understand impact of revenue goals, customer usage, overhead and buffer, data center space and power availability on capacity management.
* Demonstrate excellent analytical skills and meet deadlines with a strong desire to execute tasks with quality and a sense of urgency.
* Experienced with forecasting and demand planning for server storage and networking
* Advanced in Excel modeling and building complex forecasting models with multiple inputs to drive recommendations and decisions
* Ability to both dive deep into data and synthesize findings and insights for exec level communication
* Expert in Excel data analytics to drive action and outcome
* Experienced in working with VPs and Executives
* Experienced with infrastructure hardware, memory, CPU, JBoDs, servers, etc. Ability to read and interpret product BOM and documentation.
**Preferred Qualifications:**
* Previous cloud experience.
* Thrive in ambiguity and ability to make high judgement decisions from ambiguous context.
* Ability to translate large amounts of data into useful information and draw conclusions.
* Maintain key operational metrics that measure demand planning performance driving continuous improvement.
* Experience with building and improving business processes.
* Ability to work with technical and non\-technical business owners to overcome obstacles and deliver results.
* 7\+ years’ experience with Microsoft office (PowerPoint, Excel, Word, Outlook, Access).
* Excellent written and verbal communication skills with the ability to present complex information in a clear and concise manner to a variety of audiences.
* Ability to meet tight deadlines and prioritize workloads.
* Working proficiency of SQL.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7">
      <c r="A67" t="inlineStr">
        <is>
          <t>li-4367915394</t>
        </is>
      </c>
      <c r="B67" t="inlineStr">
        <is>
          <t>SimplrOps - Workday Product Owner - Project Manager Senior Consultant</t>
        </is>
      </c>
      <c r="C67" t="inlineStr">
        <is>
          <t>Deloitte</t>
        </is>
      </c>
      <c r="D67" t="inlineStr">
        <is>
          <t>linkedin</t>
        </is>
      </c>
      <c r="E67" t="inlineStr"/>
      <c r="F67" t="inlineStr"/>
      <c r="G67" t="inlineStr">
        <is>
          <t>Tempe, AZ</t>
        </is>
      </c>
      <c r="H67" t="inlineStr"/>
      <c r="I67" t="inlineStr">
        <is>
          <t>The Human Capital Offering Portfolio focuses on helping organizations manage and sustain their performance through their most important asset: their people. Centered on five core issues, this Portfolio signifies to the market that we see Human Capital as a topic critical to the C\-Suite. As we go\-to\-market we will show our clients that we serve more than HR organizations \- from the CEO to CFO, Risk Manager to Business Unit leader \- and that we deliver on our issues and help create value for our clients.
 Recruiting for this role ends on 4/30/26
**SimplrOps** 
 is the \#1 Selling SaaS product at Deloitte. Acquired in January 2025,
 **SimplrOps** 
 embodies the investment Human Capital continues to make in scaling our human edge and promoting product\-based solutions for our clients. By connecting with cloud technology solutions like Workday, we provide configuration management solutions to administrators that help save time, reduce risk, and improve quality. Joining the
 **SimplrOps** 
 team means you are not only helping to build innovative, product\-led solutions, but also supporting the expansion of our market opportunities, offerings, and client base.
**The Work You'll Do:**
 The
 **SimplrOps \- Workday Product Owner \- Project Manager Senior Consultant** 
 is responsible for delivery of the planned SimplrOps Product features for the Workday roadmap. Duties include designing and maintaining JIRA stories, updating Training materials, collaborating with other SimplrOps workstreams including development, QA, Sales, and Adoption to support the overall product strategy as well as delivering training and demos to support our client teams.
**Responsibilities include, but are not limited to:**
* Create and manage JIRA stories for capability in accordance with Epics and Platform strategy
* Work with development team to clarify and answer questions during build cycle
* Work with UI/UX designer to create designs for review and planning
* Validate new feature builds
* Support Product production deployment cycles and activities including new feature content
* Own backlog for capability, working with other teams as needed to groom and meet readiness criteria
* Support SNOW ticket resolution
* Support SimplrOps training delivery
* SimplrOps Workday Capability SCRUM Master back\-up
* Support SimplrOps Workday Capability Product Manager in all of their owned tasks, working hand\-in\-hand to ensure quality delivery
* Support SimplrOps Sales and Marketing initiatives and content creation with Workday capability and SimplrOps product expertise
**The Team**
 Our Insights, Innovation \&amp; Operate Offering is designed to enhance key aspects of our clients' businesses by leveraging cutting\-edge technology, data, and a blend of deep technical and human expertise. We innovate and deliver creative, industry\-specific solutions that streamline operations and accelerate speed\-to\-value.
**Required Qualifications:**
* Bachelor's Degree
* Active Workday Certification
* 4\+ years of hands\-on Workday experience (implementation preferred)
* 4\+ years of experience in client delivery, consultative sales, account management and/or management consulting, preferably in IT service management solutions (Workday)
* 4\+ years of experience presenting to senior level clients
* 2\+ years of experience delivering training or Knowledge Transfer
* Limited immigration sponsorship may be available
**Preferred Qualifications:**
* 2\+ year of experience in Product Management
* Enthusiasm for cloud technology solutions
* A Product mindset
* Ability to work independently and manage multiple assignments
* Demonstrated ability to manage ambiguity and apply problem\-solving skills
* Demonstrated ability to employ research and analytical thinking
* Excellent oral and written communication skills, including presentation skills (MS PowerPoint, MS Word)
* Familiarity with AGILE methodologies
* Ticketing system experience (SNOW preferred)
* Product Management system experience (JIRA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Possible Locations: Atlanta, Austin, Baltimore, Birmingham, Boca Raton, Boise, Boston, Charlotte, Chicago, Cincinnati, Cleveland, Columbus, Costa Mesa, Dallas, Davenport, Dayton, Denver, Des Moines, Detroit, Fort Worth, Fresno, Grand Rapids, Hartford, Hermitage, Houston, Huntsville, Indianapolis, Jacksonville, Jericho, Jersey City, Kansas City, Las Vegas, Los Angeles, Louisville, McLean, Memphis, Miami, Midland, Minneapolis, Morristown, Nashville, New Orleans, New York, Philadelphia, Pittsburgh, Portland, Princeton, Raleigh, Richmond, Rochester, San Antonio, San Diego, San Francisco, San Jose, Seattle, St. Louis, Stamford, Tallahassee, Tampa, Tempe, Tulsa, Washington DC
**Information for applicants with a need for accommodation** 
 : https://www2\.deloitte.com/us/en/pages/careers/articles/join\-deloitte\-assistance\-for\-disabled\-applicants.html
**For more information about Human Capital, visit our landing page at:** 
 https://www2\.deloitte.com/us/en/pages/careers/articles/join\-deloitte\-human\-capital\-consulting\-jobs.html
 \#HCFY26 \#IIOFY26</t>
        </is>
      </c>
    </row>
    <row r="68">
      <c r="A68" t="inlineStr">
        <is>
          <t>li-4367926305</t>
        </is>
      </c>
      <c r="B68" t="inlineStr">
        <is>
          <t>SimplrOps - Workday Product Owner - Project Manager Senior Consultant</t>
        </is>
      </c>
      <c r="C68" t="inlineStr">
        <is>
          <t>Deloitte</t>
        </is>
      </c>
      <c r="D68" t="inlineStr">
        <is>
          <t>linkedin</t>
        </is>
      </c>
      <c r="E68" t="inlineStr"/>
      <c r="F68" t="inlineStr"/>
      <c r="G68" t="inlineStr">
        <is>
          <t>Raleigh, NC</t>
        </is>
      </c>
      <c r="H68" t="inlineStr"/>
      <c r="I68" t="inlineStr">
        <is>
          <t>The Human Capital Offering Portfolio focuses on helping organizations manage and sustain their performance through their most important asset: their people. Centered on five core issues, this Portfolio signifies to the market that we see Human Capital as a topic critical to the C\-Suite. As we go\-to\-market we will show our clients that we serve more than HR organizations \- from the CEO to CFO, Risk Manager to Business Unit leader \- and that we deliver on our issues and help create value for our clients.
 Recruiting for this role ends on 4/30/26
**SimplrOps** 
 is the \#1 Selling SaaS product at Deloitte. Acquired in January 2025,
 **SimplrOps** 
 embodies the investment Human Capital continues to make in scaling our human edge and promoting product\-based solutions for our clients. By connecting with cloud technology solutions like Workday, we provide configuration management solutions to administrators that help save time, reduce risk, and improve quality. Joining the
 **SimplrOps** 
 team means you are not only helping to build innovative, product\-led solutions, but also supporting the expansion of our market opportunities, offerings, and client base.
**The Work You'll Do:**
 The
 **SimplrOps \- Workday Product Owner \- Project Manager Senior Consultant** 
 is responsible for delivery of the planned SimplrOps Product features for the Workday roadmap. Duties include designing and maintaining JIRA stories, updating Training materials, collaborating with other SimplrOps workstreams including development, QA, Sales, and Adoption to support the overall product strategy as well as delivering training and demos to support our client teams.
**Responsibilities include, but are not limited to:**
* Create and manage JIRA stories for capability in accordance with Epics and Platform strategy
* Work with development team to clarify and answer questions during build cycle
* Work with UI/UX designer to create designs for review and planning
* Validate new feature builds
* Support Product production deployment cycles and activities including new feature content
* Own backlog for capability, working with other teams as needed to groom and meet readiness criteria
* Support SNOW ticket resolution
* Support SimplrOps training delivery
* SimplrOps Workday Capability SCRUM Master back\-up
* Support SimplrOps Workday Capability Product Manager in all of their owned tasks, working hand\-in\-hand to ensure quality delivery
* Support SimplrOps Sales and Marketing initiatives and content creation with Workday capability and SimplrOps product expertise
**The Team**
 Our Insights, Innovation \&amp; Operate Offering is designed to enhance key aspects of our clients' businesses by leveraging cutting\-edge technology, data, and a blend of deep technical and human expertise. We innovate and deliver creative, industry\-specific solutions that streamline operations and accelerate speed\-to\-value.
**Required Qualifications:**
* Bachelor's Degree
* Active Workday Certification
* 4\+ years of hands\-on Workday experience (implementation preferred)
* 4\+ years of experience in client delivery, consultative sales, account management and/or management consulting, preferably in IT service management solutions (Workday)
* 4\+ years of experience presenting to senior level clients
* 2\+ years of experience delivering training or Knowledge Transfer
* Limited immigration sponsorship may be available
**Preferred Qualifications:**
* 2\+ year of experience in Product Management
* Enthusiasm for cloud technology solutions
* A Product mindset
* Ability to work independently and manage multiple assignments
* Demonstrated ability to manage ambiguity and apply problem\-solving skills
* Demonstrated ability to employ research and analytical thinking
* Excellent oral and written communication skills, including presentation skills (MS PowerPoint, MS Word)
* Familiarity with AGILE methodologies
* Ticketing system experience (SNOW preferred)
* Product Management system experience (JIRA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Possible Locations: Atlanta, Austin, Baltimore, Birmingham, Boca Raton, Boise, Boston, Charlotte, Chicago, Cincinnati, Cleveland, Columbus, Costa Mesa, Dallas, Davenport, Dayton, Denver, Des Moines, Detroit, Fort Worth, Fresno, Grand Rapids, Hartford, Hermitage, Houston, Huntsville, Indianapolis, Jacksonville, Jericho, Jersey City, Kansas City, Las Vegas, Los Angeles, Louisville, McLean, Memphis, Miami, Midland, Minneapolis, Morristown, Nashville, New Orleans, New York, Philadelphia, Pittsburgh, Portland, Princeton, Raleigh, Richmond, Rochester, San Antonio, San Diego, San Francisco, San Jose, Seattle, St. Louis, Stamford, Tallahassee, Tampa, Tempe, Tulsa, Washington DC
**Information for applicants with a need for accommodation** 
 : https://www2\.deloitte.com/us/en/pages/careers/articles/join\-deloitte\-assistance\-for\-disabled\-applicants.html
**For more information about Human Capital, visit our landing page at:** 
 https://www2\.deloitte.com/us/en/pages/careers/articles/join\-deloitte\-human\-capital\-consulting\-jobs.html
 \#HCFY26 \#IIOFY26</t>
        </is>
      </c>
    </row>
    <row r="69">
      <c r="A69" t="inlineStr">
        <is>
          <t>li-4367923321</t>
        </is>
      </c>
      <c r="B69" t="inlineStr">
        <is>
          <t>SimplrOps - Workday Product Owner - Project Manager Senior Consultant</t>
        </is>
      </c>
      <c r="C69" t="inlineStr">
        <is>
          <t>Deloitte</t>
        </is>
      </c>
      <c r="D69" t="inlineStr">
        <is>
          <t>linkedin</t>
        </is>
      </c>
      <c r="E69" t="inlineStr"/>
      <c r="F69" t="inlineStr"/>
      <c r="G69" t="inlineStr">
        <is>
          <t>Detroit, MI</t>
        </is>
      </c>
      <c r="H69" t="inlineStr"/>
      <c r="I69" t="inlineStr">
        <is>
          <t>The Human Capital Offering Portfolio focuses on helping organizations manage and sustain their performance through their most important asset: their people. Centered on five core issues, this Portfolio signifies to the market that we see Human Capital as a topic critical to the C\-Suite. As we go\-to\-market we will show our clients that we serve more than HR organizations \- from the CEO to CFO, Risk Manager to Business Unit leader \- and that we deliver on our issues and help create value for our clients.
 Recruiting for this role ends on 4/30/26
**SimplrOps** 
 is the \#1 Selling SaaS product at Deloitte. Acquired in January 2025,
 **SimplrOps** 
 embodies the investment Human Capital continues to make in scaling our human edge and promoting product\-based solutions for our clients. By connecting with cloud technology solutions like Workday, we provide configuration management solutions to administrators that help save time, reduce risk, and improve quality. Joining the
 **SimplrOps** 
 team means you are not only helping to build innovative, product\-led solutions, but also supporting the expansion of our market opportunities, offerings, and client base.
**The Work You'll Do:**
 The
 **SimplrOps \- Workday Product Owner \- Project Manager Senior Consultant** 
 is responsible for delivery of the planned SimplrOps Product features for the Workday roadmap. Duties include designing and maintaining JIRA stories, updating Training materials, collaborating with other SimplrOps workstreams including development, QA, Sales, and Adoption to support the overall product strategy as well as delivering training and demos to support our client teams.
**Responsibilities include, but are not limited to:**
* Create and manage JIRA stories for capability in accordance with Epics and Platform strategy
* Work with development team to clarify and answer questions during build cycle
* Work with UI/UX designer to create designs for review and planning
* Validate new feature builds
* Support Product production deployment cycles and activities including new feature content
* Own backlog for capability, working with other teams as needed to groom and meet readiness criteria
* Support SNOW ticket resolution
* Support SimplrOps training delivery
* SimplrOps Workday Capability SCRUM Master back\-up
* Support SimplrOps Workday Capability Product Manager in all of their owned tasks, working hand\-in\-hand to ensure quality delivery
* Support SimplrOps Sales and Marketing initiatives and content creation with Workday capability and SimplrOps product expertise
**The Team**
 Our Insights, Innovation \&amp; Operate Offering is designed to enhance key aspects of our clients' businesses by leveraging cutting\-edge technology, data, and a blend of deep technical and human expertise. We innovate and deliver creative, industry\-specific solutions that streamline operations and accelerate speed\-to\-value.
**Required Qualifications:**
* Bachelor's Degree
* Active Workday Certification
* 4\+ years of hands\-on Workday experience (implementation preferred)
* 4\+ years of experience in client delivery, consultative sales, account management and/or management consulting, preferably in IT service management solutions (Workday)
* 4\+ years of experience presenting to senior level clients
* 2\+ years of experience delivering training or Knowledge Transfer
* Limited immigration sponsorship may be available
**Preferred Qualifications:**
* 2\+ year of experience in Product Management
* Enthusiasm for cloud technology solutions
* A Product mindset
* Ability to work independently and manage multiple assignments
* Demonstrated ability to manage ambiguity and apply problem\-solving skills
* Demonstrated ability to employ research and analytical thinking
* Excellent oral and written communication skills, including presentation skills (MS PowerPoint, MS Word)
* Familiarity with AGILE methodologies
* Ticketing system experience (SNOW preferred)
* Product Management system experience (JIRA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Possible Locations: Atlanta, Austin, Baltimore, Birmingham, Boca Raton, Boise, Boston, Charlotte, Chicago, Cincinnati, Cleveland, Columbus, Costa Mesa, Dallas, Davenport, Dayton, Denver, Des Moines, Detroit, Fort Worth, Fresno, Grand Rapids, Hartford, Hermitage, Houston, Huntsville, Indianapolis, Jacksonville, Jericho, Jersey City, Kansas City, Las Vegas, Los Angeles, Louisville, McLean, Memphis, Miami, Midland, Minneapolis, Morristown, Nashville, New Orleans, New York, Philadelphia, Pittsburgh, Portland, Princeton, Raleigh, Richmond, Rochester, San Antonio, San Diego, San Francisco, San Jose, Seattle, St. Louis, Stamford, Tallahassee, Tampa, Tempe, Tulsa, Washington DC
**Information for applicants with a need for accommodation** 
 : https://www2\.deloitte.com/us/en/pages/careers/articles/join\-deloitte\-assistance\-for\-disabled\-applicants.html
**For more information about Human Capital, visit our landing page at:** 
 https://www2\.deloitte.com/us/en/pages/careers/articles/join\-deloitte\-human\-capital\-consulting\-jobs.html
 \#HCFY26 \#IIOFY26</t>
        </is>
      </c>
    </row>
    <row r="70">
      <c r="A70" t="inlineStr">
        <is>
          <t>li-4367921398</t>
        </is>
      </c>
      <c r="B70" t="inlineStr">
        <is>
          <t>SimplrOps - Workday Product Owner - Project Manager Senior Consultant</t>
        </is>
      </c>
      <c r="C70" t="inlineStr">
        <is>
          <t>Deloitte</t>
        </is>
      </c>
      <c r="D70" t="inlineStr">
        <is>
          <t>linkedin</t>
        </is>
      </c>
      <c r="E70" t="inlineStr"/>
      <c r="F70" t="inlineStr"/>
      <c r="G70" t="inlineStr">
        <is>
          <t>Hartford, CT</t>
        </is>
      </c>
      <c r="H70" t="inlineStr"/>
      <c r="I70" t="inlineStr">
        <is>
          <t>The Human Capital Offering Portfolio focuses on helping organizations manage and sustain their performance through their most important asset: their people. Centered on five core issues, this Portfolio signifies to the market that we see Human Capital as a topic critical to the C\-Suite. As we go\-to\-market we will show our clients that we serve more than HR organizations \- from the CEO to CFO, Risk Manager to Business Unit leader \- and that we deliver on our issues and help create value for our clients.
 Recruiting for this role ends on 4/30/26
**SimplrOps** 
 is the \#1 Selling SaaS product at Deloitte. Acquired in January 2025,
 **SimplrOps** 
 embodies the investment Human Capital continues to make in scaling our human edge and promoting product\-based solutions for our clients. By connecting with cloud technology solutions like Workday, we provide configuration management solutions to administrators that help save time, reduce risk, and improve quality. Joining the
 **SimplrOps** 
 team means you are not only helping to build innovative, product\-led solutions, but also supporting the expansion of our market opportunities, offerings, and client base.
**The Work You'll Do:**
 The
 **SimplrOps \- Workday Product Owner \- Project Manager Senior Consultant** 
 is responsible for delivery of the planned SimplrOps Product features for the Workday roadmap. Duties include designing and maintaining JIRA stories, updating Training materials, collaborating with other SimplrOps workstreams including development, QA, Sales, and Adoption to support the overall product strategy as well as delivering training and demos to support our client teams.
**Responsibilities include, but are not limited to:**
* Create and manage JIRA stories for capability in accordance with Epics and Platform strategy
* Work with development team to clarify and answer questions during build cycle
* Work with UI/UX designer to create designs for review and planning
* Validate new feature builds
* Support Product production deployment cycles and activities including new feature content
* Own backlog for capability, working with other teams as needed to groom and meet readiness criteria
* Support SNOW ticket resolution
* Support SimplrOps training delivery
* SimplrOps Workday Capability SCRUM Master back\-up
* Support SimplrOps Workday Capability Product Manager in all of their owned tasks, working hand\-in\-hand to ensure quality delivery
* Support SimplrOps Sales and Marketing initiatives and content creation with Workday capability and SimplrOps product expertise
**The Team**
 Our Insights, Innovation \&amp; Operate Offering is designed to enhance key aspects of our clients' businesses by leveraging cutting\-edge technology, data, and a blend of deep technical and human expertise. We innovate and deliver creative, industry\-specific solutions that streamline operations and accelerate speed\-to\-value.
**Required Qualifications:**
* Bachelor's Degree
* Active Workday Certification
* 4\+ years of hands\-on Workday experience (implementation preferred)
* 4\+ years of experience in client delivery, consultative sales, account management and/or management consulting, preferably in IT service management solutions (Workday)
* 4\+ years of experience presenting to senior level clients
* 2\+ years of experience delivering training or Knowledge Transfer
* Limited immigration sponsorship may be available
**Preferred Qualifications:**
* 2\+ year of experience in Product Management
* Enthusiasm for cloud technology solutions
* A Product mindset
* Ability to work independently and manage multiple assignments
* Demonstrated ability to manage ambiguity and apply problem\-solving skills
* Demonstrated ability to employ research and analytical thinking
* Excellent oral and written communication skills, including presentation skills (MS PowerPoint, MS Word)
* Familiarity with AGILE methodologies
* Ticketing system experience (SNOW preferred)
* Product Management system experience (JIRA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Possible Locations: Atlanta, Austin, Baltimore, Birmingham, Boca Raton, Boise, Boston, Charlotte, Chicago, Cincinnati, Cleveland, Columbus, Costa Mesa, Dallas, Davenport, Dayton, Denver, Des Moines, Detroit, Fort Worth, Fresno, Grand Rapids, Hartford, Hermitage, Houston, Huntsville, Indianapolis, Jacksonville, Jericho, Jersey City, Kansas City, Las Vegas, Los Angeles, Louisville, McLean, Memphis, Miami, Midland, Minneapolis, Morristown, Nashville, New Orleans, New York, Philadelphia, Pittsburgh, Portland, Princeton, Raleigh, Richmond, Rochester, San Antonio, San Diego, San Francisco, San Jose, Seattle, St. Louis, Stamford, Tallahassee, Tampa, Tempe, Tulsa, Washington DC
**Information for applicants with a need for accommodation** 
 : https://www2\.deloitte.com/us/en/pages/careers/articles/join\-deloitte\-assistance\-for\-disabled\-applicants.html
**For more information about Human Capital, visit our landing page at:** 
 https://www2\.deloitte.com/us/en/pages/careers/articles/join\-deloitte\-human\-capital\-consulting\-jobs.html
 \#HCFY26 \#IIOFY26</t>
        </is>
      </c>
    </row>
    <row r="71">
      <c r="A71" t="inlineStr">
        <is>
          <t>li-4271087313</t>
        </is>
      </c>
      <c r="B71" t="inlineStr">
        <is>
          <t>Staff Technical Program Manager, Hardware Robotics, Air Dominance &amp; Strike</t>
        </is>
      </c>
      <c r="C71" t="inlineStr">
        <is>
          <t>Anduril Industries</t>
        </is>
      </c>
      <c r="D71" t="inlineStr">
        <is>
          <t>linkedin</t>
        </is>
      </c>
      <c r="E71" t="inlineStr"/>
      <c r="F71" t="inlineStr"/>
      <c r="G71" t="inlineStr">
        <is>
          <t>Costa Mesa, CA</t>
        </is>
      </c>
      <c r="H71" t="inlineStr"/>
      <c r="I7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Air Dominance and Strike Division is one of Anduril’s fastest growing, most technically complex divisions. We develop and build collaborative combat aircraft, missiles, and the software that powers these autonomous weapons. We are looking for a Technical Program Manager to lead one of our development programs across various stages of the contract lifecycle from early R\&amp;D to contract capture and close. As a Technical Program Manager you will lead the development and integration of Anduril products and technologies alongside the Chief Engineer and will be directly responsible for all elements of cost and schedule to ensure successful delivery of the program.
**About The Job**
 Success in this position hinges on three key facets:
* Systems and engineering mindset \- the ability to understand and assess technical concept. Identifying system dependencies, interfaces, technical risks and the impact of key architectural decisions with the engineering team.
* Execution focused \- digging into the details, charting the path and owning the outcome. You will be expected to utilize your technical aptitude in conjunction with your program management, and leadership skills to deliver the best outcome for Anduril and the customer.
* Collaborative partnership \- managing customer relationships and shaping the future of the program with the government.
**What You'll Do**
* In partnership with the Chief Engineer, own the development and deployment of Anduril’s Air Dominance \&amp; Strike technologies to meet the operational needs of the Department of Defense
* Develop strong, trusting relationships with Anduril’s DOD customers, ensuring we have tight feedback loops that enable us shape solutions, rapidly iterate, and ultimately field solutions faster
* Autonomously execute on broad and/or ambiguous requirements from internal engineering, customers, and third party corporate partners to own successful delivery of outcomes on multiple programs simultaneously
* Monitor and manage program progress across cost, schedule, and resource allocation, making tradeoffs that enable us to deliver best\-in\-class solutions to our customers on\-time and on\-budget
* Develop and implement lightweight processes, tools, and metrics for program planning, scope management, risk management, and customer communication to enable Anduril to move rapidly
* Be high ownership on all pieces of work and become a trusted partner and advisor to Anduril’s engineers
* Foster a creative, high\-performance culture within the team, and proactively assess team skills versus needs, identifying personnel development or recruitment opportunities to strengthen the team’s capabilities
* Collaborate with finance and business development teams to develop novel pricing strategies for proposals that set Anduril up for long term financial and operational success
* Collaborate with senior management to develop and refine the strategic roadmap for Anduril Air Dominance \&amp; Strike R\&amp;D investments that underpin the success of our programs
**Required Qualifications**
* Eligible to obtain and maintain an active U.S. Top Secret security clearance
* Bachelor’s degree in Engineering, Business Administration, or a related field (technical background preferred)
* Minimum of 10 years experience managing the development of complex technical systems throughout the product lifecycle
* Proven track record of successfully managing complex, multi\-million\-dollar projects and driving their on\-time, on\-budget completion
* Strong strategic thinking, analytical, and problem\-solving abilities with the ability to move seamlessly between tactical and the 30,000 ft level
* Experience coordinating multiple internal and external teams within a complex engineering or technology\-focused organization
* Exceptional communication skills, both written and verbal, with the ability to present complex information clearly and concisely to diverse audiences
 US Salary Range
 $191,000—$253,000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72">
      <c r="A72" t="inlineStr">
        <is>
          <t>li-4351840759</t>
        </is>
      </c>
      <c r="B72" t="inlineStr">
        <is>
          <t>Program Manager</t>
        </is>
      </c>
      <c r="C72" t="inlineStr">
        <is>
          <t>Koniag Government Services</t>
        </is>
      </c>
      <c r="D72" t="inlineStr">
        <is>
          <t>linkedin</t>
        </is>
      </c>
      <c r="E72" t="inlineStr"/>
      <c r="F72" t="inlineStr"/>
      <c r="G72" t="inlineStr">
        <is>
          <t>Aberdeen, MD</t>
        </is>
      </c>
      <c r="H72" t="inlineStr"/>
      <c r="I72" t="inlineStr">
        <is>
          <t>Koniag IT Systems, LLC, a Koniag Government Services company, is seeking a Program Manager with a TS/SCI security clearance to support KITS and our government customer in Aberdeen, MD.
 *This position is for a Future New Business Opportunity.*
 We offer competitive compensation and an extraordinary benefits package including health, dental and vision insurance, 401K with company matching, flexible spending accounts, paid holidays, three weeks paid time off, and more.
 Koniag IT Systems is seeking a highly experienced Program Manager to lead IT support services for a major government client. The ideal candidate will provide strategic leadership for IT operations supporting approximately 3,300 users across multiple locations. This role requires exceptional leadership experience, strong technical knowledge, and the ability to effectively manage complex IT programs.
**Essential Functions, Responsibilities \&amp; Duties may include, but are not limited to:**
 The Program Manager will be responsible for overseeing and directing all aspects of IT support services across multiple Department of War (DOW) locations. Principal responsibilities include:
* Lead and manage a team of 50\+ IT professionals providing support to approximately 3,300 users across multiple locations
* Develop and implement strategic IT program plans that align with customer requirements and organizational objectives
* Manage program budgets, resources, schedules, and performance metrics to ensure successful delivery of services
* Coordinate with government stakeholders to identify requirements, establish priorities, and adjust workforce allocation as needed
* Oversee the delivery of IT services, ensuring compliance with DOW standards, policies, and security requirements
* Lead regular program reviews and status meetings with government counterparts
* Manage fluctuating workloads and priorities by effectively increasing, decreasing, or relocating resources as required
* Ensure proper documentation of all program activities, decisions, and deliverables
* Identify and mitigate program risks while developing and implementing risk management strategies
* Build and maintain strong relationships with government stakeholders and technical teams
* Ensure compliance with all contract terms, conditions, and performance requirements
**Required Experience**
* Bachelor's degree in a directly related IT field with 11\+ years of experience, OR Master's degree in a directly related IT field with 9\+ years of experience
* 10\+ years of experience leading teams of 50 or more employees
* Relevant education/experience in an IT discipline related to the assigned program area (e.g., Network Engineering, Network Management, Computer Science, Information Systems, Computer or Software Engineering, Management Information Systems, Computer Forensics/Security, etc.)
* Experience working in DOW Computing Environments
* Security\+ certification (or equivalent DOW Directive 8570\.1 IAT II)
* At least one certification in project management (PMP, CAPM, etc.)
**Required Skills And Competencies**
* Demonstrated experience managing complex IT programs within DOW environments
* Strong understanding of government contracting procedures, particularly related to IT services
* Proven ability to lead large teams and manage complex programs with multiple stakeholders
* Experience managing fluctuating workloads and priorities across multiple geographic locations
* Excellent written and verbal communication skills with the ability to effectively communicate with technical and non\-technical stakeholders
* Strong budget management experience and financial acumen
* Thorough understanding of DOW security requirements and IT governance frameworks
* Experience in risk management and mitigation strategies for IT programs
* Knowledge of ITIL practices and principles
* Ability to adapt to changing priorities and requirements in a dynamic environment
* Proficiency in program management tools and methodologies
**Desired Skills And Competencies**
* PMP certification
* ITIL certification
* Experience supporting federal testing and evaluation operations
* Knowledge of federal IT systems and infrastructure
* Experience with IT service management tools and practices
* Familiarity with DOW acquisition processes
* Advanced degrees in Business Administration, IT Management, or related fields
* Experience with Agile and traditional project management methodologies
* Understanding of IT modernization initiatives within the DOW
**Clearance Requirement**
* TS/SCI security clearance
**Our Equal Employment Opportunity Policy**
 The company is an equal opportunity employer. The company shall not discriminate against any employee or applicant because of race, color, religion, creed, ethnicity, sex, sexual orientation, gender or gender identity (except where gender is a bona fide occupational qualification), national origin or ancestry, age, disability, citizenship, military/veteran status, marital status, genetic information or any other characteristic protected by applicable federal, state, or local law. We are committed to equal employment opportunity in all decisions related to employment, promotion, wages, benefits, and all other privileges, terms, and conditions of employment.
 The company is dedicated to seeking all qualified applicants. If you require an accommodation to navigate or apply for a position on our website, please get in touch with Heaven Wood via e\-mail at accommodations@koniag\-gs.com or by calling 703\-488\-9377 to request accommodations.
*Koniag Government Services (KGS) is an Alaska Native Owned corporation supporting the values and traditions of our native communities through an agile employee and corporate culture that delivers Enterprise Solutions, Professional Services and Operational Management to Federal Government Agencies. As a wholly owned subsidiary of Koniag, we apply our proven commercial solutions to a deep knowledge of Defense and Civilian missions to provide forward leaning technical, professional, and operational solutions. KGS enables successful mission outcomes for our customers through solution\-oriented business partnerships and a commitment to exceptional service delivery. We ensure long\-term success with a continuous improvement approach while balancing the collective interests of our customers, employees, and native communities. For more information, please visit www.koniag\-gs.com.*
***Equal Opportunity Employer/Veterans/Disabled. Shareholder Preference in accordance with Public Law 88\-352***</t>
        </is>
      </c>
    </row>
    <row r="73">
      <c r="A73" t="inlineStr">
        <is>
          <t>li-4376394259</t>
        </is>
      </c>
      <c r="B73" t="inlineStr">
        <is>
          <t>Senior Program Manager (eLMS)</t>
        </is>
      </c>
      <c r="C73" t="inlineStr">
        <is>
          <t>CAI</t>
        </is>
      </c>
      <c r="D73" t="inlineStr">
        <is>
          <t>linkedin</t>
        </is>
      </c>
      <c r="E73" t="inlineStr"/>
      <c r="F73" t="inlineStr"/>
      <c r="G73" t="inlineStr">
        <is>
          <t>Harrisburg, PA</t>
        </is>
      </c>
      <c r="H73" t="inlineStr"/>
      <c r="I73" t="inlineStr">
        <is>
          <t>Senior Program Manager (eLMS)
**Req number:** 
 R7051
**Employment type:** 
 Full time
**Worksite flexibility:** 
 Hybrid
 **Who we are** 
 CAI is a global technology services firm with over 8,500 associates worldwide and a yearly revenue of $1 billion\+. We have over 40 years of excellence in uniting talent and technology to power the possible for our clients, colleagues, and communities. As a privately held company, we have the freedom and focus to do what is right—whatever it takes. Our tailor\-made solutions create lasting results across the public and commercial sectors, and we are trailblazers in bringing neurodiversity to the enterprise.
**Job Summary** 
 As a Senior Program Manager (eLMS), you will be responsible for leading our client's implementation for an enterprise learning management system.
**Job Description** 
 We are seeking a
 **Senior Program Manager (eLMS)** 
  to lead the implementation of an enterprise learning management system (eLMS). This is a full\-time, salaried position requiring at least 1\-day per month onsite in Harrsiburg, PA. (During initial onboarding it may require more onsite work for training purposes.)
**Only work authorizations that will not require sponsorship now or in the future will be considered.**
**What You'll Do:** 
* Leads and manages the ongoing implementation and continuing development of the enterprise learning management system (eLMS)
* Oversee both project management and technical development of an eLMS
* Oversee and actively engage in project management, curriculum development, and instructional design elements of an eLMS
* Entails highly independent professional work that involves the identification, coordination, and implementation of adult learning content and resources delivered via the client's platform
* Manages relationships with the eLMS vendor to support ongoing development of the the client's system
* Partners with vendors to manage the day\-to\-day administration of all system needs, including, but not limited to content updates and bug/enhancement solutioning.\\
* Works with internal partners and external vendors to maintain and improve training content and resources to align with client needs
* Creates and manages the overall course structure and sets up courses utilizing instructional design techniques/modalities to ensure maximum learner retention and training content provided through the eLMS in coordination with subject matter experts (SME)
* Provides project management for course development, coordinating the ongoing expansion and enhancement of the eLMS in partnership with staff and external SMEs including contracted vendors, service providers, and educational institutions
* Builds customized certifications related to training content and course offerings
* Creates and conducts assessments and evaluations for eLMS course offerings, including soliciting feedback from learners, stakeholders, SMEs, and staff
* Monitors trends to identify opportunities for improvement and makes recommendations that can be initiated for improved outcomes
* Provides reports on eLMS usage to management staff
* Effectively communicates verbally and in writing with all stakeholders.
* Responds promptly and accurately to inquiries regarding program or project information.
* Creates user guides, promotional materials, and other resources related to eLMS and its training catalog to increase awareness of the resource and ensure targeted stakeholders have knowledge of appropriate trainings.
* Creates and manages the overall course structure and sets up courses utilizing instructional design techniques/modalities to ensure maximum learner retention and training content provided by client or SMEs.
* Implement the ADDIE model of adult learning content development though both synchronous and asynchronous online training modalities – analyze, design, develop, implement, and evaluate
* Conduct needs assessments in collaboration with program office representatives across the client's offices, including internal and external subject\-matter\-experts and stakeholders
* Organize and lead planning sessions that identify suitable training and development approaches, including types of learning and conditions of learning, to suitably address training and learning gaps identified by assessment efforts.
* Identify low\-cost/no\-cost solutions available through existing and emerging stakeholder partnerships (i.e. UPenn, Drexel, Temple, E4 Center, etc.) that can meet client needs, or determine whether specific content must be developed to meet the identified needs
* Design and develop interactive e\-learning content using Articulate360 and similar software for initial pilot delivery and revision in conjunction with deployment to the platform that relies on a Moodle framework, while soliciting and incorporating feedback from the program office, subject matter experts, and other stakeholders
* Ensure content meets or exceeds client's diversity, equity, and inclusion (DEI) principles and guidelines established by the DHS Learning Governance Committee, and work with stakeholders to revise or adjust content to promote DEI approaches reflective of belonging and inclusivity
* Coordinate testing and implementation of e\-learning modules (SCORM) in conjunction with vendor to deploy content to the production e\-learning environment
* Employ the Kirkpatrick model of curriculum evaluation to measure and analyze the efficacy of training content and to assess short\-term and long\-term results (return on investment) of training content – Level 1 (reaction), Level 2 (learning), Level 3 (behavior), and Level 4 (results).
* Periodically report assessment and evaluation results to inform client of emerging needs, trends, patterns, and other information that serves to maintain awareness of current and future e\-learning needs.
* provides senior technical support and mentoring for other team members including staff from a variety of bureaus and program areas
- 
**What You'll Need** 
 Required:
 Bachelor's degree in an applicable field of study
* Knowledge of eLMS related software including, but not limited to Moodle, SCORM, AICC, Storyline, Captivate, Articulate, Presenter, Photoshop, and similar technologies
* Proven leadership and project management experience in conjunction with knowledge of and experience implementing adult learning interventions using the analyze, develop, design, implement, and evaluate (ADDIE) model of adult learning and curriculum development
* Familiarity with public administration and delivery of mental health or human services
* Understanding of modern web development practices such as user interface accessibility, compliance with Americans with Disabilities Act (ADA), Commonwealth of Pennsylvania (CWOPA) requirements related to web security and procedures, and diversity, equity, and inclusion (DEI) principles that result in efficient, compliant, and effective user experiences
* Excellent oral and written communication skills
* Passion for instructional design, curriculum development, positive user experiences, and outstanding customer service
* Understanding of adult learning principles including the ADDIE model of adult learning curriculum development
* Effective negotiation and coordination skills when collaborating with stakeholders and SMEs to identify learning needs, explore appropriate learning interventions, and develop learning solutions
 Preferred:
* A master’s degree with post\-secondary education instruction experience or corporate training experience is strongly preferred, with additional education and experience to related to project management, adult learning principles and interventions, and technical enhancement of an asynchronous online eLMS platform
**Physical Requirements** 
* Ability to safely and successfully perform the essential job functions consistent with the ADA and other federal, state, and local standards
* Sedentary work that involves sitting or remaining stationary most of the time with occasional need to move around the office to attend meetings, etc.
* Ability to conduct repetitive tasks on a computer, utilizing a mouse, keyboard, and monitor
**Reasonable accommodation statement** 
 If you require a reasonable accommodation in completing this application, interviewing, completing any pre\-employment testing, or otherwise participating in the employment selection process, please direct your inquiries to
 application.accommodations@cai.io
 or (888\) 824 – 8111\.
 $85,000 \- $87,500 per year
 The pay range for this position is listed above. Exact compensation may vary based on several factors, including location, experience, and education. Benefit packages include medical, dental, and vision insurance, as well as 401k retirement account access. Employees in this role receive paid time off and may also be entitled to paid sick leave and/or other paid time off as provided by applicable law.</t>
        </is>
      </c>
    </row>
    <row r="74">
      <c r="A74" t="inlineStr">
        <is>
          <t>li-4376377698</t>
        </is>
      </c>
      <c r="B74" t="inlineStr">
        <is>
          <t>Career Connections, Youth Program Manager -  (full-time, grant-funded)</t>
        </is>
      </c>
      <c r="C74" t="inlineStr">
        <is>
          <t>Inside Higher Ed</t>
        </is>
      </c>
      <c r="D74" t="inlineStr">
        <is>
          <t>linkedin</t>
        </is>
      </c>
      <c r="E74" t="inlineStr"/>
      <c r="F74" t="inlineStr"/>
      <c r="G74" t="inlineStr">
        <is>
          <t>Palos Hills, IL</t>
        </is>
      </c>
      <c r="H74" t="inlineStr"/>
      <c r="I74" t="inlineStr">
        <is>
          <t>****Job Title:****
 Career Connections, Youth Program Manager \- (full\-time, grant\-funded)
****Department:****
 Corporate, Community, \&amp; Continuing Education
**Work Location:**
 Education Center at Blue Island
****Duties:****
 Under the supervision, the Program Manager is responsible for the operations, including implementation, coordination, and evaluation of services provided for grant\-funded youth participants including job preparation, placement and academic enrichment. The Program Manager is dedicated to the learning college concepts by developing programs and facilitating activities that promote student success and lifelong learning
 ESSENTIAL DUTIES AND RESPONSIBILITIES include the following. Other duties may be assigned.
* Manage and coordinate the youth WIOA funded program, including supervision of staff to meet goals of the grant, planning strategies, implementing activities and measuring effectiveness to meet grant goals and objectives.2\. Liaison relationships with Cook County workforce Partnership (CCWP), educational institutions, vocational training programs, employers, supportive service providers and all other internal and external partners.3\. Plans and implements workshops, provides career exploration and coordinates services with other college departments for program participants. Develops employment plans and support participants seeking employment after completing high school as well as assisting participants who pursue post\-secondary education.4\. Performs data entry and monthly tracking of grant participants on the Career Connect system. Provides case management services to grant participants, monitoring them while they are enrolled under the grant, and maintaining case notes and other programmatic documentation with timely and accurate reporting of program performance.5\. Completes program forms, maintains client files, and works with CCWP staff to complete exits and provide follow\-up services for participants in compliance with grant requirements.6\. Keeps supervisor up to date on program progress and outcomes.7\. Develops and maintains relationships with various community and government agencies to offer supportive services to program participants.8\. Participates as an active member of the division regarding initiatives and contributes to college\-wide services and activities.9\. Prepares and administers grant budget in conjunction with CCWP and MVCC staff. Complies with all CCWP and MVCC documentation requests.10\. Attends subdivision, department, and advisory committee meetings when relevant.11\. Performs related duties as assigned.
****Education/Experience:****
 Requirements:
**Bachelor’s degree required.
**Minimum Three (3\) Years Of Experience With Federal Grants.**
 Minimum two (2\) years’ experience with Workforce Innovation and Opportunity Act (WIOA) grant programs** 
***— WIOA Youth grant experience preferred.***
 Knowledge of grant funding operations and proven success in grant writing, grant budget development/maintenance/management, staff supervision, project management, assessment/testing, and direct student service.
****Qualifications:****
 Please ensure your resume reflects the requirements/qualifications noted above.
 To Perform This Job Successfully, An Individual Must Be Able To Perform Each Essential Duty Satisfactorily. In Addition To The Above Experience And Education Requirements, The Ideal Candidate Will Have The Following Qualifications:
* Ability to work effectively with Moraine Valley faculty, staff, and administrative personnel and external partners.
* Excellent organizational and record\-keeping skills.
* Excellent concept development.
* Exceptional writing and verbal skills.
* Excellent budget development and tracking skills.
****Position Status:****
 Full Time
****Hours:****
 General Hours
 8:00 a.m. – 5:00 p.m.
 Occasional evenings and weekends as required
****Salary/Wage:****
 $60,974\-$81,553 (plus exceptional benefits)
****Hourly/Salary:****
 Salaried
****Benefits:****
**Administrative, Confidential, Managerial \&amp; Supervisory (ACMS) Position**
*Moraine Valley offers a generous benefits plan which includes paid time off, tuition discounts for eligible employees and family, medical, dental, vision, and retirement benefits in a collaborative and friendly environment. These include:* 
 Health, Dental, Vision Life insurance, Optional life, Disability insurance, Tuition reimbursement, Tuition waiver, SURS Retirement plan, Vacation Days Holidays, Sick Leave, Personal days, Bereavement days, Tax\-sheltered annuity plans and others.
**Visit these links to learn more about specific benefits for this position:**
**Benefit Highlights**
**Benefit Guide\-Details**
****Review Of Applications Begins:****
 02/09/2026
****Posting Number:****
 AP00554P
****Open Date:****
 01/19/2026
****Open Until Filled:****
 Yes
****Special Instructions To Applicants:****
 Please apply online with required materials prior to review date.</t>
        </is>
      </c>
    </row>
    <row r="75">
      <c r="A75" t="inlineStr">
        <is>
          <t>li-4344897046</t>
        </is>
      </c>
      <c r="B75" t="inlineStr">
        <is>
          <t>Staff Program Manager - Contingent Workforce Systems</t>
        </is>
      </c>
      <c r="C75" t="inlineStr">
        <is>
          <t>Zoox</t>
        </is>
      </c>
      <c r="D75" t="inlineStr">
        <is>
          <t>linkedin</t>
        </is>
      </c>
      <c r="E75" t="inlineStr"/>
      <c r="F75" t="inlineStr"/>
      <c r="G75" t="inlineStr">
        <is>
          <t>Foster City, CA</t>
        </is>
      </c>
      <c r="H75" t="inlineStr"/>
      <c r="I75" t="inlineStr">
        <is>
          <t>We are seeking a Staff Program Manager with deep experience in Vendor Management Systems (VMS) and the contingent workforce domain. This role will own the end\-to\-end delivery of a greenfield contingent workforce platform, integrating VMS, Workforce Management (WFM), Learning Management (LMS), call center scheduling, and time/clock\-in–clock\-out systems.
**In This Role, You Will...**
* Own the entire contingent workforce program, ensuring delivery across VMS, WFM, and LMS.
* Define the target\-state operating model for contingent labor, including onboarding, compliance, time capture, billing, and offboarding.
* Drive vendor strategy and governance across staffing suppliers and VMS providers.
* Lead cross\-functional alignment across Operations, HRIS, Finance, Legal, IT, and Security.
* Manage roadmap definition, execution cadence, risk, and executive reporting.
* Ensure compliance, scalability, and cost transparency across the contingent workforce lifecycle.
* Provide strategic guidance for integration and operational adoption.
**Qualifications**
* 10\+ years of program management experience with a focus on contingent workforce programs.
* Hands\-on experience with VMS platforms (e.g., Fieldglass).
* Strong knowledge of contingent labor compliance and supplier management.
* Proven experience leading complex, cross\-functional enterprise programs.
* Excellent stakeholder management and executive communication skills.
 $209,000 \- $251,000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6">
      <c r="A76" t="inlineStr">
        <is>
          <t>li-4351863133</t>
        </is>
      </c>
      <c r="B76" t="inlineStr">
        <is>
          <t>Program Manager Construction (Full Time, Days)</t>
        </is>
      </c>
      <c r="C76" t="inlineStr">
        <is>
          <t>Nicklaus Children's Health System</t>
        </is>
      </c>
      <c r="D76" t="inlineStr">
        <is>
          <t>linkedin</t>
        </is>
      </c>
      <c r="E76" t="inlineStr"/>
      <c r="F76" t="inlineStr"/>
      <c r="G76" t="inlineStr">
        <is>
          <t>Miami, FL</t>
        </is>
      </c>
      <c r="H76" t="inlineStr"/>
      <c r="I76" t="inlineStr">
        <is>
          <t>**Description**
**Job Summary**
 The Program Manager Construction plans and manages strategic programs and all related projects of significant complexity and risk including hospital and outpatient facility renovations, new construction, and/or space reallocation. Manages all phases of the project life cycle including planning, design, procurement, construction, schedule/cost management, risk management, and close\-out. Ensures projects are in full compliance with all applicable policies, procedures, codes and regulations. Provides proactive and timely leadership and management during all project phases and overall project resources and produces documentation necessary to plan, define, and implement the assigned projects. Provides proactive and timely leadership and management during all project phases and for all project resources. Ensures all key project objectives are achieved including safety, cost control, quality, schedule goals, and client satisfaction. Produces documentation necessary to plan, define, and implement the assigned projects.
**Job Specific Duties**
* Plans capital programs and monitor progress to ensure that milestones are being met across various projects.
* Develops and manages program budget and schedules.
* Defines the program controls, processes, procedures, reporting, etc., to effectively manage the program.
* Collaborates with Design/Construction Manager and Project Managers who are overseeing projects within the program. Coordinate the projects and interdependencies between the various projects in the program.
* Evaluates and monitors program and project strengths and weaknesses to mitigate potential program risks or issues throughout the program lifecycle. Implements mitigation and recovery strategies and measures as needed.
* Effectively manages Key Performance Indicators related to budget, schedule, and quality.
* Plans, designs, and executes multiple construction \&amp; renovation projects to meet program requirements, budget, safety, \&amp; time constraints. Prepares project management plans for all assigned projects.
* Coordinates projects with all impacted NCHS stakeholders and provides on\-going project communication to appropriate parties about the project’s impact and status.
* Develops move/equipment management plans and leads implementation.
* Manages the procurement process required by the project and participates in contract negotiations resulting from Request for Proposal selection.
* Obtains all required hospital approvals (e.g., legal and management) and submits required documentation to the appropriate departments for purchase order issuance.
* Documents project information in an accurate and timely manner; ensures project files and electronic records are current, complete, and accurate.
* Ensures compliance with AHCA, ADA, NFPA, OSHA and local building codes. Follows up on issues and concerns, and takes corrective measures as needed.
* Reviews progress/status of all projects and identifies specific activities to be performed to ensure project deliverables, milestones, and required tasks are completed according to project deadline.
**Qualifications**
**Minimum Job Requirements**
* Bachelor's Degree in Architecture, Engineering, Interior Design, Construction Management or a related field (OR) 12 years of related work experience
* More than 10 years of experience in healthcare project management, commercial construction or facilities planning/capital project management
**Knowledge, Skills, And Abilities**
* Project Management Professional (PMP) certification is preferred.
* Ability to implement NCHS procedures to ensure safety and security.
* Well organized with strong planning, project management, and leadership skills.
* Excellent written and verbal communication and interpersonal skills.
* Ability to prepare accurate project scope documents, budget estimates, and schedules.
* Prior experience developing conceptual plans, budgets, and schedules.
* Highly skilled at monitoring and managing all aspects of a turnkey project delivery process.
* Familiarity with construction contracts and construction delivery strategies.
* Proficient in Microsoft Office (Word, Excel, PowerPoint).
* Proficient in Microsoft Project or Primavera scheduling software.
* Proficient in AutoCAD.
**Job**
 Professional
**Department**
 CONSTRUCTION\-1000\-944900
**Job Status**
 Full Time</t>
        </is>
      </c>
    </row>
    <row r="77">
      <c r="A77" t="inlineStr">
        <is>
          <t>li-4338181689</t>
        </is>
      </c>
      <c r="B77" t="inlineStr">
        <is>
          <t>Dialysis Program Manager Registered Nurse - RN</t>
        </is>
      </c>
      <c r="C77" t="inlineStr">
        <is>
          <t>Fresenius Medical Care</t>
        </is>
      </c>
      <c r="D77" t="inlineStr">
        <is>
          <t>linkedin</t>
        </is>
      </c>
      <c r="E77" t="inlineStr"/>
      <c r="F77" t="inlineStr"/>
      <c r="G77" t="inlineStr">
        <is>
          <t>Glendale, AZ</t>
        </is>
      </c>
      <c r="H77" t="inlineStr"/>
      <c r="I77" t="inlineStr">
        <is>
          <t>**Home Therapies Program**
**PURPOSE AND SCOPE:**
 Responsible for the day\-to\-day program operations and supporting the growth of the assigned single site Home Therapies program in coordination with the Business Unit management, in\-center staff and other support functions. Ensures provision of quality patient care in accordance with policies, procedures, and training.
**PRINCIPAL DUTIES AND RESPONSIBILITIES:**
* Provides safe and effective oversight, support, training and scheduling of the delivery of home dialysis therapies to patients in compliance with standards outlined in the facility policy procedure manuals, as well as regulations set forth by the corporation, state, and federal agencies.
* Responsible for profit and loss management of the assigned program including optimal performance of program operations to achieve or exceed budgets and key performance indicators.
* Directs and manages all aspects of patient care for Home Therapies patients in assigned programs from admission through discharge of the patient. Provides direction, guidance, and support to staff members to ensure the safe and effective delivery of home therapy support care to patients with End\-Stage Renal Disease (ESRD).
* Oversees patient and caregiver readiness and ability to perform dialysis treatments at home and assesses environment for suitability in the ongoing delivery of home dialysis therapy, including training patients and caregivers on the safe and effective operation and preventative maintenance of equipment.
* Manages patient experience efforts by supporting company patient satisfaction initiatives, embodying the company values and patient experience drivers while encouraging others to do the same.
* Ensures competency of staff in the operation of all home dialysis therapy\-related equipment, including the ability to troubleshoot equipment problems with the patient via telephone, maintaining appropriate staff licensures and CPR certifications.
* Responsible for management of program supplies, equipment tracking, ensures that orders are replenished in a consistent and timely manner.
* Directs activities related to the Continuous Quality Assurance Improvement, patient retention and Clinical Algorithm Adoption, patient access management and patient training success.
* Directs data entry related activities such as patient admission, regulatory reporting, billing, physician orders, lab results, vital signs, patient status and any other treatment related data into systems.
* Ensures regulatory, compliance, and audit activities are accomplished on time.
* Orients and supports new staff and provides ongoing education, ensuring compliance with all risk management initiatives, including in\-center staff.
* Participates in Business Unit initiatives, projects, and audits as directed.
* Performs other related duties as assigned.
**PHYSICAL DEMANDS AND WORKING CONDITIONS** 
**:**
 The physical demands and work environment characteristics described here are representative of those an employee encounters while performing the essential functions of this job. Reasonable accommodations may be made to enable individuals with disabilities to perform the essential functions.
* The work environment is characteristic of a health care facility with air temperature control and moderate noise levels. May be exposed to infectious and contagious diseases/materials.
* The position provides direct patient care that regularly involves heavy lifting and moving of patients and assisting with ambulation. Equipment used can vary in complexity. Equipment aids and/or coworkers may provide assistance.
* The employee may occasionally be required to move, with assistance, machines and equipment of up to 200 lbs., and may lift chemical and water solutions of up to 30 lbs. up as high as 5 feet. There is a two\-person assist program and "material assist" devices for the heavier items.
* This position requires frequent, prolonged periods of standing and/or walking and the employee must be able to bend over.
* Employees are required to take the Ishihara's Color Blindness test as a condition of employment. Note that: Failing the Ishihara Test for Color Blindness does not preclude employment. The Company will consider whether reasonable accommodations can be made.
**SUPERVISION:**
* Typically supervises non\-exempt staff
**EDUCATION AND REQUIRED CREDENTIALS** 
**:**
* Graduate of an accredited School of Nursing (R.N.). Current appropriate state licensure.
* Successfully complete CPR Certification
**EXPERIENCE AND SKILLS** 
**:**
* Minimum of one year dialysis experience with three months peritoneal experience required, one year medical\-surgical nursing or ICU experience preferred
* Supervisory experience preferred
* Successfully complete a training course in the theory and practice of dialysis therapies
* Demonstrated leadership skills including, but not limited to communication, customer service, performance management and continuous quality improvement.
 Benefit Overview: This position offers a comprehensive benefits package including medical, dental, and vision insurance, a 401(k) with company match, paid time off, parental leave and potential for performance\-based bonuses depending on company and individual performance.
**EOE, disability/veterans**</t>
        </is>
      </c>
    </row>
    <row r="78">
      <c r="A78" t="inlineStr">
        <is>
          <t>li-4329737248</t>
        </is>
      </c>
      <c r="B78" t="inlineStr">
        <is>
          <t>Principal Product Manager</t>
        </is>
      </c>
      <c r="C78" t="inlineStr">
        <is>
          <t>VicOne</t>
        </is>
      </c>
      <c r="D78" t="inlineStr">
        <is>
          <t>linkedin</t>
        </is>
      </c>
      <c r="E78" t="inlineStr"/>
      <c r="F78" t="inlineStr"/>
      <c r="G78" t="inlineStr"/>
      <c r="H78" t="inlineStr"/>
      <c r="I78" t="inlineStr">
        <is>
          <t>**Description** 
 :
 VicOne is a pioneering force in automotive cybersecurity, dedicated to safeguarding the connected vehicle ecosystem from evolving cyber threats. We're seeking a driven and experienced Product Manager to lead the development and execution of our cutting\-edge cybersecurity solutions. This role is pivotal in shaping the future of vehicle protection, requiring a deep understanding of automotive systems, cybersecurity best practices, and a passion for innovation. The ideal candidate will be instrumental in defining product roadmaps, translating market insights into actionable strategies, and ensuring the successful delivery of solutions that empower our customers to navigate the complex landscape of automotive cybersecurity.
**Roles and Responsibilities** 
 :
* Strategic Product Leadership:
* Develop and maintain a comprehensive product vision and roadmap aligned with VicOne's strategic objectives and the evolving automotive cybersecurity market.
* Conduct in\-depth market analysis, competitive intelligence, and customer feedback sessions to identify emerging trends and opportunities.
* Prioritize product features and enhancements based on strategic alignment, customer value, and technical feasibility, specifically relating to VicOne's focus on in\-vehicle and automotive product security solutions.
* Product Development and Lifecycle Management (VicOne Focus):
* Collaborate closely with VicOne's engineering, research, and threat intelligence teams to define detailed product requirements and ensure seamless development cycles.
* Manage the complete product lifecycle, from initial concept and design to launch, post\-launch monitoring, and continuous improvement, with an emphasis on VicOne's specific product offerings.
* Drive the development of innovative solutions that address the unique cybersecurity challenges of connected vehicles, focusing on VicOne’s strengths in vulnerability management, and threat detection.
* Work closely with VicOne customers to ensure adoption of VicOne’s automotive product security solutions, refining future product development through customer\-driven requirements.
* Pricing, Go\-to\-Market, and Customer Engagement:
* Develop and implement effective pricing strategies that reflect the value proposition of VicOne's solutions and ensure market competitiveness.
* Collaborate with VicOne's marketing and sales teams to create compelling product messaging, develop targeted marketing campaigns, and deliver impactful sales enablement materials.
* Engage directly with VicOne's customers and partners to gather feedback, understand their needs, and build strong relationships.
* Help to develop and refine VicOne's product demonstrations, and technical presentations.
* Market Leadership and Analyst Interaction:
* Conduct and participate in webinars to showcase VicOne's product capabilities and thought leadership, present in VicOne partner’s events and trade shows, delivering key\-note speeches, panel discussions and the like.
* Act as a subject matter expert when interacting with industry analysts, providing in\-depth product and market insights.
* Deliver comprehensive market insights, and competitive analysis to internal teams, and external stake holders.
* VicOne\-Specific Responsibilities:
* Maintain a deep understanding of VicOne's unique threat intelligence and vulnerability research capabilities.
* Stay abreast of the latest automotive cybersecurity standards and regulations and ensure VicOne's products remain compliant.
* Contribute to VicOne's thought leadership initiatives by participating in industry events and conferences.
**Qualifications** 
 :
* Bachelor's degree in Computer Science, Engineering, or a related technical field; advanced degree preferred.
* Minimum of 5 years of proven experience in product management, with a strong emphasis on cybersecurity or automotive technology.
* Demonstrated expertise in defining and launching successful software or cloud\-based products, preferably within the automotive cybersecurity domain.
* Deep understanding of automotive systems, connected vehicle technologies, and cybersecurity principles, particularly related to vulnerability management and threat detection.
* Strong analytical and problem\-solving skills, with the ability to translate complex technical concepts into clear and actionable product requirements.
* Excellent communication, presentation, and interpersonal skills, with the ability to effectively collaborate with cross\-functional teams and engage with customers.
* Experience with agile development methodologies and a proven track record of delivering products on time and within budget.
* Familiarity with cloud security concepts and technologies.
* A passion for the automotive cybersecurity industry, and a desire to contribute to VicOne's mission of securing the connected vehicle ecosystem</t>
        </is>
      </c>
    </row>
    <row r="79">
      <c r="A79" t="inlineStr">
        <is>
          <t>li-4328231384</t>
        </is>
      </c>
      <c r="B79" t="inlineStr">
        <is>
          <t>Product Manager</t>
        </is>
      </c>
      <c r="C79" t="inlineStr">
        <is>
          <t>Adobe</t>
        </is>
      </c>
      <c r="D79" t="inlineStr">
        <is>
          <t>linkedin</t>
        </is>
      </c>
      <c r="E79" t="inlineStr"/>
      <c r="F79" t="inlineStr"/>
      <c r="G79" t="inlineStr">
        <is>
          <t>San Jose, CA</t>
        </is>
      </c>
      <c r="H79" t="inlineStr"/>
      <c r="I79"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Interested in helping Adobe scale to meet the needs of thousands of our most valuable customers? We are looking for a senior product manager who enjoys solving problems, collaborates easily, and embodies all of Adobe’s core values (Genuine, Exceptional, Innovative, Involved).
 As a member of the Buying Programs organization, you will work in close partnership with multiple teams to prioritize and drive projects that are top\-of\-mind for the business. This is an outstanding opportunity to collaborate with product, engineering, go\-to\-market, and sales teams in addition to all supporting functions in Finance and Operations!
 This position requires a someone who can jump from high\-level strategic problem solving to execution seamlessly. The ideal candidate will also have the business savvy to understand the appropriate considerations needed for thoughtful decision\-making, has a strong internal drive, and a track record of leading projects from end\-to\-end.
**What You'll Do**
* Develop 6\-9\+ month roadmaps and build cases to prioritize (and re\-prioritize) work against the roadmap. Drive product feature planning and technical requirements definition while focusing on timely delivery of value.
* Lead cross\-functional projects by providing project leadership from inception to delivery. Drive ground\-breaking, business\-impacting initiatives by translating long\-term strategies into solutions.
* Work in Jira, wiki, and other collaborative tools to lead project status and working meetings, evaluate risks and issues, and overall solution delivery. Define clear acceptance criteria and collaborate with engineering, quality assurance, and end users to develop and carry out test plans.
* Connect with stakeholders on an ongoing basis to clearly understand their needs and problems. Have a detailed understanding of business and platform strategy to influence decision making, business rationale, and key findings to stakeholders at different levels across the organization.
* Champion the creation and upkeep of system and process documentation for transparency and scalability.
**What You Need To Succeed**
* Relevant Bachelor's degree and/or an advanced degree in a related field or equivalent practical; scrum and business change management certification a strong plus
* 5\+ years of full\-time, meaningful, and relevant work experience; experience in a pricing\-focused is a strong plus
* Strong analytical and problem\-solving skills to research and identify issues, root cause, and proposed resolution
* Excellent communication, listening and interpersonal skills at all levels of the organization
* Proven confidence and flexibility in dynamic environments with ability to adapt to shifting priorities
* Approach work with positive energy, curiosity, and a commitment to continuous learning
* Nice to have skills include: experience with Jira, SAP, Atlassian Confluence, Tableau, Salesforce.com/Dynamics 365, and automation processes
 Our compensation reflects the cost of labor across several  U.S. geographic markets, and we pay differently based on those defined markets. The U.S. pay range for this position is $93,900 \-\- $180,650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$124,700 \- $180,650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80">
      <c r="A80" t="inlineStr">
        <is>
          <t>li-4345412779</t>
        </is>
      </c>
      <c r="B80" t="inlineStr">
        <is>
          <t>Product Manager - AI</t>
        </is>
      </c>
      <c r="C80" t="inlineStr">
        <is>
          <t>Zelis</t>
        </is>
      </c>
      <c r="D80" t="inlineStr">
        <is>
          <t>linkedin</t>
        </is>
      </c>
      <c r="E80" t="inlineStr"/>
      <c r="F80" t="inlineStr"/>
      <c r="G80" t="inlineStr">
        <is>
          <t>Boston, MA</t>
        </is>
      </c>
      <c r="H80" t="inlineStr"/>
      <c r="I80" t="inlineStr">
        <is>
          <t>At Zelis, we Get Stuff Done. So, let’s get to it!
**A Little About Us**
 Zelis is modernizing the healthcare financial experience across payers, providers, and healthcare consumers. We serve more than 750 payers, including the top five national health plans, regional health plans, TPAs and millions of healthcare providers and consumers across our platform of solutions. Zelis sees across the system to identify, optimize, and solve problems holistically with technology built by healthcare experts – driving real, measurable results for clients.
**A Little About You**
 You bring a unique blend of personality and professional expertise to your work, inspiring others with your passion and dedication. Your career is a testament to your diverse experiences, community involvement, and the valuable lessons you've learned along the way. You are more than just your resume; you are a reflection of your achievements, the knowledge you've gained, and the personal interests that shape who you are.
**Position Overview**
**PRODUCT MANAGER, AI**
**Remote**
 Our enterprise Data and Technology team at Zelis is seeking a driven and analytical AI Product Manager to join our technical product team. As an AI Product Manager, you will be responsible for the product lifecycle of new AI solutions and use cases in close collaboration with data science and engineering leads through definition of business requirements, coordination with various technical and non\-technical teams, and facilitation of a robust pipeline for the application of AI. Together with other product managers, you’ll be responsible for delivering on our product roadmap to support the current and future needs of the business.
 We are looking for someone passionate about data, AI, and analytics with strong product management experience to join our growing technical product team.
**Responsibilities**
* Become an expert in your product areas, acting as the go to person for other stakeholders before speaking to the technical data science and software engineering teams
* Collaborate with software engineers, data engineers, data scientists and other product teams to scope new or refine existing AI solutions that increase business value, adoption, and user engagement
* Lead discussions with BU stakeholders to identify business process and underlying needs. Draft clear and concise business requirements and technical product documentation
* Interface with internal to Zelis engineering and product teams to manage the intake process for new requests
* Understand how your product areas link into the wider roadmap and be able to highlight both dependencies and opportunities for growth
* Define key performance indicators to evaluate product
* Be the voice of the customer in technical discussions and facilitate the relationship between the application teams and technical data teams for your product areas
* Work with cross\-functional teams and various stakeholders, including engineering, architecture, operations, product, marketing, partnerships, and customer success
* Collaborate with technical product analysts to support engineering teams through the delivery lifecycle
* Understand the implications of AI products to the healthcare industry, and be able to tell the story of how an individual receiving care maps to the problem you are solving.
**Experience**
* 3\+ years of technical product management with demonstrated ability to define product scope and deliver alongside technical teams
* Strong understanding of and experience with Data Science, ML, GenAI, and Data Analytics concepts and other data/product tools such as SQL, Python, R, Spark, AWS, Azure, and Snowflake
* An ability to listen to diverse audiences, identify requirements, gaps and barriers, and translate needs into AI and analytics solutions
* Understanding and experience with machine learning, data engineering, and software engineering.
* Technical depth that enables you to drive discussions about design of AI solutions (including GenAI), machine learning models, ETLs, AI infrastructure
* Possess strong communication skills, including experience being an active and expert listener, with clear verbal communication as well as explicit and mindful written communication skills
* Well\-versed in Agile frameworks and product tools such as Jira and Confluence
* Experience guiding teams through the AI lifecycle, including collecting and collating use cases and managing intake processes for new AI use cases
* Open to candidates with either B2B or B2C experience and outside the healthcare industry; critical to success in this role is being intellectually curious, a self\-starter, and experience building AI products
**EOE Committed to Diversity**
***Please note at this time we are unable to proceed with candidates who require visa sponsorship now or in the future.***
**Location and Workplace Flexibility**
 We have offices in Atlanta GA, Boston MA, Morristown NJ, Plano TX, St. Louis MO, St. Petersburg FL, and Hyderabad, India. We foster a hybrid and remote friendly culture, and all our employee's work locations are based on the needs of the position and determined by the Leadership team. In\-office work and activities, if applicable, vary based on the work and team objectives in accordance with Company policies.
**Base Salary Range**
 $105,000\.00 \- $140,000\.00
 At Zelis we are committed to providing fair and equitable compensation packages. The base salary range allows us to make an offer that considers multiple individualized factors, including experience, education, qualifications, as well as job\-related and industry\-related knowledge and skills, etc. Base pay is just one part of our Total Rewards package, which may also include discretionary bonus plans, commissions, or other incentives depending on the role.
 Zelis’ full\-time associates are eligible for a highly competitive benefits package as well, which demonstrates our commitment to our employees’ health, well\-being, and financial protection. The US\-based benefits include a 401k plan with employer match, flexible paid time off, holidays, parental leaves, life and disability insurance, and health benefits including medical, dental, vision, and prescription drug coverage.
**Equal Employment Opportunity**
 Zelis is proud to be an equal opportunity employer.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welcome applicants from all backgrounds and encourage you to apply even if you don’t meet 100% of the qualifications for the role. We believe in the value of diverse perspectives and experiences and are committed to building an inclusive workplace for all.
**Accessibility Support**
 We are dedicated to ensuring our application process is accessible to all candidates. If you are a qualified individual with a disability or a disabled veteran and require a reasonable accommodation with any part of the application and/or interview process, please email TalentAcquisition@zelis.com.
**Disclaimer**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duties, and skills from time to time.*</t>
        </is>
      </c>
    </row>
    <row r="81">
      <c r="A81" t="inlineStr">
        <is>
          <t>li-4356923512</t>
        </is>
      </c>
      <c r="B81" t="inlineStr">
        <is>
          <t>Product Manager</t>
        </is>
      </c>
      <c r="C81" t="inlineStr">
        <is>
          <t>Meta</t>
        </is>
      </c>
      <c r="D81" t="inlineStr">
        <is>
          <t>linkedin</t>
        </is>
      </c>
      <c r="E81" t="inlineStr"/>
      <c r="F81" t="inlineStr"/>
      <c r="G81" t="inlineStr">
        <is>
          <t>Seattle, WA</t>
        </is>
      </c>
      <c r="H81" t="inlineStr"/>
      <c r="I81"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vision,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senior executive audiences
* BA/BS in Computer Science or related field
 Preferred Qualifications:
* Experience building and shipping high quality work and achieving high reliability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2">
      <c r="A82" t="inlineStr">
        <is>
          <t>li-4345482696</t>
        </is>
      </c>
      <c r="B82" t="inlineStr">
        <is>
          <t>Product Manager - AI</t>
        </is>
      </c>
      <c r="C82" t="inlineStr">
        <is>
          <t>Zelis</t>
        </is>
      </c>
      <c r="D82" t="inlineStr">
        <is>
          <t>linkedin</t>
        </is>
      </c>
      <c r="E82" t="inlineStr"/>
      <c r="F82" t="inlineStr"/>
      <c r="G82" t="inlineStr">
        <is>
          <t>Middlesex County, MA</t>
        </is>
      </c>
      <c r="H82" t="inlineStr"/>
      <c r="I82" t="inlineStr">
        <is>
          <t>At Zelis, we Get Stuff Done. So, let’s get to it!
**A Little About Us**
 Zelis is modernizing the healthcare financial experience across payers, providers, and healthcare consumers. We serve more than 750 payers, including the top five national health plans, regional health plans, TPAs and millions of healthcare providers and consumers across our platform of solutions. Zelis sees across the system to identify, optimize, and solve problems holistically with technology built by healthcare experts – driving real, measurable results for clients.
**A Little About You**
 You bring a unique blend of personality and professional expertise to your work, inspiring others with your passion and dedication. Your career is a testament to your diverse experiences, community involvement, and the valuable lessons you've learned along the way. You are more than just your resume; you are a reflection of your achievements, the knowledge you've gained, and the personal interests that shape who you are.
**Position Overview**
**PRODUCT MANAGER, AI**
**Remote**
 Our enterprise Data and Technology team at Zelis is seeking a driven and analytical AI Product Manager to join our technical product team. As an AI Product Manager, you will be responsible for the product lifecycle of new AI solutions and use cases in close collaboration with data science and engineering leads through definition of business requirements, coordination with various technical and non\-technical teams, and facilitation of a robust pipeline for the application of AI. Together with other product managers, you’ll be responsible for delivering on our product roadmap to support the current and future needs of the business.
 We are looking for someone passionate about data, AI, and analytics with strong product management experience to join our growing technical product team.
**Responsibilities**
* Become an expert in your product areas, acting as the go to person for other stakeholders before speaking to the technical data science and software engineering teams
* Collaborate with software engineers, data engineers, data scientists and other product teams to scope new or refine existing AI solutions that increase business value, adoption, and user engagement
* Lead discussions with BU stakeholders to identify business process and underlying needs. Draft clear and concise business requirements and technical product documentation
* Interface with internal to Zelis engineering and product teams to manage the intake process for new requests
* Understand how your product areas link into the wider roadmap and be able to highlight both dependencies and opportunities for growth
* Define key performance indicators to evaluate product
* Be the voice of the customer in technical discussions and facilitate the relationship between the application teams and technical data teams for your product areas
* Work with cross\-functional teams and various stakeholders, including engineering, architecture, operations, product, marketing, partnerships, and customer success
* Collaborate with technical product analysts to support engineering teams through the delivery lifecycle
* Understand the implications of AI products to the healthcare industry, and be able to tell the story of how an individual receiving care maps to the problem you are solving.
**Experience**
* 3\+ years of technical product management with demonstrated ability to define product scope and deliver alongside technical teams
* Strong understanding of and experience with Data Science, ML, GenAI, and Data Analytics concepts and other data/product tools such as SQL, Python, R, Spark, AWS, Azure, and Snowflake
* An ability to listen to diverse audiences, identify requirements, gaps and barriers, and translate needs into AI and analytics solutions
* Understanding and experience with machine learning, data engineering, and software engineering.
* Technical depth that enables you to drive discussions about design of AI solutions (including GenAI), machine learning models, ETLs, AI infrastructure
* Possess strong communication skills, including experience being an active and expert listener, with clear verbal communication as well as explicit and mindful written communication skills
* Well\-versed in Agile frameworks and product tools such as Jira and Confluence
* Experience guiding teams through the AI lifecycle, including collecting and collating use cases and managing intake processes for new AI use cases
* Open to candidates with either B2B or B2C experience and outside the healthcare industry; critical to success in this role is being intellectually curious, a self\-starter, and experience building AI products
**EOE Committed to Diversity**
***Please note at this time we are unable to proceed with candidates who require visa sponsorship now or in the future.***
**Location and Workplace Flexibility**
 We have offices in Atlanta GA, Boston MA, Morristown NJ, Plano TX, St. Louis MO, St. Petersburg FL, and Hyderabad, India. We foster a hybrid and remote friendly culture, and all our employee's work locations are based on the needs of the position and determined by the Leadership team. In\-office work and activities, if applicable, vary based on the work and team objectives in accordance with Company policies.
**Base Salary Range**
 $105,000\.00 \- $140,000\.00
 At Zelis we are committed to providing fair and equitable compensation packages. The base salary range allows us to make an offer that considers multiple individualized factors, including experience, education, qualifications, as well as job\-related and industry\-related knowledge and skills, etc. Base pay is just one part of our Total Rewards package, which may also include discretionary bonus plans, commissions, or other incentives depending on the role.
 Zelis’ full\-time associates are eligible for a highly competitive benefits package as well, which demonstrates our commitment to our employees’ health, well\-being, and financial protection. The US\-based benefits include a 401k plan with employer match, flexible paid time off, holidays, parental leaves, life and disability insurance, and health benefits including medical, dental, vision, and prescription drug coverage.
**Equal Employment Opportunity**
 Zelis is proud to be an equal opportunity employer.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welcome applicants from all backgrounds and encourage you to apply even if you don’t meet 100% of the qualifications for the role. We believe in the value of diverse perspectives and experiences and are committed to building an inclusive workplace for all.
**Accessibility Support**
 We are dedicated to ensuring our application process is accessible to all candidates. If you are a qualified individual with a disability or a disabled veteran and require a reasonable accommodation with any part of the application and/or interview process, please email TalentAcquisition@zelis.com.
**Disclaimer**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duties, and skills from time to time.*</t>
        </is>
      </c>
    </row>
    <row r="83">
      <c r="A83" t="inlineStr">
        <is>
          <t>li-4374975909</t>
        </is>
      </c>
      <c r="B83" t="inlineStr">
        <is>
          <t>Product Owner I</t>
        </is>
      </c>
      <c r="C83" t="inlineStr">
        <is>
          <t>RemoteHunter</t>
        </is>
      </c>
      <c r="D83" t="inlineStr">
        <is>
          <t>linkedin</t>
        </is>
      </c>
      <c r="E83" t="inlineStr"/>
      <c r="F83" t="inlineStr"/>
      <c r="G83" t="inlineStr"/>
      <c r="H83" t="inlineStr"/>
      <c r="I83" t="inlineStr">
        <is>
          <t>About the Opportunity:
 This role involves working closely with product, engineering, and account management teams to support the development and maintenance of a pharmacy data clearinghouse. The focus is on data ingestion and analytics support within an agile product development team. The position is ideal for a data\-focused contributor eager to learn and gain experience in product ownership.
 Responsibilities:
 • Learn from senior team members and contribute insights and assistance as needed.
 • Collaborate with cross\-functional teams to define product requirements related to data ingestion, storage, and analytics.
 • Manage the Jira board by refining work into stories with clear acceptance criteria, planning sprints, prioritizing tickets, and grooming the backlog.
 • Ensure effective scheduling and timely delivery of new features, enhancements, and bug fixes.
 • Work closely with engineers and analysts to ensure data is ingested, transformed, and stored according to business needs.
 • Communicate product status, progress, and upcoming releases to stakeholders, executives, and customers.
 • Create and maintain product documentation, including user guides and release notes.
 • Monitor key product metrics and analytics to identify improvement areas and make data\-driven decisions.
 • Explore opportunities to enhance workflows through AI or automation tools (e.g., document summarization, task routing, data parsing).
 • Identify repetitive tasks and collaborate with team leads to implement scalable automation solutions.
 Requirements:
 • 2\+ years of experience as a product owner with data\-related technologies or in a data engineering organization.
 • Willingness to learn product management and development methodologies and best practices.
 • Familiarity with data visualization and reporting tools such as Tableau, Power BI, or similar.
 • Familiarity with SQL, Python, or similar programming languages.
 • Understanding of data ingestion, storage, and analytics concepts and technologies.
 • Experience driving projects from start to finish with predictable cadence involving multiple stakeholders.
 • Excellent communication and interpersonal skills.
 • Comfort using or learning AI\-supported tools (e.g., ChatGPT, CoPilot) to improve workflows.
 • Forward\-thinking, curious mindset open to experimenting with new technologies.
 • Strong analytical and problem\-solving skills with creativity in designing solutions.
 • Ability to thrive in fast\-paced, high\-growth, and evolving environments.
 • Ability to work effectively in a remote\-first environment with high\-quality virtual interactions.
 • Ability to travel periodically for work.
 Benefits \&amp; Perks:
 • Autonomy to build products within a supportive team.
 • Opportunity to learn from high\-level strategic priorities and world\-class investors and advisors.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4">
      <c r="A84" t="inlineStr">
        <is>
          <t>li-4331935424</t>
        </is>
      </c>
      <c r="B84" t="inlineStr">
        <is>
          <t>Senior Product Manager</t>
        </is>
      </c>
      <c r="C84" t="inlineStr">
        <is>
          <t>Iterable</t>
        </is>
      </c>
      <c r="D84" t="inlineStr">
        <is>
          <t>linkedin</t>
        </is>
      </c>
      <c r="E84" t="inlineStr"/>
      <c r="F84" t="inlineStr"/>
      <c r="G84" t="inlineStr">
        <is>
          <t>San Francisco, CA</t>
        </is>
      </c>
      <c r="H84" t="inlineStr"/>
      <c r="I84" t="inlineStr">
        <is>
          <t>Iterable is the leading AI\-powered customer engagement platform that helps leading brands like Redfin, SeatGeek, Priceline, Calm, and Box create dynamic, individualized experiences at scale. Our platform empowers organizations to activate customer data, design seamless cross\-channel interactions, and optimize engagement—all with enterprise\-grade security and compliance. Today, nearly 1,200 brands across 50\+ countries rely on Iterable to drive growth, deepen customer relationships, and deliver joyful customer experiences.
 Our success is powered by extraordinary people who bring our core values—Trust, Growth Mindset, Balance, and Humility—to life. We foster a culture of innovation, collaboration, and inclusion, where ideas are valued and individuals are empowered to do their best work. That’s why we’ve been recognized as one of Inc’s Best Workplaces and Fastest Growing Companies, and were recognized on Forbes’ list of America’s Best Startup Employers in 2022\. Notably, Iterable has also been listed on Wealthfront’s Career Launching Companies List and has held a top 10 ranking on the Top 25 Companies Where Women Want to Work.
 With a global presence—including offices in San Francisco, New York, Denver, London, and Lisbon, plus remote employees worldwide—we are committed to building a diverse and inclusive workplace. We welcome candidates from all backgrounds and encourage you to apply. Learn more about our story and mission on our Culture and About Us pages. Let’s shape the future of customer engagement together!
**How you will make an impact:**
 As part of our Product Team, you will work closely and cross\-functionally with leaders across the company and some of the biggest and most well\-known brands in the world to take our world\-class product to the next level. One of our product’s superpowers is the scale at which it operates, allowing customers to interact with billions of consumers at high performance. Iterable recently announced Nova, an AI\-driven UX that empowers marketers to connect with end users like never before.
 As a Senior Product Manager for our Nova team, you will be responsible for defining the roadmap and driving end\-to\-end execution (in partnership with cross\-functional teams) of AI\-driven experiences within the Iterable platform. These experiences will ensure growth marketers can work smarter and more efficiently, ultimately leading to increased engagement and brand loyalty of their end users.
 The Product Team works closely with our Design and Engineering Teams and lives by user empathy daily. You will work with our internal teams and directly with our customers to help define and prioritize product features that have a high impact on Iterable's business. You are passionate about great UX, and know how to leverage cutting\-edge technologies (including generative AI and machine learning) to improve users’ lives. You have successfully launched products in the past. You are excited about helping companies, both Iterable and our customers, grow. In this role, you’ll report to the Director of Product, Nova Experiences and Outcomes.
 One of our core values is a growth mindset, and Iterable is a company where everyone can grow. If this role excites you, please apply. We value applicants for the skills they bring beyond a job description.
**In this role, you'll get to:**
* Innovate using generative AI, machine learning, and intelligent insights to solve marketers’ real\-world problems
* Make an impact on day\-to\-day efficiency and effectiveness of growth marketers using Iterable
* Work cross\-functionally with customer success, engineering, marketing, sales, legal, and other PMs to develop and ship new data products
* Research industry trends to identify new product features and opportunities
* Generate and prioritize the product backlog for AI teams
* Create customer adoption plans and measure ongoing engagement with the features you ship
* Engage with customers regularly (e.g. user testing, discovery, research, roadmap sharing, etc.)
* Partner closely with your engineering team to launch impactful projects
**We are looking for people who have:**
* Experience working on a SaaS product (B2B, B2B2C)
* Deep customer empathy
* Experience with data science and machine learning, and hands\-on experience building AI products, especially for enterprise customers
* Technical understanding of complex AI functionality and ability to partner with data science and machine learning engineering teams
* Thrive on solving complex technical problems and partnering cross\-functionally to translate stakeholder needs into product architecture
* Strong analytical skills, and ability to leverage data, research, and market analysis to inform product decisions and strategy
* Experience working with agile engineering teams and tools like Jira
* Collaborative team player
**Bonus points:**
* Familiarity with user growth and engagement strategies
* A passion for MarTech and helping marketers succeed
**Perks \&amp; Benefits:**
* Paid parental leave
* Competitive salaries, meaningful equity, \&amp; 401(k) plan
* Medical, dental, vision, \&amp; life insurance
* Balance Days (additional paid holidays)
* Fertility \&amp; Adoption Assistance
* Paid Sabbatical
* Flexible PTO
* Monthly Employee Wellness allowance
* Monthly Professional Development allowance
* Pre\-tax commuter benefits
* Complete laptop workstation
 The US base salary range for this position at the start of employment is $138,500 \- $213,000\. Within this range, individual pay is determined by specific US work location, as well as additional factors, including job\-related skills, experience, relevant education or training, and internal equity considerations.
 Please note that the range listed above reflects only base salary. The total compensation package includes variable pay (where applicable), equity, plus a range of benefits, including medical, dental, vision, and financial. In addition, we offer perks such as generous stipends for health \&amp; fitness and learning \&amp; development, among others.
**Recruitment Disclaimer:**
 Please be aware that Iterable, Inc. (“Iterable”) and our official professional recruiting agencies and platforms do not:
* Send job offers from free email services like Gmail, Yahoo mail, Hotmail, etc.
* Request money, fees, or payment of any kind from prospective candidates to apply to Iterable, for employment, or for the recruitment process (e.g. for home office supplies, or training, etc.).
* Request or require personal documents like bank account details, tax forms, or credit card information as part of the recruitment process prior to the candidate signing an engagement letter or an employment contract with Iterable.
 You may see all job vacancies on our official Iterable channels:
* Official Iterable website, Careers page: https://iterable.com/careers/
* Official LinkedIn Jobs page: https://www.linkedin.com/company/iterable/jobs/
 Iterable is not affiliated in any way to these impostors and we hereby confirm that such individuals/entities are not authorized, encouraged, or sponsored to act on behalf of Iterable. Such job opportunities are entirely fake and not valid. Therefore, please disregard any written or oral request for a job offer or an interview that you believe is or might be fraudulent or suspicious and immediately reach out to us via email at
 **talent\-ops@iterable.com** 
 upon receiving a suspicious job offer.
 Criminal and/or civil liabilities may arise from such actions, and Iterable expressly reserves the right to take legal action, including criminal action, against such individuals/entities whenever such phenomena occur. In any case, please note that under no circumstances shall Iterable and any of its affiliates be held liable or responsible for any claims, losses, damages, expenses or other inconvenience resulting from or in any way connected to the actions of these impostors.
 Iterable is an Equal Employment Opportunity employer that proudly pursues and hires a diverse workforce. Iterable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Iterable also strives for a healthy and safe workplace and strictly prohibits harassment of any kind. Pursuant to the San Francisco Fair Chance Ordinance and other similar state laws and local ordinances, and its internal policy, Iterable will also consider for employment qualified applicants with arrest and conviction records.</t>
        </is>
      </c>
    </row>
    <row r="85">
      <c r="A85" t="inlineStr">
        <is>
          <t>li-4345162952</t>
        </is>
      </c>
      <c r="B85" t="inlineStr">
        <is>
          <t>Product Manager - AI</t>
        </is>
      </c>
      <c r="C85" t="inlineStr">
        <is>
          <t>Zelis</t>
        </is>
      </c>
      <c r="D85" t="inlineStr">
        <is>
          <t>linkedin</t>
        </is>
      </c>
      <c r="E85" t="inlineStr"/>
      <c r="F85" t="inlineStr"/>
      <c r="G85" t="inlineStr">
        <is>
          <t>Montgomery County, PA</t>
        </is>
      </c>
      <c r="H85" t="inlineStr"/>
      <c r="I85" t="inlineStr">
        <is>
          <t>At Zelis, we Get Stuff Done. So, let’s get to it!
**A Little About Us**
 Zelis is modernizing the healthcare financial experience across payers, providers, and healthcare consumers. We serve more than 750 payers, including the top five national health plans, regional health plans, TPAs and millions of healthcare providers and consumers across our platform of solutions. Zelis sees across the system to identify, optimize, and solve problems holistically with technology built by healthcare experts – driving real, measurable results for clients.
**A Little About You**
 You bring a unique blend of personality and professional expertise to your work, inspiring others with your passion and dedication. Your career is a testament to your diverse experiences, community involvement, and the valuable lessons you've learned along the way. You are more than just your resume; you are a reflection of your achievements, the knowledge you've gained, and the personal interests that shape who you are.
**Position Overview**
**PRODUCT MANAGER, AI**
**Remote**
 Our enterprise Data and Technology team at Zelis is seeking a driven and analytical AI Product Manager to join our technical product team. As an AI Product Manager, you will be responsible for the product lifecycle of new AI solutions and use cases in close collaboration with data science and engineering leads through definition of business requirements, coordination with various technical and non\-technical teams, and facilitation of a robust pipeline for the application of AI. Together with other product managers, you’ll be responsible for delivering on our product roadmap to support the current and future needs of the business.
 We are looking for someone passionate about data, AI, and analytics with strong product management experience to join our growing technical product team.
**Responsibilities**
* Become an expert in your product areas, acting as the go to person for other stakeholders before speaking to the technical data science and software engineering teams
* Collaborate with software engineers, data engineers, data scientists and other product teams to scope new or refine existing AI solutions that increase business value, adoption, and user engagement
* Lead discussions with BU stakeholders to identify business process and underlying needs. Draft clear and concise business requirements and technical product documentation
* Interface with internal to Zelis engineering and product teams to manage the intake process for new requests
* Understand how your product areas link into the wider roadmap and be able to highlight both dependencies and opportunities for growth
* Define key performance indicators to evaluate product
* Be the voice of the customer in technical discussions and facilitate the relationship between the application teams and technical data teams for your product areas
* Work with cross\-functional teams and various stakeholders, including engineering, architecture, operations, product, marketing, partnerships, and customer success
* Collaborate with technical product analysts to support engineering teams through the delivery lifecycle
* Understand the implications of AI products to the healthcare industry, and be able to tell the story of how an individual receiving care maps to the problem you are solving.
**Experience**
* 3\+ years of technical product management with demonstrated ability to define product scope and deliver alongside technical teams
* Strong understanding of and experience with Data Science, ML, GenAI, and Data Analytics concepts and other data/product tools such as SQL, Python, R, Spark, AWS, Azure, and Snowflake
* An ability to listen to diverse audiences, identify requirements, gaps and barriers, and translate needs into AI and analytics solutions
* Understanding and experience with machine learning, data engineering, and software engineering.
* Technical depth that enables you to drive discussions about design of AI solutions (including GenAI), machine learning models, ETLs, AI infrastructure
* Possess strong communication skills, including experience being an active and expert listener, with clear verbal communication as well as explicit and mindful written communication skills
* Well\-versed in Agile frameworks and product tools such as Jira and Confluence
* Experience guiding teams through the AI lifecycle, including collecting and collating use cases and managing intake processes for new AI use cases
* Open to candidates with either B2B or B2C experience and outside the healthcare industry; critical to success in this role is being intellectually curious, a self\-starter, and experience building AI products
**EOE Committed to Diversity**
***Please note at this time we are unable to proceed with candidates who require visa sponsorship now or in the future.***
**Location and Workplace Flexibility**
 We have offices in Atlanta GA, Boston MA, Morristown NJ, Plano TX, St. Louis MO, St. Petersburg FL, and Hyderabad, India. We foster a hybrid and remote friendly culture, and all our employee's work locations are based on the needs of the position and determined by the Leadership team. In\-office work and activities, if applicable, vary based on the work and team objectives in accordance with Company policies.
**Base Salary Range**
 $105,000\.00 \- $140,000\.00
 At Zelis we are committed to providing fair and equitable compensation packages. The base salary range allows us to make an offer that considers multiple individualized factors, including experience, education, qualifications, as well as job\-related and industry\-related knowledge and skills, etc. Base pay is just one part of our Total Rewards package, which may also include discretionary bonus plans, commissions, or other incentives depending on the role.
 Zelis’ full\-time associates are eligible for a highly competitive benefits package as well, which demonstrates our commitment to our employees’ health, well\-being, and financial protection. The US\-based benefits include a 401k plan with employer match, flexible paid time off, holidays, parental leaves, life and disability insurance, and health benefits including medical, dental, vision, and prescription drug coverage.
**Equal Employment Opportunity**
 Zelis is proud to be an equal opportunity employer.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welcome applicants from all backgrounds and encourage you to apply even if you don’t meet 100% of the qualifications for the role. We believe in the value of diverse perspectives and experiences and are committed to building an inclusive workplace for all.
**Accessibility Support**
 We are dedicated to ensuring our application process is accessible to all candidates. If you are a qualified individual with a disability or a disabled veteran and require a reasonable accommodation with any part of the application and/or interview process, please email TalentAcquisition@zelis.com.
**Disclaimer**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duties, and skills from time to time.*</t>
        </is>
      </c>
    </row>
    <row r="86">
      <c r="A86" t="inlineStr">
        <is>
          <t>li-4345183000</t>
        </is>
      </c>
      <c r="B86" t="inlineStr">
        <is>
          <t>Product Manager - AI</t>
        </is>
      </c>
      <c r="C86" t="inlineStr">
        <is>
          <t>Zelis</t>
        </is>
      </c>
      <c r="D86" t="inlineStr">
        <is>
          <t>linkedin</t>
        </is>
      </c>
      <c r="E86" t="inlineStr"/>
      <c r="F86" t="inlineStr"/>
      <c r="G86" t="inlineStr">
        <is>
          <t>Dallas County, TX</t>
        </is>
      </c>
      <c r="H86" t="inlineStr"/>
      <c r="I86" t="inlineStr">
        <is>
          <t>At Zelis, we Get Stuff Done. So, let’s get to it!
**A Little About Us**
 Zelis is modernizing the healthcare financial experience across payers, providers, and healthcare consumers. We serve more than 750 payers, including the top five national health plans, regional health plans, TPAs and millions of healthcare providers and consumers across our platform of solutions. Zelis sees across the system to identify, optimize, and solve problems holistically with technology built by healthcare experts – driving real, measurable results for clients.
**A Little About You**
 You bring a unique blend of personality and professional expertise to your work, inspiring others with your passion and dedication. Your career is a testament to your diverse experiences, community involvement, and the valuable lessons you've learned along the way. You are more than just your resume; you are a reflection of your achievements, the knowledge you've gained, and the personal interests that shape who you are.
**Position Overview**
**PRODUCT MANAGER, AI**
**Remote**
 Our enterprise Data and Technology team at Zelis is seeking a driven and analytical AI Product Manager to join our technical product team. As an AI Product Manager, you will be responsible for the product lifecycle of new AI solutions and use cases in close collaboration with data science and engineering leads through definition of business requirements, coordination with various technical and non\-technical teams, and facilitation of a robust pipeline for the application of AI. Together with other product managers, you’ll be responsible for delivering on our product roadmap to support the current and future needs of the business.
 We are looking for someone passionate about data, AI, and analytics with strong product management experience to join our growing technical product team.
**Responsibilities**
* Become an expert in your product areas, acting as the go to person for other stakeholders before speaking to the technical data science and software engineering teams
* Collaborate with software engineers, data engineers, data scientists and other product teams to scope new or refine existing AI solutions that increase business value, adoption, and user engagement
* Lead discussions with BU stakeholders to identify business process and underlying needs. Draft clear and concise business requirements and technical product documentation
* Interface with internal to Zelis engineering and product teams to manage the intake process for new requests
* Understand how your product areas link into the wider roadmap and be able to highlight both dependencies and opportunities for growth
* Define key performance indicators to evaluate product
* Be the voice of the customer in technical discussions and facilitate the relationship between the application teams and technical data teams for your product areas
* Work with cross\-functional teams and various stakeholders, including engineering, architecture, operations, product, marketing, partnerships, and customer success
* Collaborate with technical product analysts to support engineering teams through the delivery lifecycle
* Understand the implications of AI products to the healthcare industry, and be able to tell the story of how an individual receiving care maps to the problem you are solving.
**Experience**
* 3\+ years of technical product management with demonstrated ability to define product scope and deliver alongside technical teams
* Strong understanding of and experience with Data Science, ML, GenAI, and Data Analytics concepts and other data/product tools such as SQL, Python, R, Spark, AWS, Azure, and Snowflake
* An ability to listen to diverse audiences, identify requirements, gaps and barriers, and translate needs into AI and analytics solutions
* Understanding and experience with machine learning, data engineering, and software engineering.
* Technical depth that enables you to drive discussions about design of AI solutions (including GenAI), machine learning models, ETLs, AI infrastructure
* Possess strong communication skills, including experience being an active and expert listener, with clear verbal communication as well as explicit and mindful written communication skills
* Well\-versed in Agile frameworks and product tools such as Jira and Confluence
* Experience guiding teams through the AI lifecycle, including collecting and collating use cases and managing intake processes for new AI use cases
* Open to candidates with either B2B or B2C experience and outside the healthcare industry; critical to success in this role is being intellectually curious, a self\-starter, and experience building AI products
**EOE Committed to Diversity**
***Please note at this time we are unable to proceed with candidates who require visa sponsorship now or in the future.***
**Location and Workplace Flexibility**
 We have offices in Atlanta GA, Boston MA, Morristown NJ, Plano TX, St. Louis MO, St. Petersburg FL, and Hyderabad, India. We foster a hybrid and remote friendly culture, and all our employee's work locations are based on the needs of the position and determined by the Leadership team. In\-office work and activities, if applicable, vary based on the work and team objectives in accordance with Company policies.
**Base Salary Range**
 $105,000\.00 \- $140,000\.00
 At Zelis we are committed to providing fair and equitable compensation packages. The base salary range allows us to make an offer that considers multiple individualized factors, including experience, education, qualifications, as well as job\-related and industry\-related knowledge and skills, etc. Base pay is just one part of our Total Rewards package, which may also include discretionary bonus plans, commissions, or other incentives depending on the role.
 Zelis’ full\-time associates are eligible for a highly competitive benefits package as well, which demonstrates our commitment to our employees’ health, well\-being, and financial protection. The US\-based benefits include a 401k plan with employer match, flexible paid time off, holidays, parental leaves, life and disability insurance, and health benefits including medical, dental, vision, and prescription drug coverage.
**Equal Employment Opportunity**
 Zelis is proud to be an equal opportunity employer.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welcome applicants from all backgrounds and encourage you to apply even if you don’t meet 100% of the qualifications for the role. We believe in the value of diverse perspectives and experiences and are committed to building an inclusive workplace for all.
**Accessibility Support**
 We are dedicated to ensuring our application process is accessible to all candidates. If you are a qualified individual with a disability or a disabled veteran and require a reasonable accommodation with any part of the application and/or interview process, please email TalentAcquisition@zelis.com.
**Disclaimer**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duties, and skills from time to time.*</t>
        </is>
      </c>
    </row>
    <row r="87">
      <c r="A87" t="inlineStr">
        <is>
          <t>li-4345183001</t>
        </is>
      </c>
      <c r="B87" t="inlineStr">
        <is>
          <t>Product Manager - AI</t>
        </is>
      </c>
      <c r="C87" t="inlineStr">
        <is>
          <t>Zelis</t>
        </is>
      </c>
      <c r="D87" t="inlineStr">
        <is>
          <t>linkedin</t>
        </is>
      </c>
      <c r="E87" t="inlineStr"/>
      <c r="F87" t="inlineStr"/>
      <c r="G87" t="inlineStr">
        <is>
          <t>St Louis, MO</t>
        </is>
      </c>
      <c r="H87" t="inlineStr"/>
      <c r="I87" t="inlineStr">
        <is>
          <t>At Zelis, we Get Stuff Done. So, let’s get to it!
**A Little About Us**
 Zelis is modernizing the healthcare financial experience across payers, providers, and healthcare consumers. We serve more than 750 payers, including the top five national health plans, regional health plans, TPAs and millions of healthcare providers and consumers across our platform of solutions. Zelis sees across the system to identify, optimize, and solve problems holistically with technology built by healthcare experts – driving real, measurable results for clients.
**A Little About You**
 You bring a unique blend of personality and professional expertise to your work, inspiring others with your passion and dedication. Your career is a testament to your diverse experiences, community involvement, and the valuable lessons you've learned along the way. You are more than just your resume; you are a reflection of your achievements, the knowledge you've gained, and the personal interests that shape who you are.
**Position Overview**
**PRODUCT MANAGER, AI**
**Remote**
 Our enterprise Data and Technology team at Zelis is seeking a driven and analytical AI Product Manager to join our technical product team. As an AI Product Manager, you will be responsible for the product lifecycle of new AI solutions and use cases in close collaboration with data science and engineering leads through definition of business requirements, coordination with various technical and non\-technical teams, and facilitation of a robust pipeline for the application of AI. Together with other product managers, you’ll be responsible for delivering on our product roadmap to support the current and future needs of the business.
 We are looking for someone passionate about data, AI, and analytics with strong product management experience to join our growing technical product team.
**Responsibilities**
* Become an expert in your product areas, acting as the go to person for other stakeholders before speaking to the technical data science and software engineering teams
* Collaborate with software engineers, data engineers, data scientists and other product teams to scope new or refine existing AI solutions that increase business value, adoption, and user engagement
* Lead discussions with BU stakeholders to identify business process and underlying needs. Draft clear and concise business requirements and technical product documentation
* Interface with internal to Zelis engineering and product teams to manage the intake process for new requests
* Understand how your product areas link into the wider roadmap and be able to highlight both dependencies and opportunities for growth
* Define key performance indicators to evaluate product
* Be the voice of the customer in technical discussions and facilitate the relationship between the application teams and technical data teams for your product areas
* Work with cross\-functional teams and various stakeholders, including engineering, architecture, operations, product, marketing, partnerships, and customer success
* Collaborate with technical product analysts to support engineering teams through the delivery lifecycle
* Understand the implications of AI products to the healthcare industry, and be able to tell the story of how an individual receiving care maps to the problem you are solving.
**Experience**
* 3\+ years of technical product management with demonstrated ability to define product scope and deliver alongside technical teams
* Strong understanding of and experience with Data Science, ML, GenAI, and Data Analytics concepts and other data/product tools such as SQL, Python, R, Spark, AWS, Azure, and Snowflake
* An ability to listen to diverse audiences, identify requirements, gaps and barriers, and translate needs into AI and analytics solutions
* Understanding and experience with machine learning, data engineering, and software engineering.
* Technical depth that enables you to drive discussions about design of AI solutions (including GenAI), machine learning models, ETLs, AI infrastructure
* Possess strong communication skills, including experience being an active and expert listener, with clear verbal communication as well as explicit and mindful written communication skills
* Well\-versed in Agile frameworks and product tools such as Jira and Confluence
* Experience guiding teams through the AI lifecycle, including collecting and collating use cases and managing intake processes for new AI use cases
* Open to candidates with either B2B or B2C experience and outside the healthcare industry; critical to success in this role is being intellectually curious, a self\-starter, and experience building AI products
**EOE Committed to Diversity**
***Please note at this time we are unable to proceed with candidates who require visa sponsorship now or in the future.***
**Location and Workplace Flexibility**
 We have offices in Atlanta GA, Boston MA, Morristown NJ, Plano TX, St. Louis MO, St. Petersburg FL, and Hyderabad, India. We foster a hybrid and remote friendly culture, and all our employee's work locations are based on the needs of the position and determined by the Leadership team. In\-office work and activities, if applicable, vary based on the work and team objectives in accordance with Company policies.
**Base Salary Range**
 $105,000\.00 \- $140,000\.00
 At Zelis we are committed to providing fair and equitable compensation packages. The base salary range allows us to make an offer that considers multiple individualized factors, including experience, education, qualifications, as well as job\-related and industry\-related knowledge and skills, etc. Base pay is just one part of our Total Rewards package, which may also include discretionary bonus plans, commissions, or other incentives depending on the role.
 Zelis’ full\-time associates are eligible for a highly competitive benefits package as well, which demonstrates our commitment to our employees’ health, well\-being, and financial protection. The US\-based benefits include a 401k plan with employer match, flexible paid time off, holidays, parental leaves, life and disability insurance, and health benefits including medical, dental, vision, and prescription drug coverage.
**Equal Employment Opportunity**
 Zelis is proud to be an equal opportunity employer.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welcome applicants from all backgrounds and encourage you to apply even if you don’t meet 100% of the qualifications for the role. We believe in the value of diverse perspectives and experiences and are committed to building an inclusive workplace for all.
**Accessibility Support**
 We are dedicated to ensuring our application process is accessible to all candidates. If you are a qualified individual with a disability or a disabled veteran and require a reasonable accommodation with any part of the application and/or interview process, please email TalentAcquisition@zelis.com.
**Disclaimer**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duties, and skills from time to time.*</t>
        </is>
      </c>
    </row>
    <row r="88">
      <c r="A88" t="inlineStr">
        <is>
          <t>li-4367922371</t>
        </is>
      </c>
      <c r="B88" t="inlineStr">
        <is>
          <t>SimplrOps - Workday Product Owner - Project Manager Senior Consultant</t>
        </is>
      </c>
      <c r="C88" t="inlineStr">
        <is>
          <t>Deloitte</t>
        </is>
      </c>
      <c r="D88" t="inlineStr">
        <is>
          <t>linkedin</t>
        </is>
      </c>
      <c r="E88" t="inlineStr"/>
      <c r="F88" t="inlineStr"/>
      <c r="G88" t="inlineStr">
        <is>
          <t>Fresno, CA</t>
        </is>
      </c>
      <c r="H88" t="inlineStr"/>
      <c r="I88" t="inlineStr">
        <is>
          <t>The Human Capital Offering Portfolio focuses on helping organizations manage and sustain their performance through their most important asset: their people. Centered on five core issues, this Portfolio signifies to the market that we see Human Capital as a topic critical to the C\-Suite. As we go\-to\-market we will show our clients that we serve more than HR organizations \- from the CEO to CFO, Risk Manager to Business Unit leader \- and that we deliver on our issues and help create value for our clients.
 Recruiting for this role ends on 4/30/26
**SimplrOps** 
 is the \#1 Selling SaaS product at Deloitte. Acquired in January 2025,
 **SimplrOps** 
 embodies the investment Human Capital continues to make in scaling our human edge and promoting product\-based solutions for our clients. By connecting with cloud technology solutions like Workday, we provide configuration management solutions to administrators that help save time, reduce risk, and improve quality. Joining the
 **SimplrOps** 
 team means you are not only helping to build innovative, product\-led solutions, but also supporting the expansion of our market opportunities, offerings, and client base.
**The Work You'll Do:**
 The
 **SimplrOps \- Workday Product Owner \- Project Manager Senior Consultant** 
 is responsible for delivery of the planned SimplrOps Product features for the Workday roadmap. Duties include designing and maintaining JIRA stories, updating Training materials, collaborating with other SimplrOps workstreams including development, QA, Sales, and Adoption to support the overall product strategy as well as delivering training and demos to support our client teams.
**Responsibilities include, but are not limited to:**
* Create and manage JIRA stories for capability in accordance with Epics and Platform strategy
* Work with development team to clarify and answer questions during build cycle
* Work with UI/UX designer to create designs for review and planning
* Validate new feature builds
* Support Product production deployment cycles and activities including new feature content
* Own backlog for capability, working with other teams as needed to groom and meet readiness criteria
* Support SNOW ticket resolution
* Support SimplrOps training delivery
* SimplrOps Workday Capability SCRUM Master back\-up
* Support SimplrOps Workday Capability Product Manager in all of their owned tasks, working hand\-in\-hand to ensure quality delivery
* Support SimplrOps Sales and Marketing initiatives and content creation with Workday capability and SimplrOps product expertise
**The Team**
 Our Insights, Innovation \&amp; Operate Offering is designed to enhance key aspects of our clients' businesses by leveraging cutting\-edge technology, data, and a blend of deep technical and human expertise. We innovate and deliver creative, industry\-specific solutions that streamline operations and accelerate speed\-to\-value.
**Required Qualifications:**
* Bachelor's Degree
* Active Workday Certification
* 4\+ years of hands\-on Workday experience (implementation preferred)
* 4\+ years of experience in client delivery, consultative sales, account management and/or management consulting, preferably in IT service management solutions (Workday)
* 4\+ years of experience presenting to senior level clients
* 2\+ years of experience delivering training or Knowledge Transfer
* Limited immigration sponsorship may be available
**Preferred Qualifications:**
* 2\+ year of experience in Product Management
* Enthusiasm for cloud technology solutions
* A Product mindset
* Ability to work independently and manage multiple assignments
* Demonstrated ability to manage ambiguity and apply problem\-solving skills
* Demonstrated ability to employ research and analytical thinking
* Excellent oral and written communication skills, including presentation skills (MS PowerPoint, MS Word)
* Familiarity with AGILE methodologies
* Ticketing system experience (SNOW preferred)
* Product Management system experience (JIRA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Possible Locations: Atlanta, Austin, Baltimore, Birmingham, Boca Raton, Boise, Boston, Charlotte, Chicago, Cincinnati, Cleveland, Columbus, Costa Mesa, Dallas, Davenport, Dayton, Denver, Des Moines, Detroit, Fort Worth, Fresno, Grand Rapids, Hartford, Hermitage, Houston, Huntsville, Indianapolis, Jacksonville, Jericho, Jersey City, Kansas City, Las Vegas, Los Angeles, Louisville, McLean, Memphis, Miami, Midland, Minneapolis, Morristown, Nashville, New Orleans, New York, Philadelphia, Pittsburgh, Portland, Princeton, Raleigh, Richmond, Rochester, San Antonio, San Diego, San Francisco, San Jose, Seattle, St. Louis, Stamford, Tallahassee, Tampa, Tempe, Tulsa, Washington DC
**Information for applicants with a need for accommodation** 
 : https://www2\.deloitte.com/us/en/pages/careers/articles/join\-deloitte\-assistance\-for\-disabled\-applicants.html
**For more information about Human Capital, visit our landing page at:** 
 https://www2\.deloitte.com/us/en/pages/careers/articles/join\-deloitte\-human\-capital\-consulting\-jobs.html
 \#HCFY26 \#IIOFY26</t>
        </is>
      </c>
    </row>
    <row r="89">
      <c r="A89" t="inlineStr">
        <is>
          <t>li-4367922382</t>
        </is>
      </c>
      <c r="B89" t="inlineStr">
        <is>
          <t>SimplrOps - Workday Product Owner - Project Manager Senior Consultant</t>
        </is>
      </c>
      <c r="C89" t="inlineStr">
        <is>
          <t>Deloitte</t>
        </is>
      </c>
      <c r="D89" t="inlineStr">
        <is>
          <t>linkedin</t>
        </is>
      </c>
      <c r="E89" t="inlineStr"/>
      <c r="F89" t="inlineStr"/>
      <c r="G89" t="inlineStr">
        <is>
          <t>McLean, VA</t>
        </is>
      </c>
      <c r="H89" t="inlineStr"/>
      <c r="I89" t="inlineStr">
        <is>
          <t>The Human Capital Offering Portfolio focuses on helping organizations manage and sustain their performance through their most important asset: their people. Centered on five core issues, this Portfolio signifies to the market that we see Human Capital as a topic critical to the C\-Suite. As we go\-to\-market we will show our clients that we serve more than HR organizations \- from the CEO to CFO, Risk Manager to Business Unit leader \- and that we deliver on our issues and help create value for our clients.
 Recruiting for this role ends on 4/30/26
**SimplrOps** 
 is the \#1 Selling SaaS product at Deloitte. Acquired in January 2025,
 **SimplrOps** 
 embodies the investment Human Capital continues to make in scaling our human edge and promoting product\-based solutions for our clients. By connecting with cloud technology solutions like Workday, we provide configuration management solutions to administrators that help save time, reduce risk, and improve quality. Joining the
 **SimplrOps** 
 team means you are not only helping to build innovative, product\-led solutions, but also supporting the expansion of our market opportunities, offerings, and client base.
**The Work You'll Do:**
 The
 **SimplrOps \- Workday Product Owner \- Project Manager Senior Consultant** 
 is responsible for delivery of the planned SimplrOps Product features for the Workday roadmap. Duties include designing and maintaining JIRA stories, updating Training materials, collaborating with other SimplrOps workstreams including development, QA, Sales, and Adoption to support the overall product strategy as well as delivering training and demos to support our client teams.
**Responsibilities include, but are not limited to:**
* Create and manage JIRA stories for capability in accordance with Epics and Platform strategy
* Work with development team to clarify and answer questions during build cycle
* Work with UI/UX designer to create designs for review and planning
* Validate new feature builds
* Support Product production deployment cycles and activities including new feature content
* Own backlog for capability, working with other teams as needed to groom and meet readiness criteria
* Support SNOW ticket resolution
* Support SimplrOps training delivery
* SimplrOps Workday Capability SCRUM Master back\-up
* Support SimplrOps Workday Capability Product Manager in all of their owned tasks, working hand\-in\-hand to ensure quality delivery
* Support SimplrOps Sales and Marketing initiatives and content creation with Workday capability and SimplrOps product expertise
**The Team**
 Our Insights, Innovation \&amp; Operate Offering is designed to enhance key aspects of our clients' businesses by leveraging cutting\-edge technology, data, and a blend of deep technical and human expertise. We innovate and deliver creative, industry\-specific solutions that streamline operations and accelerate speed\-to\-value.
**Required Qualifications:**
* Bachelor's Degree
* Active Workday Certification
* 4\+ years of hands\-on Workday experience (implementation preferred)
* 4\+ years of experience in client delivery, consultative sales, account management and/or management consulting, preferably in IT service management solutions (Workday)
* 4\+ years of experience presenting to senior level clients
* 2\+ years of experience delivering training or Knowledge Transfer
* Limited immigration sponsorship may be available
**Preferred Qualifications:**
* 2\+ year of experience in Product Management
* Enthusiasm for cloud technology solutions
* A Product mindset
* Ability to work independently and manage multiple assignments
* Demonstrated ability to manage ambiguity and apply problem\-solving skills
* Demonstrated ability to employ research and analytical thinking
* Excellent oral and written communication skills, including presentation skills (MS PowerPoint, MS Word)
* Familiarity with AGILE methodologies
* Ticketing system experience (SNOW preferred)
* Product Management system experience (JIRA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Possible Locations: Atlanta, Austin, Baltimore, Birmingham, Boca Raton, Boise, Boston, Charlotte, Chicago, Cincinnati, Cleveland, Columbus, Costa Mesa, Dallas, Davenport, Dayton, Denver, Des Moines, Detroit, Fort Worth, Fresno, Grand Rapids, Hartford, Hermitage, Houston, Huntsville, Indianapolis, Jacksonville, Jericho, Jersey City, Kansas City, Las Vegas, Los Angeles, Louisville, McLean, Memphis, Miami, Midland, Minneapolis, Morristown, Nashville, New Orleans, New York, Philadelphia, Pittsburgh, Portland, Princeton, Raleigh, Richmond, Rochester, San Antonio, San Diego, San Francisco, San Jose, Seattle, St. Louis, Stamford, Tallahassee, Tampa, Tempe, Tulsa, Washington DC
**Information for applicants with a need for accommodation** 
 : https://www2\.deloitte.com/us/en/pages/careers/articles/join\-deloitte\-assistance\-for\-disabled\-applicants.html
**For more information about Human Capital, visit our landing page at:** 
 https://www2\.deloitte.com/us/en/pages/careers/articles/join\-deloitte\-human\-capital\-consulting\-jobs.html
 \#HCFY26 \#IIOFY26</t>
        </is>
      </c>
    </row>
    <row r="90">
      <c r="A90" t="inlineStr">
        <is>
          <t>li-4367915397</t>
        </is>
      </c>
      <c r="B90" t="inlineStr">
        <is>
          <t>SimplrOps - Workday Product Owner - Project Manager Senior Consultant</t>
        </is>
      </c>
      <c r="C90" t="inlineStr">
        <is>
          <t>Deloitte</t>
        </is>
      </c>
      <c r="D90" t="inlineStr">
        <is>
          <t>linkedin</t>
        </is>
      </c>
      <c r="E90" t="inlineStr"/>
      <c r="F90" t="inlineStr"/>
      <c r="G90" t="inlineStr">
        <is>
          <t>Stamford, CT</t>
        </is>
      </c>
      <c r="H90" t="inlineStr"/>
      <c r="I90" t="inlineStr">
        <is>
          <t>The Human Capital Offering Portfolio focuses on helping organizations manage and sustain their performance through their most important asset: their people. Centered on five core issues, this Portfolio signifies to the market that we see Human Capital as a topic critical to the C\-Suite. As we go\-to\-market we will show our clients that we serve more than HR organizations \- from the CEO to CFO, Risk Manager to Business Unit leader \- and that we deliver on our issues and help create value for our clients.
 Recruiting for this role ends on 4/30/26
**SimplrOps** 
 is the \#1 Selling SaaS product at Deloitte. Acquired in January 2025,
 **SimplrOps** 
 embodies the investment Human Capital continues to make in scaling our human edge and promoting product\-based solutions for our clients. By connecting with cloud technology solutions like Workday, we provide configuration management solutions to administrators that help save time, reduce risk, and improve quality. Joining the
 **SimplrOps** 
 team means you are not only helping to build innovative, product\-led solutions, but also supporting the expansion of our market opportunities, offerings, and client base.
**The Work You'll Do:**
 The
 **SimplrOps \- Workday Product Owner \- Project Manager Senior Consultant** 
 is responsible for delivery of the planned SimplrOps Product features for the Workday roadmap. Duties include designing and maintaining JIRA stories, updating Training materials, collaborating with other SimplrOps workstreams including development, QA, Sales, and Adoption to support the overall product strategy as well as delivering training and demos to support our client teams.
**Responsibilities include, but are not limited to:**
* Create and manage JIRA stories for capability in accordance with Epics and Platform strategy
* Work with development team to clarify and answer questions during build cycle
* Work with UI/UX designer to create designs for review and planning
* Validate new feature builds
* Support Product production deployment cycles and activities including new feature content
* Own backlog for capability, working with other teams as needed to groom and meet readiness criteria
* Support SNOW ticket resolution
* Support SimplrOps training delivery
* SimplrOps Workday Capability SCRUM Master back\-up
* Support SimplrOps Workday Capability Product Manager in all of their owned tasks, working hand\-in\-hand to ensure quality delivery
* Support SimplrOps Sales and Marketing initiatives and content creation with Workday capability and SimplrOps product expertise
**The Team**
 Our Insights, Innovation \&amp; Operate Offering is designed to enhance key aspects of our clients' businesses by leveraging cutting\-edge technology, data, and a blend of deep technical and human expertise. We innovate and deliver creative, industry\-specific solutions that streamline operations and accelerate speed\-to\-value.
**Required Qualifications:**
* Bachelor's Degree
* Active Workday Certification
* 4\+ years of hands\-on Workday experience (implementation preferred)
* 4\+ years of experience in client delivery, consultative sales, account management and/or management consulting, preferably in IT service management solutions (Workday)
* 4\+ years of experience presenting to senior level clients
* 2\+ years of experience delivering training or Knowledge Transfer
* Limited immigration sponsorship may be available
**Preferred Qualifications:**
* 2\+ year of experience in Product Management
* Enthusiasm for cloud technology solutions
* A Product mindset
* Ability to work independently and manage multiple assignments
* Demonstrated ability to manage ambiguity and apply problem\-solving skills
* Demonstrated ability to employ research and analytical thinking
* Excellent oral and written communication skills, including presentation skills (MS PowerPoint, MS Word)
* Familiarity with AGILE methodologies
* Ticketing system experience (SNOW preferred)
* Product Management system experience (JIRA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Possible Locations: Atlanta, Austin, Baltimore, Birmingham, Boca Raton, Boise, Boston, Charlotte, Chicago, Cincinnati, Cleveland, Columbus, Costa Mesa, Dallas, Davenport, Dayton, Denver, Des Moines, Detroit, Fort Worth, Fresno, Grand Rapids, Hartford, Hermitage, Houston, Huntsville, Indianapolis, Jacksonville, Jericho, Jersey City, Kansas City, Las Vegas, Los Angeles, Louisville, McLean, Memphis, Miami, Midland, Minneapolis, Morristown, Nashville, New Orleans, New York, Philadelphia, Pittsburgh, Portland, Princeton, Raleigh, Richmond, Rochester, San Antonio, San Diego, San Francisco, San Jose, Seattle, St. Louis, Stamford, Tallahassee, Tampa, Tempe, Tulsa, Washington DC
**Information for applicants with a need for accommodation** 
 : https://www2\.deloitte.com/us/en/pages/careers/articles/join\-deloitte\-assistance\-for\-disabled\-applicants.html
**For more information about Human Capital, visit our landing page at:** 
 https://www2\.deloitte.com/us/en/pages/careers/articles/join\-deloitte\-human\-capital\-consulting\-jobs.html
 \#HCFY26 \#IIOFY26</t>
        </is>
      </c>
    </row>
    <row r="91">
      <c r="A91" t="inlineStr">
        <is>
          <t>li-4367927294</t>
        </is>
      </c>
      <c r="B91" t="inlineStr">
        <is>
          <t>SimplrOps - Workday Product Owner - Project Manager Senior Consultant</t>
        </is>
      </c>
      <c r="C91" t="inlineStr">
        <is>
          <t>Deloitte</t>
        </is>
      </c>
      <c r="D91" t="inlineStr">
        <is>
          <t>linkedin</t>
        </is>
      </c>
      <c r="E91" t="inlineStr"/>
      <c r="F91" t="inlineStr"/>
      <c r="G91" t="inlineStr">
        <is>
          <t>Richmond, VA</t>
        </is>
      </c>
      <c r="H91" t="inlineStr"/>
      <c r="I91" t="inlineStr">
        <is>
          <t>The Human Capital Offering Portfolio focuses on helping organizations manage and sustain their performance through their most important asset: their people. Centered on five core issues, this Portfolio signifies to the market that we see Human Capital as a topic critical to the C\-Suite. As we go\-to\-market we will show our clients that we serve more than HR organizations \- from the CEO to CFO, Risk Manager to Business Unit leader \- and that we deliver on our issues and help create value for our clients.
 Recruiting for this role ends on 4/30/26
**SimplrOps** 
 is the \#1 Selling SaaS product at Deloitte. Acquired in January 2025,
 **SimplrOps** 
 embodies the investment Human Capital continues to make in scaling our human edge and promoting product\-based solutions for our clients. By connecting with cloud technology solutions like Workday, we provide configuration management solutions to administrators that help save time, reduce risk, and improve quality. Joining the
 **SimplrOps** 
 team means you are not only helping to build innovative, product\-led solutions, but also supporting the expansion of our market opportunities, offerings, and client base.
**The Work You'll Do:**
 The
 **SimplrOps \- Workday Product Owner \- Project Manager Senior Consultant** 
 is responsible for delivery of the planned SimplrOps Product features for the Workday roadmap. Duties include designing and maintaining JIRA stories, updating Training materials, collaborating with other SimplrOps workstreams including development, QA, Sales, and Adoption to support the overall product strategy as well as delivering training and demos to support our client teams.
**Responsibilities include, but are not limited to:**
* Create and manage JIRA stories for capability in accordance with Epics and Platform strategy
* Work with development team to clarify and answer questions during build cycle
* Work with UI/UX designer to create designs for review and planning
* Validate new feature builds
* Support Product production deployment cycles and activities including new feature content
* Own backlog for capability, working with other teams as needed to groom and meet readiness criteria
* Support SNOW ticket resolution
* Support SimplrOps training delivery
* SimplrOps Workday Capability SCRUM Master back\-up
* Support SimplrOps Workday Capability Product Manager in all of their owned tasks, working hand\-in\-hand to ensure quality delivery
* Support SimplrOps Sales and Marketing initiatives and content creation with Workday capability and SimplrOps product expertise
**The Team**
 Our Insights, Innovation \&amp; Operate Offering is designed to enhance key aspects of our clients' businesses by leveraging cutting\-edge technology, data, and a blend of deep technical and human expertise. We innovate and deliver creative, industry\-specific solutions that streamline operations and accelerate speed\-to\-value.
**Required Qualifications:**
* Bachelor's Degree
* Active Workday Certification
* 4\+ years of hands\-on Workday experience (implementation preferred)
* 4\+ years of experience in client delivery, consultative sales, account management and/or management consulting, preferably in IT service management solutions (Workday)
* 4\+ years of experience presenting to senior level clients
* 2\+ years of experience delivering training or Knowledge Transfer
* Limited immigration sponsorship may be available
**Preferred Qualifications:**
* 2\+ year of experience in Product Management
* Enthusiasm for cloud technology solutions
* A Product mindset
* Ability to work independently and manage multiple assignments
* Demonstrated ability to manage ambiguity and apply problem\-solving skills
* Demonstrated ability to employ research and analytical thinking
* Excellent oral and written communication skills, including presentation skills (MS PowerPoint, MS Word)
* Familiarity with AGILE methodologies
* Ticketing system experience (SNOW preferred)
* Product Management system experience (JIRA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Possible Locations: Atlanta, Austin, Baltimore, Birmingham, Boca Raton, Boise, Boston, Charlotte, Chicago, Cincinnati, Cleveland, Columbus, Costa Mesa, Dallas, Davenport, Dayton, Denver, Des Moines, Detroit, Fort Worth, Fresno, Grand Rapids, Hartford, Hermitage, Houston, Huntsville, Indianapolis, Jacksonville, Jericho, Jersey City, Kansas City, Las Vegas, Los Angeles, Louisville, McLean, Memphis, Miami, Midland, Minneapolis, Morristown, Nashville, New Orleans, New York, Philadelphia, Pittsburgh, Portland, Princeton, Raleigh, Richmond, Rochester, San Antonio, San Diego, San Francisco, San Jose, Seattle, St. Louis, Stamford, Tallahassee, Tampa, Tempe, Tulsa, Washington DC
**Information for applicants with a need for accommodation** 
 : https://www2\.deloitte.com/us/en/pages/careers/articles/join\-deloitte\-assistance\-for\-disabled\-applicants.html
**For more information about Human Capital, visit our landing page at:** 
 https://www2\.deloitte.com/us/en/pages/careers/articles/join\-deloitte\-human\-capital\-consulting\-jobs.html
 \#HCFY26 \#IIOFY26</t>
        </is>
      </c>
    </row>
    <row r="92">
      <c r="A92" t="inlineStr">
        <is>
          <t>li-4367924293</t>
        </is>
      </c>
      <c r="B92" t="inlineStr">
        <is>
          <t>SimplrOps - Workday Product Owner - Project Manager Senior Consultant</t>
        </is>
      </c>
      <c r="C92" t="inlineStr">
        <is>
          <t>Deloitte</t>
        </is>
      </c>
      <c r="D92" t="inlineStr">
        <is>
          <t>linkedin</t>
        </is>
      </c>
      <c r="E92" t="inlineStr"/>
      <c r="F92" t="inlineStr"/>
      <c r="G92" t="inlineStr">
        <is>
          <t>Jacksonville, FL</t>
        </is>
      </c>
      <c r="H92" t="inlineStr"/>
      <c r="I92" t="inlineStr">
        <is>
          <t>The Human Capital Offering Portfolio focuses on helping organizations manage and sustain their performance through their most important asset: their people. Centered on five core issues, this Portfolio signifies to the market that we see Human Capital as a topic critical to the C\-Suite. As we go\-to\-market we will show our clients that we serve more than HR organizations \- from the CEO to CFO, Risk Manager to Business Unit leader \- and that we deliver on our issues and help create value for our clients.
 Recruiting for this role ends on 4/30/26
**SimplrOps** 
 is the \#1 Selling SaaS product at Deloitte. Acquired in January 2025,
 **SimplrOps** 
 embodies the investment Human Capital continues to make in scaling our human edge and promoting product\-based solutions for our clients. By connecting with cloud technology solutions like Workday, we provide configuration management solutions to administrators that help save time, reduce risk, and improve quality. Joining the
 **SimplrOps** 
 team means you are not only helping to build innovative, product\-led solutions, but also supporting the expansion of our market opportunities, offerings, and client base.
**The Work You'll Do:**
 The
 **SimplrOps \- Workday Product Owner \- Project Manager Senior Consultant** 
 is responsible for delivery of the planned SimplrOps Product features for the Workday roadmap. Duties include designing and maintaining JIRA stories, updating Training materials, collaborating with other SimplrOps workstreams including development, QA, Sales, and Adoption to support the overall product strategy as well as delivering training and demos to support our client teams.
**Responsibilities include, but are not limited to:**
* Create and manage JIRA stories for capability in accordance with Epics and Platform strategy
* Work with development team to clarify and answer questions during build cycle
* Work with UI/UX designer to create designs for review and planning
* Validate new feature builds
* Support Product production deployment cycles and activities including new feature content
* Own backlog for capability, working with other teams as needed to groom and meet readiness criteria
* Support SNOW ticket resolution
* Support SimplrOps training delivery
* SimplrOps Workday Capability SCRUM Master back\-up
* Support SimplrOps Workday Capability Product Manager in all of their owned tasks, working hand\-in\-hand to ensure quality delivery
* Support SimplrOps Sales and Marketing initiatives and content creation with Workday capability and SimplrOps product expertise
**The Team**
 Our Insights, Innovation \&amp; Operate Offering is designed to enhance key aspects of our clients' businesses by leveraging cutting\-edge technology, data, and a blend of deep technical and human expertise. We innovate and deliver creative, industry\-specific solutions that streamline operations and accelerate speed\-to\-value.
**Required Qualifications:**
* Bachelor's Degree
* Active Workday Certification
* 4\+ years of hands\-on Workday experience (implementation preferred)
* 4\+ years of experience in client delivery, consultative sales, account management and/or management consulting, preferably in IT service management solutions (Workday)
* 4\+ years of experience presenting to senior level clients
* 2\+ years of experience delivering training or Knowledge Transfer
* Limited immigration sponsorship may be available
**Preferred Qualifications:**
* 2\+ year of experience in Product Management
* Enthusiasm for cloud technology solutions
* A Product mindset
* Ability to work independently and manage multiple assignments
* Demonstrated ability to manage ambiguity and apply problem\-solving skills
* Demonstrated ability to employ research and analytical thinking
* Excellent oral and written communication skills, including presentation skills (MS PowerPoint, MS Word)
* Familiarity with AGILE methodologies
* Ticketing system experience (SNOW preferred)
* Product Management system experience (JIRA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Possible Locations: Atlanta, Austin, Baltimore, Birmingham, Boca Raton, Boise, Boston, Charlotte, Chicago, Cincinnati, Cleveland, Columbus, Costa Mesa, Dallas, Davenport, Dayton, Denver, Des Moines, Detroit, Fort Worth, Fresno, Grand Rapids, Hartford, Hermitage, Houston, Huntsville, Indianapolis, Jacksonville, Jericho, Jersey City, Kansas City, Las Vegas, Los Angeles, Louisville, McLean, Memphis, Miami, Midland, Minneapolis, Morristown, Nashville, New Orleans, New York, Philadelphia, Pittsburgh, Portland, Princeton, Raleigh, Richmond, Rochester, San Antonio, San Diego, San Francisco, San Jose, Seattle, St. Louis, Stamford, Tallahassee, Tampa, Tempe, Tulsa, Washington DC
**Information for applicants with a need for accommodation** 
 : https://www2\.deloitte.com/us/en/pages/careers/articles/join\-deloitte\-assistance\-for\-disabled\-applicants.html
**For more information about Human Capital, visit our landing page at:** 
 https://www2\.deloitte.com/us/en/pages/careers/articles/join\-deloitte\-human\-capital\-consulting\-jobs.html
 \#HCFY26 \#IIOFY26</t>
        </is>
      </c>
    </row>
    <row r="93">
      <c r="A93" t="inlineStr">
        <is>
          <t>li-4367909551</t>
        </is>
      </c>
      <c r="B93" t="inlineStr">
        <is>
          <t>SimplrOps - Workday Product Owner - Project Manager Senior Consultant</t>
        </is>
      </c>
      <c r="C93" t="inlineStr">
        <is>
          <t>Deloitte</t>
        </is>
      </c>
      <c r="D93" t="inlineStr">
        <is>
          <t>linkedin</t>
        </is>
      </c>
      <c r="E93" t="inlineStr"/>
      <c r="F93" t="inlineStr"/>
      <c r="G93" t="inlineStr"/>
      <c r="H93" t="inlineStr"/>
      <c r="I93" t="inlineStr">
        <is>
          <t>The Human Capital Offering Portfolio focuses on helping organizations manage and sustain their performance through their most important asset: their people. Centered on five core issues, this Portfolio signifies to the market that we see Human Capital as a topic critical to the C\-Suite. As we go\-to\-market we will show our clients that we serve more than HR organizations \- from the CEO to CFO, Risk Manager to Business Unit leader \- and that we deliver on our issues and help create value for our clients.
 Recruiting for this role ends on 4/30/26
**SimplrOps** 
 is the \#1 Selling SaaS product at Deloitte. Acquired in January 2025,
 **SimplrOps** 
 embodies the investment Human Capital continues to make in scaling our human edge and promoting product\-based solutions for our clients. By connecting with cloud technology solutions like Workday, we provide configuration management solutions to administrators that help save time, reduce risk, and improve quality. Joining the
 **SimplrOps** 
 team means you are not only helping to build innovative, product\-led solutions, but also supporting the expansion of our market opportunities, offerings, and client base.
**The Work You'll Do:**
 The
 **SimplrOps \- Workday Product Owner \- Project Manager Senior Consultant** 
 is responsible for delivery of the planned SimplrOps Product features for the Workday roadmap. Duties include designing and maintaining JIRA stories, updating Training materials, collaborating with other SimplrOps workstreams including development, QA, Sales, and Adoption to support the overall product strategy as well as delivering training and demos to support our client teams.
**Responsibilities include, but are not limited to:**
* Create and manage JIRA stories for capability in accordance with Epics and Platform strategy
* Work with development team to clarify and answer questions during build cycle
* Work with UI/UX designer to create designs for review and planning
* Validate new feature builds
* Support Product production deployment cycles and activities including new feature content
* Own backlog for capability, working with other teams as needed to groom and meet readiness criteria
* Support SNOW ticket resolution
* Support SimplrOps training delivery
* SimplrOps Workday Capability SCRUM Master back\-up
* Support SimplrOps Workday Capability Product Manager in all of their owned tasks, working hand\-in\-hand to ensure quality delivery
* Support SimplrOps Sales and Marketing initiatives and content creation with Workday capability and SimplrOps product expertise
**The Team**
 Our Insights, Innovation \&amp; Operate Offering is designed to enhance key aspects of our clients' businesses by leveraging cutting\-edge technology, data, and a blend of deep technical and human expertise. We innovate and deliver creative, industry\-specific solutions that streamline operations and accelerate speed\-to\-value.
**Required Qualifications:**
* Bachelor's Degree
* Active Workday Certification
* 4\+ years of hands\-on Workday experience (implementation preferred)
* 4\+ years of experience in client delivery, consultative sales, account management and/or management consulting, preferably in IT service management solutions (Workday)
* 4\+ years of experience presenting to senior level clients
* 2\+ years of experience delivering training or Knowledge Transfer
* Limited immigration sponsorship may be available
**Preferred Qualifications:**
* 2\+ year of experience in Product Management
* Enthusiasm for cloud technology solutions
* A Product mindset
* Ability to work independently and manage multiple assignments
* Demonstrated ability to manage ambiguity and apply problem\-solving skills
* Demonstrated ability to employ research and analytical thinking
* Excellent oral and written communication skills, including presentation skills (MS PowerPoint, MS Word)
* Familiarity with AGILE methodologies
* Ticketing system experience (SNOW preferred)
* Product Management system experience (JIRA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Possible Locations: Atlanta, Austin, Baltimore, Birmingham, Boca Raton, Boise, Boston, Charlotte, Chicago, Cincinnati, Cleveland, Columbus, Costa Mesa, Dallas, Davenport, Dayton, Denver, Des Moines, Detroit, Fort Worth, Fresno, Grand Rapids, Hartford, Hermitage, Houston, Huntsville, Indianapolis, Jacksonville, Jericho, Jersey City, Kansas City, Las Vegas, Los Angeles, Louisville, McLean, Memphis, Miami, Midland, Minneapolis, Morristown, Nashville, New Orleans, New York, Philadelphia, Pittsburgh, Portland, Princeton, Raleigh, Richmond, Rochester, San Antonio, San Diego, San Francisco, San Jose, Seattle, St. Louis, Stamford, Tallahassee, Tampa, Tempe, Tulsa, Washington DC
**Information for applicants with a need for accommodation** 
 : https://www2\.deloitte.com/us/en/pages/careers/articles/join\-deloitte\-assistance\-for\-disabled\-applicants.html
**For more information about Human Capital, visit our landing page at:** 
 https://www2\.deloitte.com/us/en/pages/careers/articles/join\-deloitte\-human\-capital\-consulting\-jobs.html
 \#HCFY26 \#IIOFY26</t>
        </is>
      </c>
    </row>
    <row r="94">
      <c r="A94" t="inlineStr">
        <is>
          <t>li-4367927296</t>
        </is>
      </c>
      <c r="B94" t="inlineStr">
        <is>
          <t>SimplrOps - Workday Product Owner - Project Manager Senior Consultant</t>
        </is>
      </c>
      <c r="C94" t="inlineStr">
        <is>
          <t>Deloitte</t>
        </is>
      </c>
      <c r="D94" t="inlineStr">
        <is>
          <t>linkedin</t>
        </is>
      </c>
      <c r="E94" t="inlineStr"/>
      <c r="F94" t="inlineStr"/>
      <c r="G94" t="inlineStr">
        <is>
          <t>Fort Worth, TX</t>
        </is>
      </c>
      <c r="H94" t="inlineStr"/>
      <c r="I94" t="inlineStr">
        <is>
          <t>The Human Capital Offering Portfolio focuses on helping organizations manage and sustain their performance through their most important asset: their people. Centered on five core issues, this Portfolio signifies to the market that we see Human Capital as a topic critical to the C\-Suite. As we go\-to\-market we will show our clients that we serve more than HR organizations \- from the CEO to CFO, Risk Manager to Business Unit leader \- and that we deliver on our issues and help create value for our clients.
 Recruiting for this role ends on 4/30/26
**SimplrOps** 
 is the \#1 Selling SaaS product at Deloitte. Acquired in January 2025,
 **SimplrOps** 
 embodies the investment Human Capital continues to make in scaling our human edge and promoting product\-based solutions for our clients. By connecting with cloud technology solutions like Workday, we provide configuration management solutions to administrators that help save time, reduce risk, and improve quality. Joining the
 **SimplrOps** 
 team means you are not only helping to build innovative, product\-led solutions, but also supporting the expansion of our market opportunities, offerings, and client base.
**The Work You'll Do:**
 The
 **SimplrOps \- Workday Product Owner \- Project Manager Senior Consultant** 
 is responsible for delivery of the planned SimplrOps Product features for the Workday roadmap. Duties include designing and maintaining JIRA stories, updating Training materials, collaborating with other SimplrOps workstreams including development, QA, Sales, and Adoption to support the overall product strategy as well as delivering training and demos to support our client teams.
**Responsibilities include, but are not limited to:**
* Create and manage JIRA stories for capability in accordance with Epics and Platform strategy
* Work with development team to clarify and answer questions during build cycle
* Work with UI/UX designer to create designs for review and planning
* Validate new feature builds
* Support Product production deployment cycles and activities including new feature content
* Own backlog for capability, working with other teams as needed to groom and meet readiness criteria
* Support SNOW ticket resolution
* Support SimplrOps training delivery
* SimplrOps Workday Capability SCRUM Master back\-up
* Support SimplrOps Workday Capability Product Manager in all of their owned tasks, working hand\-in\-hand to ensure quality delivery
* Support SimplrOps Sales and Marketing initiatives and content creation with Workday capability and SimplrOps product expertise
**The Team**
 Our Insights, Innovation \&amp; Operate Offering is designed to enhance key aspects of our clients' businesses by leveraging cutting\-edge technology, data, and a blend of deep technical and human expertise. We innovate and deliver creative, industry\-specific solutions that streamline operations and accelerate speed\-to\-value.
**Required Qualifications:**
* Bachelor's Degree
* Active Workday Certification
* 4\+ years of hands\-on Workday experience (implementation preferred)
* 4\+ years of experience in client delivery, consultative sales, account management and/or management consulting, preferably in IT service management solutions (Workday)
* 4\+ years of experience presenting to senior level clients
* 2\+ years of experience delivering training or Knowledge Transfer
* Limited immigration sponsorship may be available
**Preferred Qualifications:**
* 2\+ year of experience in Product Management
* Enthusiasm for cloud technology solutions
* A Product mindset
* Ability to work independently and manage multiple assignments
* Demonstrated ability to manage ambiguity and apply problem\-solving skills
* Demonstrated ability to employ research and analytical thinking
* Excellent oral and written communication skills, including presentation skills (MS PowerPoint, MS Word)
* Familiarity with AGILE methodologies
* Ticketing system experience (SNOW preferred)
* Product Management system experience (JIRA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Possible Locations: Atlanta, Austin, Baltimore, Birmingham, Boca Raton, Boise, Boston, Charlotte, Chicago, Cincinnati, Cleveland, Columbus, Costa Mesa, Dallas, Davenport, Dayton, Denver, Des Moines, Detroit, Fort Worth, Fresno, Grand Rapids, Hartford, Hermitage, Houston, Huntsville, Indianapolis, Jacksonville, Jericho, Jersey City, Kansas City, Las Vegas, Los Angeles, Louisville, McLean, Memphis, Miami, Midland, Minneapolis, Morristown, Nashville, New Orleans, New York, Philadelphia, Pittsburgh, Portland, Princeton, Raleigh, Richmond, Rochester, San Antonio, San Diego, San Francisco, San Jose, Seattle, St. Louis, Stamford, Tallahassee, Tampa, Tempe, Tulsa, Washington DC
**Information for applicants with a need for accommodation** 
 : https://www2\.deloitte.com/us/en/pages/careers/articles/join\-deloitte\-assistance\-for\-disabled\-applicants.html
**For more information about Human Capital, visit our landing page at:** 
 https://www2\.deloitte.com/us/en/pages/careers/articles/join\-deloitte\-human\-capital\-consulting\-jobs.html
 \#HCFY26 \#IIOFY26</t>
        </is>
      </c>
    </row>
    <row r="95">
      <c r="A95" t="inlineStr">
        <is>
          <t>li-4367910491</t>
        </is>
      </c>
      <c r="B95" t="inlineStr">
        <is>
          <t>SimplrOps - Workday Product Owner - Project Manager Senior Consultant</t>
        </is>
      </c>
      <c r="C95" t="inlineStr">
        <is>
          <t>Deloitte</t>
        </is>
      </c>
      <c r="D95" t="inlineStr">
        <is>
          <t>linkedin</t>
        </is>
      </c>
      <c r="E95" t="inlineStr"/>
      <c r="F95" t="inlineStr"/>
      <c r="G95" t="inlineStr">
        <is>
          <t>San Antonio, TX</t>
        </is>
      </c>
      <c r="H95" t="inlineStr"/>
      <c r="I95" t="inlineStr">
        <is>
          <t>The Human Capital Offering Portfolio focuses on helping organizations manage and sustain their performance through their most important asset: their people. Centered on five core issues, this Portfolio signifies to the market that we see Human Capital as a topic critical to the C\-Suite. As we go\-to\-market we will show our clients that we serve more than HR organizations \- from the CEO to CFO, Risk Manager to Business Unit leader \- and that we deliver on our issues and help create value for our clients.
 Recruiting for this role ends on 4/30/26
**SimplrOps** 
 is the \#1 Selling SaaS product at Deloitte. Acquired in January 2025,
 **SimplrOps** 
 embodies the investment Human Capital continues to make in scaling our human edge and promoting product\-based solutions for our clients. By connecting with cloud technology solutions like Workday, we provide configuration management solutions to administrators that help save time, reduce risk, and improve quality. Joining the
 **SimplrOps** 
 team means you are not only helping to build innovative, product\-led solutions, but also supporting the expansion of our market opportunities, offerings, and client base.
**The Work You'll Do:**
 The
 **SimplrOps \- Workday Product Owner \- Project Manager Senior Consultant** 
 is responsible for delivery of the planned SimplrOps Product features for the Workday roadmap. Duties include designing and maintaining JIRA stories, updating Training materials, collaborating with other SimplrOps workstreams including development, QA, Sales, and Adoption to support the overall product strategy as well as delivering training and demos to support our client teams.
**Responsibilities include, but are not limited to:**
* Create and manage JIRA stories for capability in accordance with Epics and Platform strategy
* Work with development team to clarify and answer questions during build cycle
* Work with UI/UX designer to create designs for review and planning
* Validate new feature builds
* Support Product production deployment cycles and activities including new feature content
* Own backlog for capability, working with other teams as needed to groom and meet readiness criteria
* Support SNOW ticket resolution
* Support SimplrOps training delivery
* SimplrOps Workday Capability SCRUM Master back\-up
* Support SimplrOps Workday Capability Product Manager in all of their owned tasks, working hand\-in\-hand to ensure quality delivery
* Support SimplrOps Sales and Marketing initiatives and content creation with Workday capability and SimplrOps product expertise
**The Team**
 Our Insights, Innovation \&amp; Operate Offering is designed to enhance key aspects of our clients' businesses by leveraging cutting\-edge technology, data, and a blend of deep technical and human expertise. We innovate and deliver creative, industry\-specific solutions that streamline operations and accelerate speed\-to\-value.
**Required Qualifications:**
* Bachelor's Degree
* Active Workday Certification
* 4\+ years of hands\-on Workday experience (implementation preferred)
* 4\+ years of experience in client delivery, consultative sales, account management and/or management consulting, preferably in IT service management solutions (Workday)
* 4\+ years of experience presenting to senior level clients
* 2\+ years of experience delivering training or Knowledge Transfer
* Limited immigration sponsorship may be available
**Preferred Qualifications:**
* 2\+ year of experience in Product Management
* Enthusiasm for cloud technology solutions
* A Product mindset
* Ability to work independently and manage multiple assignments
* Demonstrated ability to manage ambiguity and apply problem\-solving skills
* Demonstrated ability to employ research and analytical thinking
* Excellent oral and written communication skills, including presentation skills (MS PowerPoint, MS Word)
* Familiarity with AGILE methodologies
* Ticketing system experience (SNOW preferred)
* Product Management system experience (JIRA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Possible Locations: Atlanta, Austin, Baltimore, Birmingham, Boca Raton, Boise, Boston, Charlotte, Chicago, Cincinnati, Cleveland, Columbus, Costa Mesa, Dallas, Davenport, Dayton, Denver, Des Moines, Detroit, Fort Worth, Fresno, Grand Rapids, Hartford, Hermitage, Houston, Huntsville, Indianapolis, Jacksonville, Jericho, Jersey City, Kansas City, Las Vegas, Los Angeles, Louisville, McLean, Memphis, Miami, Midland, Minneapolis, Morristown, Nashville, New Orleans, New York, Philadelphia, Pittsburgh, Portland, Princeton, Raleigh, Richmond, Rochester, San Antonio, San Diego, San Francisco, San Jose, Seattle, St. Louis, Stamford, Tallahassee, Tampa, Tempe, Tulsa, Washington DC
**Information for applicants with a need for accommodation** 
 : https://www2\.deloitte.com/us/en/pages/careers/articles/join\-deloitte\-assistance\-for\-disabled\-applicants.html
**For more information about Human Capital, visit our landing page at:** 
 https://www2\.deloitte.com/us/en/pages/careers/articles/join\-deloitte\-human\-capital\-consulting\-jobs.html
 \#HCFY26 \#IIOFY26</t>
        </is>
      </c>
    </row>
    <row r="96">
      <c r="A96" t="inlineStr">
        <is>
          <t>li-4376395946</t>
        </is>
      </c>
      <c r="B96" t="inlineStr">
        <is>
          <t>Principal Product Manager</t>
        </is>
      </c>
      <c r="C96" t="inlineStr">
        <is>
          <t>Brex</t>
        </is>
      </c>
      <c r="D96" t="inlineStr">
        <is>
          <t>linkedin</t>
        </is>
      </c>
      <c r="E96">
        <f>HYPERLINK("https://www.linkedin.com/jobs/view/4376395946", "https://www.linkedin.com/jobs/view/4376395946")</f>
        <v/>
      </c>
      <c r="F96">
        <f>HYPERLINK("https://www.brex.com/careers/8432702002?gh_jid=8432702002&amp;gh_src=m751li9j2us&amp;urlHash=1V0N", "https://www.brex.com/careers/8432702002?gh_jid=8432702002&amp;gh_src=m751li9j2us&amp;urlHash=1V0N")</f>
        <v/>
      </c>
      <c r="G96" t="inlineStr">
        <is>
          <t>New York, NY</t>
        </is>
      </c>
      <c r="H96" t="inlineStr"/>
      <c r="I96" t="inlineStr">
        <is>
          <t>**Why join us**
 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**Product at Brex**
 The Product team is at the forefront of Brex's mission to empower employees anywhere to make better financial decisions. With a deep understanding of the business, we identify and scope out the most impactful opportunities for Brex to tackle. We are responsible for aligning cross\-functional teams — such as Engineering, Legal, Compliance, and Design — on key decisions. We set strategy and drive products from inception to launch, enabling Brex to grow rapidly and help our customers reach their full potential.
**What You’ll Do**
 As a Staff Product Manager at Brex, you will operate at the intersection of product strategy, technical depth, and business impact. You will define and drive multi\-quarter strategy within one of Brex’s most critical product domains, leading initiatives that materially shape the company’s trajectory.
 You will be expected to identify the highest\-leverage problems, frame them with rigor, and mobilize cross\-functional teams to deliver step\-function improvements in customer value, revenue, efficiency, or distribution.
 You will work directly with senior leaders across Product, Engineering, Design, Data, Risk, Legal, Compliance, Finance, and GTM. You will influence decisions beyond your immediate team and elevate the standards of product thinking across the organization.
**Where you’ll work**
 This role will be based in either our San Francisco, Seattle or New York City office. You must be willing to work in the office at least 3 days per week on Monday, Wednesday and Thursday. Employees will be able to work remotely for up to 4 weeks per year, for a minimum of one week at a time.
**Responsibilities**
* Define and own a multi\-quarter product vision and strategy aligned to Brex’s highest company priorities.
* Identify high\-leverage opportunities that create durable competitive advantage, not just incremental improvements.
* Lead complex, cross\-functional initiatives that span multiple teams, systems, and stakeholder groups.
* Develop deep domain expertise in your area (e.g., financial infrastructure, risk systems, growth systems, payables ecosystem, etc.) and use it to inform product direction.
* Partner closely with Engineering to design scalable technical systems, engaging meaningfully in architectural discussions and tradeoffs.
* Set clear success metrics tied to company\-level outcomes and hold teams accountable to measurable impact.
* Drive structured decision\-making in ambiguous environments, balancing speed with rigor.
* Influence senior leaders and executives through clear thinking, strong written narratives, and data\-backed recommendations.
* Improve product craft and operating standards across the organization, mentoring PMs and elevating how we build.
**Requirements**
* Experience: 7–10\+ years of product management experience, with a demonstrated track record of leading complex, high\-impact product initiatives in high\-growth B2B or fintech environments. Experience building platform or financial infrastructure products is strongly preferred.
* Strategic rigor: Proven ability to define product strategy that translates into measurable business outcomes.
* Technical depth: Strong fluency in technical systems and architecture. You are comfortable discussing APIs, data models, experimentation frameworks, and system tradeoffs with engineers.
* Analytical excellence: Highly data\-driven. Strong experience defining metrics, running experiments, and using SQL (or similar tools) to guide decisions.
* Executive communication: Exceptional written and verbal communication skills. Ability to influence senior stakeholders through structured thinking and compelling narratives.
* Systems mindset: Ability to reason holistically across product, technical, operational, compliance, and revenue systems.
* High standards: Demonstrated ability to raise the quality bar — for product thinking, execution, and customer experience.
**Compensation**
 The expected salary range for this role is $240,000 \- $300,000\.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*Please be aware, job\-seekers may be at risk of targeting by malicious actors looking for personal data. Brex recruiters will only reach out via LinkedIn or email with a brex.com domain. Any outreach claiming to be from Brex via other sources should be ignored.*</t>
        </is>
      </c>
    </row>
    <row r="97">
      <c r="A97" t="inlineStr">
        <is>
          <t>li-4312334978</t>
        </is>
      </c>
      <c r="B97" t="inlineStr">
        <is>
          <t>Product Manager, Cards Vault</t>
        </is>
      </c>
      <c r="C97" t="inlineStr">
        <is>
          <t>Stripe</t>
        </is>
      </c>
      <c r="D97" t="inlineStr">
        <is>
          <t>linkedin</t>
        </is>
      </c>
      <c r="E97">
        <f>HYPERLINK("https://www.linkedin.com/jobs/view/4312334978", "https://www.linkedin.com/jobs/view/4312334978")</f>
        <v/>
      </c>
      <c r="F97" t="inlineStr"/>
      <c r="G97" t="inlineStr"/>
      <c r="H97" t="inlineStr"/>
      <c r="I97"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We are hiring a product manager to drive our Stripe Cards Vault product efforts and strategy globally. Specifically, this product manager will own a critical card payments performance product that is used by millions of Stripe customers to tokenize, manage and update their card credentials. Our Cards Vault is paramount to our customers as it directly helps grow their revenue and reduce user churn thanks to secure, always up to date credentials for returning customers. In this role, you will own the roadmap and business impact of one Stripe’s core business critical products. You will engage with key ecosystem partners such as card networks, partner with an experienced Engineering lead and collaborate with GTM teams to ensure Stripe’s card updater and tokenization solutions are defining the industry best\-in\-class standard.
**Responsibilities**
* Develop the long\-term vision and strategy for Stripe’s Card updater capabilities
* Develop a holistic strategy for Stripe’s tokenization solutions to support our multiprocessor strategy
* Engage with users to deeply understand their needs, associated pain points and opportunitiesBuild and launch new capabilities that bring significant value to customers
* Set priorities and execution roadmap for the team, innovate with your engineering team to identify novel opportunities
* Work with Finance to maintain product P\&amp;L and identify opportunities for growth and improvement
* Collaborate with other stakeholders across Stripe such as Data Science, Product Marketing, Payments Strategists and GTM teams to deliver high quality product experience to users.
 Who you are
 We’re looking for someone who meets the minimum requirements to be considered for the role. If you meet these requirements, you are encouraged to apply. The preferred qualifications are a bonus, not a requirement.
**Minimum Requirements**
* Product experience: 5\+ years of relevant experience
* Strong business acumen: You enjoy digging into the details of how a business works, identifying how to make it better, and building product solutions that deliver business value
* Analytical horsepower: You dig deep into the data, think from first principles, and deliver the right results
* Results\-oriented: You enjoy doing whatever it takes to execute on complex projects
* Customer and Partner facing experience: You’re comfortable in front of customers or third\-party collaborators, and have experience navigating customer conversations
* Operational savvy: You are strong operationally, capable of designing and driving a cross\-functional team and process
* Crisp communicator: High attention to detail including precise and effective communications, including with external customers/partners
**Preferred Qualifications**
* Experience in or knowledge of card based payments, or payments in general
* Experience with SQL or a willingness/aptitude to learn
* Experience working with products with complex technical systems
* Experience in external facing role (sales, partnerships) and business negotiation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$146,400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98">
      <c r="A98" t="inlineStr">
        <is>
          <t>li-4312342739</t>
        </is>
      </c>
      <c r="B98" t="inlineStr">
        <is>
          <t>Product Manager, Cards Vault</t>
        </is>
      </c>
      <c r="C98" t="inlineStr">
        <is>
          <t>Stripe</t>
        </is>
      </c>
      <c r="D98" t="inlineStr">
        <is>
          <t>linkedin</t>
        </is>
      </c>
      <c r="E98">
        <f>HYPERLINK("https://www.linkedin.com/jobs/view/4312342739", "https://www.linkedin.com/jobs/view/4312342739")</f>
        <v/>
      </c>
      <c r="F98" t="inlineStr"/>
      <c r="G98" t="inlineStr">
        <is>
          <t>New York, United States</t>
        </is>
      </c>
      <c r="H98" t="inlineStr"/>
      <c r="I98"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We are hiring a product manager to drive our Stripe Cards Vault product efforts and strategy globally. Specifically, this product manager will own a critical card payments performance product that is used by millions of Stripe customers to tokenize, manage and update their card credentials. Our Cards Vault is paramount to our customers as it directly helps grow their revenue and reduce user churn thanks to secure, always up to date credentials for returning customers. In this role, you will own the roadmap and business impact of one Stripe’s core business critical products. You will engage with key ecosystem partners such as card networks, partner with an experienced Engineering lead and collaborate with GTM teams to ensure Stripe’s card updater and tokenization solutions are defining the industry best\-in\-class standard.
**Responsibilities**
* Develop the long\-term vision and strategy for Stripe’s Card updater capabilities
* Develop a holistic strategy for Stripe’s tokenization solutions to support our multiprocessor strategy
* Engage with users to deeply understand their needs, associated pain points and opportunitiesBuild and launch new capabilities that bring significant value to customers
* Set priorities and execution roadmap for the team, innovate with your engineering team to identify novel opportunities
* Work with Finance to maintain product P\&amp;L and identify opportunities for growth and improvement
* Collaborate with other stakeholders across Stripe such as Data Science, Product Marketing, Payments Strategists and GTM teams to deliver high quality product experience to users.
 Who you are
 We’re looking for someone who meets the minimum requirements to be considered for the role. If you meet these requirements, you are encouraged to apply. The preferred qualifications are a bonus, not a requirement.
**Minimum Requirements**
* Product experience: 5\+ years of relevant experience
* Strong business acumen: You enjoy digging into the details of how a business works, identifying how to make it better, and building product solutions that deliver business value
* Analytical horsepower: You dig deep into the data, think from first principles, and deliver the right results
* Results\-oriented: You enjoy doing whatever it takes to execute on complex projects
* Customer and Partner facing experience: You’re comfortable in front of customers or third\-party collaborators, and have experience navigating customer conversations
* Operational savvy: You are strong operationally, capable of designing and driving a cross\-functional team and process
* Crisp communicator: High attention to detail including precise and effective communications, including with external customers/partners
**Preferred Qualifications**
* Experience in or knowledge of card based payments, or payments in general
* Experience with SQL or a willingness/aptitude to learn
* Experience working with products with complex technical systems
* Experience in external facing role (sales, partnerships) and business negotiation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$146,400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99">
      <c r="A99" t="inlineStr">
        <is>
          <t>li-4312352169</t>
        </is>
      </c>
      <c r="B99" t="inlineStr">
        <is>
          <t>Product Manager, Cards Vault</t>
        </is>
      </c>
      <c r="C99" t="inlineStr">
        <is>
          <t>Stripe</t>
        </is>
      </c>
      <c r="D99" t="inlineStr">
        <is>
          <t>linkedin</t>
        </is>
      </c>
      <c r="E99">
        <f>HYPERLINK("https://www.linkedin.com/jobs/view/4312352169", "https://www.linkedin.com/jobs/view/4312352169")</f>
        <v/>
      </c>
      <c r="F99" t="inlineStr"/>
      <c r="G99" t="inlineStr">
        <is>
          <t>Chicago, IL</t>
        </is>
      </c>
      <c r="H99" t="inlineStr"/>
      <c r="I99"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We are hiring a product manager to drive our Stripe Cards Vault product efforts and strategy globally. Specifically, this product manager will own a critical card payments performance product that is used by millions of Stripe customers to tokenize, manage and update their card credentials. Our Cards Vault is paramount to our customers as it directly helps grow their revenue and reduce user churn thanks to secure, always up to date credentials for returning customers. In this role, you will own the roadmap and business impact of one Stripe’s core business critical products. You will engage with key ecosystem partners such as card networks, partner with an experienced Engineering lead and collaborate with GTM teams to ensure Stripe’s card updater and tokenization solutions are defining the industry best\-in\-class standard.
**Responsibilities**
* Develop the long\-term vision and strategy for Stripe’s Card updater capabilities
* Develop a holistic strategy for Stripe’s tokenization solutions to support our multiprocessor strategy
* Engage with users to deeply understand their needs, associated pain points and opportunitiesBuild and launch new capabilities that bring significant value to customers
* Set priorities and execution roadmap for the team, innovate with your engineering team to identify novel opportunities
* Work with Finance to maintain product P\&amp;L and identify opportunities for growth and improvement
* Collaborate with other stakeholders across Stripe such as Data Science, Product Marketing, Payments Strategists and GTM teams to deliver high quality product experience to users.
 Who you are
 We’re looking for someone who meets the minimum requirements to be considered for the role. If you meet these requirements, you are encouraged to apply. The preferred qualifications are a bonus, not a requirement.
**Minimum Requirements**
* Product experience: 5\+ years of relevant experience
* Strong business acumen: You enjoy digging into the details of how a business works, identifying how to make it better, and building product solutions that deliver business value
* Analytical horsepower: You dig deep into the data, think from first principles, and deliver the right results
* Results\-oriented: You enjoy doing whatever it takes to execute on complex projects
* Customer and Partner facing experience: You’re comfortable in front of customers or third\-party collaborators, and have experience navigating customer conversations
* Operational savvy: You are strong operationally, capable of designing and driving a cross\-functional team and process
* Crisp communicator: High attention to detail including precise and effective communications, including with external customers/partners
**Preferred Qualifications**
* Experience in or knowledge of card based payments, or payments in general
* Experience with SQL or a willingness/aptitude to learn
* Experience working with products with complex technical systems
* Experience in external facing role (sales, partnerships) and business negotiation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$146,400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00">
      <c r="A100" t="inlineStr">
        <is>
          <t>li-4376516023</t>
        </is>
      </c>
      <c r="B100" t="inlineStr">
        <is>
          <t>Principal Product Manager</t>
        </is>
      </c>
      <c r="C100" t="inlineStr">
        <is>
          <t>Brex</t>
        </is>
      </c>
      <c r="D100" t="inlineStr">
        <is>
          <t>linkedin</t>
        </is>
      </c>
      <c r="E100">
        <f>HYPERLINK("https://www.linkedin.com/jobs/view/4376516023", "https://www.linkedin.com/jobs/view/4376516023")</f>
        <v/>
      </c>
      <c r="F100">
        <f>HYPERLINK("https://www.brex.com/careers/8432698002?gh_jid=8432698002&amp;gh_src=m751li9j2us&amp;urlHash=uWuV", "https://www.brex.com/careers/8432698002?gh_jid=8432698002&amp;gh_src=m751li9j2us&amp;urlHash=uWuV")</f>
        <v/>
      </c>
      <c r="G100" t="inlineStr">
        <is>
          <t>San Francisco, CA</t>
        </is>
      </c>
      <c r="H100" t="inlineStr"/>
      <c r="I100" t="inlineStr">
        <is>
          <t>**Why join us**
 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**Product at Brex**
 The Product team is at the forefront of Brex's mission to empower employees anywhere to make better financial decisions. With a deep understanding of the business, we identify and scope out the most impactful opportunities for Brex to tackle. We are responsible for aligning cross\-functional teams — such as Engineering, Legal, Compliance, and Design — on key decisions. We set strategy and drive products from inception to launch, enabling Brex to grow rapidly and help our customers reach their full potential.
**What You’ll Do**
 As a Staff Product Manager at Brex, you will operate at the intersection of product strategy, technical depth, and business impact. You will define and drive multi\-quarter strategy within one of Brex’s most critical product domains, leading initiatives that materially shape the company’s trajectory.
 You will be expected to identify the highest\-leverage problems, frame them with rigor, and mobilize cross\-functional teams to deliver step\-function improvements in customer value, revenue, efficiency, or distribution.
 You will work directly with senior leaders across Product, Engineering, Design, Data, Risk, Legal, Compliance, Finance, and GTM. You will influence decisions beyond your immediate team and elevate the standards of product thinking across the organization.
**Where you’ll work**
 This role will be based in either our San Francisco, Seattle or New York City office. You must be willing to work in the office at least 3 days per week on Monday, Wednesday and Thursday. Employees will be able to work remotely for up to 4 weeks per year, for a minimum of one week at a time.
**Responsibilities**
* Define and own a multi\-quarter product vision and strategy aligned to Brex’s highest company priorities.
* Identify high\-leverage opportunities that create durable competitive advantage, not just incremental improvements.
* Lead complex, cross\-functional initiatives that span multiple teams, systems, and stakeholder groups.
* Develop deep domain expertise in your area (e.g., financial infrastructure, risk systems, growth systems, payables ecosystem, etc.) and use it to inform product direction.
* Partner closely with Engineering to design scalable technical systems, engaging meaningfully in architectural discussions and tradeoffs.
* Set clear success metrics tied to company\-level outcomes and hold teams accountable to measurable impact.
* Drive structured decision\-making in ambiguous environments, balancing speed with rigor.
* Influence senior leaders and executives through clear thinking, strong written narratives, and data\-backed recommendations.
* Improve product craft and operating standards across the organization, mentoring PMs and elevating how we build.
**Requirements**
* Experience: 7–10\+ years of product management experience, with a demonstrated track record of leading complex, high\-impact product initiatives in high\-growth B2B or fintech environments. Experience building platform or financial infrastructure products is strongly preferred.
* Strategic rigor: Proven ability to define product strategy that translates into measurable business outcomes.
* Technical depth: Strong fluency in technical systems and architecture. You are comfortable discussing APIs, data models, experimentation frameworks, and system tradeoffs with engineers.
* Analytical excellence: Highly data\-driven. Strong experience defining metrics, running experiments, and using SQL (or similar tools) to guide decisions.
* Executive communication: Exceptional written and verbal communication skills. Ability to influence senior stakeholders through structured thinking and compelling narratives.
* Systems mindset: Ability to reason holistically across product, technical, operational, compliance, and revenue systems.
* High standards: Demonstrated ability to raise the quality bar — for product thinking, execution, and customer experience.
**Compensation**
 The expected salary range for this role is $240,000 \- $300,000\.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*Please be aware, job\-seekers may be at risk of targeting by malicious actors looking for personal data. Brex recruiters will only reach out via LinkedIn or email with a brex.com domain. Any outreach claiming to be from Brex via other sources should be ignored.*</t>
        </is>
      </c>
    </row>
    <row r="101">
      <c r="A101" t="inlineStr">
        <is>
          <t>li-4312356014</t>
        </is>
      </c>
      <c r="B101" t="inlineStr">
        <is>
          <t>Product Manager, Cards Vault</t>
        </is>
      </c>
      <c r="C101" t="inlineStr">
        <is>
          <t>Stripe</t>
        </is>
      </c>
      <c r="D101" t="inlineStr">
        <is>
          <t>linkedin</t>
        </is>
      </c>
      <c r="E101">
        <f>HYPERLINK("https://www.linkedin.com/jobs/view/4312356014", "https://www.linkedin.com/jobs/view/4312356014")</f>
        <v/>
      </c>
      <c r="F101">
        <f>HYPERLINK("https://stripe.com/jobs/listing/product-manager-cards-vault/7306879?gh_src=73vnei&amp;urlHash=pWHE", "https://stripe.com/jobs/listing/product-manager-cards-vault/7306879?gh_src=73vnei&amp;urlHash=pWHE")</f>
        <v/>
      </c>
      <c r="G101" t="inlineStr">
        <is>
          <t>Seattle, WA</t>
        </is>
      </c>
      <c r="H101" t="inlineStr"/>
      <c r="I101"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We are hiring a product manager to drive our Stripe Cards Vault product efforts and strategy globally. Specifically, this product manager will own a critical card payments performance product that is used by millions of Stripe customers to tokenize, manage and update their card credentials. Our Cards Vault is paramount to our customers as it directly helps grow their revenue and reduce user churn thanks to secure, always up to date credentials for returning customers. In this role, you will own the roadmap and business impact of one Stripe’s core business critical products. You will engage with key ecosystem partners such as card networks, partner with an experienced Engineering lead and collaborate with GTM teams to ensure Stripe’s card updater and tokenization solutions are defining the industry best\-in\-class standard.
**Responsibilities**
* Develop the long\-term vision and strategy for Stripe’s Card updater capabilities
* Develop a holistic strategy for Stripe’s tokenization solutions to support our multiprocessor strategy
* Engage with users to deeply understand their needs, associated pain points and opportunitiesBuild and launch new capabilities that bring significant value to customers
* Set priorities and execution roadmap for the team, innovate with your engineering team to identify novel opportunities
* Work with Finance to maintain product P\&amp;L and identify opportunities for growth and improvement
* Collaborate with other stakeholders across Stripe such as Data Science, Product Marketing, Payments Strategists and GTM teams to deliver high quality product experience to users.
 Who you are
 We’re looking for someone who meets the minimum requirements to be considered for the role. If you meet these requirements, you are encouraged to apply. The preferred qualifications are a bonus, not a requirement.
**Minimum Requirements**
* Product experience: 5\+ years of relevant experience
* Strong business acumen: You enjoy digging into the details of how a business works, identifying how to make it better, and building product solutions that deliver business value
* Analytical horsepower: You dig deep into the data, think from first principles, and deliver the right results
* Results\-oriented: You enjoy doing whatever it takes to execute on complex projects
* Customer and Partner facing experience: You’re comfortable in front of customers or third\-party collaborators, and have experience navigating customer conversations
* Operational savvy: You are strong operationally, capable of designing and driving a cross\-functional team and process
* Crisp communicator: High attention to detail including precise and effective communications, including with external customers/partners
**Preferred Qualifications**
* Experience in or knowledge of card based payments, or payments in general
* Experience with SQL or a willingness/aptitude to learn
* Experience working with products with complex technical systems
* Experience in external facing role (sales, partnerships) and business negotiation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$146,400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02">
      <c r="A102" t="inlineStr">
        <is>
          <t>li-4346708193</t>
        </is>
      </c>
      <c r="B102" t="inlineStr">
        <is>
          <t>Product Manager, Bridge</t>
        </is>
      </c>
      <c r="C102" t="inlineStr">
        <is>
          <t>Stripe</t>
        </is>
      </c>
      <c r="D102" t="inlineStr">
        <is>
          <t>linkedin</t>
        </is>
      </c>
      <c r="E102">
        <f>HYPERLINK("https://www.linkedin.com/jobs/view/4346708193", "https://www.linkedin.com/jobs/view/4346708193")</f>
        <v/>
      </c>
      <c r="F102">
        <f>HYPERLINK("https://stripe.com/jobs/listing/product-manager-bridge/7453988?gh_src=73vnei&amp;urlHash=yBzd", "https://stripe.com/jobs/listing/product-manager-bridge/7453988?gh_src=73vnei&amp;urlHash=yBzd")</f>
        <v/>
      </c>
      <c r="G102" t="inlineStr">
        <is>
          <t>New York, United States</t>
        </is>
      </c>
      <c r="H102" t="inlineStr"/>
      <c r="I102" t="inlineStr">
        <is>
          <t>**About Bridge**
 We’re creating an entirely new payments platform, built with stablecoins, to simplify global money movement. Bridge enables faster, cheaper payments and borderless access to dollars via stablecoins. Through our APIs, businesses can send and receive funds across borders faster / cheaper vs. SWIFT and other fiat\-only rails. Our virtual accounts enable international consumers and businesses to easily access, store and spend US dollars. Our payouts infrastructure enables platforms to disburse USD to anyone globally. We believe many trillions of dollars will move and settle through stablecoin payment rails. Bridge is pulling this future forward.
 We have a small team of people who have previously built financial infrastructure at some of the world’s leading companies (Coinbase, Stripe, Square, Brex, Upstart, DoorDash, Airbnb) and each and every one of them chose Bridge because they fundamentally believe that stablecoins will be a critical piece of financial infrastructure that allows for the improvement of global money movement.
 Join our Product team to shape the future of financial access and infrastructure. We're not just improving global payments—we're reinventing them. You'll bridge traditional banking systems and blockchain protocols, pioneering entirely new ways for money and commerce to move seamlessly around the world. This is your chance to lead meaningful innovation from day one, redefining the way businesses and people exchange value globally.
**Responsibilities**
* Drive product features from ideation to launch, collaborating with designers, engineers, and cross\-functional partners such as legal and compliance.
* Develop a deep understanding of our users’ needs, operational landscape, and competitive environment across international markets.
* Build and execute a product roadmap that positions stablecoins \&amp; blockchain technology as the top choice for borderless money movement.
* Own outcomes end\-to\-end, using data, feedback, and rapid iteration to refine your approach.
* Make tough prioritization calls, balancing user needs, technical feasibility, and business impact.
* Work closely with financial institutions and technology partners to bring seamless cross\-border solutions to market.
* Drive high\-traffic features at scale, ensuring security, speed, and reliability for millions of users.
 What You’ll Need to Thrive
* Empathy for users: You’re passionate about uncovering and solving pain points.
* Deep curiosity: You never stop asking “why” and dig into both qualitative and quantitative data.
* Owner’s mentality: You tackle challenges head\-on and drive solutions with conviction.
* Collaborative spirit: You work seamlessly with team members but aren’t afraid to make the call when needed.
* Clarity and simplicity: You translate complex systems into intuitive, straightforward user experiences.
* Bias for learning: You embrace mistakes as opportunities to grow and improve quickly.
**Preferred Qualifications**
* 6\+ years in product management or a related role, with a proven record of delivering impactful products.
* Demonstrated success working with engineers, designers, and external partners to build complex systems.
* Strong business acumen and comfort navigating ecosystem and platform\-level challenges.
* Experience integrating APIs, managing developer platforms, or building ecosystem\-driven products.
* Experience in fintech, payments, or crypto.
 If you’re ready to shape the future of how money moves, we want to hear from you!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03">
      <c r="A103" t="inlineStr">
        <is>
          <t>li-4340196534</t>
        </is>
      </c>
      <c r="B103" t="inlineStr">
        <is>
          <t>Product Manager, Cards Pricing</t>
        </is>
      </c>
      <c r="C103" t="inlineStr">
        <is>
          <t>Stripe</t>
        </is>
      </c>
      <c r="D103" t="inlineStr">
        <is>
          <t>linkedin</t>
        </is>
      </c>
      <c r="E103">
        <f>HYPERLINK("https://www.linkedin.com/jobs/view/4340196534", "https://www.linkedin.com/jobs/view/4340196534")</f>
        <v/>
      </c>
      <c r="F103">
        <f>HYPERLINK("https://stripe.com/jobs/listing/product-manager-cards-pricing/7435001?gh_src=73vnei&amp;urlHash=j4V0", "https://stripe.com/jobs/listing/product-manager-cards-pricing/7435001?gh_src=73vnei&amp;urlHash=j4V0")</f>
        <v/>
      </c>
      <c r="G103" t="inlineStr"/>
      <c r="H103" t="inlineStr"/>
      <c r="I103"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As a Product Manager for Cards Pricing at Stripe, you’ll be responsible for pricing Card payment products worldwide. Everyday \- You’ll balance the needs of our customers and competitive landscape, while helping Stripe maintain its margins.
 At Stripe, Product Managers help build innovative payments products for our customers. Product development is an extremely collaborative effort between engineering, design, analytics, operations and customer\-facing teams. You’d be joining a team of experienced Product Managers who have a track record of successfully building large\-scale business and consumer products that are collectively impacting millions of users around the world.
 This strategically critical role offers significant exposure to Stripe's leadership as you will drive initiatives to create observability into Stripe’s margins and revenue realization on Cards, define pricing principles and streamline pricing operations. This is a highly cross\-functional role \- On a day to day basis, you will spend your time between meeting customers (both internal and external), and working with your engineering, operations, analytics, network partnership, pricing, finance and GTM counterparts. You will use the voice of the customers, go deep into data, and leverage ML/GenAI as you define pricing strategies and build margin and revenue monitoring and alerting systems. Your decisions will have millions of dollars of impact to Stripe’s business.
* Lead Card pricing \- defining pricing principles, driving pricing decisions and operationalizing those decisions working with pricing, finance, marketing and GTM teams.
* To effectively set prices, you’ll work with engineering and data science to build observability into current pricing, margin and revenue realization. You’ll drive insights, and translate those into pricing recommendations.
* You’ll define processes for competitive analysis and regular pricing audits. Over time, you’ll work with engineering and data science to automate pricing processes.
* You’ll work backwards from customers, and keep a keen eye on competitors to identify new pricing models. You’ll build the business case, find ways to test, and if validated, build out the new pricing models.
* This is a highly cross\-functional role. On a daily basis, you’ll work with various stakeholders across the organization, including Engineering, Design, Data Science, GTM, Pricing, Marketing, PMs and Operations to drive flawless execution on product and pricing initiatives.
* Ultimately, you’ll emerge as the expert and primary point of contact across all of Stripe for everything related to card pricing and GTM processes.
 Who you are
 We’re looking for someone who meets the minimum requirements to be considered for the role. If you meet these requirements, you are encouraged to apply. The preferred qualifications are a bonus, not a requirement.
**Minimum Requirements**
* Brings 5\+ years of experience in a product role
* Brings 3\+ years of experience in Pricing
* Ability to effectively collaborate with engineering, product, data science, and cross\-functional teams. Experience working with go\-to\-market teams in a B2B sales environment.
* Ability to deeply analyze data, derive insights, and make data\-driven decisions. Proven track record of instrumenting and measuring product initiatives, including those with less obvious metrics.
* Has strong written and verbal communication skills with a talent for simplifying complex concepts
* Has been successful in delivering continuous product improvement as well as 0 \-\&gt;1 launches
* Brings ownership mindset and persistence to work on whatever it takes to ensure that your product is successful
* Proven ability to deliver high\-impact presentations to executive audiences.
* Has the ability to thrive with a high level of autonomy and responsibility
**Preferred Qualifications**
* Experience in Payments, working with Card Networks or Banking partners.
* Experience working with ML, data science and data analyst teams. SQL proficiency will help.
* Experience managing and growing platform products
* Experience overseeing operational processes or managing operational teams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$146,400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04">
      <c r="A104" t="inlineStr">
        <is>
          <t>li-4345165647</t>
        </is>
      </c>
      <c r="B104" t="inlineStr">
        <is>
          <t>Product Manager, Usage Based Billing</t>
        </is>
      </c>
      <c r="C104" t="inlineStr">
        <is>
          <t>Stripe</t>
        </is>
      </c>
      <c r="D104" t="inlineStr">
        <is>
          <t>linkedin</t>
        </is>
      </c>
      <c r="E104">
        <f>HYPERLINK("https://www.linkedin.com/jobs/view/4345165647", "https://www.linkedin.com/jobs/view/4345165647")</f>
        <v/>
      </c>
      <c r="F104" t="inlineStr"/>
      <c r="G104" t="inlineStr"/>
      <c r="H104" t="inlineStr"/>
      <c r="I104"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Stripe Billing team builds software tools that accelerate the economic and technological growth of global businesses by helping them operationalize their commercial relationship with their customers. Our product offering is a robust set of building blocks which our customers combine in creative ways to support their ever\-evolving business. Our Billing platform serves as the strong foundation to support different billing models, customer acquisition channels and ways of issuing bills and collecting payments. We also offer tools such as billing and SaaS analytics, revenue retention and recovery, designed to meet the full recurring revenue management needs of startups and large enterprises alike.
 What you’ll do
 Join the Stripe Billing team and become the driving force behind our mission to establish Stripe Billing as the go\-to platform for high\-growth, innovative GenAI companies. This is your chance to shape the future of how the next generation of industry\-transforming startups and enterprises manage their revenue.
 You'll be building transformative usage\-based billing functionality, including the ability to ingest billing based on billions of events per month, flexible usage\-based pricing models, real\-time credit drawdown systems, robust usage analytics that provide game\-changing business insights, and industry\-leading risk management tools that allow GenAI innovators to scale with confidence.
**Responsibilities**
 At Stripe, product development is an extremely collaborative effort between engineering, design, product marketing, data science and customer\-facing teams. You’d be joining a team of experienced Product Managers who have a track record of successfully building large\-scale products that are collectively impacting millions of users around the world.
 On a day to day basis you will spend your time split between external meetings with customers and internal discussions with your engineering, design, marketing, analytics, and sales counterparts. You will identify the most important problems to solve, develop product solutions and work with engineering and design to scope the work. You will articulate the product vision, develop annual and quarterly plans, and collaborate with other functions to deliver these solutions to our users and make them successful.
 Who you are
 We’re looking for someone who meets the minimum requirements to be considered for the role. If you meet these requirements, you are encouraged to apply. The preferred qualifications are a bonus, not a requirement.Minimum requirements
* 8\+ years relevant product management experience
* Strong technical skills e.g., ability to gain an in\-depth understanding of software systems, build a robust integration with the Stripe API, make meaningful contributions to high\-stakes discussions on API design, data modeling and software architecture
* Strong customer empathy across different segments and personas: from startups to large enterprises, across both engineering and finance functions
* Strong product sense: ability to understand user needs in\-depth and build delightful product experiences to solve them and make our users successful
* Strong communication skills: ability to synthesize complex discussions, write succinctly and present to senior stakeholders both within and outside Stripe
**Preferred Qualifications**
* \* You’re scrappy, you do what it takes to get it done
+ You have experience building a 0 to 1 product
+ You can internalize an entire cross\-functional business and lead a comprehensive product vision
+ You have experience designing and building a multi\-product platform
+ You’re a creative product thinker who loves collaborating across the company with engineering, analytics, marketing, design and sales to experiment and build superior products
+ You have strong written and verbal communication skills with a talent for precise articulations of customer problems
+ You’re motivated by the chance to improve the lives of your users
+ You’ve ever started or run a business before (not a requirement)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05">
      <c r="A105" t="inlineStr">
        <is>
          <t>li-4283942683</t>
        </is>
      </c>
      <c r="B105" t="inlineStr">
        <is>
          <t>Product Manager, Usage Based Billing</t>
        </is>
      </c>
      <c r="C105" t="inlineStr">
        <is>
          <t>Stripe</t>
        </is>
      </c>
      <c r="D105" t="inlineStr">
        <is>
          <t>linkedin</t>
        </is>
      </c>
      <c r="E105">
        <f>HYPERLINK("https://www.linkedin.com/jobs/view/4283942683", "https://www.linkedin.com/jobs/view/4283942683")</f>
        <v/>
      </c>
      <c r="F105">
        <f>HYPERLINK("https://stripe.com/jobs/listing/product-manager-usage-based-billing/7015087?gh_src=73vnei&amp;urlHash=Rula", "https://stripe.com/jobs/listing/product-manager-usage-based-billing/7015087?gh_src=73vnei&amp;urlHash=Rula")</f>
        <v/>
      </c>
      <c r="G105" t="inlineStr">
        <is>
          <t>New York, United States</t>
        </is>
      </c>
      <c r="H105" t="inlineStr"/>
      <c r="I105"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Stripe Billing team builds software tools that accelerate the economic and technological growth of global businesses by helping them operationalize their commercial relationship with their customers. Our product offering is a robust set of building blocks which our customers combine in creative ways to support their ever\-evolving business. Our Billing platform serves as the strong foundation to support different billing models, customer acquisition channels and ways of issuing bills and collecting payments. We also offer tools such as billing and SaaS analytics, revenue retention and recovery, designed to meet the full recurring revenue management needs of startups and large enterprises alike.
 What you’ll do
 Join the Stripe Billing team and become the driving force behind our mission to establish Stripe Billing as the go\-to platform for high\-growth, innovative GenAI companies. This is your chance to shape the future of how the next generation of industry\-transforming startups and enterprises manage their revenue.
 You'll be building transformative usage\-based billing functionality, including the ability to ingest billing based on billions of events per month, flexible usage\-based pricing models, real\-time credit drawdown systems, robust usage analytics that provide game\-changing business insights, and industry\-leading risk management tools that allow GenAI innovators to scale with confidence.
**Responsibilities**
 At Stripe, product development is an extremely collaborative effort between engineering, design, product marketing, data science and customer\-facing teams. You’d be joining a team of experienced Product Managers who have a track record of successfully building large\-scale products that are collectively impacting millions of users around the world.
 On a day to day basis you will spend your time split between external meetings with customers and internal discussions with your engineering, design, marketing, analytics, and sales counterparts. You will identify the most important problems to solve, develop product solutions and work with engineering and design to scope the work. You will articulate the product vision, develop annual and quarterly plans, and collaborate with other functions to deliver these solutions to our users and make them successful.
 Who you are
 We’re looking for someone who meets the minimum requirements to be considered for the role. If you meet these requirements, you are encouraged to apply. The preferred qualifications are a bonus, not a requirement.Minimum requirements
* 8\+ years relevant product management experience
* Strong technical skills e.g., ability to gain an in\-depth understanding of software systems, build a robust integration with the Stripe API, make meaningful contributions to high\-stakes discussions on API design, data modeling and software architecture
* Strong customer empathy across different segments and personas: from startups to large enterprises, across both engineering and finance functions
* Strong product sense: ability to understand user needs in\-depth and build delightful product experiences to solve them and make our users successful
* Strong communication skills: ability to synthesize complex discussions, write succinctly and present to senior stakeholders both within and outside Stripe
**Preferred Qualifications**
* \* You’re scrappy, you do what it takes to get it done
+ You have experience building a 0 to 1 product
+ You can internalize an entire cross\-functional business and lead a comprehensive product vision
+ You have experience designing and building a multi\-product platform
+ You’re a creative product thinker who loves collaborating across the company with engineering, analytics, marketing, design and sales to experiment and build superior products
+ You have strong written and verbal communication skills with a talent for precise articulations of customer problems
+ You’re motivated by the chance to improve the lives of your users
+ You’ve ever started or run a business before (not a requirement)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06">
      <c r="A106" t="inlineStr">
        <is>
          <t>li-4376503576</t>
        </is>
      </c>
      <c r="B106" t="inlineStr">
        <is>
          <t>Prinicpal Product Manager</t>
        </is>
      </c>
      <c r="C106" t="inlineStr">
        <is>
          <t>Brex</t>
        </is>
      </c>
      <c r="D106" t="inlineStr">
        <is>
          <t>linkedin</t>
        </is>
      </c>
      <c r="E106">
        <f>HYPERLINK("https://www.linkedin.com/jobs/view/4376503576", "https://www.linkedin.com/jobs/view/4376503576")</f>
        <v/>
      </c>
      <c r="F106">
        <f>HYPERLINK("https://www.brex.com/careers/8432703002?gh_jid=8432703002&amp;gh_src=m751li9j2us&amp;urlHash=XrbU", "https://www.brex.com/careers/8432703002?gh_jid=8432703002&amp;gh_src=m751li9j2us&amp;urlHash=XrbU")</f>
        <v/>
      </c>
      <c r="G106" t="inlineStr">
        <is>
          <t>Seattle, WA</t>
        </is>
      </c>
      <c r="H106" t="inlineStr"/>
      <c r="I106" t="inlineStr">
        <is>
          <t>**Why join us**
 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**Product at Brex**
 The Product team is at the forefront of Brex's mission to empower employees anywhere to make better financial decisions. With a deep understanding of the business, we identify and scope out the most impactful opportunities for Brex to tackle. We are responsible for aligning cross\-functional teams — such as Engineering, Legal, Compliance, and Design — on key decisions. We set strategy and drive products from inception to launch, enabling Brex to grow rapidly and help our customers reach their full potential.
**What You’ll Do**
 As a Staff Product Manager at Brex, you will operate at the intersection of product strategy, technical depth, and business impact. You will define and drive multi\-quarter strategy within one of Brex’s most critical product domains, leading initiatives that materially shape the company’s trajectory.
 You will be expected to identify the highest\-leverage problems, frame them with rigor, and mobilize cross\-functional teams to deliver step\-function improvements in customer value, revenue, efficiency, or distribution.
 You will work directly with senior leaders across Product, Engineering, Design, Data, Risk, Legal, Compliance, Finance, and GTM. You will influence decisions beyond your immediate team and elevate the standards of product thinking across the organization.
**Where you’ll work**
 This role will be based in either our San Francisco, Seattle or New York City office. You must be willing to work in the office at least 3 days per week on Monday, Wednesday and Thursday. Employees will be able to work remotely for up to 4 weeks per year, for a minimum of one week at a time.
**Responsibilities**
* Define and own a multi\-quarter product vision and strategy aligned to Brex’s highest company priorities.
* Identify high\-leverage opportunities that create durable competitive advantage, not just incremental improvements.
* Lead complex, cross\-functional initiatives that span multiple teams, systems, and stakeholder groups.
* Develop deep domain expertise in your area (e.g., financial infrastructure, risk systems, growth systems, payables ecosystem, etc.) and use it to inform product direction.
* Partner closely with Engineering to design scalable technical systems, engaging meaningfully in architectural discussions and tradeoffs.
* Set clear success metrics tied to company\-level outcomes and hold teams accountable to measurable impact.
* Drive structured decision\-making in ambiguous environments, balancing speed with rigor.
* Influence senior leaders and executives through clear thinking, strong written narratives, and data\-backed recommendations.
* Improve product craft and operating standards across the organization, mentoring PMs and elevating how we build.
**Requirements**
* Experience: 7–10\+ years of product management experience, with a demonstrated track record of leading complex, high\-impact product initiatives in high\-growth B2B or fintech environments. Experience building platform or financial infrastructure products is strongly preferred.
* Strategic rigor: Proven ability to define product strategy that translates into measurable business outcomes.
* Technical depth: Strong fluency in technical systems and architecture. You are comfortable discussing APIs, data models, experimentation frameworks, and system tradeoffs with engineers.
* Analytical excellence: Highly data\-driven. Strong experience defining metrics, running experiments, and using SQL (or similar tools) to guide decisions.
* Executive communication: Exceptional written and verbal communication skills. Ability to influence senior stakeholders through structured thinking and compelling narratives.
* Systems mindset: Ability to reason holistically across product, technical, operational, compliance, and revenue systems.
* High standards: Demonstrated ability to raise the quality bar — for product thinking, execution, and customer experience.
**Compensation**
 The expected salary range for this role is $240,000 \- $300,000\.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*Please be aware, job\-seekers may be at risk of targeting by malicious actors looking for personal data. Brex recruiters will only reach out via LinkedIn or email with a brex.com domain. Any outreach claiming to be from Brex via other sources should be ignored.*</t>
        </is>
      </c>
    </row>
    <row r="107">
      <c r="A107" t="inlineStr">
        <is>
          <t>li-4340755856</t>
        </is>
      </c>
      <c r="B107" t="inlineStr">
        <is>
          <t>Product Manager, Cards Pricing</t>
        </is>
      </c>
      <c r="C107" t="inlineStr">
        <is>
          <t>Stripe</t>
        </is>
      </c>
      <c r="D107" t="inlineStr">
        <is>
          <t>linkedin</t>
        </is>
      </c>
      <c r="E107">
        <f>HYPERLINK("https://www.linkedin.com/jobs/view/4340755856", "https://www.linkedin.com/jobs/view/4340755856")</f>
        <v/>
      </c>
      <c r="F107">
        <f>HYPERLINK("https://stripe.com/jobs/listing/product-manager-cards-pricing/7435001?gh_src=73vnei&amp;urlHash=j4V0", "https://stripe.com/jobs/listing/product-manager-cards-pricing/7435001?gh_src=73vnei&amp;urlHash=j4V0")</f>
        <v/>
      </c>
      <c r="G107" t="inlineStr">
        <is>
          <t>San Francisco, CA</t>
        </is>
      </c>
      <c r="H107" t="inlineStr"/>
      <c r="I107"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As a Product Manager for Cards Pricing at Stripe, you’ll be responsible for pricing Card payment products worldwide. Everyday \- You’ll balance the needs of our customers and competitive landscape, while helping Stripe maintain its margins.
 At Stripe, Product Managers help build innovative payments products for our customers. Product development is an extremely collaborative effort between engineering, design, analytics, operations and customer\-facing teams. You’d be joining a team of experienced Product Managers who have a track record of successfully building large\-scale business and consumer products that are collectively impacting millions of users around the world.
 This strategically critical role offers significant exposure to Stripe's leadership as you will drive initiatives to create observability into Stripe’s margins and revenue realization on Cards, define pricing principles and streamline pricing operations. This is a highly cross\-functional role \- On a day to day basis, you will spend your time between meeting customers (both internal and external), and working with your engineering, operations, analytics, network partnership, pricing, finance and GTM counterparts. You will use the voice of the customers, go deep into data, and leverage ML/GenAI as you define pricing strategies and build margin and revenue monitoring and alerting systems. Your decisions will have millions of dollars of impact to Stripe’s business.
* Lead Card pricing \- defining pricing principles, driving pricing decisions and operationalizing those decisions working with pricing, finance, marketing and GTM teams.
* To effectively set prices, you’ll work with engineering and data science to build observability into current pricing, margin and revenue realization. You’ll drive insights, and translate those into pricing recommendations.
* You’ll define processes for competitive analysis and regular pricing audits. Over time, you’ll work with engineering and data science to automate pricing processes.
* You’ll work backwards from customers, and keep a keen eye on competitors to identify new pricing models. You’ll build the business case, find ways to test, and if validated, build out the new pricing models.
* This is a highly cross\-functional role. On a daily basis, you’ll work with various stakeholders across the organization, including Engineering, Design, Data Science, GTM, Pricing, Marketing, PMs and Operations to drive flawless execution on product and pricing initiatives.
* Ultimately, you’ll emerge as the expert and primary point of contact across all of Stripe for everything related to card pricing and GTM processes.
 Who you are
 We’re looking for someone who meets the minimum requirements to be considered for the role. If you meet these requirements, you are encouraged to apply. The preferred qualifications are a bonus, not a requirement.
**Minimum Requirements**
* Brings 5\+ years of experience in a product role
* Brings 3\+ years of experience in Pricing
* Ability to effectively collaborate with engineering, product, data science, and cross\-functional teams. Experience working with go\-to\-market teams in a B2B sales environment.
* Ability to deeply analyze data, derive insights, and make data\-driven decisions. Proven track record of instrumenting and measuring product initiatives, including those with less obvious metrics.
* Has strong written and verbal communication skills with a talent for simplifying complex concepts
* Has been successful in delivering continuous product improvement as well as 0 \-\&gt;1 launches
* Brings ownership mindset and persistence to work on whatever it takes to ensure that your product is successful
* Proven ability to deliver high\-impact presentations to executive audiences.
* Has the ability to thrive with a high level of autonomy and responsibility
**Preferred Qualifications**
* Experience in Payments, working with Card Networks or Banking partners.
* Experience working with ML, data science and data analyst teams. SQL proficiency will help.
* Experience managing and growing platform products
* Experience overseeing operational processes or managing operational teams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$146,400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08">
      <c r="A108" t="inlineStr">
        <is>
          <t>li-4303091714</t>
        </is>
      </c>
      <c r="B108" t="inlineStr">
        <is>
          <t>Product Manager, Card Costs and Settlement</t>
        </is>
      </c>
      <c r="C108" t="inlineStr">
        <is>
          <t>Stripe</t>
        </is>
      </c>
      <c r="D108" t="inlineStr">
        <is>
          <t>linkedin</t>
        </is>
      </c>
      <c r="E108">
        <f>HYPERLINK("https://www.linkedin.com/jobs/view/4303091714", "https://www.linkedin.com/jobs/view/4303091714")</f>
        <v/>
      </c>
      <c r="F108">
        <f>HYPERLINK("https://stripe.com/jobs/listing/product-manager-card-costs-and-settlement/7176532?gh_src=73vnei&amp;urlHash=B_Xu", "https://stripe.com/jobs/listing/product-manager-card-costs-and-settlement/7176532?gh_src=73vnei&amp;urlHash=B_Xu")</f>
        <v/>
      </c>
      <c r="G108" t="inlineStr">
        <is>
          <t>New York, United States</t>
        </is>
      </c>
      <c r="H108" t="inlineStr"/>
      <c r="I108"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As a Product Manager for Card Costs and Settlement at Stripe, you will devise strategy, develop product requirements and deliver some of the highest impact initiatives that serve both our customers \- helping them understand, reduce and manage their payment costs \- and internal stakeholders \- helping Stripe manage its own.
 At Stripe, Product Managers help build innovative payments products for our customers. Product development is an extremely collaborative effort between engineering, design, analytics, operations and customer\-facing teams. You’d be joining a team of experienced Product Managers who have a track record of successfully building large\-scale business and consumer products that are collectively impacting millions of users around the world.
 This strategically critical role offers significant exposure to Stripe's leadership as you will drive initiatives to optimize card processing costs, streamline operations, and shape the future of our card products. On a day to day basis, you will spend your time between meeting customers (both internal and external), and working with your engineering, operations, analytics, network partnership and GTM counterparts. You will use the voice of the customers, go deep into data, and leverage ML/GenAI as you design products and drive cross\-team decisions that will have millions of dollars of impact to Stripe’s business.
**Responsibilities**
* Lead product development by engaging directly with Stripe’s users and GTM teams, uncovering critical needs in understanding and minimizing card processing costs, and translating these insights into an ambitious product roadmap.
* Set the pace for prioritization and execution for the product team, ensuring alignment with company\-wide goals.
* Collaborate with various stakeholders across the organization, including Engineering, Design, Data Science, GTM teams and Operations to drive flawless execution on product initiatives.
* Measure success quantitatively by tracking metrics and qualitatively by collecting feedback from users. Partner with Operations and Network Partnership teams to relentlessly drive continuous improvements in our cost management strategies amidst the ever\-evolving, dynamic payment landscape.Drive efficiency and accuracy through continuous improvements in accounting, reporting and P\&amp;L generation processes by collaborating closely with Finance and Accounting teams.
* Identify opportunities to platformize the capabilities built for managing card processing costs and build platform\-client relationships with other product teams across Stripe.
* Ultimately, emerge as the expert and primary point of contact across all of Stripe for everything related to card processing costs.
 Who you are
 We’re looking for someone who meets the minimum requirements to be considered for the role. If you meet these requirements, you are encouraged to apply. The preferred qualifications are a bonus, not a requirement.
**Minimum Requirements**
* Brings 5\+ years of experience in a product role
* Brings deep user empathy and a high bar for user experience
* Has been successful in delivering continuous product improvement as well as 0 \-\&gt;1 launches
* Brings ownership mindset and persistence to work on whatever it takes to ensure that your product is successful
* Ability to effectively collaborate with engineering, product, data science, and cross\-functional teams on product initiatives. Experience working with go\-to\-market teams in a B2B sales environment.
* Ability to deeply analyze data, derive insights, and make data\-driven decisions. Proven track record of instrumenting and measuring product initiatives, including those with less obvious metrics.
* Has strong written and verbal communication skills with a talent for simplifying complex concepts
* Has the ability to thrive with a high level of autonomy and responsibility
**Preferred Qualifications**
* Experience in Payments, working with Card Networks or Banking partners.
* Experience working with ML, data science and data analyst teams. SQL proficiency will help.
* Experience managing and growing platform products
* Experience overseeing operational processes or managing operational teams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$146,400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09">
      <c r="A109" t="inlineStr">
        <is>
          <t>li-4340746017</t>
        </is>
      </c>
      <c r="B109" t="inlineStr">
        <is>
          <t>Product Manager, Cards Pricing</t>
        </is>
      </c>
      <c r="C109" t="inlineStr">
        <is>
          <t>Stripe</t>
        </is>
      </c>
      <c r="D109" t="inlineStr">
        <is>
          <t>linkedin</t>
        </is>
      </c>
      <c r="E109">
        <f>HYPERLINK("https://www.linkedin.com/jobs/view/4340746017", "https://www.linkedin.com/jobs/view/4340746017")</f>
        <v/>
      </c>
      <c r="F109">
        <f>HYPERLINK("https://stripe.com/jobs/listing/product-manager-cards-pricing/7435001?gh_src=73vnei&amp;urlHash=j4V0", "https://stripe.com/jobs/listing/product-manager-cards-pricing/7435001?gh_src=73vnei&amp;urlHash=j4V0")</f>
        <v/>
      </c>
      <c r="G109" t="inlineStr">
        <is>
          <t>Chicago, IL</t>
        </is>
      </c>
      <c r="H109" t="inlineStr"/>
      <c r="I109"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As a Product Manager for Cards Pricing at Stripe, you’ll be responsible for pricing Card payment products worldwide. Everyday \- You’ll balance the needs of our customers and competitive landscape, while helping Stripe maintain its margins.
 At Stripe, Product Managers help build innovative payments products for our customers. Product development is an extremely collaborative effort between engineering, design, analytics, operations and customer\-facing teams. You’d be joining a team of experienced Product Managers who have a track record of successfully building large\-scale business and consumer products that are collectively impacting millions of users around the world.
 This strategically critical role offers significant exposure to Stripe's leadership as you will drive initiatives to create observability into Stripe’s margins and revenue realization on Cards, define pricing principles and streamline pricing operations. This is a highly cross\-functional role \- On a day to day basis, you will spend your time between meeting customers (both internal and external), and working with your engineering, operations, analytics, network partnership, pricing, finance and GTM counterparts. You will use the voice of the customers, go deep into data, and leverage ML/GenAI as you define pricing strategies and build margin and revenue monitoring and alerting systems. Your decisions will have millions of dollars of impact to Stripe’s business.
* Lead Card pricing \- defining pricing principles, driving pricing decisions and operationalizing those decisions working with pricing, finance, marketing and GTM teams.
* To effectively set prices, you’ll work with engineering and data science to build observability into current pricing, margin and revenue realization. You’ll drive insights, and translate those into pricing recommendations.
* You’ll define processes for competitive analysis and regular pricing audits. Over time, you’ll work with engineering and data science to automate pricing processes.
* You’ll work backwards from customers, and keep a keen eye on competitors to identify new pricing models. You’ll build the business case, find ways to test, and if validated, build out the new pricing models.
* This is a highly cross\-functional role. On a daily basis, you’ll work with various stakeholders across the organization, including Engineering, Design, Data Science, GTM, Pricing, Marketing, PMs and Operations to drive flawless execution on product and pricing initiatives.
* Ultimately, you’ll emerge as the expert and primary point of contact across all of Stripe for everything related to card pricing and GTM processes.
 Who you are
 We’re looking for someone who meets the minimum requirements to be considered for the role. If you meet these requirements, you are encouraged to apply. The preferred qualifications are a bonus, not a requirement.
**Minimum Requirements**
* Brings 5\+ years of experience in a product role
* Brings 3\+ years of experience in Pricing
* Ability to effectively collaborate with engineering, product, data science, and cross\-functional teams. Experience working with go\-to\-market teams in a B2B sales environment.
* Ability to deeply analyze data, derive insights, and make data\-driven decisions. Proven track record of instrumenting and measuring product initiatives, including those with less obvious metrics.
* Has strong written and verbal communication skills with a talent for simplifying complex concepts
* Has been successful in delivering continuous product improvement as well as 0 \-\&gt;1 launches
* Brings ownership mindset and persistence to work on whatever it takes to ensure that your product is successful
* Proven ability to deliver high\-impact presentations to executive audiences.
* Has the ability to thrive with a high level of autonomy and responsibility
**Preferred Qualifications**
* Experience in Payments, working with Card Networks or Banking partners.
* Experience working with ML, data science and data analyst teams. SQL proficiency will help.
* Experience managing and growing platform products
* Experience overseeing operational processes or managing operational teams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$146,400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10">
      <c r="A110" t="inlineStr">
        <is>
          <t>li-4358393252</t>
        </is>
      </c>
      <c r="B110" t="inlineStr">
        <is>
          <t>Product Manager, Stripe Infrastructure</t>
        </is>
      </c>
      <c r="C110" t="inlineStr">
        <is>
          <t>Stripe</t>
        </is>
      </c>
      <c r="D110" t="inlineStr">
        <is>
          <t>linkedin</t>
        </is>
      </c>
      <c r="E110">
        <f>HYPERLINK("https://www.linkedin.com/jobs/view/4358393252", "https://www.linkedin.com/jobs/view/4358393252")</f>
        <v/>
      </c>
      <c r="F110" t="inlineStr"/>
      <c r="G110" t="inlineStr">
        <is>
          <t>Seattle, WA</t>
        </is>
      </c>
      <c r="H110" t="inlineStr"/>
      <c r="I110"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Infrastructure and Data Experiences Product Team (“IDX” for short) is responsible for ensuring that Stripe’s major engineering systems are meeting the needs of our customers \- both internal teams and external users. We partner closely with Stripe’s CTO, Engineering leads and Product leads across Stripe to define technology vision, product capabilities, and roadmaps, while delivering reliable experiences for our customers
 What you’ll do
 As a Product Manager on the team, you'll work with Stripe tech leaders to:
* Grow the business through delightful user experiences and reliable infrastructure
* Streamline decision making and business operations through state of the art systems
* Deliver the best experience for developers in the industry
 Stripe’s infrastructure is composed of high availability distributed systems that power Stripe products. We’re looking for a product manager who loves developers and works with them daily to understand their needs, has a knack for building beautiful product experiences with ergonomic user journeys, isn’t afraid of understanding large technical systems, and prioritizes users and business impact. The problems you will be working on are critical to unlock the next phase of growth at Stripe, ranging from unlocking international markets through local infrastructure to powering enterprise\-grade experiences.
**Responsibilities**
* Partner with the engineering teams, including Core Infra, Developer Infra, Data Platform, and Service Platform, to ship functionality that delights users, has the right balance of impact vs engineering cost, and makes a measurable impact on the business
* Establish system and design principles for how we build, buy, and operate Seller Systems — ensuring we select the right long\-term solutions, not short\-term patches.
* Guide architecture and investment decisions, weighing trade\-offs between build vs. buy, modernization vs. extension, and platform vs. point solution to maintain a cohesive, sustainable ecosystem.
* Interact with external users and propose critical infrastructure abstractions that best serve them
* Validate product ideas and prototypes with early adopters
* Define key success metrics for developer products
* Work on infrastructure, API, data models/pipelines roadmaps
* Work on internal AI agents for specific functions such as Recruiting, Legal etc. to aid productivity and great customer experience
 Who you are
 We’re looking for someone who meets the minimum requirements to be considered for the role. If you meet these requirements, you are encouraged to apply. The preferred qualifications are a bonus, not a requirement.
**Minimum Requirements**
 Our ideal Product Manager will be relentlessly user\-focused, highly analytical, comfortable in ambiguity, have strong technical skills, and the desire to create something new.
* 7\+ years of progressive experience in Product Management, ideally within an enterprise or B2B setting.
* Demonstrated success in defining, launching, and scaling complex products from ideation to general availability in an enterprise environment.
* Proven ability to manage diverse stakeholders (Engineering, Design, Sales, Marketing, Executive Leadership) and drive cross\-functional alignment on product vision and prioritization.
* Exceptional ability to map, analyze, and refine Customer User Journeys (CUJs) to identify high\-value pain points and opportunities for AI solution deployment.
* Highly data\-driven approach to prioritization and decision\-making, including the ability to define key performance indicators (KPIs), create product impact dashboards, and synthesize data into actionable product requirements.
* A track record of leveraging qualitative (customer interviews) and quantitative (product usage data) insights to validate assumptions and drive product strategy.
* Excellent written and verbal communication skills, with the ability to articulate complex technical concepts and product strategies clearly to both technical and non\-technical audiences.
 AI \&amp; Technical Expertise
* Hands\-on experience developing and launching AI/ML\-powered products or features for internal or external customers.
* Robust functional and technical understanding of Large Language Models (LLMs) and common AI\-based workflows (e.g., retrieval\-augmented generation, fine\-tuning, prompt engineering).
* Prior experience working directly with LLMs or launching conversational AI agents into production.
* Technical background (e.g., Computer Science degree or equivalent practical experience) that allows for deep engagement with engineering teams on technical trade\-offs and architectural decisions.
**Preferred Qualifications**
* Experience working with cross\-geo/timezone environments
* Track record of solving high\-impact, cross\-system challenges and aligning senior stakeholders across Product, Engineering, and Core infrastructure organizations.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111">
      <c r="A111" t="inlineStr">
        <is>
          <t>li-4375302764</t>
        </is>
      </c>
      <c r="B111" t="inlineStr">
        <is>
          <t>Product Manager, E-Commerce Solution - Global Payment</t>
        </is>
      </c>
      <c r="C111" t="inlineStr">
        <is>
          <t>ByteDance</t>
        </is>
      </c>
      <c r="D111" t="inlineStr">
        <is>
          <t>linkedin</t>
        </is>
      </c>
      <c r="E111">
        <f>HYPERLINK("https://www.linkedin.com/jobs/view/4375302764", "https://www.linkedin.com/jobs/view/4375302764")</f>
        <v/>
      </c>
      <c r="F111" t="inlineStr"/>
      <c r="G111" t="inlineStr">
        <is>
          <t>San Jose, CA</t>
        </is>
      </c>
      <c r="H111" t="inlineStr"/>
      <c r="I111" t="inlineStr">
        <is>
          <t>**Responsibilities**
 Team Intro:
 The Global Payment team plays a pivotal role in powering seamless, secure, and innovative transaction experiences across our commerce ecosystem. We are looking for a highly motivated E\-Commerce Solution Product Manager to join our team and partner closely with regional and global stakeholders.
 In this role, you will lead the design and execution of end\-to\-end payment solutions tailored for buyers, sellers, and creators. You will work cross\-functionally with Product, Compliance, Engineering, Operations, and Business teams to deliver scalable and localized payment products that enable business growth and unlock new opportunities across the platform.
 Responsibilities:
 \- Act as the end\-to\-end owner of payment solutions for e\-commerce, driving requirements from concept through launch and iteration.
 \- Collaborate with regional teams to understand business needs, market dynamics, and user expectations.
 \- Design scalable, compliant, and user\-friendly payment products that support various payment flows (PayIn, PayOut, refunds, compliance\-related).
 \- Work closely with across\-domain engineering and regional/local operational teams to land solutions that deliver business impact and meet local requirements.
 \- Drive innovation in payment experiences, optimize for performance (e.g. success rate, conversion, cost), and continuously enhance user trust and satisfaction.
 \- Serve as a thought leader and payment product expert, identifying new opportunities for growth and efficiency in global e\-commerce payment infrastructure.
**Qualifications**
 Minimum Qualification(s)
 \- At least 5 years of experience in product management, payment solutions, or e\-commerce platforms.
 \- Experience with end\-to\-end product management processes, including idea generation, roadmap development, feature prioritization, and launch.
 \- Strong understanding of payment systems (PayIn/PayOut), financial compliance, and user experience optimization.
 \- Proven ability to work in a fast\-paced, dynamic environment with competing priorities and influence cross\-functional teams,
 \- Strong analytical and strategic mindset with strong communication, cross\-functional and project management skills.
 Preferred Qualification(s)
 \- Familiar with payment landscape and United States' market(s) dynamics.
 \- Bachelor's Degree or higher in Finance, Tech or other relevant educational background.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$165120 \- $414000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12">
      <c r="A112" t="inlineStr">
        <is>
          <t>li-4346861325</t>
        </is>
      </c>
      <c r="B112" t="inlineStr">
        <is>
          <t>Product Manager, Bridge</t>
        </is>
      </c>
      <c r="C112" t="inlineStr">
        <is>
          <t>Stripe</t>
        </is>
      </c>
      <c r="D112" t="inlineStr">
        <is>
          <t>linkedin</t>
        </is>
      </c>
      <c r="E112">
        <f>HYPERLINK("https://www.linkedin.com/jobs/view/4346861325", "https://www.linkedin.com/jobs/view/4346861325")</f>
        <v/>
      </c>
      <c r="F112" t="inlineStr"/>
      <c r="G112" t="inlineStr">
        <is>
          <t>San Francisco, CA</t>
        </is>
      </c>
      <c r="H112" t="inlineStr"/>
      <c r="I112" t="inlineStr">
        <is>
          <t>**About Bridge**
 We’re creating an entirely new payments platform, built with stablecoins, to simplify global money movement. Bridge enables faster, cheaper payments and borderless access to dollars via stablecoins. Through our APIs, businesses can send and receive funds across borders faster / cheaper vs. SWIFT and other fiat\-only rails. Our virtual accounts enable international consumers and businesses to easily access, store and spend US dollars. Our payouts infrastructure enables platforms to disburse USD to anyone globally. We believe many trillions of dollars will move and settle through stablecoin payment rails. Bridge is pulling this future forward.
 We have a small team of people who have previously built financial infrastructure at some of the world’s leading companies (Coinbase, Stripe, Square, Brex, Upstart, DoorDash, Airbnb) and each and every one of them chose Bridge because they fundamentally believe that stablecoins will be a critical piece of financial infrastructure that allows for the improvement of global money movement.
 Join our Product team to shape the future of financial access and infrastructure. We're not just improving global payments—we're reinventing them. You'll bridge traditional banking systems and blockchain protocols, pioneering entirely new ways for money and commerce to move seamlessly around the world. This is your chance to lead meaningful innovation from day one, redefining the way businesses and people exchange value globally.
**Responsibilities**
* Drive product features from ideation to launch, collaborating with designers, engineers, and cross\-functional partners such as legal and compliance.
* Develop a deep understanding of our users’ needs, operational landscape, and competitive environment across international markets.
* Build and execute a product roadmap that positions stablecoins \&amp; blockchain technology as the top choice for borderless money movement.
* Own outcomes end\-to\-end, using data, feedback, and rapid iteration to refine your approach.
* Make tough prioritization calls, balancing user needs, technical feasibility, and business impact.
* Work closely with financial institutions and technology partners to bring seamless cross\-border solutions to market.
* Drive high\-traffic features at scale, ensuring security, speed, and reliability for millions of users.
 What You’ll Need to Thrive
* Empathy for users: You’re passionate about uncovering and solving pain points.
* Deep curiosity: You never stop asking “why” and dig into both qualitative and quantitative data.
* Owner’s mentality: You tackle challenges head\-on and drive solutions with conviction.
* Collaborative spirit: You work seamlessly with team members but aren’t afraid to make the call when needed.
* Clarity and simplicity: You translate complex systems into intuitive, straightforward user experiences.
* Bias for learning: You embrace mistakes as opportunities to grow and improve quickly.
**Preferred Qualifications**
* 6\+ years in product management or a related role, with a proven record of delivering impactful products.
* Demonstrated success working with engineers, designers, and external partners to build complex systems.
* Strong business acumen and comfort navigating ecosystem and platform\-level challenges.
* Experience integrating APIs, managing developer platforms, or building ecosystem\-driven products.
* Experience in fintech, payments, or crypto.
 If you’re ready to shape the future of how money moves, we want to hear from you!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13">
      <c r="A113" t="inlineStr">
        <is>
          <t>li-4303574224</t>
        </is>
      </c>
      <c r="B113" t="inlineStr">
        <is>
          <t>Product Manager, Card Costs and Settlement</t>
        </is>
      </c>
      <c r="C113" t="inlineStr">
        <is>
          <t>Stripe</t>
        </is>
      </c>
      <c r="D113" t="inlineStr">
        <is>
          <t>linkedin</t>
        </is>
      </c>
      <c r="E113">
        <f>HYPERLINK("https://www.linkedin.com/jobs/view/4303574224", "https://www.linkedin.com/jobs/view/4303574224")</f>
        <v/>
      </c>
      <c r="F113" t="inlineStr"/>
      <c r="G113" t="inlineStr">
        <is>
          <t>Chicago, IL</t>
        </is>
      </c>
      <c r="H113" t="inlineStr"/>
      <c r="I113"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As a Product Manager for Card Costs and Settlement at Stripe, you will devise strategy, develop product requirements and deliver some of the highest impact initiatives that serve both our customers \- helping them understand, reduce and manage their payment costs \- and internal stakeholders \- helping Stripe manage its own.
 At Stripe, Product Managers help build innovative payments products for our customers. Product development is an extremely collaborative effort between engineering, design, analytics, operations and customer\-facing teams. You’d be joining a team of experienced Product Managers who have a track record of successfully building large\-scale business and consumer products that are collectively impacting millions of users around the world.
 This strategically critical role offers significant exposure to Stripe's leadership as you will drive initiatives to optimize card processing costs, streamline operations, and shape the future of our card products. On a day to day basis, you will spend your time between meeting customers (both internal and external), and working with your engineering, operations, analytics, network partnership and GTM counterparts. You will use the voice of the customers, go deep into data, and leverage ML/GenAI as you design products and drive cross\-team decisions that will have millions of dollars of impact to Stripe’s business.
**Responsibilities**
* Lead product development by engaging directly with Stripe’s users and GTM teams, uncovering critical needs in understanding and minimizing card processing costs, and translating these insights into an ambitious product roadmap.
* Set the pace for prioritization and execution for the product team, ensuring alignment with company\-wide goals.
* Collaborate with various stakeholders across the organization, including Engineering, Design, Data Science, GTM teams and Operations to drive flawless execution on product initiatives.
* Measure success quantitatively by tracking metrics and qualitatively by collecting feedback from users. Partner with Operations and Network Partnership teams to relentlessly drive continuous improvements in our cost management strategies amidst the ever\-evolving, dynamic payment landscape.Drive efficiency and accuracy through continuous improvements in accounting, reporting and P\&amp;L generation processes by collaborating closely with Finance and Accounting teams.
* Identify opportunities to platformize the capabilities built for managing card processing costs and build platform\-client relationships with other product teams across Stripe.
* Ultimately, emerge as the expert and primary point of contact across all of Stripe for everything related to card processing costs.
 Who you are
 We’re looking for someone who meets the minimum requirements to be considered for the role. If you meet these requirements, you are encouraged to apply. The preferred qualifications are a bonus, not a requirement.
**Minimum Requirements**
* Brings 5\+ years of experience in a product role
* Brings deep user empathy and a high bar for user experience
* Has been successful in delivering continuous product improvement as well as 0 \-\&gt;1 launches
* Brings ownership mindset and persistence to work on whatever it takes to ensure that your product is successful
* Ability to effectively collaborate with engineering, product, data science, and cross\-functional teams on product initiatives. Experience working with go\-to\-market teams in a B2B sales environment.
* Ability to deeply analyze data, derive insights, and make data\-driven decisions. Proven track record of instrumenting and measuring product initiatives, including those with less obvious metrics.
* Has strong written and verbal communication skills with a talent for simplifying complex concepts
* Has the ability to thrive with a high level of autonomy and responsibility
**Preferred Qualifications**
* Experience in Payments, working with Card Networks or Banking partners.
* Experience working with ML, data science and data analyst teams. SQL proficiency will help.
* Experience managing and growing platform products
* Experience overseeing operational processes or managing operational teams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$146,400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14">
      <c r="A114" t="inlineStr">
        <is>
          <t>li-4376182443</t>
        </is>
      </c>
      <c r="B114" t="inlineStr">
        <is>
          <t>AI Product Manager</t>
        </is>
      </c>
      <c r="C114" t="inlineStr">
        <is>
          <t>Wiraa</t>
        </is>
      </c>
      <c r="D114" t="inlineStr">
        <is>
          <t>linkedin</t>
        </is>
      </c>
      <c r="E114">
        <f>HYPERLINK("https://www.linkedin.com/jobs/view/4376182443", "https://www.linkedin.com/jobs/view/4376182443")</f>
        <v/>
      </c>
      <c r="F114">
        <f>HYPERLINK("https://www.wiraa.com/job-description/usA0070B7967456A4DB64C8B60E46ED4C8?source=Linkedin&amp;urlHash=wgzA", "https://www.wiraa.com/job-description/usA0070B7967456A4DB64C8B60E46ED4C8?source=Linkedin&amp;urlHash=wgzA")</f>
        <v/>
      </c>
      <c r="G114" t="inlineStr"/>
      <c r="H114" t="inlineStr"/>
      <c r="I114" t="inlineStr">
        <is>
          <t>**About The Company**
 Hitachi Energy is a global technology leader dedicated to advancing electrification and powering a sustainable energy future through innovative power grid solutions with digital integration at the core. With a rich history spanning over a century, the company specializes in mission\-critical technologies such as high\-voltage systems, transformers, automation, and power electronics. Hitachi Energy's solutions are trusted by more than three billion people worldwide, enabling reliable and efficient energy distribution. Headquartered in Switzerland, the organization employs over 50,000 professionals across 60 countries and generates approximately $16 billion USD in annual revenue. The company's commitment to innovation, sustainability, and technological excellence positions it as a pioneer in addressing the world's most urgent energy challenges, including balancing rising electricity demand and decarbonizing power systems.
**About The Role**
 We are seeking an experienced AI Product Manager to lead the design and implementation of Proof of Concepts (PoCs) for Multi\-Agent Systems (MAS). This role is pivotal in driving innovation within enterprise AI applications by building intelligent agents, integrating them into distributed environments, and collaborating across cross\-functional teams to deliver scalable and impactful AI solutions. The AI Product Manager will spearhead discovery initiatives through stakeholder interviews and current\-state mapping, identify high\-value MAS opportunities, and translate these insights into comprehensive product artifacts such as problem statements, PRDs, user stories, acceptance criteria, and success metrics. Managing the entire lifecycle from PoC to MVP and production, defining MAS system architecture, and leveraging platform resources are key responsibilities. The role also involves running agile ceremonies, managing timelines, ensuring data security and quality, embedding responsible AI practices, and measuring the impact of deployed solutions. The ideal candidate will possess strong communication skills, technical expertise in MAS initiatives, and a proven track record in creating and implementing AI products, contributing to the company’s mission of delivering innovative and sustainable energy solutions.
**Qualifications**
* Bachelor’s or Master’s degree in Computer Science, Engineering, or a related field
* Proven experience in Multi\-Agent Systems (MAS) initiatives and AI product development
* Strong understanding of AI tools and their application in design processes
* Experience in creating and deploying data\-driven and AI\-powered products
* Excellent communication and influencing skills across technical and executive audiences
* Ability to explain complex technical ideas to diverse audiences
* Experience working collaboratively in cross\-functional teams
* Proficiency in English, both spoken and written
**Responsibilities**
* Lead discovery activities, including stakeholder interviews and current\-state process mapping (SIPOC, Swimlane, BPMN), to identify opportunities for MAS integration
* Conduct bottleneck and root\-cause analysis to surface high\-value MAS opportunities
* Translate insights into clear problem statements, product requirement documents (PRDs), user stories, acceptance criteria, and success metrics (OKRs/KPIs)
* Own the product lifecycle from PoC to MVP and production deployment, maintaining and prioritizing the development backlog
* Define MAS system architecture, specifying multi\-agent architectures, orchestration patterns, and integration points aligned with platform standards
* Partner with platform/Center of Excellence (CoE) teams to leverage models, frameworks, and reusable components; contribute to process maps, playbooks, and templates
* Manage agile ceremonies, coordinate cross\-functional teams (data, ML, security, application), and remove delivery blockers to ensure timely execution
* Lead readiness and adoption efforts, including UAT strategy, change management, and rollout planning to achieve measurable outcomes
* Coordinate with data owners to ensure trusted data access, quality, lineage, and system integration (CRM, ERP, MDM)
* Embed responsible AI principles by enforcing safety, privacy, fairness, and auditability in line with governance standards
* Track and communicate key metrics such as cycle\-time, accuracy, data quality, adoption, and cost\-to\-serve; iterate continuously based on feedback
* Serve as a single\-threaded owner responsible for reporting project status, risks, and decisions to sponsors and technical leadership
**Benefits**
* Comprehensive health, dental, and vision insurance plans
* Retirement savings options and financial planning resources
* Flexible work arrangements including remote work opportunities
* Generous paid time off and holiday leave
* Professional development programs and continuous learning opportunities
* Wellbeing initiatives supporting physical and mental health
* Collaborative and inclusive work environment fostering innovation
 Equal Opportunity
 Hitachi Energy is committed to fostering an inclusive environment where all employees and applicants are treated with respect and fairness. We provide equal employment opportunities regardless of race, color, religion, gender, gender identity or expression, sexual orientation, national origin, age, disability, or any other characteristic protected by applicable law. We believe diversity enriches our culture and drives innovation, and we welcome candidates from diverse backgrounds to join our team.</t>
        </is>
      </c>
    </row>
    <row r="115">
      <c r="A115" t="inlineStr">
        <is>
          <t>li-4376392704</t>
        </is>
      </c>
      <c r="B115" t="inlineStr">
        <is>
          <t>Product Manager, Bruin Financial Aid IT Products</t>
        </is>
      </c>
      <c r="C115" t="inlineStr">
        <is>
          <t>Inside Higher Ed</t>
        </is>
      </c>
      <c r="D115" t="inlineStr">
        <is>
          <t>linkedin</t>
        </is>
      </c>
      <c r="E115">
        <f>HYPERLINK("https://www.linkedin.com/jobs/view/4376392704", "https://www.linkedin.com/jobs/view/4376392704")</f>
        <v/>
      </c>
      <c r="F115" t="inlineStr"/>
      <c r="G115" t="inlineStr">
        <is>
          <t>Los Angeles, CA</t>
        </is>
      </c>
      <c r="H115" t="inlineStr"/>
      <c r="I115" t="inlineStr">
        <is>
          <t>Department Summary
 Academic Technology sets the strategy for a portfolio of enterprise\-wide products and platforms enabling the activities of academic stakeholders across the university. The Academic Technology team designs, develops, configures, enhances, optimizes, and maintains core enterprise technologies for UCLA’s academic functions (Admissions \&amp; Financial Aid, Student Records \&amp; Engagement, Billing \&amp; Accounts Receivable, Bruin Learn Center of Excellence, and Faculty Information Products), ensuring functionality, quality, business value, user experience, and digital accessibility of the products and platforms to meet the expectations of the campus community. Academic Technology fuels ITS’ cloud\-first strategy by reducing technical debt in partnership with other departments and teams leveraging cutting\-edge techniques to accelerate releases using automation and application lifecycle management standards and tools. The Student Products team includes Bruin Financial Aid products, student records \&amp; engagement products, and billing \&amp; accounts receivable (BAR) products. Student Products team supports essential campuswide functions like financial aid disbursement, admissions, billing, enrollment, grades, degrees, Bruin Learn integrations, voter registration, UCAN advocacy network, and cybersecurity training.
* Application Development and Integration: Build and maintain web applications (MyUCLA), integrate with existing systems (mainframes, Oracle SFP), and offer Learning Tools Interoperability (LTI) functionalities for Bruin Learn.
* APIs and Data Management: Provide secure and easy\-to\-use APIs (SOAP, RESTful, and XML\-based) for over 55 campus applications. Offer integration services with popular platforms like Salesforce work.com and Marketing Cloud. Manage Software\-as\-a\-Service (SaaS) platforms like Oracle SFP.
* Cloud Services and Security: Leverage AWS cloud services, including serverless database management and CDN content delivery networks, to optimize performance. Position Summary
 Academic Technology sets the strategy for a portfolio of enterprise\-wide products and platforms enabling the activities of academic stakeholders across the university. The Academic Technology team designs, develops, configures, enhances, optimizes, and maintains core enterprise technologies for UCLA’s academic functions (Admissions \&amp; Financial Aid, Student Records \&amp; Engagement, Billing \&amp; Accounts Receivable, Bruin Learn Center of Excellence, and Faculty Information Products), ensuring functionality, quality, business value, user experience, and digital accessibility of the products and platforms to meet the expectations of the campus community. Academic Technology fuels ITS’ cloud\-first strategy by reducing technical debt in partnership with other departments and teams leveraging cutting\-edge techniques to accelerate releases using automation and application lifecycle management standards and tools. The Student Products team includes Bruin Financial Aid products, student records \&amp; engagement products, and billing \&amp; accounts receivable (BAR) products. Student Products team supports essential campuswide functions like financial aid disbursement, admissions, billing, enrollment, grades, degrees, Bruin Learn integrations, voter registration, UCAN advocacy network, and cybersecurity training.
* Application Development and Integration: Build and maintain web applications (MyUCLA), integrate with existing systems (mainframes, Oracle SFP), and offer Learning Tools Interoperability (LTI) functionalities for Bruin Learn.
* APIs and Data Management: Provide secure and easy\-to\-use APIs (SOAP, RESTful, and XML\-based) for over 55 campus applications. Offer integration services with popular platforms like Salesforce work.com and Marketing Cloud. Manage Software\-as\-a\-Service (SaaS) platforms like Oracle SFP.
* Cloud Services and Security: Leverage AWS cloud services, including serverless database management and CDN content delivery networks, to optimize performance.
 The Product Manager, Bruin Financial Aid IT Products will play a critical role in defining the product strategy and execution of Bruin Financial Aid products and services to enable a streamlined application process, improved financial aid allocation efficiency, and an enhanced overall applicant experience, leading to increased enrollment and student satisfaction. Product Strategy This role is responsible to define the product vision, strategy, and roadmap with a focus on long term success of Admissions and Financial Aid products. They will bring the voice of the customer during roadmap development and backlog prioritization stages and collaborate with key product stakeholders incorporate their needs and convey a cohesive product vision. Product Planning The Product Manager will be responsible to define and establish clear and detailed product requirements, stories, security by design, and acceptability standards while working with stakeholders, business analysts, and UX/UI designers. Product Development The Product Manager is accountable for the successful delivery of the entire product lifecycle, working with development teams, product owners, team supervisors, and product development teams to ensure prioritized features are developed, secured, and compliant while maintaining a keen focus on human\-centered design. Customer and Stakeholder Management The Bruin Financial Aid Product Manager will be responsible for driving innovation and excellence by working closely with cross\-functional teams and stakeholders, understanding their needs, gathering user insights, and acting as a liaison between functional stakeholders and product development teams. Human\-Centered Design \&amp; Product Insights Lastly, the Product Manager will maintain a keen focus building human\-centered user experiences, ensuring accessibility and usability requirements are met. Additionally, they will define and track product metrics around adoption, customer satisfaction, and product performance in order to make data informed decisions to continually improve Admissions and Financial Aid products. The Product Manager, Bruin Financial Aid IT Products will positively impact UCLA's operations and culture by enabling University stakeholders to effectively leverage human resources products and applications. This team member will advance the University's mission by delivering exceptional information technology services comprehensively and consistently across faculty, staff, and students. This role will execute UCLA's vision while modeling UCLA's culture and values.
 Salary \&amp; Compensation
* UCLA provides a full pay range. Actual salary offers consider factors, including budget, prior experience, skills, knowledge, abilities, education, licensure and certifications, and other business considerations. Salary offers at the top of the range are not common. Visit UC Benefit package to discover benefits that start on day one, and UC Total Compensation Estimator to calculate the total compensation value with benefits.
**Qualifications**
* Five years experience working in one or more of the following fields: information technology, application services, product services, computer science, computer information systems, or related field. (Required)
* Seven or more years experience working in one or more of the following fields: information technology, application services, product services, computer science, computer information systems. (Preferred)
* Experience in complex higher education environments, serving academic and administrative functions of a large public university. (Preferred)
* Advanced knowledge of Admissions \&amp; Financial Aid. Works closely with development teams to ensure timely and high\-quality results. (Required)
* Proven ability to identify key issues critical to the organization's long\-range success of a desired product or service. (Required)
* Analytical mindset, with experience in data\-driven decision\-making and performance measurement. (Required)
* Proven track record of delivering successful products that meet user needs and drive value. (Required)
* Strong written and verbal communication skills and is able to communicate complex technical ideas to a diverse community of colleagues and stakeholders. Can relay technical information to audiences of technical and non\-technical stakeholders. (Required)
* Able to establish and advance positive working relationships and a strong rapport with a diverse community of colleagues including team members, stakeholders, and customers. (Required)
* Advanced organizational skills, ability to balance priorities, deliver concurrent projects to various stakeholders. Ability to work in a project\-based environment using project management practices. (Required)
* Advanced problem\-solving skills; ability to identify root problems and scope solutions based on knowledge of resources, timelines, vision and strategy. Seeks information from diverse sources to inform solutions. Demonstrated ability to make decisions with integrity. (Required)
* Able to participate in activities to advance an inclusive environment that values equity, diversity, inclusion and belonging. (Required)
* Thinks creatively and introduces innovations such as the incorporation of new technologies or processes. Thrives in an ever\-changing, fast\-paced environment. (Required)
 Education, Licenses, Certifications \&amp; Personal Affiliations
* Bachelor's Degree or equivalent combination of experience/training in one or more of the following fields: business administration, organization development, communication, or public administration, or related field. (Required)
* Bachelor's Degree In one or more of the following fields: business administration, organization development, communication, or public administration. (Preferred)
 Special Conditions for Employment
* The anticipated pay range for this position is $95,400 \- $145,000, annually; salary is dependent upon the skills and experience of the selected finalist.
 NOTE: This position REQUIRES that a RESUME and COVER LETTER be submitted in addition to the application. Please have these two files ready to upload when applying.
* Background Check: Continued employment is contingent upon the completion of a satisfactory background investigation.
* Live Scan Background Check: A Live Scan background check must be completed prior to the start of employment.
 Schedule
 8 a.m. to 5 p.m., Pacific Time, Monday\-Friday and/or variable based on operational needs
 Union/Policy Covered
 99\-Policy Covered
 Complete Position Description
 https://universityofcalifornia.marketpayjobs.com/ShowJob.aspx?EntityID\=38\&amp;jobcode\=TBD\_3956</t>
        </is>
      </c>
    </row>
    <row r="116">
      <c r="A116" t="inlineStr">
        <is>
          <t>li-4374990852</t>
        </is>
      </c>
      <c r="B116" t="inlineStr">
        <is>
          <t>Sr. Product Manager</t>
        </is>
      </c>
      <c r="C116" t="inlineStr">
        <is>
          <t>Jobs via Dice</t>
        </is>
      </c>
      <c r="D116" t="inlineStr">
        <is>
          <t>linkedin</t>
        </is>
      </c>
      <c r="E116">
        <f>HYPERLINK("https://www.linkedin.com/jobs/view/4374990852", "https://www.linkedin.com/jobs/view/4374990852")</f>
        <v/>
      </c>
      <c r="F116">
        <f>HYPERLINK("https://click.appcast.io/t/ylwqvVPBTQ74ydd10j-C5rGpy2-fd7sIRAsizEVJWck=&amp;urlHash=eU27", "https://click.appcast.io/t/ylwqvVPBTQ74ydd10j-C5rGpy2-fd7sIRAsizEVJWck=&amp;urlHash=eU27")</f>
        <v/>
      </c>
      <c r="G116" t="inlineStr"/>
      <c r="H116" t="inlineStr"/>
      <c r="I116" t="inlineStr">
        <is>
          <t>Dice is the leading career destination for tech experts at every stage of their careers. Our client, Digital Minds Global Technologies Inc., is seeking the following. Apply via Dice today!
 An
 **IT Product Manager** 
 is responsible for planning, developing, and managing technology products throughout their lifecycle. They work closely with engineering, design, business, and stakeholders to ensure the product meets customer needs and business goals.
 Key Responsibilities
* Define product vision, strategy, and roadmap
* Gather and prioritize business and technical requirements
* Work with engineering teams to deliver features on time
* Coordinate with UX/UI designers for product usability
* Communicate product updates to stakeholders
* Analyze product performance and user feedback
* Manage product lifecycle from concept to launch and beyond
* Ensure alignment between business objectives and technical solutions
**Required Skills**
* Strong understanding of IT systems and software development
* Knowledge of Agile/Scrum methodologies
* Excellent communication and leadership skills
* Analytical and problem\-solving abilities
* Experience with product management tools (e.g., Jira, Trello)
* Ability to manage multiple projects simultaneously
**Qualifications**
* Bachelor’s degree in Information Technology, Computer Science, Business, or related field
* 2–5 years of experience in product management or IT\-related role (varies by level)
* Relevant certifications (optional but beneficial), such as:
+ Certified Scrum Product Owner (CSPO)
+ PMI\-ACP
+ SAFe Product Owner/Product Manager</t>
        </is>
      </c>
    </row>
    <row r="117">
      <c r="A117" t="inlineStr">
        <is>
          <t>li-4330368127</t>
        </is>
      </c>
      <c r="B117" t="inlineStr">
        <is>
          <t>Product Manager, Course (High School)</t>
        </is>
      </c>
      <c r="C117" t="inlineStr">
        <is>
          <t>Macmillan Learning</t>
        </is>
      </c>
      <c r="D117" t="inlineStr">
        <is>
          <t>linkedin</t>
        </is>
      </c>
      <c r="E117">
        <f>HYPERLINK("https://www.linkedin.com/jobs/view/4330368127", "https://www.linkedin.com/jobs/view/4330368127")</f>
        <v/>
      </c>
      <c r="F117">
        <f>HYPERLINK("https://recruiting.ultipro.com/HOL1002HPHM/JobBoard/be27b89b-3cb9-491f-a1b0-42f8b077a9dd/OpportunityDetail?opportunityId=a85c7ee1-4de1-42a2-bff7-52c838e1e952&amp;source=LinkedIn&amp;urlHash=nxv-", "https://recruiting.ultipro.com/HOL1002HPHM/JobBoard/be27b89b-3cb9-491f-a1b0-42f8b077a9dd/OpportunityDetail?opportunityId=a85c7ee1-4de1-42a2-bff7-52c838e1e952&amp;source=LinkedIn&amp;urlHash=nxv-")</f>
        <v/>
      </c>
      <c r="G117" t="inlineStr"/>
      <c r="H117" t="inlineStr"/>
      <c r="I117" t="inlineStr">
        <is>
          <t>At Macmillan Learning, we're committed to driving innovation that transforms education. We seek team members who thrive on pushing boundaries, envisioning future possibilities, and building solutions that make a lasting impact. Whether you're a Pioneer shaping bold new ideas, a Builder turning possibilities into reality, or a Stabilizer optimizing for success, you'll play a vital role in advancing our mission. If you're excited by the prospect of testing new technologies, implementing transformative strategies, and thriving in a fast\-paced, innovative environment, we’d love to hear from you!
 The Product Manager, Course (High School) owns the vision, strategy, and execution of a portfolio of Bedford, Freeman, and Worth High School course areas, ensuring that each course offering meets the needs of teachers and students and lead to measurable impact on student success. This role treats the course as the product, driving innovations in content, pedagogy, and experience design. From ideation through validation and development, the Product Manager, Course (High School) leads the strategic direction of course design and content development, partnering with market experts, researchers, designers, production teams, and cross\-functional stakeholders to deliver compelling and effective course experiences. The Product Manager expresses personal ownership of the prioritization of ideas, expresses the view of customers during decision\-making and prioritization processes, and synthesizes cross\-functional input to ensure solutions brought to market are feasible, viable, and desirable.
*We know that talented candidates sometimes hesitate to apply when they don't meet every single qualification listed. We encourage you to apply if you're excited about this role and believe you can contribute meaningfully to our team, even if your background doesn't align perfectly with every requirement. We're looking for people who are passionate about our mission and can bring valuable perspectives to our work. Different experiences, skills, and approaches all have the potential to strengthen what we do. If this opportunity interests you, we'd love to hear how your unique background and abilities could contribute to our team's success. We're committed to building a workplace where everyone can do their best work and where diverse viewpoints are valued. We encourage all qualified candidates to apply \- we're excited to learn about the different ways you might add value to our organization.*
**Major Responsibilities Include, But Are Not Limited To**
* Lead course ideation, validation, and scoping, ensuring alignment with teacher pedagogy and student engagement patterns.
* Evaluate priorities and alignment to OKRs based on qualitative and quantitative data, making recommendations based on those insights and their importance to project partners to help drive the discipline course vision and roadmap.
* Define and evolve the course strategy for a portfolio of disciplines, grounded in market, learner, and teacher needs. Catalogue and synthesize feedback from users and internal customer liaisons to manage a well\-organized and well\-informed backlog.
* Evangelize the product backlog such that priorities show clear alignment to business objectives. Coordinate cross\-functionally with other product managers, program managers, learning resource group, and UX to complete multi\-team initiatives and establish priority.
* Regularly analyze the competitive marketplace to best understand customer solutions, course trends, and opportunities to provide advice accordingly.
* Use system data, feedback from customers and other data points to analyze the impact the solution has for users. Monitor, run data analysis, and report on key performance indicators for content assets.
* Translate validated ideas into course and content requirements, collaborating with UX, learning science, and editorial teams to ensure high\-quality experiences.
* Obtain early feedback on solutions and understand efforts and trade\-offs. Define product features and communicate requirements to Product Designers, LRG and development teams via clearly\-written requirements using concise verbal communication.
* Track and drive cross\-functional product rollout outside of the product development team to facilitate successful product content use.
* Assess, measure, and present the impact of their team’s work directly to stakeholders, quantifying the value of their progress, and evaluating or recommending possible courses of action.
* Establish and maintain internal partner relationships aligned with evaluating viability and supporting implementation through launch efforts.
**Required Qualifications**
* Bachelor's Degree.
* 3\+ years’ experience designing and building new products and enhancing existing products, preferably in the K\-12 ed tech space.
* 2\+ years’ product management or business analyst experience.
* Demonstrated ability to exert influence and deliver on capabilities without having direct control over all participating resources.
* Entrepreneurial drive and demonstrated ability to achieve goals in a fast\-paced environment.
* Knowledgeable across many functional areas: product management, UX, editorial, sales, customer support, finance, and marketing.
* Problem\-solving, organizational, and analytical skills.
* Excellent ability to communicate complex information orally and in writing to a variety of stakeholders.
* Experience building trust and collaboration through excellent interpersonal skills. Strong technical abilities.
* Flexible and willing to work as a team member doing whatever it takes to release an exceptional product.
* Exceptional customer relationship skills.
* Strong quantitative and analytical abilities.
**Preferred Qualifications**
* Product Management Certification a plus.
* Product management or product design experience with a focus on K\-12 markets.
* A passion for EdTech, teaching, or mission\-driven work in learning and development.
* Product Management or Agile Scrum certification.
* Solid product management experience with a track record of creating innovative software/mobile applications.
* Programming or prototyping experience a plus, agile experience preferred.
* Strong content knowledge in focus area.
**Salary Range:** 
 $95,000 \- $115,000 (depending on experience)
**Exemption Status:** 
 Exempt
**Physical Requirements**
 Must be able to multi\-task, concentrate in an open office work environment, and to travel occasionally. Must be able to work more than 40 hours per week as needed.
 The position is eligible for remote employment, excluding the following locations: Alaska, Arkansas, Hawaii, Mississippi, Nevada, South Dakota, West Virginia, Wyoming.
**Benefits**
 Regular full\-time and qualifying part\-time employees and their dependents are eligible for Macmillan benefits, effective on the employee’s date of hire. Macmillan also offers health benefits coverage to qualifying same\-sex and opposite\-sex domestic partners (may require additional documentation) of active employees.
* Competitive pay and bonus plan
* Generous Health Benefits (Medical, Dental, Vision)
* Contributions to your 401k retirement account through Fidelity
* Generous paid time off, sick time, floating holidays, and paid holidays (Spring Reset Day , Juneteenth, Indigenous People's Day, Election Day, and more!)
* Employee Assistance Program, Education Assistance Program
* 100% employer\-paid life and AD\&amp;D insurance
* And much more!
 Macmillan Learning is a privately\-held, family owned company that improves lives through learning. By linking research to learning practice, we develop pioneering products and learning materials for students that are highly effective and drive improved outcomes. Our engaging content is developed in partnership with the world's best researchers, educators, administrators, and developers. To learn more, please visit macmillanlearning.com or see us on Facebook, Twitter, LinkedIn or join our Macmillan Community. Macmillan Learning is a division of the Holtzbrinck Publishing Group, a family\-owned global media company headquartered in Stuttgart, Germany.
 At Macmillan Learning, we believe diverse perspectives and backgrounds enrich our mission to improve lives through learning. We actively seek candidates who reflect a wide range of identities, experiences, and communities. We are an Equal Opportunity Employer and all qualified applicants will receive consideration for employment without regard to race, color, religion, age, ethnicity, national origin, sex, sexual orientation, gender, gender identity or expression, disability status, physical ability, neurodiversity, genetic information, protected veteran status, family and economic status and background, geographical status and background, or any other characteristic protected by federal, state, or local law. You can read more about our Diversity, Equity, \&amp; Inclusion initiatives here.
 The successful candidate for this position will be an employee of Bedford, Freeman \&amp; Worth Publishing Group, LLC d/b/a Macmillan Learning. Bedford Freeman \&amp; Worth Publishing Group, LLC has developed an equal opportunity compliance program in compliance with the NY Department of Education’s guidance. Portions of the equal opportunity compliance program are available for review by applicants and employees by contacting Human Resources at Macmillan Learning.</t>
        </is>
      </c>
    </row>
    <row r="118">
      <c r="A118" t="inlineStr">
        <is>
          <t>li-4375308420</t>
        </is>
      </c>
      <c r="B118" t="inlineStr">
        <is>
          <t>Product Manager â Engage &amp; Deepen</t>
        </is>
      </c>
      <c r="C118" t="inlineStr">
        <is>
          <t>hackajob</t>
        </is>
      </c>
      <c r="D118" t="inlineStr">
        <is>
          <t>linkedin</t>
        </is>
      </c>
      <c r="E118">
        <f>HYPERLINK("https://www.linkedin.com/jobs/view/4375308420", "https://www.linkedin.com/jobs/view/4375308420")</f>
        <v/>
      </c>
      <c r="F118" t="inlineStr"/>
      <c r="G118" t="inlineStr">
        <is>
          <t>Columbus, OH</t>
        </is>
      </c>
      <c r="H118" t="inlineStr"/>
      <c r="I118" t="inlineStr">
        <is>
          <t>***hackajob** 
 is collaborating with
 **J.P. Morgan** 
 to connect them with exceptional tech professionals for this role.*
**Job Description**
 You enjoy shaping the future of product innovation as a core leader, driving value for customers, guiding successful launches, and exceeding expectations. If you have a proven track record of launching successful software products, a passion for empowering small businesses, and the ability to craft creative solutions to challenging customer problems, we invite you to join our dynamic team and make a meaningful impact by delivering high\-quality products that resonate with clients.
 As a Vice President Product Manager in Business Banking Small Business Client \&amp; Frontline Experiences (SMB CFX) product team, you will play a pivotal role in shaping dynamic solutions that empower seamless connectivity across multiple channels to engage and deepen business client relationships. You will partner closely with engineering, data science, product, design, legal, and other lines of business to define and align key objectives, goals, and strategies. Your leadership will be instrumental in delivering tailored solutions that address the evolving needs of our clients and frontline employees.
 Leveraging your deep expertise in data products, systems, and technologies, you will guide the design and integration of advanced solutions across the enterprise. Your strong analytical skills and adaptability will empower you to navigate ambiguity, bring clarity, and execute effectively in complex, fast\-paced environments.
 You will be responsible for building and executing a multi\-year product vision, launching innovative products, gathering feedback, and ensuring exceptional client experiences. With a commitment to scalability, resiliency, and stability, you will collaborate with cross\-functional teams to orchestrate and deliver high\-quality products that exceed customer expectations.
**Job Responsibilities**
* Define and propel a multi\-year product strategy and vision for the area product, building roadmaps that deliver sustained value for customers and the business.
* Collaborate with design, marketing, data, and technology teams to create cohesive experiences and solutions for bankers, frontline employees, and business clients.
* Partner closely with other Lines of Business and cross\-functional teams to ensure alignment, leverage synergies, and deliver integrated solutions.
* Develop clear documentation, workflows, business requirements, and use cases to support design and development.
* Lead and execute product delivery across the full lifecycle, including discovery, requirements gathering, solutioning, design/build, and implementation.
* Manage and prioritize the product backlog, including story refinement, ranking, and active participation in Scrum events.
* Track and analyze product performance, produce relevant reporting, and identify opportunities for improvement.
* Manage vendor relationships, including contract negotiation, budget oversight, and ongoing vendor performance to ensure alignment with business objectives.
**Required Qualifications, Capabilities, And Skills**
* Minimum 7 years of applicable business experience with demonstrated expertise in product development within an Agile operating model/scrum team environment in a large, cross\-functional organization (e.g., Financial Services, Technology firm).
* Proven ability to develop and articulate product strategy and multi\-year vision, aligning business objectives with customer and employee needs.
* Ability to work collaboratively to define and execute new products and solutions that support customer/employee needs and address new business opportunities.
* Experience partnering with business application owners and development teams to document business requirements, lead scope definition, technical implementation, end\-to\-end testing, and operational readiness.
* Highly motivated self\-starter, capable of working under minimal supervision with strong decision making, analytical, and creative thinking skills.
* Excellent verbal and written communication skills, with the ability to deliver messages in a clear and concise manner to all levels of the organization, including Executive Leadership.
* Track record of personal initiative, strong work ethic, proactive goal setting and achievement, ability to work independently, manage multiple tasks simultaneously, and demonstrate entrepreneurial leadership.
* Team player with the ability to work productively within a group and adapt to changing priorities, with proven experience in directly managing and developing team members.
**Preferred Qualifications, Capabilities, And Skills**
* Demonstrated prior experience working in a highly matrixed, complex organization
* Analytical / Problem Solving skills \- ability to visualize, articulate, and solve complex problems
* Excellent Excel, Word, PowerPoint, Jira/Jira Align and organizational/time management skills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Our business bankers work in the Consumer Bank to provide financial solutions to small business owners across the U.S. Customers turn to us for financing and advice as they start, run and grow their businesses. We partner with clients throughout the process, investing in our communities and people for the long\-term.</t>
        </is>
      </c>
    </row>
    <row r="119">
      <c r="A119" t="inlineStr">
        <is>
          <t>li-4373657529</t>
        </is>
      </c>
      <c r="B119" t="inlineStr">
        <is>
          <t>Product Manager</t>
        </is>
      </c>
      <c r="C119" t="inlineStr">
        <is>
          <t>Jobs via Dice</t>
        </is>
      </c>
      <c r="D119" t="inlineStr">
        <is>
          <t>linkedin</t>
        </is>
      </c>
      <c r="E119">
        <f>HYPERLINK("https://www.linkedin.com/jobs/view/4373657529", "https://www.linkedin.com/jobs/view/4373657529")</f>
        <v/>
      </c>
      <c r="F119" t="inlineStr"/>
      <c r="G119" t="inlineStr">
        <is>
          <t>Washington, DC</t>
        </is>
      </c>
      <c r="H119" t="inlineStr"/>
      <c r="I119" t="inlineStr">
        <is>
          <t>**Description**
* Own the Subscription Funnel
 Define and optimize the user journey from acquisition to retention and churn prevention.
 Design and execute A/B tests to improve conversion and engagement metrics.
 Collaborate with marketing and analytics teams to refine messaging and paywall strategies.
* Define and Execute a Cohesive Experience
 Lead the design of a unified subscription experience across their .com site and mobile app.
 Partner with UX/UI designers to ensure seamless integration of login, payment, and content access.
 Prioritize subscriber benefits and ensure consistent delivery across platforms.
* Coordinate Across Stakeholders
 Serve as the central point of contact for engineering, newsroom, marketing, and external vendors.
 Translate complex workflows into actionable tasks for design and development teams.
 Oversee integrations with third\-party platforms such as Stripe, LoginRadius, and Wordpress.
 Manage timelines, dependencies, and risks to ensure successful and timely launches.
**Skills**
 digital media, mobile platforms, web platforms
**Additional Skills \&amp; Qualifications**
* 4\+ years of product management experience, preferably in digital media or subscription\-based services.
 Proven track record of launching and scaling digital products across web and mobile.
 Strong understanding of user acquisition, retention strategies, and paywall technologies.
 Excellent communication and stakeholder management skills.
 Experience with tools like Wordpress, Stripe, and user authentication platforms is a plus.
**Job Type \&amp; Location**
 This is a Contract position based out of Washington, DC.
**Pay And Benefits**
 The pay range for this position is $40\.00 \- $50\.00/hr.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hybrid position in Washington,DC.
**Application Deadline**
 This position is anticipated to close on Mar 3,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120">
      <c r="A120" t="inlineStr">
        <is>
          <t>li-4376392480</t>
        </is>
      </c>
      <c r="B120" t="inlineStr">
        <is>
          <t>Sr. Product Manager, Air-to-Water 1-Phase - REQ # 1420</t>
        </is>
      </c>
      <c r="C120" t="inlineStr">
        <is>
          <t>Mitsubishi Electric Trane US</t>
        </is>
      </c>
      <c r="D120" t="inlineStr">
        <is>
          <t>linkedin</t>
        </is>
      </c>
      <c r="E120">
        <f>HYPERLINK("https://www.linkedin.com/jobs/view/4376392480", "https://www.linkedin.com/jobs/view/4376392480")</f>
        <v/>
      </c>
      <c r="F120" t="inlineStr"/>
      <c r="G120" t="inlineStr">
        <is>
          <t>Suwanee, GA</t>
        </is>
      </c>
      <c r="H120" t="inlineStr"/>
      <c r="I120" t="inlineStr">
        <is>
          <t>**Mitsubishi Electric Trane HVAC US LLC is looking for a Sr. Product Manager, ATW 1\-Phase in Suwanee, GA or Remote in the United States.**
**POSITION SUMMARY:**
 The Senior Product Manager, ATW 1\-Phase, is responsible for the end\-to\-end development, introduction, and lifecycle management of HVAC ATW (Air\-to\-Water) 1\-Phase products and solutions. This leader formulates and executes product strategies based on market research and customer feedback from key stakeholders such as engineers, contractors, architects, building developers, and internal teams. The role is accountable for product positioning, market analysis, technical and application support, training development, and serving as the Subject Matter Expert (SME) for ATW 1\-Phase solutions—particularly hydronic heating/cooling and domestic hot water (DHW) distribution in residential and light commercial applications for 1\-phase applications.
**Essential Functions**
**The essential functions of the position include, but are not limited to the following:**
**Product Strategy \&amp; Positioning**
* Develop and implement product segment strategies for the ATW 1\-Phase market.
* Conduct market analysis, competitor benchmarking, and trend analysis.
* Define detailed product requirements and lead cross\-functional teams through design, development, and launch.
* Identify product gaps and propose enhancements based on customer and market insights.
* Identify trade organizations and association alliance opportunities to establish and maintain a favorable image with channel members and the trade.
**Product Development \&amp; Lifecycle Management**
* Oversee new product introduction using established NPI processes.
* Coordinate with global engineering and manufacturing teams.
* Manage product launch materials, sales and support training, and end\-of\-life planning.
* Monitor and report on project timelines, resource allocation, and development milestones.
* Analysis of sales forecasts based on historical data, market conditions, trend analysis and sales projections.
* Analysis of market data and demand behavior to determine new product pricing strategies.
* Develop product specifications by outlining product requirements, business case justification, product definition and revenue quantification.
* Act as factory liaison for product specification, introduction and life cycle management activities.
* Support testing and market compliance of product introductions.
**Design \&amp; Application Support**
* Provide advanced design and application support for ATW 1\-Phase products, collaborating closely with internal Applications and Software Solution/Selections team.
* Peer review designs and guide the technical direction of ATW 1\-Phase solutions.
* Support internal teams to create and maintain technical documentation, including submittals, application notes, and white papers.
* Work with internal, 3 rd party and global teams to develop software tools and engineering collateral to support product implementation and sales.
**Training \&amp; Enablement**
* Develop and deliver in\-depth training programs and materials for engineers, sales teams, and external stakeholders.
* Lead the creation of application\-based training for diverse audiences in collaboration with internal teams.
**Subject Matter Expertise \&amp; Leadership**
* Act as the SME for ATW 1\-Phase and DHW systems.
* Mentor internal Application Engineering, Training and various support team, facilitating knowledge transfer and technical development.
* Represent the company at industry meetings, training sessions, and with external partners.
* Collaborate with the Marketing department for the creation of marketing \&amp; sales support materials, marketing promotions and campaigns, etc. that will facilitate the product launch, demand \&amp; lead generation processes.
**Administrative functions associated with the position:**
* Manage project timelines and monitor resource allocation.
* Responsible for alignment of internal/external resources to achieve product goals.
* Tracking and reporting of all product development initiatives and results to company leadership on a regular basis.
* Develop and manage project budgets, specialist selection, and team training.
* Support sales with technical insight and product presentations as needed.
* This is a position that may be hybrid with structured in\-office days and remote flexibility based on business needs, or fully remote with specific schedule set by the manager in alignment with team need.
* Willing to travel up to 40% for various Company meetings and training both domestically and possibly Internationally.
* May have future supervisory responsibilities.
* Perform other duties as assigned.
**QUALIFICATIONS:**
* 7 years’ progressive product management experience in mechanical HVAC, including system design and energy analysis.
* Bachelors’ in Mechanical Engineering or related technical discipline (PE, LEED AP, or CEM preferred).
* Expertise in hydronic/DHW distribution system design.
* Proficient with CAD and BIM software.
* Skilled in Microsoft Office and networking; strong analytical, communication, and training skills.
* Excellent written and verbal communication skills.
* Team player demonstrating METUS core values including a desire to win together, deliver excellence, drive sustainability, focus on execution and learn continuously.
 The base pay range for this position at commencement of employment is expected to be between $128,000 and $176,000 per year, however, base pay offered may vary depending on multiple individualized factors, including market location, job\-related knowledge, skills, and experience.
**The total compensation package for this position may also include other elements, including target bonus plans and discretionary awards. Subject to the terms and conditions of the applicable plans then in effect, eligible employees may enroll in a 401(k) plan, as well as participate in Company\-sponsored medical, dental, vision, and basic life insurance plans for the employee and the employee’s eligible dependents.** 
 Employees will also receive 80 hours of vacation per year, 56 hours of paid sick leave annually, and 13 paid holidays throughout the calendar year, depending on hire date. Employees may also take up to 12 weeks of paid or unpaid \[parental/disability/emergency/etc.] leave, if eligible.
**About Mitsubishi Electric Trane Hvac Us**
 Formed in 2018, Mitsubishi Electric Trane HVAC US (METUS) is a leading provider of ductless and VRF systems in the United States and Latin America. A 50 percent – 50 percent joint venture between Ingersoll Rand plc and Mitsubishi Electric US, Inc., the company provides innovative products, systems and solutions capable of cooling and heating any application from a home to a large commercial building. METUS is a leading marketer of Zoned Comfort Solutions® and Variable Refrigerant Flow (VRF) air\-conditioning and heating technology. Systems sold by the joint venture include a wide variety of technologically advanced products designed to deliver superior efficiency, comfort and control.
 The family of brands supported by METUS includes: Mitsubishi Electric Cooling \&amp; Heating, Trane® / Mitsubishi Electric and American Standard® Heating \&amp; Air Conditioning Mitsubishi Electric. More information is available at www.metahvac.com . We offer an excellent compensation and benefits package including 401(K).
 In compliance with federal law, all persons hired will be required to verify identity and eligibility to work in the United States and to complete the required employment eligibility verification document form upon hire. We are an equal employment opportunity employer. All employment decisions are made without regard to race, color, religion, sex, pregnancy, breastfeeding or related medical condition, national origin, ancestry, citizenship, age, marital status, sexual orientation, gender identity, gender expression, domestic partnership, physical disability, mental disability, medical condition, genetic characteristic or information, military or veteran status or other legally protected status (except when one of these criteria is a legally permissible bona fide occupational qualification).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Company, or (c) consistent with the Company’s legal duty to furnish information.
 To view the EEO is The Law Poster and the supplement, please click here or visit https://www.eeoc.gov/know\-your\-rights\-workplace\-discrimination\-illegal.
 Applicants with a disability who need assistance with the application process may contact Human Resources by email at employment@meus.mea.com or by calling 714\.229\.3813\.</t>
        </is>
      </c>
    </row>
    <row r="121">
      <c r="A121" t="inlineStr">
        <is>
          <t>li-4374059998</t>
        </is>
      </c>
      <c r="B121" t="inlineStr">
        <is>
          <t>Data Product Manager (Only w2)</t>
        </is>
      </c>
      <c r="C121" t="inlineStr">
        <is>
          <t>Jobs via Dice</t>
        </is>
      </c>
      <c r="D121" t="inlineStr">
        <is>
          <t>linkedin</t>
        </is>
      </c>
      <c r="E121">
        <f>HYPERLINK("https://www.linkedin.com/jobs/view/4374059998", "https://www.linkedin.com/jobs/view/4374059998")</f>
        <v/>
      </c>
      <c r="F121">
        <f>HYPERLINK("https://click.appcast.io/t/pwD90VJvymTPzgCFUFWtbTBVoKtoDUoOOjBpKXAiUJM=&amp;urlHash=Cf_V", "https://click.appcast.io/t/pwD90VJvymTPzgCFUFWtbTBVoKtoDUoOOjBpKXAiUJM=&amp;urlHash=Cf_V")</f>
        <v/>
      </c>
      <c r="G121" t="inlineStr">
        <is>
          <t>New Jersey, United States</t>
        </is>
      </c>
      <c r="H121" t="inlineStr"/>
      <c r="I121" t="inlineStr">
        <is>
          <t>Hi,
 Hope you are doing well
 Below is job Description please go through it and let me know if you are interested.
**Role \- Data Product Manager**
**Location NYC (3 days hybrid, Onsite)**
**Looking for someone coming with Strong Investment Banking Domain.**
**In\-person Interview Required.**
**Overview:**
 We are seeking an experienced \*\*Data Product Manager\*\* with a robust background in Data Engineering and a deep understanding of banking and financial services data. The ideal candidate will play a pivotal role in defining, developing, and managing data products and solutions, working collaboratively with Data Engineers, Data Analysts, Data Scientists, and Business Stakeholders. The candidate will leverage their technical expertise to ensure our data offerings are robust, scalable, and aligned with business needs and compliance standards.
**Key Responsibilities:**
**Product Ownership \&amp; Strategy:**
* Define and prioritize data products, features, and roadmaps aligned with banking operations and analytics requirements.
* Develop a comprehensive understanding of business needs related to data, translating these into actionable product requirements.
* Collaborate with stakeholders to gather, refine, and document data requirements, ensuring alignment with organizational goals.
**Cross\-Functional Collaboration :**
* Work closely with Data Engineers to design, develop, and enhance scalable data pipelines, ensuring they meet quality and performance standards.
* Coordinate with Data Analysts and Data Scientists to facilitate data access, usability, and analytics.
* Act as a liaison between technical teams and business units to facilitate clear communication and understanding.
**Data Governance \&amp; Compliance:**
* Ensure all data products are developed and maintained in compliance with banking industry data security, privacy, and governance standards.
* Define and implement policies for data quality, integrity, and security.
**Data Lifecycle \&amp; Release Management:**
* Oversee the end\-to\-end lifecycle of data products, from development and testing to deployment and monitoring.
* Manage release schedules, coordinate deployment activities, and ensure robust version control.
* Implement processes for continuous improvement and automation of data workflows.
**Technical Oversight \&amp; Knowledge:**
* Maintain strong understanding of Data Engineering processes, including data warehousing, ETL/ELT workflows, and cloud platforms like Snowflake, Azure, and Databricks.
* Provide technical guidance and support to Data Engineers on best practices in data architecture, pipelines, and security standards.
* Stay updated on latest industry trends, tools, and best practices, integrating them into the data product roadmap.
**Performance Monitoring \&amp; Optimization:**
* Monitor data product performance, troubleshoot issues, and collaborate with engineering teams for tuning and optimization.
* Collect feedback from users to iterate and improve data solutions.
**Documentation \&amp; Training:**
* Maintain clear documentation of data products, architecture, and processes.
* Conduct training sessions or workshops to facilitate effective utilization of data assets among stakeholders.
**Required Skills \&amp; Experience:**
* Proven experience as a Data Product Manager or similar role with a strong technical background in Data Engineering.
* Deep understanding of Snowflake, Python, Pyspark, SQL, and cloud data platforms.
* Extensive experience with data warehousing, ETL/ELT processes, and data pipeline management.
* Strong knowledge of banking and financial industry data, including compliance, security, and privacy standards.
* Able to bridge the technical and business worlds, translating complex data concepts into understandable solutions.
* Familiar with release management, CI/CD practices, and version control.
* Excellent communication, stakeholder management, and collaboration skills.
* Experience working with Data Engineers, Data Analysts, and Business Stakeholders in a fast\-paced environment.
**Preferred Qualifications** 
 :
* Experience working with Azure, Databricks, and related cloud services.
* Knowledge of streaming technologies like Apache Kafka.
* Familiarity with DevOps practices, CI/CD pipelines, and Agile methodologies.
* Prior experience in the banking or financial services industries.</t>
        </is>
      </c>
    </row>
    <row r="122">
      <c r="A122" t="inlineStr">
        <is>
          <t>li-4376393776</t>
        </is>
      </c>
      <c r="B122" t="inlineStr">
        <is>
          <t>Sr. Systems Product Manager (Sr. Manager, Data and Technology)</t>
        </is>
      </c>
      <c r="C122" t="inlineStr">
        <is>
          <t>Allegro Home Delivery</t>
        </is>
      </c>
      <c r="D122" t="inlineStr">
        <is>
          <t>linkedin</t>
        </is>
      </c>
      <c r="E122">
        <f>HYPERLINK("https://www.linkedin.com/jobs/view/4376393776", "https://www.linkedin.com/jobs/view/4376393776")</f>
        <v/>
      </c>
      <c r="F122">
        <f>HYPERLINK("https://www.adzuna.com/details/5596502793?v=9382EC06DC93056A39C44B1F0D45B24488BDB783&amp;ccd=f233469243abaa699278caeac5532cd4&amp;r=21312399&amp;frd=e256bd1e74e8506c90cf8e80c8aaba42&amp;utm_source=linkedin7&amp;utm_medium=organic&amp;chnlid=1931&amp;title=Sr.%20Systems%20Product%20Manager%20%28Sr.%20Manager%2C%20Data%20and%20Technology%29&amp;a=e&amp;urlHash=reSG", "https://www.adzuna.com/details/5596502793?v=9382EC06DC93056A39C44B1F0D45B24488BDB783&amp;ccd=f233469243abaa699278caeac5532cd4&amp;r=21312399&amp;frd=e256bd1e74e8506c90cf8e80c8aaba42&amp;utm_source=linkedin7&amp;utm_medium=organic&amp;chnlid=1931&amp;title=Sr.%20Systems%20Product%20Manager%20%28Sr.%20Manager%2C%20Data%20and%20Technology%29&amp;a=e&amp;urlHash=reSG")</f>
        <v/>
      </c>
      <c r="G122" t="inlineStr">
        <is>
          <t>Eagan, MN</t>
        </is>
      </c>
      <c r="H122" t="inlineStr"/>
      <c r="I122" t="inlineStr">
        <is>
          <t>The Sr. Systems Product Manager is viewed as the subject matter expert for key internal systems and external vendor SaaS applications that are in use within our organization. This role will work closely with business teams (operations, finance, sales) to ensure that their needs are supported with technology and collaboratively plan for new features and changes/enhancements. The candidate should be a problem\-solver who can think critically and partner across the organization to lead changes and implement solutions. You should be able to model behaviors that support our company values, especially collaboration, innovation, and integrity.
**Key Responsibilities**
* Be the technology representative for key systems and applications within the organization
* Ability to connect and interpret business processes to systems (existing or future planned)
* Maintain and refine backlog items in partnership with leadership
* Collaborate with other departments to define areas of opportunity for technology\-oriented support
* Creative thinker able to solve ambiguous problems in an efficient manner
* Ability to break down complex problems into iterative solutions
**Leadership**
* Contribute to operational process creation and documentation development
* Lead technology projects across our corporate and field teams
* Embrace curiosity to expand knowledge and apply to projects and on\-going work
* Able to gain a deep understanding of key systems and help others learn
* Foster a culture of growth and personal development while accomplishing business objectives
* Flexible team player who can work independently to deliver impactful work
* Incorporate values\-based leadership into daily decisions and work
**Required Qualifications**
* 1\-3 years of experience in a product owner/manager or similar role
* Strong attention to detail and problem\-solving skills
* Excellent horizontal communication and ability to work as a team
* Understanding of agile development methodologies and product lifecycle management
* High School diploma
**Preferred Qualifications**
* Exposure to working with NetSuite and cloud\-based data platforms (ex: Azure, AWS, Google Cloud, Fabric)
* Previous experience in the logistics/transportation industry and/or warehouse management systems
* Project or portfolio management experience with a focus on technology
* Worked with or knowledge of REST \&amp; SOAP APIs, PHP, Linux
* Four\-year bachelor's degree
**Benefits**
 We are eager to attract the best, so we offer competitive compensation and a generous benefits package, including full health insurance (medical, dental and vision), 401(k), 401(k) match, life insurance, paid holidays and PTO, disability, and career development opportunities.
**Physical/Mental Demands**
 The physical demands described here are representative of those that must be met by an employee to successfully perform the essential functions of this job. Reasonable accommodation may be made to enable individuals with disabilities to perform the essential functions.
* Physical requirements include the ability to sit and stand for several hours at a time, walk, reach, bend, stoop, stretch, lift, push, transport, and move up to 25 pounds and to talk and hear
* Manual dexterity and visual acuity are needed to operate normal office equipment, such as a computer, telephone and copier. Specific vision abilities include close, distance, color and peripheral vision, depth perception, and the ability to adjust focus
**Environmental/Working Conditions**
 This role will work out of our corporate office in Eagan, MN. The work environment characteristics described here are representative of those an employee encounters while performing the essential functions of the job.
* Work is performed in an indoor office environment and involves contact with employees, customers, vendors
* Occasional visits to local warehouse may be required
* Some weekend and evening hours may be required
**About ACS Logistics Holdings**
 We are a fast\-growing final mile delivery and logistics/transportation company with three different areas of business. Allegro Home Delivery specializes in appliance delivery and installation as well as nationwide home delivery of big and bulky items. Anderson Cargo Services specializes in managing freight and custom shipping solutions. DataTrec offers data center relocations and provides safe, secure, high\-speed transportation services and logistics for data center enterprise equipment.
 Allegro Home Delivery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123">
      <c r="A123" t="inlineStr">
        <is>
          <t>li-4315841606</t>
        </is>
      </c>
      <c r="B123" t="inlineStr">
        <is>
          <t>Senior Product Manager, Visual Lease</t>
        </is>
      </c>
      <c r="C123" t="inlineStr">
        <is>
          <t>CoStar Group</t>
        </is>
      </c>
      <c r="D123" t="inlineStr">
        <is>
          <t>linkedin</t>
        </is>
      </c>
      <c r="E123">
        <f>HYPERLINK("https://www.linkedin.com/jobs/view/4315841606", "https://www.linkedin.com/jobs/view/4315841606")</f>
        <v/>
      </c>
      <c r="F123" t="inlineStr"/>
      <c r="G123" t="inlineStr">
        <is>
          <t>Woodbridge, NJ</t>
        </is>
      </c>
      <c r="H123" t="inlineStr"/>
      <c r="I123" t="inlineStr">
        <is>
          <t>**Job Description**
 Senior Product Manager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Clients. We’ve continually refined, transformed and perfected our approach to our business, creating a language that has become standard in our industry, for our Clients, and even our competitors. We continue that effort today and are always working to improve and drive innovation. This is how we deliver for our Clients, our employees, and investors. By equipping the brightest minds with the best resources available, we provide an invaluable edge in real estate.
*CoStar Real Estate Manager* 
 CoStar Real Estate Manager is the leading platform for lease accounting, lease administration and the management of portfolios, transactions, projects and construction. Clients use CoStar Real Estate Manager to make smarter decisions and to enable their team to work together more effectively. Learn more about CoStar Real Estate Manager.
*Visual Lease*
 As the centralized system of record for all lease\-related financial, operational, and legal data, Visual Lease, a CoStar Group company, is purpose\-built to support every team involved in managing a company’s leased and owned assets. Informed by nearly three decades of experience, our platform integrates lease management, lease accounting, and sustainability reporting, enabling organizations to save time, mitigate risks, reduce costs, and support sustainability initiatives. Our award\-winning software is used by 1,500\+ organizations to manage more than 1 million real estate, equipment, and other leased asset records globally.
****Job Description****
 We are looking for a passionate
 **Senior Product Manager** 
 to help shape the future of our portfolio of corporate occupier products (Visual Lease, CoStar Real Estate Manager, and new products that you will build). Success in this role means delivering seamless customer experiences through strong technical collaboration, subject matter expertise, thoughtful prioritization and relentless focus on data quality. You’ll lead the end\-to\-end development (in collaboration with Product Owners, Designers and Engineers) of innovative solutions that support lease portfolio strategy, real estate transaction management, lease administration and accounting compliance for thousands of companies around the world.
 You will thrive in this role if you enjoy solving complex integration challenges, unlocking new value for customers and partners and leading through influence in a high\-impact, fast\-paced environment.
 This position will be full\-time onsite and can be based out of our Woodbridge, NJ, or Atlanta, GA offices.
****Responsibilities:****
**Strategic Vision for your Product Area(s):** 
 Shape where we’re headed and why it matters.
* Craft a north\-star vision for your product areas that are ambitious yet achievable. Ensure it improves the SaaS experience for customers while meeting the obligations for shareholders and executives.
* Predict shifts in customer needs, market trends and technological advancements. Envision and communicate how the product will need to evolve over time as a result.
* Define and articulate the value proposition including key benefits and differentiators. Collaborate with internal resources to ensure alignment.
* Deeply understand company goals and set clear, complimentary, measurable objectives for your product areas related to revenue, user acquisition, market share, and retention.
* Determine the resources (budget, personnel, technology) required to execute the product strategy and ensure they are allocated efficiently
* Become the undisputed business expert for your area(s). Eagerly and confidently share the product vision and business plan with internal teams, senior leaders, customers, partners, and prospects supported by a business case, designs, narratives, or other documentation.
**Market Research \&amp; Stakeholder Input for your Product Area(s):** 
 Deeply understand the strengths, weaknesses, opportunities and threats around your product area(s) to inform your vision.
* Deeply understand customer needs, pain points, desires and expectations by engaging with customers, prospects, partners, and internal stakeholders. Leverage tools (e.g. Pendo) and other resources (e.g. support cases, internal round tables, etc.) to identify problem or opportunity areas.
* Understand the market landscape, including all competitive or complementary products and services to your product area as well as existing and target customers
* Analyze product area strengths and weaknesses and assess product\-market fit.
* Anticipate and share threats to your product area including potential regulations, competitive moves, and technology shifts that could have a meaningful impact on the future of your product area and the product suite at large.
* Understand industry trends by staying on top of happenings in Corporate Real Estate \&amp; Accounting so stakeholders see around corners and invest ahead of need.
**Own Your Roadmap:** 
 Let user truth guide the roadmap—without losing sight of the business.
* Identify modules, features or other functionality and initiatives from the backlog that will help you improve product\-market fit and attain your product vision, while positively impacting revenue growth, adoption or retention.
* Partner with Product Owners to establish the impact, goal, technical feasibility, and resource availability for each relevant feature or initiative.
* Own a transparent, outcome\-oriented roadmap that is continuously and ruthlessly prioritized. Review and adjust regularly as new information is uncovered.
* Actively participate in technical discussions with Engineering, leverage research and stakeholder input and partner with Product Owners to validate timeline decisions around when each feature or initiative will be developed and released.
* Present the roadmap to all stakeholders so priorities, timelines, and goals are easy to understand and ultimately be shared with clients, prospects and partners.
**Customer\-Centric Development:** 
 Turn ambition into shipped, lovable features.
* Define success metrics up\-front
* Partner daily with Designers and Product Owners so they can convert business needs into clear, technically feasible requirements. Approve final designs and ensure alignment with business goals.
* Run a constant feedback loop with customers, partners, and internal SMEs; use prototypes, A/B tests, and interviews to validate before you build.
* Take unapologetically iterative bets. Ask forgiveness rather than permission when speed wins.
* Leverage AI tooling (chat agents, workflow automation, data wrangling) to facilitate faster research, specifications, and analysis, but do not sacrifice accuracy and accountability for any work product you deliver.
* Ensure new product functionality provides a seamless and intuitive user experience, complies with relevant regulations, and maintains high security standards.
* Work with Product Marketing to meet the adoption and utilization goals for a successful launch through advocacy, training, feedback, and iteration.
****Basic Qualifications****
* Bachelor’s degree required from an accredited, not\-for\-profit University or College
* 5\+ years of digital Product Management experience (or adjacent industry experience with a firm understanding of Product principles) with a proven track record of delivering industry\-leading software consumer products and solutions
* Demonstrated experience partnering with product owners and engineering teams to build, test, and launch features in close coordination
* Demonstrated experience collaborating with design iteratively to balance product goals and customer experience
* Skilled at translating product ideas into wireframes, mock\-ups, workflow diagrams, or journey maps for effective communication
* Experience using SQL, Google Analytics, FullStory, PowerBI, Pendo and/or similar analytics tools to extract insights and evaluate product performance metrics
* Ability to work across multiple stakeholders and communicate effectively with technical and non\-technical audiences
* Excellent interpersonal, communication, and presentation skills
* A track record of commitment to prior employers.
****Preferred Qualifications****
* 5\+ years of B2B SaaS Product Management experience or comparable experience working on products in a technical capacity
* Experience in planning and launching A/B or multivariate experiments to optimize features and drive KPIs
* Experience in commercial real estate, equipment leasing, or financial accounting.
* Experience integrating enterprise\-level applications into broader solutions with a strong understanding of interoperability and data flow.
* Familiarity with building data\-powered consumer experiences
* A passion for identifying and leveraging new technologies, such as AI, to enhance platform capabilities.
* Experience using research tools such as LogRocket, Maze, UserTesting, UserZoom, Dovetail, and Pendo
* Excitement for moving quickly on new ideas and a professional attitude towards seeing projects to completion.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and tuition reimbursement.
**Our Benefits Package Includes (but Is Not Limited To):**
*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 Access to CoStar Group’s Diversity, Equity, \&amp; Inclusion Employee Resource Groups
* Complimentary gourmet coffee, tea, hot chocolate, fresh fruit, and other healthy snacks
 This position offers an annual base salary range of $125,000\-$169,000, based on relevant skills and experience and includes a generous benefits plan.
 We welcome all qualified candidates who are currently eligible to work full\-time in the United States to apply. However, please note that CoStar Group is not able to provide visa sponsorship for this position.
 \#CREM
 CoStar Group is an Equal Employment Opportunity Employer; we maintain a drug\-free workplace and perform pre\-employment substance abuse testing</t>
        </is>
      </c>
    </row>
    <row r="124">
      <c r="A124" t="inlineStr">
        <is>
          <t>li-4374997774</t>
        </is>
      </c>
      <c r="B124" t="inlineStr">
        <is>
          <t>Senior Product Manager, AI Literacy</t>
        </is>
      </c>
      <c r="C124" t="inlineStr">
        <is>
          <t>Blackbaud</t>
        </is>
      </c>
      <c r="D124" t="inlineStr">
        <is>
          <t>linkedin</t>
        </is>
      </c>
      <c r="E124">
        <f>HYPERLINK("https://www.linkedin.com/jobs/view/4374997774", "https://www.linkedin.com/jobs/view/4374997774")</f>
        <v/>
      </c>
      <c r="F124" t="inlineStr"/>
      <c r="G124" t="inlineStr">
        <is>
          <t>Charleston, SC</t>
        </is>
      </c>
      <c r="H124" t="inlineStr"/>
      <c r="I124" t="inlineStr">
        <is>
          <t>We are seeking a Senior Product Manager with extensive experience in product strategy and execution to lead the development of the AI Literacy Certification Program for the social impact sector. This role will define and deliver a platform\-agnostic certification product that empowers nonprofits, foundations, and social good organizations to adopt AI responsibly and confidently. You will own the end\-to\-end product lifecycle to launch and continuous improve, ensuring the certification becomes the industry standard for AI literacy and responsible adoption.
 A critical part of this role is driving deep alignment and collaboration across the AI Coalition for Social Impact and the Blackbaud Institute to ensure the certification reflects industry best practices, leverages institutional thought leadership, and is positioned effectively in the market.
**What You'll Do**
* Serve as the primary product liaison for the AI Coalition for Social Impact, an advisory body of external companies, practitioners, and AI experts.
* Structure and lead coalition meetings related to this initiative, working groups, and review cycles that inform the certification’s competencies, frameworks, and design.
* Translate coalition insights and recommendations into prioritized product requirements and roadmap updates.
* Maintain strong relationships with coalition members, ensuring engagement is productive, collaborative, and impactful.
* Own the full product lifecycle \- from discovery and design through development, launch, and continuous improvement.
* Prioritize features and enhancements using data, customer feedback, and input from coalition partners and internal subject matter experts.
* Ensure alignment with Responsible AI guidelines and emerging regulatory frameworks relevant to AI literacy.
* Conduct market research, persona development, and analysis to identify opportunities and differentiation.
* Partner with Corporate Marketing to support content development, campaigns, and launch activities.
* Present the product and its impact at industry events, webinars, and partner engagements in collaboration with Marketing and the Blackbaud Institute.
* Define and track success metrics related to certification adoption, learning outcomes, customer satisfaction, and market penetration.
* Conduct ongoing user research and data analysis to inform improvements to curriculum, delivery, and product experience.
* Collaborate with the Blackbaud Institute to publish insights and findings that demonstrate sector impact.
**What We'll Expect You To Have**
* 8\+ years in product management, with at least 3 years in senior\-level roles.
* Proven track record of launching education, certification, or SaaS products at scale.
* Experience in AI/ML, EdTech, or compliance\-driven products strongly preferred.
* Strong understanding of AI concepts, Responsible AI principles, and regulatory frameworks.
* Exceptional communication and stakeholder management skills.
* Data\-driven decision\-making and comfort with ambiguity and change agility.
* Strategic thinker with ability to translate vision into actionable plans.
 Stay up to date on everything Blackbaud, follow us on Linkedin, Twitter, Instagram, Facebook and YouTube
 Blackbaud is a remote\-first company which embraces a flexible remote work culture. Blackbaud supports hiring and career development for all roles from the location you are in today!
 Blackbaud is proud to be an equal opportunity employer and is committed to maintaining a diverse and inclusive work environment.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***To all recruitment agencies:** 
 We do not accept unsolicited agency resumes and are not responsible for any fees related to unsolicited resumes.*
***A notice to candidates: Recruitment Fraudulent Alert:** 
 Your personal information and online safety as a candidate mean a lot to us! At Blackbaud and our portfolio of companies, recruiters only direct candidates to apply through our official careers page at https://careers.blackbaud.com/us/en or our official LinkedIn page. Recruiters will never request payments, ask for financial account information or sensitive information like social security numbers, or conduct interviews via Skype. Anyone suggesting otherwise is not a representative of Blackbaud. If you are unsure if a message is from Blackbaud, please email blackbaudrecruiting@blackbaud.com.*
 The starting base pay is $101,900\.00 to $132,800\.00\. Blackbaud may pay more or less based on employee qualifications, market value, Company finances, and other operational considerations.
**Benefits Include**
* Medical, dental, and vision insurance
* Remote\-first workforce
* 401(k) program with employer match
* Flexible paid time off
* Generous Parental Leave
* Volunteer for vacation
* Opportunities to connect to build community and belonging
* Pet insurance, legal and identity protection
* Tuition reimbursement program</t>
        </is>
      </c>
    </row>
    <row r="125">
      <c r="A125" t="inlineStr">
        <is>
          <t>li-4320377602</t>
        </is>
      </c>
      <c r="B125" t="inlineStr">
        <is>
          <t>Sr. Technical Program Manager</t>
        </is>
      </c>
      <c r="C125" t="inlineStr">
        <is>
          <t>Alteryx</t>
        </is>
      </c>
      <c r="D125" t="inlineStr">
        <is>
          <t>linkedin</t>
        </is>
      </c>
      <c r="E125">
        <f>HYPERLINK("https://www.linkedin.com/jobs/view/4320377602", "https://www.linkedin.com/jobs/view/4320377602")</f>
        <v/>
      </c>
      <c r="F125">
        <f>HYPERLINK("https://alteryx.wd108.myworkdayjobs.com/AlteryxCareers/job/US\u002d\u002d-Remote/Sr-Product-Delivery-Program-Manager_R11465-1?source=LinkedIn&amp;urlHash=WPjW", "https://alteryx.wd108.myworkdayjobs.com/AlteryxCareers/job/US\u002d\u002d-Remote/Sr-Product-Delivery-Program-Manager_R11465-1?source=LinkedIn&amp;urlHash=WPjW")</f>
        <v/>
      </c>
      <c r="G125" t="inlineStr"/>
      <c r="H125" t="inlineStr"/>
      <c r="I125" t="inlineStr">
        <is>
          <t>We’re looking for problem solvers, innovators, and dreamers who are searching for anything but business as usual. Like us, you’re a high performer who’s an expert at your craft, constantly challenging the status quo. You value inclusivity and want to join a culture that empowers you to show up as your authentic self. You know that success hinges on commitment, that our differences make us stronger, and that the finish line is always sweeter when the whole team crosses together.
**Title: Senior Technical Program Manager**
**Location:** 
 Remote
**Position Overview**
 At Alteryx, we empower data\-driven breakthroughs. We're looking for a Senior Technical Program Manager to lead cross\-functional teams in building world\-class analytics products. You will use your advanced program and process management expertise to drive timely product delivery and ensure strategic alignment across engineering, product, and design teams. This role is ideal for someone with a deep understanding of Agile, exceptional communication skills, and a proactive, solutions\-oriented mindset.
**Key Responsibilities**
* Own end\-to\-end delivery of complex, cross\-team product initiatives, ensuring alignment to company goals and deadlines.
* Collaborate with product, engineering, and design leads to define project scope, milestones, and deliverables.
* Drive Agile ceremonies, including sprint planning, retrospectives, and demos; facilitate quarterly planning across teams.
* Develop and maintain project artifacts including roadmaps, dashboards, risk registers, and status reports in JIRA and Confluence.
* Monitor key delivery metrics and proactively identify and mitigate risks, blockers, or delays.
* Champion best practices in delivery operations, team health, and continuous improvement.
* Mentor junior PDPMs and contribute to scaling delivery excellence across the organization.
**Required Qualifications**
* 8\+ years of relevant experience in program or project management in software development environments.
* Strong proficiency in Agile frameworks (Scrum, SAFe, Kanban) and product lifecycle management.
* Expertise in JIRA, Confluence, and related delivery tracking tools.
* Proven track record of delivering complex software projects on time and within scope.
* Excellent communication, facilitation, and relationship\-building skills.
**Preferred Qualifications**
* Agile or Scrum certification (CSM, PMI\-ACP, SAFe, etc.)
* Experience in enterprise SaaS or data analytics platforms.
* Familiarity with OKR planning and reporting.
**Compensation**
 Alteryx is committed to fair, equitable, and transparent compensation. Final compensation will be determined by various factors such as your relevant work experience, education, certifications, skills, and geographic location.
 The salary range for this role in the United States is $125,000 \- $160,000\.
 Employees may also be eligible for a wide range of other benefits, such as a bonus or commission, medical, retirement, financial, wellness, time off, employee discounts, and others.
***Interested? Learn more and apply today at alteryx.com/careers!***
 Find yourself checking a lot of these boxes but doubting whether you should apply? At Alteryx, we support a growth mindset for our associates through all stages of their careers. If you meet some of the requirements and you share our values, we encourage you to apply. As part of our ongoing commitment to a diverse, equitable, and inclusive workplace, we’re invested in building teams with a wide variety of backgrounds, identities, and experiences.
**Benefits \&amp; Perks**
 Alteryx has amazing benefits for all Associates which can be viewed here.
 For roles in San Francisco and Los Angeles: Pursuant to the San Francisco Fair Chance Ordinance and the Los Angeles Fair Chance Initiative for Hiring, Alteryx will consider for employment qualified applicants with arrest and conviction records.
 This position involves access to software/technology that is subject to U.S. export controls. Any job offer made will be contingent upon the applicant’s capacity to serve in compliance with U.S. export controls.</t>
        </is>
      </c>
    </row>
    <row r="126">
      <c r="A126" t="inlineStr">
        <is>
          <t>li-4371293381</t>
        </is>
      </c>
      <c r="B126" t="inlineStr">
        <is>
          <t>Technical Engineering Program Manager - Principal</t>
        </is>
      </c>
      <c r="C126" t="inlineStr">
        <is>
          <t>Hewlett Packard Enterprise</t>
        </is>
      </c>
      <c r="D126" t="inlineStr">
        <is>
          <t>linkedin</t>
        </is>
      </c>
      <c r="E126">
        <f>HYPERLINK("https://www.linkedin.com/jobs/view/4371293381", "https://www.linkedin.com/jobs/view/4371293381")</f>
        <v/>
      </c>
      <c r="F126" t="inlineStr"/>
      <c r="G126" t="inlineStr">
        <is>
          <t>Massachusetts, United States</t>
        </is>
      </c>
      <c r="H126" t="inlineStr"/>
      <c r="I126" t="inlineStr">
        <is>
          <t>This role has been designated as ‘Remote/Teleworker’, which means you will primarily work from home.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Join our team as a Technical Program Manager and play a pivotal role in modernizing engineering lab operations, managed services, and lab solutions. You will lead programs that enhance lab efficiency, reliability, and scalability—driving continuous improvement and operational excellence in a dynamic, fast\-paced technology environment. This role is deeply data\-driven, where operational analytics, insights, dashboards, and visualization are critical to success.
 You will design and define the program responsible for the development and rollout of a centralized lab infrastructure reservation system, ensuring coordinated planning, stakeholder alignment, and operational readiness. You will also program\-manage the rollout of engineering lab managed services and lab solutions, leveraging HPE Hybrid Cloud products and virtualization technologies, enabling the organization to “drink our own champagne.” This role requires close partnership with lab software engineering teams, strong cross\-functional leadership, and strategic vendor engagement.
 As a trusted lieutenant to the Director, you will orchestrate key initiatives, drive modernization across engineering labs, and lead the Management of Change (MoC) necessary for successful adoption of new systems, services, and operational models.
**JOB FAMILY DEFINITION**
 Provides support and/or leads teams through the engineering development process and implementation of the company’s products. Projects are typically shorter\-term and less complex. Programs are typically longer\-term, multi\-functional, multi\-project, and complex. Manages activities, resource capacity, schedules, budgets, and ensures cross\-company communication to facilitate product completion on schedule and within budget. Works with engineering leadership to identify and improve process and program efficiencies. Work may involve collaboration with external partners and standards bodies.
**MANAGEMENT LEVEL DEFINITION**
 Contributions have visible technical impact on a product or major subcomponent. Applies in\-depth professional knowledge and innovative ideas to solve complex problems. Contributions improve time\-to\-market, achieve cost reductions, or satisfy customer needs. Recognized internal authority on key technology areas. Provides technical leadership for significant program work, leads or participates in cross\-functional initiatives, and contributes to mentorship and knowledge sharing across the organization.
**Responsibilities**
* Designs and defines the program responsible for the development and rollout of a centralized reservation system for lab compute, storage, and networking infrastructure. Program\-manages the rollout of engineering lab managed services and lab solutions, ensuring broad stakeholder alignment and high\-quality delivery across engineering organizations.
* Leads the design and execution of a Management of Change (MoC) program to ensure stakeholder communication, awareness, readiness, and adoption of new systems, services, and processes.
* Defines, tracks, and communicates operational metrics, dashboards, and KPIs supporting transparency and data\-driven decisions.
* Works closely with lab software engineers to plan, coordinate, and integrate automation frameworks, provisioning workflows, and lab management services.
* Serves as the lieutenant to the Director, providing leadership leverage and driving strategy, execution, and operational clarity across the team.
* Manages vendor relationships delivering lab infrastructure solutions and managed services; evaluates capabilities and ensures alignment with organizational strategy.
* Leads multi\-functional programs for engineering development and implementation across products and service offerings.
* Directs program strategy, budgeting, resource allocation, and risk planning.
* Communicates program progress, risks, and recommendations to stakeholders; drives continuous improvement in processes and operational models.
* Integrates new technologies, automation capabilities, and innovation into engineering lab operations and managed service offerings.
* Reviews program plans for compliance with standards and provides actionable feedback.
* Mentors and guides less\-experienced staff members.
**Education And Experience Required**
* Bachelor’s or Master’s degree in Business Management, Engineering, Computer Science, or equivalent.\- PMP/PMI certification preferred.
* Typically 10\+ years of experience.
**Knowledge And Skills**
* Experience designing and developing project and program planning tools and software packages to manage and track project results.
* Proficiency with Confluence and JIRA for documentation, workflow management, and program visibility.
* Experience with SmartSheets for program planning and dashboards (optional / preferred)
* Knowledge of lab automation, including orchestration systems, provisioning workflows, infrastructure scheduling, and integration with lab services.
* Experience building and managing dashboards for operational metrics, KPIs, program health, and utilization using Power BI, SmartSheets, or similar tools.
* Knowledge and/or experience with Management of Change (MoC) methodologies supporting rollout of new systems, processes, managed services, and solutions.\- Excellent analytical and problem\-solving skills.
* Demonstrated business acumen and successful leadership of cross\-business unit programs, including vendor\-delivered managed services.
* History of innovation in technical or operational processes.\- Excellent written and verbal communication skills; mastery in English and local language.
* Ability to communicate program plans, architectures, and results effectively and negotiate options at business\-unit levels.
**Additional Skills**
 Accountability, Accountability, Action Planning, Active Learning, Active Listening, Agile Methodology, Agile Scrum Development, Analytical Thinking, Bias, Coaching, Creativity, Critical Thinking, Cross\-Functional Teamwork, Data Analysis Management, Data Collection Management (Inactive), Data Controls, Design, Design Thinking, Empathy, Follow\-Through, Group Problem Solving, Growth Mindset, Intellectual Curiosity (Inactive), Long Term Planning, Managing Ambiguity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**Job**
 Engineering
**Job Level**
 TCP\_05
 "The expected salary/wage range for this position is provided below. Actual offer may vary from this range based upon geographic location, work experience, education/training, and/or skill level.
 – United States of America: Annual Salary USD 142,000 \- 270,000 in Colorado // 153,500 \- 291,500 in Massachusetts
 The listed salary range reflects base salary. Variable incentives may also be offered."
 Information about employee benefits offered in the US can be found at https://myhperewards.com/main/new\-hire\-enrollment.html
 The estimated job application period closure is April 27 2026; this timeline is provided for transparency and internal planning purposes.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127">
      <c r="A127" t="inlineStr">
        <is>
          <t>li-4373388279</t>
        </is>
      </c>
      <c r="B127" t="inlineStr">
        <is>
          <t>AI Program Manager, Performance</t>
        </is>
      </c>
      <c r="C127" t="inlineStr">
        <is>
          <t>Jobs via Dice</t>
        </is>
      </c>
      <c r="D127" t="inlineStr">
        <is>
          <t>linkedin</t>
        </is>
      </c>
      <c r="E127">
        <f>HYPERLINK("https://www.linkedin.com/jobs/view/4373388279", "https://www.linkedin.com/jobs/view/4373388279")</f>
        <v/>
      </c>
      <c r="F127">
        <f>HYPERLINK("https://click.appcast.io/t/lAGDUWjhRigycR83PTdTc3DjqwTWZZOkwtD1iyzea_E=&amp;urlHash=b3Uu", "https://click.appcast.io/t/lAGDUWjhRigycR83PTdTc3DjqwTWZZOkwtD1iyzea_E=&amp;urlHash=b3Uu")</f>
        <v/>
      </c>
      <c r="G127" t="inlineStr">
        <is>
          <t>New York, NY</t>
        </is>
      </c>
      <c r="H127" t="inlineStr"/>
      <c r="I127" t="inlineStr">
        <is>
          <t>**Meta Platforms, Inc. (f/k/a Facebook, Inc.) has the following positions in New York, NY**
 AI Program Manager, Performance: Responsible for technical AI product development, integrating behavioral science into automated performance management systems. (ref. code REQ\-2601\-158502: $258,950/year to $294,800/year).
**Individual pay is determined by skills, qualifications, experience, and location. Compensation details listed in this posting reflect the base salary only, and do not include bonus or equity or sales incentives, if applicable. In addition to base salary, Meta offers benefits. Learn more about benefits at Meta at this link: https://www.metacareers.com/benefits. For full information \&amp; to apply online, visit us at the following website http://www.metacareers.com/jobs \&amp; search using the ref code(s) above.**</t>
        </is>
      </c>
    </row>
    <row r="128">
      <c r="A128" t="inlineStr">
        <is>
          <t>li-4374216151</t>
        </is>
      </c>
      <c r="B128" t="inlineStr">
        <is>
          <t>Assistant Vice President, Program Manager-Portfolio Solutions</t>
        </is>
      </c>
      <c r="C128" t="inlineStr">
        <is>
          <t>Ascot Group</t>
        </is>
      </c>
      <c r="D128" t="inlineStr">
        <is>
          <t>linkedin</t>
        </is>
      </c>
      <c r="E128">
        <f>HYPERLINK("https://www.linkedin.com/jobs/view/4374216151", "https://www.linkedin.com/jobs/view/4374216151")</f>
        <v/>
      </c>
      <c r="F128">
        <f>HYPERLINK("https://fa-emkq-saasfaprod1.fa.ocs.oraclecloud.com/hcmUI/CandidateExperience/en/job/871/?utm_medium=jobshare&amp;urlHash=oLI5", "https://fa-emkq-saasfaprod1.fa.ocs.oraclecloud.com/hcmUI/CandidateExperience/en/job/871/?utm_medium=jobshare&amp;urlHash=oLI5")</f>
        <v/>
      </c>
      <c r="G128" t="inlineStr">
        <is>
          <t>Phoenix, AZ</t>
        </is>
      </c>
      <c r="H128" t="inlineStr"/>
      <c r="I128" t="inlineStr">
        <is>
          <t>**Job Description**
 This is an opportunity to join Ascot Group \- one of the world’s preeminent specialty risk underwriting organizations.
 Designed as a modern\-era company operating through an ecosystem of interconnected global operating platforms, we’re bound by a common mission and purpose. Our greatest strength is a talented team who flourish in a collaborative, inclusive, and entrepreneurial culture, steeped in underwriting excellence, integrity, and a passion to find a better way,
 **The Ascot Way** 
 .
 The Ascot Way guides our people and our organization. Our underwriting platforms collaborate to find creative ways to deploy our capital in a true cross\-product and cross\-platform approach. These platforms work as one, deploying our capital creatively through our Client Centric, Risk Centric and Technology Centric strategies.
 Built to be resilient, Ascot offers clients leading financial security while delivering bespoke products and world class service — both pre\- and post\-claims. Ascot exists to solve for our clients’ brightest tomorrow, through agility, collaboration, resilience, and discipline.
**Position Overview**
 The
 **Assistant Vice President, Program Manager – Portfolio Solutions** 
 will support underwriting strategies and the P\&amp;L outcomes for the Portfolio Solutions Group (PSG). This underwriting division of Ascot U.S. focuses on establishing relationships with Program Managers and other aggregators and offers a variety of solutions to these customers including risk assumption, fronting and other related services.
**Responsibilities**
**Underwriting Strategy**
* Support PSG by identifying target specialty classes of business that complement our various direct underwriting operations and align with the desired mix of businesses between short, medium, and long tail business.
* Building a balanced portfolio across various specialty segments.
* Align to all reinsurance, operational, actuarial, risk and claims strategies and protocols.
**Distribution Management**
* Support the established distribution plan.
* Support the identification of target relationships and work to cultivate these in pursuit of growth objectives.
**Program Management**
* Participate in the due diligence process for new programs in co\-ordination with Project Manager.
* Support the establishment of client service standards at the inception of each portfolio opportunity.
* Negotiate and maintain all Program Management Agreements per Ascot standards.
* Conduct regular audits as per the agreed schedule with portfolio partners.
* Manage assigned referrals outside of delegated authorities. Such management may include collaboration with key underwriting personnel residing in other Ascot divisions.
* With the support of various Ascot teams, conduct regular portfolio analysis, peer review and measurement of key performance indicators as established at program inception.
* Summarize findings and implement underwriting strategies to maintain profit objectives.
* Establish and maintain a robust, efficient, and modern operating platform.
* Engage with Legal, IT, Claims, and other support services to ensure a robust operating platform in the due diligence, onboarding, and oversight phases.
* Commit to The Ascot Way: Embody The Ascot Way in their daily interaction with colleagues, fostering colleague engagement and development, collaboration, inclusivity, and individual accountability.
**Requirements**
* Strong underwriting and portfolio management skills.
* 7 plus years of experience in program/underwriting management.
* Experience with Casualty or Property required.
* Excellent communication, organizational and time\-management skills.
* A self\-starter, who is comfortable working independently and “rolling up their sleeves” and working collaboratively as a team.
* Strong analytic skills across core finance, actuarial concepts along with strong data skills.
* Ability to travel on business as needed.
* This position may be filled at a different level, depending on experience\*\*\*
**Compensation**
 Actual base pay could vary and may be above or below the listed range based on factors including but not limited to experience, subject matter expertise, and skills. The base pay is just one component of Ascot’s total compensation package for employees. Other rewards may include an annual cash bonus and other forms of discretionary compensation awarded by the Company.
* The annualized base pay range for this role is: $170,000 \- $190,000
**Company Benefits**
 The Company provides a competitive benefits package that includes the following (eligibility requirements apply):
 Health and Welfare Benefits: Medical (including prescription coverage), Dental, Vision, Health Savings Account, Commuter Account, Health Care and Dependent Care Flexible Spending Accounts, Life Insurance, AD\&amp;D, Work/Life Resources (including Employee Assistance Program), and more
 Leave Benefits: Paid holidays, annual Paid Time Off (includes paid state /local paid leave where required), Short\-term Disability, Long\-term Disability, Other leaves (e.g., Bereavement, FMLA, Adoption, Maternity, Military, Primary \&amp; Non\-Primary Caregiver)
 Retirement Benefits: Contributory Savings Plan (401k)
*Please be aware that Ascot Group’s job opportunities will be posted on our official careers page. All official communication comes from @ascotgroup.com email addresses, if you receive a job offer or recruitment communication from Ascot Group that you suspect might be fraudulent, do not hesitate to contact us directly to verify its legitimacy. We will never ask for payment or sensitive personal information during any stage of the recruitment process. Your privacy and trust are of utmost importance to us, and we strive to ensure that you have a positive experience with Ascot Group.*</t>
        </is>
      </c>
    </row>
    <row r="129">
      <c r="A129" t="inlineStr">
        <is>
          <t>li-4376510054</t>
        </is>
      </c>
      <c r="B129" t="inlineStr">
        <is>
          <t>CPE SETA_Program Manager II</t>
        </is>
      </c>
      <c r="C129" t="inlineStr">
        <is>
          <t>People, Technology &amp; Processes, LLC</t>
        </is>
      </c>
      <c r="D129" t="inlineStr">
        <is>
          <t>linkedin</t>
        </is>
      </c>
      <c r="E129">
        <f>HYPERLINK("https://www.linkedin.com/jobs/view/4376510054", "https://www.linkedin.com/jobs/view/4376510054")</f>
        <v/>
      </c>
      <c r="F129" t="inlineStr"/>
      <c r="G129" t="inlineStr">
        <is>
          <t>Aberdeen Proving Ground, MD</t>
        </is>
      </c>
      <c r="H129" t="inlineStr"/>
      <c r="I129" t="inlineStr">
        <is>
          <t>**Description**
**PWS Title:** 
 Program Manager II
**Clearance Type:** 
 TS/SCI
**Scope:** 
 Serve as a subject matter expert for Program Protection, Supply Chain Management, and Security Classification Guides based upon a comprehensive knowledge of principles and policies such as DoDI 5000\.02 and DoDI 5200\.39, pertinent laws, regulatory requirements and procedures applicable to each CPE IEW\&amp;S program management office, CPE IEW\&amp;S HQ staff, and other external organizations.
**Responsibilities (including But Not Limited To)**
* Experience in conducting technical reviews and requirement verification.
* Facilitate and lead program protection systems engineering teams in conducting Critical Functional Analysis and Critical Program Information (CPI) Assessments in order to identify Critical Components (CCs) and CPI.
* Facilitate and lead program protection teams in Threat Product Integration, Vulnerability Analysis, Risk Assessment, Countermeasures Selection, and development of Program Protection Plans to meet DoD Program Protection Requirements.
* Conduct technical reviews of security classification guides and make recommendations to CPE IEW\&amp;S for approval as Original Classification Authority.
* Perform independent risk analyses and advise CPE IEW\&amp;S on programs damage assessments and recommend courses of actions to mitigate damage to programs’ capabilities.
* Create program protection training curriculum and conduct annual training for select CPE IEW\&amp;S staff and subordinate program managers’ program protection leads.
**Qualifications**
**Required Qualifications:**
* Bachelor’s Degree.
* A minimum of eight (8\) years’ related work experience is required.</t>
        </is>
      </c>
    </row>
    <row r="130">
      <c r="A130" t="inlineStr">
        <is>
          <t>li-4376388891</t>
        </is>
      </c>
      <c r="B130" t="inlineStr">
        <is>
          <t>Traffic Safety Program Manager</t>
        </is>
      </c>
      <c r="C130" t="inlineStr">
        <is>
          <t>Inside Higher Ed</t>
        </is>
      </c>
      <c r="D130" t="inlineStr">
        <is>
          <t>linkedin</t>
        </is>
      </c>
      <c r="E130">
        <f>HYPERLINK("https://www.linkedin.com/jobs/view/4376388891", "https://www.linkedin.com/jobs/view/4376388891")</f>
        <v/>
      </c>
      <c r="F130">
        <f>HYPERLINK("https://jsv3.recruitics.com/redirect?rx_cid=804&amp;rx_jobId=3372489_rxr-7&amp;rx_url=https%3A%2F%2Fcareers.insidehighered.com%2Fjob%2F3372489%2Ftraffic-safety-program-manager%2F%3FTrackID%3D3%26rx_campaign%3DLinkedin1%26rx_ch%3Dconnector%26rx_group%3D501092%26rx_id%3D2f6ace7d-0b94-11f1-bb64-f5c3cd76bef0%26rx_job%3D3372489_rxr-7%26rx_medium%3Dpost%26rx_r%3Dnone%26rx_source%3Dlinkedinslot%26rx_ts%3D20260222T181207Z%26rx_vp%3Dslots%26utm_campaign%3Dlinkedinslot%26utm_source%3Dlinkedinslot&amp;urlHash=4UAB", "https://jsv3.recruitics.com/redirect?rx_cid=804&amp;rx_jobId=3372489_rxr-7&amp;rx_url=https%3A%2F%2Fcareers.insidehighered.com%2Fjob%2F3372489%2Ftraffic-safety-program-manager%2F%3FTrackID%3D3%26rx_campaign%3DLinkedin1%26rx_ch%3Dconnector%26rx_group%3D501092%26rx_id%3D2f6ace7d-0b94-11f1-bb64-f5c3cd76bef0%26rx_job%3D3372489_rxr-7%26rx_medium%3Dpost%26rx_r%3Dnone%26rx_source%3Dlinkedinslot%26rx_ts%3D20260222T181207Z%26rx_vp%3Dslots%26utm_campaign%3Dlinkedinslot%26utm_source%3Dlinkedinslot&amp;urlHash=4UAB")</f>
        <v/>
      </c>
      <c r="G130" t="inlineStr">
        <is>
          <t>Tallahassee, FL</t>
        </is>
      </c>
      <c r="H130" t="inlineStr"/>
      <c r="I130" t="inlineStr">
        <is>
          <t>**Join Our Team at Tallahassee State College**
**Traffic Safety Program Manager** 
**Opportunity**
 Tallahassee State College (TSC), recently recognized as one of the
 *Most Promising Places to Work in Community Colleges for 2025* 
 , is excited to announce a
 **full \-time,** 
**grant\-funded** 
 opening for the position of
 **Traffic Safety Program Manager** 
 with
 **Florida Department of Transportation/Contract and Grants** 
 . We are looking for someone who shares our commitment to fostering a vibrant workplace community.
**What You’ll Do**
 The
 **Traffic Safety Program Manager** 
 position is a grant funded position housed at the Florida Department of Transportation. The position reports directly to the Traffic Safety Administrator at the Florida Department of Transportation and is responsible for analyzing, directing, and monitoring highway safety countermeasure activities through traffic safety grant programs. You’ll have the chance to:
**Day\-to\-day, You’ll Be Responsible For**
* Coordinates and monitors sub\-recipients to ensure that program activities are implemented as intended by supporting the Traffic Safety Administrator in managing all sub\-grants within assigned program areas funded by the National Highway Traffic Safety Administration (NHTSA). Analyzes all program activities regularly to ensure that programs are effective and resources are allocated appropriately. Creates a monitoring schedule, conducting a preliminary visit to establish requirements and expectations when needed. Implements an ongoing, systematic monitoring and review of programs onsite and offsite to detect and correct problems quickly. Ensures that required reports have been submitted. Reviews reimbursement claim submissions for accuracy, completeness, as well as compliance with Florida Statutes, Florida Administrative Code, directives, policies, and procedures. Discusses any issues with sub\-recipients and correcting as needed. Includes extensive administrative work and in\-state travel, with some limited out\-of\-state travel.
* Plans subgrants by developing, implementing, and facilitating an overall plan for federally funded state and local grant programs and activities. Provides advice and assistance in the decision\-making process related to the section’s ability to accomplish its goals and objectives. Creates plans based on problem identification that considers research and traffic data to direct state and community resources toward effective countermeasures that address program defined traffic safety issues. Ensures that funding is allocated for specific data driven program needs driven towards self\-sufficiency when required. Assists in the development of the annual Highway Safety Plan and Annual Report.
* Provides consultation by assisting sub\-recipients, associates, and the general public on matters pertaining to program planning, evaluation, data analysis, and data development in assigned program areas. Serves as a resource to sub\-recipients. Represents and/or facilitates committees, coalitions, and task groups on behalf of the Florida Department of Transportation (FDOT). Establishes and maintains records/data by using the office’s tracking systems in a manner that is accurate, timely, reliable, and accessible; makes data available to all partners, either internal or external.
* Evaluates sub\-grants by measuring sub\-grants for progress in achieving established goals and objectives. Ensures appropriate data is being collected for evaluation. Performs a final review of sub\-grants to verify satisfactory progress has been made and uses evaluation results to report regularly to management and to guide further program activities. Represents FDOT in a positive way, facilitates state and local task forces as well as other traffic safety initiatives that are funded under the defined program area.
**Who We’re Looking For**
 We’re seeking a candidate who brings not only technical expertise but also a passion for education and student success. Our ideal candidate will have:
* A bachelor's degree from an accredited college or university level and field of study.
* Professional or paraprofessional experience with grants, contracts, or program management can substitute on a year for year experience for the degree. years or type of experience.
* Applicant must have a valid Driver License. or traits like leadership, communication, teamwork, etc.
**What We Offer**
 We offer more than just a competitive salary of
 **$53,000\.00 annually** 
 . When you join the team at TSC, you’ll also enjoy:
* Comprehensive State of Florida benefits, including retirement through the Florida Retirement System.
* Opportunities for professional development.
* A generous leave policy, including 11 federally paid holidays.
* Tuition waivers and tuition reimbursement programs for continuous learning.
* Free access to TSC athletics, fine arts, and performing arts events.
 Please visit the College's Benefits site to see the full list of benefits and opportunities.
**A Little About Us**
 Established in 1966, Tallahassee State College is dedicated to providing high\-quality educational opportunities for students from Leon, Gadsden, and Wakulla counties, as well as from throughout the state, nation, and abroad. TSC offers a wide range of academic and workforce training programs, including associate degrees, bachelor’s degrees, and in\-demand certifications. Consistently ranked as one of the top colleges in the nation, our vision is to be recognized as your
 *College of Choice* 
 .</t>
        </is>
      </c>
    </row>
    <row r="131">
      <c r="A131" t="inlineStr">
        <is>
          <t>li-4367949168</t>
        </is>
      </c>
      <c r="B131" t="inlineStr">
        <is>
          <t>Lead, Program Manager - Manufacturing Design</t>
        </is>
      </c>
      <c r="C131" t="inlineStr">
        <is>
          <t>L3Harris Technologies</t>
        </is>
      </c>
      <c r="D131" t="inlineStr">
        <is>
          <t>linkedin</t>
        </is>
      </c>
      <c r="E131">
        <f>HYPERLINK("https://www.linkedin.com/jobs/view/4367949168", "https://www.linkedin.com/jobs/view/4367949168")</f>
        <v/>
      </c>
      <c r="F131">
        <f>HYPERLINK("https://careers.l3harris.com/job/-/-/4832/91216675408?src=SNS-10240&amp;urlHash=hcG1", "https://careers.l3harris.com/job/-/-/4832/91216675408?src=SNS-10240&amp;urlHash=hcG1")</f>
        <v/>
      </c>
      <c r="G131" t="inlineStr">
        <is>
          <t>Huntsville, AL</t>
        </is>
      </c>
      <c r="H131" t="inlineStr"/>
      <c r="I13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Lead, Program Manager \- Manufacturing Design***
***Job Code: 33347***
***Job Location: Huntsville, AL, Orange, VA, Melbourne, FL \- OR \- Camden, AR
 Job Schedule: 9/80:***
***Employees work 9 out of every 14 days\- totaling 80 hours worked\- and have every other Friday off \- OR\-***
***4/10: Employees work 10 hour days, 4 days a week (Camden Only)***
**Job Description:**
 The Missile Solutions Segment of L3Harris is currently seeking a
 **Lead,** 
**Program Manager \- Manufacturing Design** 
 to lead Integrated Product Teams (IPTs) to design manufacturing processes and facility infrastructure as part of a large capacity expansion effort. In this role, you will lead and represent a cross\-functional, multi\-site team in developing and executing the next generation of solid rocket motor production. This role will be the primary interface with key team members to ensure alignment of Operations, Engineering, and Program and drive delivery of all objectives.
**Essential Functions:**
* Responsible for IPT’s execution of objectives within cost and schedule targets.
* Ensure timely delivery of product design, production, and validation to meet customer requirements.
* Develop management control systems to facilitate financial planning and cost analysis.
* Align IPT with key stakeholders across sites, functions and programs.
* Drive technical team to optimal designs and processes that maximize safety, quality, efficiency and factory utilization.
* Develop specifications for equipment and facilities to be constructed as part of a large expansion project.
* Commission factories and support ramp up to full\-rate production.
* Identify risks and develop mitigation strategies to address potential project delays or issues.
* Foster a collaborative environment to support problem\-solving and innovative solutions.
* Track and report on project progress, ensuring all milestones are met on time and within budget.
* Develop and manage project cost accounts, including budgeting, financial planning, and forecasting.
* Prepare cost estimates for new projects and validate cost models.
* Track project cost performance and analyze variances between actual and budgeted costs.
* Up to 25% business travel to other L3Harris and customer sites.
* Ability to obtain U.S. Secret Security Clearance.
**Qualifications:**
* Bachelor’s Degree with a minimum of 9 years of relevant program management or engineering experience, Graduate Degree with a minimum of 7 years of related program management or engineering experience, or 13 years of prior related program management or engineering experience in lieu of a degree.
* 3\+ years experience as Cost Account Manager (CAM).
* 2\+ years cross functional team leadership experience.
**Preferred Additional Skills:**
* Project Management Institute (PMI) certification.
* Experience with Solid Rocket Motor manufacturing.
* Project management experience.
* Experience with DoD contract execution.
* Proficient with Microsoft Office products (Project, Excel, PowerPoint, Word).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132">
      <c r="A132" t="inlineStr">
        <is>
          <t>li-4376504360</t>
        </is>
      </c>
      <c r="B132" t="inlineStr">
        <is>
          <t>CPE SETA_Program Manager II (Operations)</t>
        </is>
      </c>
      <c r="C132" t="inlineStr">
        <is>
          <t>People, Technology &amp; Processes, LLC</t>
        </is>
      </c>
      <c r="D132" t="inlineStr">
        <is>
          <t>linkedin</t>
        </is>
      </c>
      <c r="E132">
        <f>HYPERLINK("https://www.linkedin.com/jobs/view/4376504360", "https://www.linkedin.com/jobs/view/4376504360")</f>
        <v/>
      </c>
      <c r="F132" t="inlineStr"/>
      <c r="G132" t="inlineStr">
        <is>
          <t>Fayetteville, NC</t>
        </is>
      </c>
      <c r="H132" t="inlineStr"/>
      <c r="I132" t="inlineStr">
        <is>
          <t>**Description**
**Title:** 
 Program Manager II (Operations)
**Clearance Type:** 
 TS/SCI
**Scope:** 
 Provide programmatic and system operational support to CPE IEW\&amp;S in support of high priority exercises and demonstrations to include but not limited to Project Convergence, Defender, and MDO Live.
**Responsibilities (including But Not Limited To)**
* Provide subject matter expertise in coordination, planning, and execution of CPE IEW\&amp;S equipment and personnel involvement in high priority military exercises and demonstrations.
* Act as liaison for the CPE and associated PMs in meetings and planning events associated with these exercises.
* Be the CPE liaison on the ground during these events.
* Attend exercise planning meetings and communicate CPE IEW\&amp;S priorities to stakeholders.
* Coordinate with CPE and PM Leadership on planning and execution of these events and provide feedback on technical/operational issues, challenges, and opportunities associated with systems managed by CPE IEW\&amp;S.
* Prepare, review, and update the program documentation supporting the acquisition process to include: documents required by laws, regulations, directives, and policies such as the U.S. Code Title 10 DODD 5000\.01, DoDI 5000\.02, DoDI 8500\.01 (Cybersecurity), DoDI 8510\.01 RMF for DoD, Information IT), and AR 70\-1\.
**Qualifications**
**Required Qualifications:**
* Bachelor’s Degree.
* A minimum of ten (10\) years’ related work experience is required.</t>
        </is>
      </c>
    </row>
    <row r="133">
      <c r="A133" t="inlineStr">
        <is>
          <t>li-4373785077</t>
        </is>
      </c>
      <c r="B133" t="inlineStr">
        <is>
          <t>Data Center Operations Program Manager, JoinOCI</t>
        </is>
      </c>
      <c r="C133" t="inlineStr">
        <is>
          <t>Oracle</t>
        </is>
      </c>
      <c r="D133" t="inlineStr">
        <is>
          <t>linkedin</t>
        </is>
      </c>
      <c r="E133">
        <f>HYPERLINK("https://www.linkedin.com/jobs/view/4373785077", "https://www.linkedin.com/jobs/view/4373785077")</f>
        <v/>
      </c>
      <c r="F133" t="inlineStr"/>
      <c r="G133" t="inlineStr">
        <is>
          <t>Abilene, TX</t>
        </is>
      </c>
      <c r="H133" t="inlineStr"/>
      <c r="I133" t="inlineStr">
        <is>
          <t>**Job Description**
**Job Summary:**
 The Program Manager is responsible for planning, executing, and closing multiple interrelated projects within the organization. This role partners with cross\-functional teams—including engineering, product management, operations, and executive leadership—to deliver complex programs on time, within scope, and within budget. The successful candidate will possess strong leadership, organizational, and communication skills, ensuring program objectives align with corporate strategy.
**Key Responsibilities:**
* Define program scope, goals, and deliverables in collaboration with stakeholders.
* Develop detailed program plans, schedules, and resource allocations.
* Coordinate cross\-project activities and ensure effective collaboration between project teams.
* Identify and manage dependencies, risks, and issues, implementing mitigation strategies as necessary.
* Serve as the primary point of contact for program status, communicating progress and potential roadblocks to stakeholders and executive sponsors.
* Drive program reviews and ensure alignment with business objectives and compliance requirements.
* Foster a culture of continuous improvement, leveraging data to improve program outcomes.
* Manage budgets and ensure efficient use of resources across assigned programs.
* Track and report program metrics, KPIs, and overall performance.
* Mentor and guide project managers and junior team members.
**Qualifications:**
* Bachelor’s degree in Business, Engineering, Computer Science, or a related field; advanced degree preferred.
* 6\+ years of program or project management experience in a technology or enterprise environment.
* Strong familiarity with project management software and methodologies (e.g., Agile, Waterfall, hybrid).
* Proven experience managing complex, multi\-disciplinary programs.
* Excellent communication, negotiation, and stakeholder management skills.
* PMP or similar project management certification is an advantage.
* Demonstrated ability to lead teams and deliver results in a fast\-paced, matrixed organization.
**Additional Information:**
* Some roles may require travel based on program needs.
* This position may require handling confidential and sensitive information; strong ethics and adherence to company compliance and security guidelines are essential.
**Responsibilities**
 Identifies, prioritizes, and successfully executes a broad portfolio of functional initiatives and programs. Plans and directs schedules for multiple programs running simultaneously. Partners closely with global cross\-functional teams to understand and capture requirements for programs. Navigates complex dependencies between cross\-functional teams and organizational priorities to optimize the critical path and addresses \&amp; mitigates risks. Effectively influences internal and external teams to prioritize; Drives mitigation plans and ensures ownership for each item and regular follow up through to program closure while ensuring resolution of risk and issues, escalating, as necessary. Provides rigorous management and analysis of overall portfolio budget (including spend and forecasted spend vs. budget, spend per program and historical trends, etc.). Establishes scalable frameworks (process, tools, etc.) for the end\-to\-end project and manages stakeholders applying project management standards and documentation best practices. Runs standups and sprint planning exercises for programs owned. Builds and maintains consistent reporting across numerous programs. Determines methods and procedures on new assignments and may coordinate activities of other personnel. Performs other duties as assigned.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34">
      <c r="A134" t="inlineStr">
        <is>
          <t>li-4373664444</t>
        </is>
      </c>
      <c r="B134" t="inlineStr">
        <is>
          <t>Program Manager - Oracle ERP Cloud / EBS</t>
        </is>
      </c>
      <c r="C134" t="inlineStr">
        <is>
          <t>Jobs via Dice</t>
        </is>
      </c>
      <c r="D134" t="inlineStr">
        <is>
          <t>linkedin</t>
        </is>
      </c>
      <c r="E134">
        <f>HYPERLINK("https://www.linkedin.com/jobs/view/4373664444", "https://www.linkedin.com/jobs/view/4373664444")</f>
        <v/>
      </c>
      <c r="F134" t="inlineStr"/>
      <c r="G134" t="inlineStr">
        <is>
          <t>Durham, NC</t>
        </is>
      </c>
      <c r="H134" t="inlineStr"/>
      <c r="I134" t="inlineStr">
        <is>
          <t>Our Client is seeking a Technical Program Manager with Oracle ERP Cloud/EBS experience who will own the technology roadmap supporting Finance, ensuring alignment between business goals and technology delivery. The ideal candidate will bridge finance domain expertise with technology delivery discipline, serving simultaneously as a trusted advisor to Finance leadership and the product owner for the technology delivery team. This individual will be responsible for understanding the Finance and Accounting book of work, prioritizing initiatives, driving execution, managing dependencies, and communicating progress across stakeholders.
**Primary Responsibilities**
* Ensure alignment across business and technology initiatives.
* Develop and maintain a multi\-year Finance Technology roadmap, integrating business priorities, system enhancements, and process improvements.
* Serve as product owner for the Finance technology delivery team, managing the backlog, defining requirements, and ensuring high\-quality delivery.
* Provide governance and oversight across projects, ensuring transparency, accountability, and timely delivery.
* Translate Finance business requirements into technical specifications and coordinate development, testing, and deployment with engineering teams.
* Advise Finance stakeholders on technology best practices, data strategy, and process automation opportunities.
* Manage vendor relationships and integrations related to Finance systems, including ERP and ancillary applications.
**Required Qualification And Experience**
* 10\+ years of experience in a technical, program management, or product ownership role within financial services or a corporate finance environment.
* 5\+ years leading software engineering teams
* Experience with Oracle ERP Cloud or Oracle E\-Business Suite, particularly in Finance and Accounting modules.
* Deep understanding of Finance and Accounting processes\-such as General Ledger, Accounts Payable/Receivable, Financial Reporting, and Consolidations.
* Proven experience developing and executing technology roadmaps and managing complex project portfolios.
* Strong understanding of software development lifecycles (Agile, Waterfall, or hybrid) and enterprise technology environments.
* Exceptional communication and stakeholder management skills\-able to bridge the gap between finance users and technical teams.
* Bachelor's degree in computer science, Information Systems, Finance, or a related discipline.
* Familiarity with enterprise data architectures, financial data models, and reporting solutions (e.g., Power BI, Tableau, Oracle Analytics).
 To be considered, email resumes in the MS Word format with annual W2 salary requirements to work onsite in Durham, NC. Selected candidate must be willing to submit to a pre\-employment, post\-offer background check and drug test.
**Job Type \&amp; Location**
 This is a Permanent position based out of Durham, NC.
**Pay And Benefits**
 The pay range for this position is $110000\.00 \- $180000\.00/yr.
 Supportive, inclusive, and collaborative work culture Competitive compensation and bonus opportunities Career development and leadership training programs Tuition reimbursement and professional certifications Comprehensive medical, dental, and vision plans with generous HSA contribution 401(k) with employer match 100\+ years of success and stability in a global organization Commitment to ESG, community giving, and sustainability
**Workplace Type**
 This is a hybrid position in Durham,NC.
**Application Deadline**
 This position is anticipated to close on Mar 3,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2026-02-22T22:18:14Z</dcterms:created>
  <dcterms:modified xsi:type="dcterms:W3CDTF">2026-02-22T22:18:14Z</dcterms:modified>
</cp:coreProperties>
</file>