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in-3deab8c7f0f42d5a</t>
        </is>
      </c>
      <c r="B2" t="inlineStr">
        <is>
          <t>Lead Graph Data Engineer</t>
        </is>
      </c>
      <c r="C2" t="inlineStr">
        <is>
          <t>Wells Fargo</t>
        </is>
      </c>
      <c r="D2" t="inlineStr">
        <is>
          <t>indeed</t>
        </is>
      </c>
      <c r="E2" t="inlineStr"/>
      <c r="F2" t="inlineStr"/>
      <c r="G2" t="inlineStr">
        <is>
          <t>Iselin, NJ, US</t>
        </is>
      </c>
      <c r="H2" s="1" t="n">
        <v>46072</v>
      </c>
      <c r="I2" t="inlineStr">
        <is>
          <t>**About this role:**  
Wells Fargo is seeking a **Lead Graph Data Engineer** within the Fraud and Claims Technology organization. This role is central to building and expanding our enterprise graph database platform, which is used to uncover complex relationships that strengthen fraud detection and claims insights.  
You will lead the design and engineering of secure, compliant, and high performing data solutions. Your work will focus on graph data modeling, large scale data pipelines, and platform optimization across hybrid or cloud environments. With your background in database engineering and experience with graph technologies, you will help shape our analytics architecture, improve data governance, and turn connected data into meaningful intelligence that supports the bank's fraud defense strategy.  
**In this role, you will:*** Lead complex initiatives with broad impact and act as key participant in large scale software planning for the Technology area
* Design, develop, and run tooling to discover problems in data and applications and report the issues to engineering and product leadership
* Review and analyze complex software enhancement initiatives for business, operational or technical improvements that require in depth evaluation of multiple factors including intangibles or unprecedented factors
* Make decisions in complex and multi\-faceted data engineering situations requiring understanding of software package options and programming language and compliance requirements that influence and lead Technology to meet deliverables and drive organizational change
* Strategically collaborate and consult with internal partners to resolve highly risky data engineering challenges
**Required Qualifications:*** 5\+ years of Database Engineering experience, or equivalent demonstrated through one or a combination of the following: work experience, training, military experience, education
* 4\+ years of experience with enterprise\-scale data architecture and governance, including designing secure, compliant, and optimized data analytics platform across hybrid or cloud environments
* 2\+ years of experience with Graph database design Neo4j or similar
**Desired Qualifications:*** Fraud Technology experience
* Strong technical background across: PySpark, Spark, Hadoop, Hive, ETL/ELT tools (Informatica, Ansible etc.)
* SQL \&amp; NoSQL databases (SQL, Oracle, PostgreSQL, MongoDB)
**Job Expectations:*** Must be able to work onsite in one of the posted locations
**Pay Range**  
Reflected is the base pay range offered for this position. Pay may vary depending on factors including but not limited to demonstrated examples of prior performance, skills, experience, or work location. Employees may also be eligible for incentive opportunities.  
$119,000\.00 \- $224,000\.00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25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3">
      <c r="A3" t="inlineStr">
        <is>
          <t>in-80f3bf18ae96c8e1</t>
        </is>
      </c>
      <c r="B3" t="inlineStr">
        <is>
          <t>Lead Graph Data Engineer</t>
        </is>
      </c>
      <c r="C3" t="inlineStr">
        <is>
          <t>Wells Fargo</t>
        </is>
      </c>
      <c r="D3" t="inlineStr">
        <is>
          <t>indeed</t>
        </is>
      </c>
      <c r="E3" t="inlineStr"/>
      <c r="F3" t="inlineStr"/>
      <c r="G3" t="inlineStr">
        <is>
          <t>Irving, TX, US</t>
        </is>
      </c>
      <c r="H3" s="1" t="n">
        <v>46072</v>
      </c>
      <c r="I3" t="inlineStr">
        <is>
          <t>**About this role:**  
Wells Fargo is seeking a **Lead Graph Data Engineer** within the Fraud and Claims Technology organization. This role is central to building and expanding our enterprise graph database platform, which is used to uncover complex relationships that strengthen fraud detection and claims insights.  
You will lead the design and engineering of secure, compliant, and high performing data solutions. Your work will focus on graph data modeling, large scale data pipelines, and platform optimization across hybrid or cloud environments. With your background in database engineering and experience with graph technologies, you will help shape our analytics architecture, improve data governance, and turn connected data into meaningful intelligence that supports the bank's fraud defense strategy.  
**In this role, you will:*** Lead complex initiatives with broad impact and act as key participant in large scale software planning for the Technology area
* Design, develop, and run tooling to discover problems in data and applications and report the issues to engineering and product leadership
* Review and analyze complex software enhancement initiatives for business, operational or technical improvements that require in depth evaluation of multiple factors including intangibles or unprecedented factors
* Make decisions in complex and multi\-faceted data engineering situations requiring understanding of software package options and programming language and compliance requirements that influence and lead Technology to meet deliverables and drive organizational change
* Strategically collaborate and consult with internal partners to resolve highly risky data engineering challenges
**Required Qualifications:*** 5\+ years of Database Engineering experience, or equivalent demonstrated through one or a combination of the following: work experience, training, military experience, education
* 4\+ years of experience with enterprise\-scale data architecture and governance, including designing secure, compliant, and optimized data analytics platform across hybrid or cloud environments
* 2\+ years of experience with Graph database design Neo4j or similar
**Desired Qualifications:*** Fraud Technology experience
* Strong technical background across: PySpark, Spark, Hadoop, Hive, ETL/ELT tools (Informatica, Ansible etc.)
* SQL \&amp; NoSQL databases (SQL, Oracle, PostgreSQL, MongoDB)
**Job Expectations:*** Must be able to work onsite in one of the posted locations
**Pay Range**  
Reflected is the base pay range offered for this position. Pay may vary depending on factors including but not limited to demonstrated examples of prior performance, skills, experience, or work location. Employees may also be eligible for incentive opportunities.  
$119,000\.00 \- $224,000\.00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25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4">
      <c r="A4" t="inlineStr">
        <is>
          <t>in-42630b9e4e38e9d7</t>
        </is>
      </c>
      <c r="B4" t="inlineStr">
        <is>
          <t>Lead Graph Data Engineer</t>
        </is>
      </c>
      <c r="C4" t="inlineStr">
        <is>
          <t>Wells Fargo</t>
        </is>
      </c>
      <c r="D4" t="inlineStr">
        <is>
          <t>indeed</t>
        </is>
      </c>
      <c r="E4" t="inlineStr"/>
      <c r="F4" t="inlineStr"/>
      <c r="G4" t="inlineStr">
        <is>
          <t>Charlotte, NC, US</t>
        </is>
      </c>
      <c r="H4" s="1" t="n">
        <v>46072</v>
      </c>
      <c r="I4" t="inlineStr">
        <is>
          <t>**About this role:**  
Wells Fargo is seeking a **Lead Graph Data Engineer** within the Fraud and Claims Technology organization. This role is central to building and expanding our enterprise graph database platform, which is used to uncover complex relationships that strengthen fraud detection and claims insights.  
You will lead the design and engineering of secure, compliant, and high performing data solutions. Your work will focus on graph data modeling, large scale data pipelines, and platform optimization across hybrid or cloud environments. With your background in database engineering and experience with graph technologies, you will help shape our analytics architecture, improve data governance, and turn connected data into meaningful intelligence that supports the bank's fraud defense strategy.  
**In this role, you will:*** Lead complex initiatives with broad impact and act as key participant in large scale software planning for the Technology area
* Design, develop, and run tooling to discover problems in data and applications and report the issues to engineering and product leadership
* Review and analyze complex software enhancement initiatives for business, operational or technical improvements that require in depth evaluation of multiple factors including intangibles or unprecedented factors
* Make decisions in complex and multi\-faceted data engineering situations requiring understanding of software package options and programming language and compliance requirements that influence and lead Technology to meet deliverables and drive organizational change
* Strategically collaborate and consult with internal partners to resolve highly risky data engineering challenges
**Required Qualifications:*** 5\+ years of Database Engineering experience, or equivalent demonstrated through one or a combination of the following: work experience, training, military experience, education
* 4\+ years of experience with enterprise\-scale data architecture and governance, including designing secure, compliant, and optimized data analytics platform across hybrid or cloud environments
* 2\+ years of experience with Graph database design Neo4j or similar
**Desired Qualifications:*** Fraud Technology experience
* Strong technical background across: PySpark, Spark, Hadoop, Hive, ETL/ELT tools (Informatica, Ansible etc.)
* SQL \&amp; NoSQL databases (SQL, Oracle, PostgreSQL, MongoDB)
**Job Expectations:*** Must be able to work onsite in one of the posted locations
**Pay Range**  
Reflected is the base pay range offered for this position. Pay may vary depending on factors including but not limited to demonstrated examples of prior performance, skills, experience, or work location. Employees may also be eligible for incentive opportunities.  
$119,000\.00 \- $224,000\.00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25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5">
      <c r="A5" t="inlineStr">
        <is>
          <t>in-efa38a521927431c</t>
        </is>
      </c>
      <c r="B5" t="inlineStr">
        <is>
          <t>Senior Data Engineer (001601)</t>
        </is>
      </c>
      <c r="C5" t="inlineStr">
        <is>
          <t>Wells Fargo</t>
        </is>
      </c>
      <c r="D5" t="inlineStr">
        <is>
          <t>indeed</t>
        </is>
      </c>
      <c r="E5" t="inlineStr"/>
      <c r="F5" t="inlineStr"/>
      <c r="G5" t="inlineStr">
        <is>
          <t>Irving, TX, US</t>
        </is>
      </c>
      <c r="H5" s="1" t="n">
        <v>46072</v>
      </c>
      <c r="I5" t="inlineStr">
        <is>
          <t>At Wells Fargo, we want to satisfy our customers' financial needs and help them succeed financially. We're looking for talented people who will put our customers at the center of everything we do.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Wells Fargo Bank N.A. seeks a **Senior Data Engineer** in Irving, TX.  
**Job Role and Responsibility:**  
Lead moderately complex initiatives within Technology and contribute to large scale data processing framework initiatives related to enterprise strategy deliverables. Build and maintain optimized and highly available data pipelines that facilitate deeper analysis and reporting. Review and analyze moderately complex business, operational or technical challenges that require an in\-depth evaluation of variable factors. Oversee the data integration work, including developing a data model, maintaining a data warehouse and analytics environment, and writing scripts for data integration and analysis. Resolve moderately complex issues and lead teams to meet data engineering deliverables while leveraging solid understanding of data information policies, procedures, and compliance requirements. Collaborate and consult with colleagues and managers to resolve data engineering issues and achieve strategic goals.  
**Travel required:** None.  
**Required Qualifications**:  
**Degree required:** Bachelor's degree in Computer Information Systems, Information Technology, or related technical field. Foreign degree equivalent accepted. Employer will accept a 3 year or 4 year Bachelor degree.  
**Amount and type of experience required:** Five (5\) years of experience in the job offered or in a related position involving application development and implementation experience.  
**Specific skills required:*** 5 years of ETL (Extract, Transform, Load) Programming experience
* 4 years of experience in data warehouse and data analytics capabilities on big data architecture
* 4 years of Agile experience
* **3** years of SQL experience
* **2** years of Hadoop experience
* 2 years of design and development experience using Scala, Java, Python or Data Frames with Resilient Distributed Datasets (RDDs)
* 2 years of experience in real\-time batch data ingestion, processing, and provisioning such as Apache Kafka or Apache Sqoop
**Posting End Date:**
6 Mar 2026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6">
      <c r="A6" t="inlineStr">
        <is>
          <t>in-773320468894cf98</t>
        </is>
      </c>
      <c r="B6" t="inlineStr">
        <is>
          <t>Data Engineer - Databricks</t>
        </is>
      </c>
      <c r="C6" t="inlineStr">
        <is>
          <t>Steampunk</t>
        </is>
      </c>
      <c r="D6" t="inlineStr">
        <is>
          <t>indeed</t>
        </is>
      </c>
      <c r="E6" t="inlineStr"/>
      <c r="F6" t="inlineStr"/>
      <c r="G6" t="inlineStr">
        <is>
          <t>McLean, VA, US</t>
        </is>
      </c>
      <c r="H6" s="1" t="n">
        <v>46071</v>
      </c>
      <c r="I6" t="inlineStr">
        <is>
          <t>Overview:
We are looking for seasoned **Data Engineer** to work with our team and our clients to develop enterprise grade data platforms, services, and pipelines. We are looking for more than just a "Data Engineer", but a technologist with excellent communication and customer service skills and a passion for data and problem solving.
Contributions:
* Lead and architect data pipelines and ingest patterns to move raw data from data producers to an enterprise data ecosystem, with a focus on performance and reliability
* Assess and understand the ETL jobs, workflows, BI tools, and reports
* Address technical inquiries concerning customization, integration, enterprise architecture and general feature / functionality of data products
* Experience in crafting database / data warehouse solutions in cloud (Preferably AWS. Alternatively Azure, GCP).
* Key must have skill sets – Python, SQL, Databricks, AWS Data Services
* Support an Agile software development lifecycle
* You will contribute to the growth of our Data Exploitation Practice!
Qualifications:
* Ability to hold a position of public trust with the US government.
* Bachelor’s Degree and 6\+ years of total experience or equivalent experience and education.
* 6\+ years direct experience in Data Engineering with experience in tools such as:
* + Big data tools: Hadoop, Spark, Kafka, etc.
	+ Relational SQL and NoSQL databases, including Postgres and Cassandra.
	+ Data pipeline and workflow management tools: Azkaban, Luigi, Airflow, etc.
	+ AWS cloud services: EC2, S3, RDS, Glue, Step Functions, Lamda, EMR, DynamoDB, DocumentDB, Redshift, Aurora, Athena
	+ Data Platforms: Databricks, Snowflake
	+ Data streaming systems: Kafka, Storm, Spark\-Streaming, etc.
	+ Languages: Python, R, Scala, Go
* Ability to inspect existing data pipelines, discern their purpose and functionality, and re\-implement them efficiently in Databricks.
* Advanced working SQL knowledge and experience working with relational databases
* Advanced working knowledge and of NoSQL databases
* Experience with message queuing, stream processing, and highly scalable ‘big data’ data stores.
* Experience manipulating, processing, and extracting value from large, disconnected datasets.
* Experience manipulating structured and unstructured data for analysis.
* Experience with data modeling tools and processes.
* Experience aggregating and transforming data from multiple datasets to create data products
* Experience working in an Agile environment
About **steampunk**:
Steampunk relies on several factors to determine salary, including but not limited to geographic location, contractual requirements, education, knowledge, skills, competencies, and experience. The projected compensation range for this position is $110,000 to $160,000\. The estimate displayed represents a typical annual salary range for this position. Annual salary is just one aspect of Steampunk’s total compensation package for employees. Learn more about additional Steampunk benefits here. **Identity Statement**
As part of the application process, you are expected to be on camera during interviews and assessments. We reserve the right to take your picture to verify your identity and prevent fraud.  
Steampunk is a **Change Agent** in the Federal contracting industry, bringing new thinking to clients in the Homeland, Federal Civilian, Health and DoD sectors. Through our **Human\-Centered delivery methodology**, we are fundamentally changing the expectations our Federal clients have for true shared accountability in solving their toughest mission challenges. As an **employee owned company**,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t>
        </is>
      </c>
    </row>
    <row r="7">
      <c r="A7" t="inlineStr">
        <is>
          <t>in-dda066b05c12503e</t>
        </is>
      </c>
      <c r="B7" t="inlineStr">
        <is>
          <t>Financial Data Engineer</t>
        </is>
      </c>
      <c r="C7" t="inlineStr">
        <is>
          <t>Concora Credit</t>
        </is>
      </c>
      <c r="D7" t="inlineStr">
        <is>
          <t>indeed</t>
        </is>
      </c>
      <c r="E7" t="inlineStr"/>
      <c r="F7" t="inlineStr"/>
      <c r="G7" t="inlineStr">
        <is>
          <t>Beaverton, OR, US</t>
        </is>
      </c>
      <c r="H7" s="1" t="n">
        <v>46071</v>
      </c>
      <c r="I7" t="inlineStr">
        <is>
          <t>Overview:
**As a** **Financial Data Engineer, you’ll help drive Concora Credit’s Mission to enable customers to Do More with Credit – every single day.**
 **The impact you’ll have at Concora Credit:**
As a Financial Data Engineer, your primary role will be to build and optimize foundational data marts and reporting packages, become an expert on how Finance utilizes data, and find areas to improve business processes that support reporting and analysis across the Finance Department. You will also partner with non\-data users to deliver solutions by understanding the underlying data and its usage.  
With the support of subject matter experts and other senior engineers, this role will combine the technical skills of data engineering with internal business knowledge to build end\-to\-end data pipeline architecture, data flows, data transformations, and clear documentation.  
This position offers growth opportunities with a heightened level of independence for someone passionate about understanding how data is used, creating optimized processes, and testing and improving data pipelines.  
We hire people, not positions. That's because, at Concora Credit, we put people first, including our customers, partners, and Team Members. Concora Credit is guided by a single purpose: to help non\-prime customers *do more* with credit. Today, we have helped millions of customers access credit. Our industry leadership, resilience, and willingness to adapt ensure we can help our partners responsibly say yes to millions more. As a company grounded in entrepreneurship, we're looking to expand our team and are looking for people who foster innovation, strive to make an impact, and want to Do More! We’re an established company with over 20 years of experience, but now we’re taking things to the next level. We're seeking someone who wants to impact the business and play a pivotal role in leading the charge for change.
Responsibilities:
**As our Financial Data Engineer, you** **will:**
* Create and manage large, complex data sets that meet business requirements and serve as the foundation behind analytics and management reporting, informing critical decision\-making across the Finance Department.
* Partner with non\-data users to deliver solutions by becoming an expert on our financial data.
* Create and maintain optimal data pipeline architecture, including optimal extraction, transformation, and loading of data, leveraging Databricks notebooks, Apache Spark (SQL, Python, Scala), and other Microsoft Azure or open\-source tools as required, with support of Engineers and Sr. Engineers.
* Maintain high\-quality documentation about data structures in the shared data governance tool for the business to access.
* Become an expert on the complete data cycle for finance from ingestion to reporting.
* Identify, design, and implement internal process improvements: automating manual processes, optimizing data delivery, etc.
* Assist in the creation and development of reports or dashboards by building scalable, high\-quality data sets.
**These duties must be performed with or without reasonable accommodation.**  
We know experience comes in many forms and that many skills are transferable. If your experience is close to what we're looking for, consider applying. Diversity has made us the entrepreneurial and innovative company that we are today.
Qualifications:
**Requirements:**
* Bachelor’s Degree in Computer Science, Mathematics, Engineering, or similar field OR Equivalent professional experience.
* Experience with the following tools: SQL or relational databases, Python, data pipeline management such as SSIS, Azure Data Factory, or Apache Spark for batch and streaming.
* Experience building and optimizing data pipelines, architectures, and data sets.
* Experience performing root cause analysis on internal and external data and processes to answer specific business questions and identify opportunities for improvement.
* Quick learner with intellectual curiosity to understand a dynamic and complex business.
* Strong attention to detail and ability to self\-review work products are critical.
* Excellent written and verbal communication skills, including the ability to communicate with senior executives.
* Able to handle and prioritize multiple tasks simultaneously and deliver results in a timely manner.
**Preferred Qualifications:*** Experience with Financial Services companies is preferred but not required.
* 2\+ years of experience in a Data Engineer role.
**What’s In It For You:*** Medical, Dental and Vision insurance for you and your family
* Relax and recharge with Paid Time Off (PTO)
* 6 company\-observed paid holidays, plus 3 paid floating holidays
* 401k (after 90 days) plus employer match up to 4%
* Pet Insurance for your furry family members
* Wellness perks including onsite fitness equipment at both locations, EAP, and access to the Headspace App
* We invest in your future through Tuition Reimbursement
* Save on taxes with Flexible Spending Accounts
* Peace of mind with Life and AD\&amp;D Insurance
* Protect yourself with company\-paid Long\-Term Disability and voluntary Short\-Term Disability
Concora Credit provides equal employment opportunities to all Team Members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Employment\-based visa sponsorship is not available for this role.  
Concora Credit is an equal opportunity employer (EEO).  
Please see the Concora Credit Privacy Policy for more information on how Concora Credit processes your personal information during the recruitment process and, if applicable, based on your location, how you can exercise your privacy rights. If you have questions about this privacy notice or need to contact us in connection with your personal data, including any requests to exercise your legal rights referred to at the end of this notice, please contact caprivacynotice@concoracredit.com.</t>
        </is>
      </c>
    </row>
    <row r="8">
      <c r="A8" t="inlineStr">
        <is>
          <t>in-c8c1094cf7940264</t>
        </is>
      </c>
      <c r="B8" t="inlineStr">
        <is>
          <t>Data Engineer, AWS DC Central Operations</t>
        </is>
      </c>
      <c r="C8" t="inlineStr">
        <is>
          <t>Amazon.com</t>
        </is>
      </c>
      <c r="D8" t="inlineStr">
        <is>
          <t>indeed</t>
        </is>
      </c>
      <c r="E8" t="inlineStr"/>
      <c r="F8" t="inlineStr"/>
      <c r="G8" t="inlineStr">
        <is>
          <t>Seattle, WA, US</t>
        </is>
      </c>
      <c r="H8" s="1" t="n">
        <v>46071</v>
      </c>
      <c r="I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As a Data Engineer on our team, you'll work with technologies and complex data environments. You'll be responsible for enhancing our existing data architecture to further standardize metrics and definitions, developing end\-to\-end data engineering solutions for complex analytical problems, and collaborating with business intelligence engineer, and software engineers to translate data into actionable insights.  
Our Data Engineers build the ETL and analytics solutions for our internal customers to answer questions with data and drive critical improvements for the business. Our Data Engineers use best practices in software engineering, data management, data storage, data compute, and distributed systems. We are passionate about solving business problems with data!  
Key job responsibilities  
* Develop and maintain automated ETL pipelines (with monitoring) using scripting languages such as Python, Spark, SQL and AWS services such as S3, Glue, Lambda, SNS, SQS, KMS.
* Implement and support reporting and analytics infrastructure for internal business customers.
* Develop and maintain data security and permissions solutions for enterprise scale data warehouse and data lake implementations including data encryption and database user access controls and logging.
* Develop data objects for business analytics using data modeling techniques.
* Develop and optimize data warehouse and data lake tables using best practices for DDL, physical and logical tables, data partitioning, compression, and parallelization.
* Develop and maintain data warehouse and data lake metadata, data catalog, and user documentation for internal business customers.
* Work with internal business customers and software development teams to gather and document requirements for data publishing and data consumption via data warehouse, data lake, and analytics solutions.
A day in the life  
Imagine a day where you're not just managing data, but crafting intelligent systems that tell compelling stories. You'll dive into intricate data landscapes, designing pipelines that seamlessly connect AWS Data Center datasets, optimize performance, and unlock hidden patterns. Your work will involve:  
* Exploring innovative data transformation techniques
* Developing intelligent, automated reporting solutions
* Collaborating with cross\-functional teams to solve complex analytical challenges
* Researching emerging technologies that could revolutionize our data strategy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**BASIC QUALIFICATIONS**
------------------------
* 3\+ years of data engineering experience
* Experience with data modeling, warehousing and building ETL pipelines
* Knowledge of professional software engineering \&amp; best practices for full software development life cycle, including coding standards, software architectures, code reviews, source control management, continuous deployments, testing, and operational excellence
**PREFERRED QUALIFICATIONS**
----------------------------
* Experience with non\-relational databases / data stores (object storage, document or key\-value stores, graph databases, column\-family databases)
* Experience with AWS technologies like Redshift, S3, AWS Glue, EMR, Kinesis, FireHose, Lambda, and IAM roles and permissions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\- 132,100\.00 \- 178,800\.00 USD annually</t>
        </is>
      </c>
    </row>
    <row r="9">
      <c r="A9" t="inlineStr">
        <is>
          <t>in-bdbf81f0b339f488</t>
        </is>
      </c>
      <c r="B9" t="inlineStr">
        <is>
          <t>Data Engineer analyst</t>
        </is>
      </c>
      <c r="C9" t="inlineStr">
        <is>
          <t>Deloitte</t>
        </is>
      </c>
      <c r="D9" t="inlineStr">
        <is>
          <t>indeed</t>
        </is>
      </c>
      <c r="E9" t="inlineStr"/>
      <c r="F9" t="inlineStr"/>
      <c r="G9" t="inlineStr">
        <is>
          <t>Arlington, VA, US</t>
        </is>
      </c>
      <c r="H9" s="1" t="n">
        <v>46071</v>
      </c>
      <c r="I9" t="inlineStr">
        <is>
          <t>Our Deloitte AI \&amp; Engineering team to transform technology platforms, drive innovation, and help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  
**Work You'll Do**  
As a Project Delivery Specialist on the project, you will:  
* Ingest and integrate client datasets by coordinating secure data transfers, profiling incoming files, and orchestrating end\-to\-end pipelines that resolve deconfliction and complex integration issues across sources.
* Clean, standardize, and transform raw data using repeatable routines for validation, deduplication, and business\-rule application to deliver client\-specified output formats and curated analytics\-ready tables.
* Load and manage data in cloud database platforms by designing efficient schemas, executing scheduled loads/incremental updates, monitoring data quality controls, and troubleshooting pipeline failures to meet reporting SLAs.
* Build and maintain Tableau dashboards by translating stakeholder requirements into metrics, data models, and visualizations, and publishing governed dashboards that surface trends, KPIs, and operational insights.
* Own legacy reporting and statistics generation systems by rapidly understanding inherited codebases, debugging data anomalies via ad\-hoc analysis, implementing enhancements with tests, and providing peer code reviews while partnering directly with clients and internal team members.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AI \&amp; Data offering provides a full spectrum of solutions for designing, developing, and operating cutting\-edge Data and AI platforms, products, insights, and services. Our offerings help clients innovate, enhance and operate their data, AI, and analytics capabilities, ensuring they can mature and scale effectively.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**Qualifications**  
Required**:**  
* Bachelor's degree.
* Must be legally authorized to work in the United States without the need for employer sponsorship, now or at any time in the future.
* Active public trust security clearance required.
* 3\+ years of relevant experience in data engineering and/or analytics roles supporting production data pipelines, reporting, and stakeholder\-driven analysis.
* 2\+ years of relevant experience of development experience with Python and SQL proficiency to ingest, clean, transform, and validate datasets; build/maintain ETL/ELT workflows; and troubleshoot data anomalies end\-to\-end.
* 2\+ years of relevant experience designing, building, and maintaining dashboards, including creating reliable data sources/models and translating requirements into actionable visual insights.
* Professional python certification such as PCPP1, PCAP, or PCEP.
* Ability to travel 10\-15%, on average, based on the work you do and the clients and industries/sectors you serve.
Preferred:
* Master's degree perferred.
* Active TS Security Clearance Perferred.
* Professional Tableau certification perferred.
Information for applicants with a need for accommodation: https://www2\.deloitte.com/us/en/pages/careers/articles/join\-deloitte\-assistance\-for\-disabled\-applicants.html</t>
        </is>
      </c>
    </row>
    <row r="10">
      <c r="A10" t="inlineStr">
        <is>
          <t>in-658255eef57ce886</t>
        </is>
      </c>
      <c r="B10" t="inlineStr">
        <is>
          <t>Data Engineer – R01561112</t>
        </is>
      </c>
      <c r="C10" t="inlineStr">
        <is>
          <t>Brillio LLC</t>
        </is>
      </c>
      <c r="D10" t="inlineStr">
        <is>
          <t>indeed</t>
        </is>
      </c>
      <c r="E10" t="inlineStr"/>
      <c r="F10" t="inlineStr"/>
      <c r="G10" t="inlineStr">
        <is>
          <t>St. Louis, MO, US</t>
        </is>
      </c>
      <c r="H10" s="1" t="n">
        <v>46071</v>
      </c>
      <c r="I10" t="inlineStr">
        <is>
          <t>**Data Engineer \- R01561112**
==============================
**Senior Software Development Engineer**###### **Primary Skills**
* Spark \- Pyspark, SQL, SQL (Basic \+ Advanced), Python, Hive, Data Modelling Fundamentals
###### **Specialization**
* Data Analysis: Data Engineer
###### **Job requirements**
Experience Range: 2 \- 4 years of experience in software development, with hands\-on expertise in data analysis and engineering  
* 
Key Responsibilities:
* 1\. Design and develop scalable data processing solutions using Spark and PySpark to support advanced analytics initiatives
* 2\. Implement robust data models and optimize SQL queries for efficient data retrieval and transformation
* 3\. Collaborate with data analysts and business stakeholders to translate requirements into technical solutions
* 4\. Build and maintain ETL pipelines leveraging Python, Hive, and SQL for large\-scale data integration
* 5\. Conduct thorough code reviews, performance tuning, and debugging to ensure high\-quality deliverables
* 6\. Monitor, troubleshoot, and resolve issues in production data workflows, ensuring data accuracy and reliability
* 7\. Document technical processes, data models, and workflow architectures to facilitate knowledge sharing
8\. Stay updated with industry trends in big data technologies and proactively recommend improvements  
* 
Required Skills:
* 1\. Advanced proficiency in Spark and PySpark
* 2\. Strong knowledge of SQL (basic and advanced)
* 3\. Expertise in Python programming for data processing
* 4\. Experience with Hive for data warehousing solutions
* 5\. Solid understanding of data modelling fundamentals
* 6\. Ability to design and optimize ETL pipelines
* 7\. Hands\-on experience with large\-scale data processing
* 8\. Proficient in performance tuning of SQL and Spark jobs
* 9\. Familiarity with distributed computing concepts
10\. Competence in debugging and troubleshooting data workflows  
* 
Preferred Skills:
* 1\. Experience with cloud\-based data platforms such as AWS or Azure
* 2\. Knowledge of Airflow or similar workflow orchestration tools
* 3\. Familiarity with Scala for Spark development
* 4\. Understanding of data governance and security best practices
* 5\. Exposure to machine learning frameworks in Python
6\. Experience with continuous integration and deployment for data applications  
* 
Desired Qualifications:
* 1\. Bachelor’s degree in Computer Science, Information Technology, Engineering, or a related field 2\. Relevant certifications in big data technologies or data engineering (such as Spark, Python, or SQL) are advantageous
**Salary: 70\-80 USD per\-hour\-wage**</t>
        </is>
      </c>
    </row>
    <row r="11">
      <c r="A11" t="inlineStr">
        <is>
          <t>in-bfbba96a8a371e54</t>
        </is>
      </c>
      <c r="B11" t="inlineStr">
        <is>
          <t>Sr Azure Data Engineer- Onsite</t>
        </is>
      </c>
      <c r="C11" t="inlineStr">
        <is>
          <t>Cognizant Technology Solutions</t>
        </is>
      </c>
      <c r="D11" t="inlineStr">
        <is>
          <t>indeed</t>
        </is>
      </c>
      <c r="E11" t="inlineStr"/>
      <c r="F11" t="inlineStr"/>
      <c r="G11" t="inlineStr">
        <is>
          <t>Louisville, KY, US</t>
        </is>
      </c>
      <c r="H11" s="1" t="n">
        <v>46071</v>
      </c>
      <c r="I11" t="inlineStr">
        <is>
          <t>Cognizant (NASDAQ: CTSH) is a leading provider of information technology, consulting, and business process outsourcing services, dedicated to helping the world's leading companies build stronger businesses. Headquartered in Teaneck, New Jersey (U.S.). Cognizant is a member of the NASDAQ\-100, the S\&amp;P 500, the Forbes Global 1000, and the Fortune 500 and we are among the top performing and fastest growing companies in the world.
**Please note, this role cannot offer visa transfer or sponsorship now or in the future.**
**Position:** SR Azure Data Bricks Engineer
**Location:** Louisville, KY and Dallas, TX
**Experience Level:** 8–10 years
**Job Summary**
Join our dynamic team as an Architect where you will leverage your expertise in Databricks and PySpark to drive innovative solutions in the Provider domain. With a hybrid work model you will collaborate closely with cross\-functional teams to optimize data workflows and enhance business outcomes. Your contributions will play a pivotal role in advancing our companys mission and positively impacting society.
**Responsibilities**
* Design and implement scalable data architectures using Databricks SQL and Delta Lake to support complex data processing needs
* Develop and optimize PySpark applications to ensure efficient data transformation and analysis
* Collaborate with cross\-functional teams to integrate Databricks Workflows into existing systems enhancing operational efficiency
* Analyze and interpret data to provide actionable insights that drive strategic decision\-making in the Provider domain
* Ensure data quality and integrity by implementing robust validation and monitoring processes
* Lead efforts to automate data pipelines reducing manual intervention and increasing reliability
* Provide technical guidance and mentorship to junior team members fostering a culture of continuous learning and improvement
* Evaluate emerging technologies and tools to recommend innovative solutions that align with business objectives
* Oversee the deployment and maintenance of data solutions ensuring optimal performance and scalability
* Communicate effectively with stakeholders to understand requirements and deliver solutions that meet business needs
* Collaborate with IT and business teams to ensure seamless integration of data solutions into existing infrastructure
* Monitor industry trends and advancements to keep the team informed and competitive in the Provider domain
* Drive initiatives that enhance data security and compliance safeguarding sensitive information. Qualifications
* Possess extensive experience in Databricks SQL Delta Lake and Workflows demonstrating proficiency in data architecture design
* Exhibit strong expertise in PySpark showcasing ability to develop and optimize complex data applications
* Demonstrate deep understanding of the Provider domain applying domain\-specific knowledge to drive impactful solutions
* Have a proven track record of successful project delivery in a hybrid work environment demonstrating adaptability and collaboration skills
* Display excellent problem\-solving abilities with a focus on delivering actionable insights and strategic recommendations
* Show commitment to continuous learning and staying updated with industry trends and advancements
* Possess strong communication skills enabling effective collaboration with cross\-functional teams and stakeholders.
Application Accepted: 3/5/2026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The annual salary for this position is between $120,000 \- $135,500 depending on experience and other qualifications of the successful candidate.
Disclaimer: The salary, other compensation, and benefits information is accurate as of the date of this posting. Cognizant reserves the right to modify this information at any time, subject to applicable law.
Our strength is built on our ability to work together. Our diverse backgrounds offer different perspectives and new ways of thinking. It encourages lively discussions, creativity, productivity, and helps us build better solutions for our clients. We want someone who thrives in this setting and is inspired to craft meaningful solutions through true collaboration.
If you are content with ambiguity, excited by change, and excel through autonomy, we’d love to hear from you!
\#LI\-AV1\#CB\#Ind123</t>
        </is>
      </c>
    </row>
    <row r="12">
      <c r="A12" t="inlineStr">
        <is>
          <t>in-870d633864f003fd</t>
        </is>
      </c>
      <c r="B12" t="inlineStr">
        <is>
          <t>Sr. AWS Data Engineer</t>
        </is>
      </c>
      <c r="C12" t="inlineStr">
        <is>
          <t>Cognizant Technology Solutions</t>
        </is>
      </c>
      <c r="D12" t="inlineStr">
        <is>
          <t>indeed</t>
        </is>
      </c>
      <c r="E12" t="inlineStr"/>
      <c r="F12" t="inlineStr"/>
      <c r="G12" t="inlineStr">
        <is>
          <t>Newark, NJ, US</t>
        </is>
      </c>
      <c r="H12" s="1" t="n">
        <v>46071</v>
      </c>
      <c r="I12" t="inlineStr">
        <is>
          <t>### **Senior Developer – AWS Databases (Energy Supply \&amp; Trading)**
Location: New Jersey (Hybrid)
Work Model: Hybrid
Job Type: Full\-time
### **A. Job Summary**
As a Senior Developer, you will be responsible for designing, developing, and maintaining scalable solutions using AWS databases. Your expertise will drive innovation in Energy Supply \&amp; Trading Utilities and contribute to the company’s growth. You will operate in a hybrid model, collaborating with cross\-functional teams to ensure seamless integration, implementation, and deployment of applications.
### **B. Compensation**
The annual salary range for this role is $95,000 – $109,000 USD, based on experience, skillset, and location. The role may also be eligible for performance\-based bonuses in alignment with company compensation policies.
### **C. Benefits**
* Comprehensive medical, dental, and vision insurance
* 401(k) plan with company match
* Paid time off (PTO), holidays, and wellness days
* Life insurance, short\-term and long\-term disability coverage
* Employee Assistance Program (EAP) and mental health support
* Tuition reimbursement and certification support
* Hybrid work flexibility and home office support
### **Responsibilities**
* Design and develop robust applications using AWS databases.
* Collaborate with cross\-functional teams to ensure seamless integration.
* Implement best practices for database management and optimization.
* Provide technical guidance and mentorship to junior developers.
* Analyze business requirements and translate them into technical specifications.
* Ensure data security and integrity within AWS environments.
* Troubleshoot and resolve technical issues to maintain system reliability.
* Conduct code reviews to ensure adherence to coding standards and quality.
* Stay updated with the latest AWS technologies and integrate them when appropriate.
* Develop and maintain documentation for applications and processes.
* Collaborate with stakeholders to identify and implement solutions to business needs.
* Optimize application performance and scalability.
* Support continuous improvement of development practices and methodologies.
### **Qualifications**
* Strong understanding of AWS databases and cloud services.
* Experience in energy supply and trading utilities (preferred).
* Proficient in designing scalable, secure applications.
* Strong collaboration skills across cross\-functional teams.
* Excellent problem\-solving and analytical skills.
* Strong verbal and written communication skills.
* Bachelor’s degree in Computer Science or a related field.
* Commitment to staying current with industry trends and technologies.
* Experience with ETL, SQL, and PySpark.
* Experience with Git repositories and release pipelines.
* Experience managing cloud applications; network security knowledge is a plus.
* 1 or more professional AWS certifications.
* Prior Datastage experience is required.
### **Certifications Required**
* AWS Certified Solutions Architect
* AWS Certified Developer</t>
        </is>
      </c>
    </row>
    <row r="13">
      <c r="A13" t="inlineStr">
        <is>
          <t>in-88439e0f53dec60e</t>
        </is>
      </c>
      <c r="B13" t="inlineStr">
        <is>
          <t>Lead Data Engineer</t>
        </is>
      </c>
      <c r="C13" t="inlineStr">
        <is>
          <t>Cognizant Technology Solutions</t>
        </is>
      </c>
      <c r="D13" t="inlineStr">
        <is>
          <t>indeed</t>
        </is>
      </c>
      <c r="E13" t="inlineStr"/>
      <c r="F13" t="inlineStr"/>
      <c r="G13" t="inlineStr">
        <is>
          <t>Blaine, MN, US</t>
        </is>
      </c>
      <c r="H13" s="1" t="n">
        <v>46071</v>
      </c>
      <c r="I13" t="inlineStr">
        <is>
          <t>**Job Title** – Lead Data Engineer
**\*Please note this role is not able to offer visa transfer or sponsorship now or in the future\***
**About the role**
The Principal Data and Analytics Engineer is a senior individual contributor who serves as an engineering lead within the Technology \&amp; Data organization. This role combines deep expertise in both analytics engineering and data engineering, providing technical direction and thought leadership across teams. The Principal Data and Analytics Engineer mentors and supports analytics and data engineers, conducts code reviews, and sets high standards for technical quality. Leading through influence rather than direct authority, this position requires exceptional technical skills and the ability to guide and elevate others
**In this role, you will:**
**Conceptual and Analytical Modeling:** Design, test, and maintain both conceptual and analytical data models, including logical, physical, and dimensional (star/snowflake) schemas, to support business analytics and reporting, optimize performance through partitioning and indexing, and ensure quality and consistency via SQL best practices and peer code reviews.
**Data Pipeline Orchestration and Development**: Design, build, and optimize scalable, maintainable, and resilient end\-to\-end ETL/ELT data pipelines. Leverage orchestration tools for scheduling, dependency management, and error handling, while extracting and transforming data from source systems. Utilize platforms like dbt to ensure robust data flow, conduct UAT, and manage code releases for reliable system performance. Mastery of SQL skills
**DevOps \&amp; Code Management:** Skilled in version control systems for collaborative development and code management (i.e Azure DevOps, GitHub) • Monitoring \&amp; Observability: Implementing logging, metrics, and alerting for data pipelines
**Strong Communication and Collaboration Skills:** Collaborate with analysts, analytics and data engineers, and solution architects to align data solutions with strategic goals. Communicate effectively across technical and non\-technical teams.
**Agile Mindset:** Actively participate in agile ceremonies and contribute to sprint goals. Apply agile principles to respond to change, iterate quickly, and continuously improve team processes and product outcomes.
We strive to provide flexibility wherever possible. Based on this role’s business requirements, this is a remote position open to qualified applicants in the United States. Regardless of your working arrangement, we are here to support a healthy work\-life balance though our various wellbeing programs.
The working arrangements for this role are accurate as of the date of posting. This may change based on the project you’re engaged in, as well as business and client requirements. Rest assured; we will always be clear about role expectations.
**What you need to have to be considered**
* Data Build Tool, Snowflake, Advanced Data Modelling experts
* Secondary Skills – Fivetran
* Excellent communication skills
**Salary and Other Compensation**:
Applications will be accepted until March 21, 2025\.
The annual salary for this position is between $81,000 \- $135,000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14">
      <c r="A14" t="inlineStr">
        <is>
          <t>in-fec26fdb90941485</t>
        </is>
      </c>
      <c r="B14" t="inlineStr">
        <is>
          <t>Databricks Data Engineer - Manager - Consulting - Miami</t>
        </is>
      </c>
      <c r="C14" t="inlineStr">
        <is>
          <t>EY</t>
        </is>
      </c>
      <c r="D14" t="inlineStr">
        <is>
          <t>indeed</t>
        </is>
      </c>
      <c r="E14" t="inlineStr"/>
      <c r="F14" t="inlineStr"/>
      <c r="G14" t="inlineStr">
        <is>
          <t>Miami, FL, US</t>
        </is>
      </c>
      <c r="H14" s="1" t="n">
        <v>46055</v>
      </c>
      <c r="I1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5">
      <c r="A15" t="inlineStr">
        <is>
          <t>in-b02348035ccdc623</t>
        </is>
      </c>
      <c r="B15" t="inlineStr">
        <is>
          <t>Data Engineer, AMZL Orbit Data Engineering</t>
        </is>
      </c>
      <c r="C15" t="inlineStr">
        <is>
          <t>Amazon.com</t>
        </is>
      </c>
      <c r="D15" t="inlineStr">
        <is>
          <t>indeed</t>
        </is>
      </c>
      <c r="E15" t="inlineStr"/>
      <c r="F15" t="inlineStr"/>
      <c r="G15" t="inlineStr">
        <is>
          <t>Bellevue, WA, US</t>
        </is>
      </c>
      <c r="H15" s="1" t="n">
        <v>46054</v>
      </c>
      <c r="I15"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6">
      <c r="A16" t="inlineStr">
        <is>
          <t>in-0fde68550b7c8679</t>
        </is>
      </c>
      <c r="B16" t="inlineStr">
        <is>
          <t>Data Engineer, AMZL Orbit Data Engineering</t>
        </is>
      </c>
      <c r="C16" t="inlineStr">
        <is>
          <t>Amazon.com</t>
        </is>
      </c>
      <c r="D16" t="inlineStr">
        <is>
          <t>indeed</t>
        </is>
      </c>
      <c r="E16" t="inlineStr"/>
      <c r="F16" t="inlineStr"/>
      <c r="G16" t="inlineStr">
        <is>
          <t>Nashville, TN, US</t>
        </is>
      </c>
      <c r="H16" s="1" t="n">
        <v>46054</v>
      </c>
      <c r="I16"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7">
      <c r="A17" t="inlineStr">
        <is>
          <t>in-da8bb90a0b2a77bb</t>
        </is>
      </c>
      <c r="B17" t="inlineStr">
        <is>
          <t>Data Engineer, AMZL Orbit Data Engineering</t>
        </is>
      </c>
      <c r="C17" t="inlineStr">
        <is>
          <t>Amazon.com</t>
        </is>
      </c>
      <c r="D17" t="inlineStr">
        <is>
          <t>indeed</t>
        </is>
      </c>
      <c r="E17" t="inlineStr"/>
      <c r="F17" t="inlineStr"/>
      <c r="G17" t="inlineStr">
        <is>
          <t>Austin, TX, US</t>
        </is>
      </c>
      <c r="H17" s="1" t="n">
        <v>46054</v>
      </c>
      <c r="I17"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8">
      <c r="A18" t="inlineStr">
        <is>
          <t>in-fbbd669613b9302a</t>
        </is>
      </c>
      <c r="B18" t="inlineStr">
        <is>
          <t>Data Engineer</t>
        </is>
      </c>
      <c r="C18" t="inlineStr">
        <is>
          <t>Amazon.com</t>
        </is>
      </c>
      <c r="D18" t="inlineStr">
        <is>
          <t>indeed</t>
        </is>
      </c>
      <c r="E18" t="inlineStr"/>
      <c r="F18" t="inlineStr"/>
      <c r="G18" t="inlineStr">
        <is>
          <t>Seattle, WA, US</t>
        </is>
      </c>
      <c r="H18" s="1" t="n">
        <v>46001</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19">
      <c r="A19" t="inlineStr">
        <is>
          <t>in-704c86de679bb08e</t>
        </is>
      </c>
      <c r="B19" t="inlineStr">
        <is>
          <t>Data Engineer</t>
        </is>
      </c>
      <c r="C19" t="inlineStr">
        <is>
          <t>Amazon.com</t>
        </is>
      </c>
      <c r="D19" t="inlineStr">
        <is>
          <t>indeed</t>
        </is>
      </c>
      <c r="E19" t="inlineStr"/>
      <c r="F19" t="inlineStr"/>
      <c r="G19" t="inlineStr">
        <is>
          <t>San Francisco, CA, US</t>
        </is>
      </c>
      <c r="H19" s="1" t="n">
        <v>46001</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20">
      <c r="A20" t="inlineStr">
        <is>
          <t>in-68973259004103d5</t>
        </is>
      </c>
      <c r="B20" t="inlineStr">
        <is>
          <t>Senior Maps Client Analytics Engineer - Apple Maps and Ecosystem</t>
        </is>
      </c>
      <c r="C20" t="inlineStr">
        <is>
          <t>Apple</t>
        </is>
      </c>
      <c r="D20" t="inlineStr">
        <is>
          <t>indeed</t>
        </is>
      </c>
      <c r="E20" t="inlineStr"/>
      <c r="F20" t="inlineStr"/>
      <c r="G20" t="inlineStr">
        <is>
          <t>Cupertino, CA, US</t>
        </is>
      </c>
      <c r="H20" s="1" t="n">
        <v>46072</v>
      </c>
      <c r="I20" t="inlineStr">
        <is>
          <t>Apple Maps is looking for a passionate and skilled Senior Maps Client Analytics Engineer to join our team. This role sits at the exciting intersection of cutting\-edge client technology and data\-driven insights, where you will design and build the robust analytics infrastructure that enables us to understand user behavior and inform the evolution of exceptional visual experiences across Maps and other Apple ecosystems such as Find My. Your work will directly impact how millions of users experience maps, driving continuous improvement through deep understanding of client\-side data.  
**Description**  
In this individual contributor role, you will be instrumental in designing, implementing, and maintaining the client\-side analytics frameworks that power our understanding of user interaction within Apple Maps. You will enable the transformation of raw data into actionable insights, collaborating closely with product, design, and cross\-functional engineering teams to identify key metrics, track performance, and uncover opportunities for innovation. We are looking for an engineer who thrives on technical excellence, is user\-centered, and possesses a strong passion for leveraging data to shape the future of our products.","responsibilities":"Design, develop, and maintain robust client\-side analytics instrumentation and data pipelines for Apple Maps features using Objective\-C and Swift.  
Collaborate with product managers, designers, and engineering teams to define critical metrics and analytics requirements that inform product strategy and development.  
Develop tools and processes for effective data collection, validation, and reporting, ensuring data quality and integrity.  
Champion privacy\-preserving analytics techniques and ensure compliance with Apple's stringent privacy standards.  
Contribute to a collaborative, user\-centered culture that prioritizes both technical excellence and creative empowerment.  
Apply a deep understanding of core computer science concepts to orchestrate robust and scalable client\-side analytics solutions.  
**Preferred Qualifications**  
Experience with large\-scale data analytics platforms and tools.  
Familiarity with A/B testing methodologies and experimentation frameworks.  
Background in data science, geospatial data, mapping applications, or location\-based services.  
Experience with scripting languages like Python for automation and tooling around analytics pipelines.  
**Minimum Qualifications**  
5\+ years of professional software development experience, with a strong focus on analytics, frameworks, and/or client\-side applications.  
5\+ years of experience with Objective\-C and Swift.  
Deep understanding of iOS and macOS application architecture and development best practices.  
Proven experience in designing and implementing client\-side analytics and telemetry systems.  
Excellent problem\-solving skills and a meticulous attention to detail.  
Strong communication and collaboration skills, with the ability to articulate technical concepts and data insights effectively to both technical and non\-technical audiences.  
Demonstrated ability to balance technical excellence with user needs and product goals.  
Bachelors Degree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1">
      <c r="A21" t="inlineStr">
        <is>
          <t>in-5f8c1fe404cffcb5</t>
        </is>
      </c>
      <c r="B21" t="inlineStr">
        <is>
          <t>Lead Data Engineer</t>
        </is>
      </c>
      <c r="C21" t="inlineStr">
        <is>
          <t>Capital One</t>
        </is>
      </c>
      <c r="D21" t="inlineStr">
        <is>
          <t>indeed</t>
        </is>
      </c>
      <c r="E21" t="inlineStr"/>
      <c r="F21" t="inlineStr"/>
      <c r="G21" t="inlineStr">
        <is>
          <t>McLean, VA, US</t>
        </is>
      </c>
      <c r="H21" s="1" t="n">
        <v>46071</v>
      </c>
      <c r="I21" t="inlineStr">
        <is>
          <t>Lead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Data Engineer  
New York, NY: $215,200 \- $245,600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2">
      <c r="A22" t="inlineStr">
        <is>
          <t>in-81eb7d99af38ec58</t>
        </is>
      </c>
      <c r="B22" t="inlineStr">
        <is>
          <t>Data Engineer</t>
        </is>
      </c>
      <c r="C22" t="inlineStr">
        <is>
          <t>Premier Nutrition Company</t>
        </is>
      </c>
      <c r="D22" t="inlineStr">
        <is>
          <t>indeed</t>
        </is>
      </c>
      <c r="E22" t="inlineStr"/>
      <c r="F22" t="inlineStr"/>
      <c r="G22" t="inlineStr">
        <is>
          <t>Emeryville, CA, US</t>
        </is>
      </c>
      <c r="H22" s="1" t="n">
        <v>46072</v>
      </c>
      <c r="I22" t="inlineStr">
        <is>
          <t>**Here’s what all the hype is about…**
Premier Nutrition Company (PNC) is one of the fastest\-growing companies in the proactive wellness space showing clear leadership in the category of protein shakes and powders. We make the brands *Premier Protein and Dymatize*, and are part of our publicly traded holding company, BellRing Brands (NYSE: BRBR).
We have a simple, yet powerful, formula for our success, which we’ve been nailing since our founding in 1997\. We start with an organization powered by our company purpose—*Changing Lives with Good Energy*. Then our purpose\-driven people are given the support and autonomy to develop and grow. Next, we are super\-intentional about designing a culture where everyone feels like they truly *connect and belong*, which is one of our five company core values. Purpose\-driven, connected employees deliver amazing business results. And winning companies with remarkable people and thriving cultures attract and retain top talent, so the cycle becomes self\-reinforcing or what we call our *regenerative culture*.
We don’t mind sharing our formula, since we believe the world would be a better place if more workplaces treated adults like adults and gave them the platform to do the best work of their lives—alongside some truly amazing colleagues. Why don’t more companies do this? It takes deep\-in\-your\-bones conviction to your people, products, and purpose to pull it off. It also takes resisting the urge to try to control people, and instead, trusting them to make the right decisions. The result of our vibrant culture speaks for itself: We were certified as a *Great Place to Work*™ for the 9th year\-running in 2025\. And we currently rank \#8 on *Fortune Magazine’s* Best Workplaces in our category and were in the top 12 for each of the last 7 years.
We have a long list of ways we take care of our people, but here are some crowd\-pleasers that our employees often say they love most: Year\-round ½ day Fridays, in\-office massages, free lunches \&amp; snacks, dogs in the office, culture of belonging celebrations, engaging in\-office events like bring your kids to work day, 6% 401k match after 1 year, generous paid family leave regardless of gender, all positions bonus\-eligible, company\-wide volunteer days, company\-matched charitable donations, no employee handbook, no dress code, coaching conversations instead of performance reviews, and walking meetings.
PNC seeks individuals who will flourish in this type of work environment and will add to our culture and help build this high\-growth company for the next phase in our amazing journey. Does this sound like you? Then read on…
We believe in the power of mindset, and specifically what we call the *Challenger Mindset*. Do you take smart, bold risks, display relentless hunger, and see yourself as a builder? We’re looking for individuals who choose action over analysis paralysis—those who start before they feel completely ready, make calculated moves based on the best information available, and build momentum through decisive action rather than perfect planning. You should have an insatiable drive that keeps you agile and forward\-thinking, always challenging assumptions, seeking new opportunities, and focusing on long\-term impact over short\-term wins. Above all, you’re a builder—someone who transforms the status quo, finds smarter, simpler, faster ways to get things done, and inspires others to do the same.
**The role you’re interested in…**As a Data Engineer, you will help our company solve their most challenging problems and drive decisions with data. As a member in our Enterprise Data Intelligence team, you will be at the center of data and analytical innovation and adoption. In this role, you will drive value by migrating, acquiring, maintaining, and evolving our data integration process and platform. Activities range from data acquisition and validation, designing and implementing ETL/ELT data pipelines, designing and implementing databases, job suite execution and monitoring, support testing, troubleshooting, and system analysis. You will be collaborating with all our departments to build end\-to\-end data infrastructure and pipelines that promote reporting and advanced analytics and further business process evaluation.
**The work environment…**
So, what’s it like to work here? If you’re based in the greater Bay Area, you’ll walk into our Emeryville office each Tuesday morning and start the in\-person portion of our hybrid work week at our weekly all\-company meeting and find close to 200 of your colleagues, some sitting with their dogs, talking excitedly through the week ahead and watching a newer teammate tell their personal life and career journey followed by a quick update on any hot topics that might be relevant to the week ahead.
We are a dynamic, HYBRID workplace so every employee who lives within 100 miles of our offices is expected to come in Tuesday through Thursday. We are very intentional about connecting in person for things like innovation, impromptu collaboration, having respectful challenges to get to better decisions, leadership role\-modeling, and culture building. Great work cultures are built on stories about what great looks like in practice, and great stories during virtual meetings just don’t happen. The expected pay scale for this role is $145k to $155k, which may vary based on relevant experience, qualifications, geographic area (if applicable), and internal equity for the role.
At the beginning of 2026, we will move into our massive modern 133,000 square foot headquarters in Emeryville, California, complete with spacious personal workspaces, gym with rock\-climbing wall, a café, free onsite parking, tons of greenery, and many transportation options.
**You’re excited about this opportunity because your time will be filled with…**Design, Develop, and Maintain Data Infrastructure and Pipelines: 60% of your time
* Design, build, and maintain cloud\-native data pipelines and infrastructure to support analytics, reporting, and data science use cases in a SaaS\-based environment.
* Perform all stages of the data lifecycle: requirements gathering, design, ingestion, transformation, modeling, testing, deployment, monitoring, and production support.
* Implement and manage ELT pipelines using tools such as Fivetran, dbt, and Python, delivering reliable and scalable data solutions.
* Develop and maintain data models, data marts, APIs, and automation scripts to streamline analytics workflows.
* Design and deploy database schemas, tables, and views in Snowflake across multiple environments (DEV, QA/UAT, PROD).
* Collaborate with stakeholders to translate business requirements into robust technical designs.
* Support documentation, training, and enablement to drive adoption of enterprise data assets.
Enhance and Optimize DataOps Operational Excellence: of your time 30%
* Protect the data pipeline! Your mission is to monitor the production schedule, troubleshoot any failures, and ensure that the processes are running smoothly.
* Monitor data quality and dig in deep to find solutions to problems when they arise.
* Administer Snowflake security strategy and database management.
* Fine\-tune and optimize databases, queries, and pipelines for improved performance and efficiency.
* Proactively identify processes that would benefit from system automation to improve the Enterprise Data Intelligence team effectiveness and increase operating efficiencies.
* Research and test new technology solutions, assist in vetting architectural changes/database design that would have to occur to support enterprise adoption and determine impacts.
Data Warehouse Administration: 10% of your time
* Follow documented procedures for configuring, maintaining, upgrading, testing, and deploying as a database administrator. Ensure best technical practices are followed for all enterprise database administration for the best user experience and sustainable design.
**What are we looking for?**
Education:
* Bachelor’s degree in Computer Science, Engineering, Information Systems, or related technical disciplines.
Experience:
* 5\+ years of experience as a Data Engineer working within cloud\-native and SaaS\-based environments, supporting enterprise data platforms built on data warehouses, data lakes, and application databases (e.g., Snowflake, Oracle, SQL Server).
* 5\+ years of SQL experience with proven ability to write, optimize, and maintain complex queries and stored procedures.
* Programming experience in Python, Scala, or other scripting languages for automation, data transformation, and integration.
* Hands\-on experience designing, building, and maintaining ELT/ETL data pipelines, dimensional models, and data marts using modern tools such as dbt, Fivetran, or equivalent cloud\-based frameworks.
* Demonstrated experience working with SaaS data sources and APIs, integrating data from cloud\-based systems such as ERP (e.g., NetSuite), CRM, and planning tools (e.g., Oracle EPM, O9, or Salesforce).
* Exposure to or hands\-on experience with AI/LLM frameworks (e.g., Snowflake Cortex, MCP, or similar technologies) to enhance automation and data intelligence.
* Experience with data integration and orchestration tools (e.g., Dell Boomi, Airflow, Azure Data Factory, or equivalent).
* Strong understanding of data governance, observability, lineage, and data quality management in a cloud environment.
* Experience using Git\-based version control systems (e.g., GitHub, GitLab) and CI/CD workflows for deployment across multi\-environment pipelines (DEV, QA, PROD).
* Working knowledge of cloud platforms (preferably Azure, with exposure to AWS or GCP) and secure data exchange mechanisms (APIs, SFTP).
* Excellent communication and collaboration skills, with the ability to work cross\-functionally in a distributed SaaS organization.
Preferred Qualifications
* Master’s degree in Computer Science, Engineering, Information Systems, or related technical disciplines preferred.
* Hands on knowledge with at least one key BI market tool (Tableau, SAP BO, Oracle BI, MS Power BI) is a plus.
* Must be willing to be on call for night/weekend production support.
* Ability to think strategically about tools and technologies that enable analytics.
* Experience working in CPG industry.
Skills
* Problem\-Solving: Ability to analyze complex data challenges and develop innovative solutions that align with business objectives.
* Get Things Done: Great work ethic and moves with a sense of urgency.
* Drives Continuous Improvement: Always focusing on effective and efficient work and ways to get better.
* Obsesses over the Details and committed to paying attention to the details
* Demonstrated excellent verbal/written communication skills.
* Life long learner: A passion for staying up\-to\-date with the latest trends and advancements in data engineering and related technologies.
* Provocative thinker who is courageous to share his or her thoughts regardless of the level of the audience
* Self\-motivated individual who can identify issues/opportunities for improvement and be proactive in addressing them
* Able to wear many hats and multitask as priorities evolve and change
* Demonstrates ownership of outcomes vs being an order taker of tasks
* Manage the forward progress on multiple projects and determine priority order
* Bring a sense of fun, passion and positive attitude to every day
So, if after reading through this long list you’re thinking—I’m not sure I meet 100% of these requirements, should I still apply? YES—if you embody a growth mindset, see challenges as opportunities to develop, and find innovative ways to get the real work that matters done, you sound like our kind of candidate!  
**The 5 capabilities or mindsets most relevant to this role:**
* Challenger Mindset—bias for action, hungry to get after it, comfortable taking smart risks
* Be a builder by creating for the future
* Enterprise strategic view—take the full company perspective over departments or channels
* Challenge ideas respectfully by sharing your real opinion with conviction; disagree in a way people feel heard
* Bring people along by providing context and cascading information; share openly and inclusively
**You will thrive here and may just do the best work of your life if…**
* You are hungry, are comfortable with smart risks,
* You like to get sh\*t, I mean—stuff done
* You can be both clear and kind—empathetic yet hold people accountable
* You want to be an integral part of shaping an amazing work culture and being a culture\-add
* You are comfortable being natural, casual, open, and even a bit playful at work
**This may not be your ideal next career move if you like…**
* …a lot of structure, rules, and uniformity
* …a lot of command and control management
* …a “big company” impersonal, cog\-in\-the\-machine vibe—that ain’t us
* …to build a beautiful, orderly bureaucracy
* … things to not change much (we suggest the elevator business for that)
**Here’s the deal with our not\-so\-standard, um…*****standard interview process*** **because we know you are the curious type, which is why you’re still reading this…**
* Quick 30 min phone chat with a high energy member of our Talent Acquisition team to do a quick overview of your background and answer any burning questions you have
* Team interviews are kept to a minimum to foster a more efficient, candidate\-friendly process (too many interviewers yields little value and drags out the process for you—and who wants that, right?):
	+ A short series of in\-person or video interviews in a 1:1 setting; these are usually with the hiring manager, one or two other team members, and a person from another team to get broader perspectives (note: we don’t do panel interviews because they don’t give interviewers a chance to ask you unique questions, and we assign interviewers different roles so we’re probing different capabilities)
* A case study or job task to simulate what you’d actually be doing in the role might be included (since your job is not actually to be interviewed for a living, why is that the thing companies rely on so much?) Yes, there will be a small panel for this one so you don’t have to do it more than once, and yes, they might ask you some kind yet probing questions at the end after the raucous applause stops.
* Once your interview concludes, the team will meet for an in\-depth consultative process to ensure we are hiring the right person for the right job. Interviewers must come in with a strong **yes** or **no** vote beforehand to avoid groupthink with supporting reasons. The collective thoughts on your candidacy will be discussed in an environment of safety to challenge ideas respectfully, debate. and be open to all important qualifications of the candidates. A trained, disinterested bias blocker will be present to help mitigate bias so the team can make a sound hiring decision. The moment of truth arrives when the hiring manager makes the big decision. If you nailed the interviews and the case study was brilliant, guess what? The offer is all yours! And the ball is in your court. Will you accept? We sure hope so, because this place is the real deal, and don’t just believe us—just ask the 91% of our people who said this is a great place to work in our most recent employee survey.
We strive to create an equitable and inclusive environment to contribute to the success of our organization. Premier Nutrition provides equal employment opportunities to all employees and applicants for employment without regard to race, color, religion, gender, sexual orientation, national origin, age, disability, genetic information, marital status, status as a covered veteran and any other category protected under applicable federal, state, provincial and local laws.</t>
        </is>
      </c>
    </row>
    <row r="23">
      <c r="A23" t="inlineStr">
        <is>
          <t>in-cf290172484244ef</t>
        </is>
      </c>
      <c r="B23" t="inlineStr">
        <is>
          <t>Data Engineer</t>
        </is>
      </c>
      <c r="C23" t="inlineStr">
        <is>
          <t>eClerx</t>
        </is>
      </c>
      <c r="D23" t="inlineStr">
        <is>
          <t>indeed</t>
        </is>
      </c>
      <c r="E23" t="inlineStr"/>
      <c r="F23" t="inlineStr"/>
      <c r="G23" t="inlineStr">
        <is>
          <t>New York, NY, US</t>
        </is>
      </c>
      <c r="H23" s="1" t="n">
        <v>46072</v>
      </c>
      <c r="I23" t="inlineStr">
        <is>
          <t>**Data Engineer**
\-
**Location** : New York, Alpharetta US
**Type** : Full\-time
**Department** : Technology
\-
**Summary**
eClerx is seeking for an experienced Data Engineer with 5\+ years of expertise in data warehousing and ETL development. The ideal candidate will have strong hands\-on experience with Snowflake, Talend or Informatica, and Python, along with a proven ability to design and optimize scalable, high\-performance data pipelines.
This role involves building and maintaining cloud\-native data solutions, driving automation and performance improvements, and implementing Agile and DevOps best practices. You will collaborate closely with business, analytics, and IT stakeholders to deliver reliable, cost\-efficient data solutions that generate measurable business value. Strong ownership, problem\-solving skills, and the ability to thrive in a fast\-paced, data\-driven environment are essential.
**Responsibilities**
* ETL and Data Warehousing: Develop, and maintain robust, scalable ETL pipelines and data warehouse solutions using Snowflake, ETL(Talend Enterprise/ Informatica PowerCenter), and Python.
* Cloud Data Engineering: Design and implement cloud\-native data solutions, ensuring performance, cost\-efficiency, and scalability.
* Performance Optimization: Continuously monitor and optimize ETL processes and data pipelines for maximum efficiency and reliability.
* Agile \&amp; DevOps Implementation: Drive the adoption of Agile methodologies and DevOps best practices to enhance team efficiency and accelerate delivery cycles.
* Automation \&amp; Innovation: Identify opportunities for automation throughout the data lifecycle and implement innovative solutions to streamline operations.
* Stakeholder Collaboration: Work closely with business, analytics, and IT stakeholders to understand data requirements and deliver solutions that drive business value.
**Eligibility Requirements**
* 5\+ years of experience in data engineering, data warehousing, and ETL development.
* Advanced proficiency in Snowflake, ETL(Talend Enterprise/ Informatica PowerCenter), and Python.
* Strong background in designing and implementing scalable, high\-performance data pipelines.
* Demonstrated experience in delivering complex projects.
* Solid grasp of Agile and DevOps principles with practical experience implementing these in data engineering environments.
* Excellent communication and collaboration skills.
* Strong sense of ownership, accountability, and proven problem\-solving abilities.
* Experience driving team transformation and process improvement through automation and cloud adoption.
* Ability to foster a culture of innovation, continuous learning, and excellence.
* Prior experience working in fast\-paced, data\-driven organizations.
In the US, the target base salary for this role is $120K \- $130K. Compensation is based on a range of factors that include relevant experience, knowledge, skills, other job\-related qualifications, and geography. We expect the majority of candidates who are offered roles at our company to fall throughout the range based on these factors
**What We Offer**
* Competitive salary and performance bonuses
* Flexible working hours
* Career growth opportunities and ongoing training
* Inclusive, supportive company culture
**How to Apply**
* Click "Apply Now" to submit your resume through our career site
* Be sure to include any relevant experience that aligns with the role.
* Qualified candidates will be contacted by a member of our recruitment team for next steps
**About eClerx**
eClerx is a leading provider of productized services, bringing together people, technology and domain expertise to amplify business results.
The firm provides business process management, automation, and analytics services to a number of Fortune 2000 enterprises, including some of the world’s leading financial services, communications, retail, fashion, media \&amp; entertainment, manufacturing, travel \&amp; leisure, and technology companies. Incorporated in 2000, eClerx is traded on both the Bombay and National Stock Exchanges of India. The firm employs more than 19,000 people across Australia, Canada, France, Germany, Switzerland, Egypt. India, Italy, Netherlands, Peru, Philippines, Singapore, Thailand, the UK, and the USA.
For more information, visit www.eclerx.com
You can also find us on:
https://www.linkedin.com/company/eclerx/
https://www.indeed.com/cmp/Eclerx/about
https://www.glassdoor.com/eClerx
eClerx is an Equal Opportunity Employer. All qualified applicants will receive consideration for employment without regard to race, color, religion, sex, national origin, disability or protected veteran status, or any other legally protected basis, in accordance with applicable law. We are also committed to protecting and safeguarding your personal data. Please find our policy here</t>
        </is>
      </c>
    </row>
    <row r="24">
      <c r="A24" t="inlineStr">
        <is>
          <t>in-1e790db46564b645</t>
        </is>
      </c>
      <c r="B24" t="inlineStr">
        <is>
          <t>Associate Data Engineer</t>
        </is>
      </c>
      <c r="C24" t="inlineStr">
        <is>
          <t>PetSmart</t>
        </is>
      </c>
      <c r="D24" t="inlineStr">
        <is>
          <t>indeed</t>
        </is>
      </c>
      <c r="E24" t="inlineStr"/>
      <c r="F24" t="inlineStr"/>
      <c r="G24" t="inlineStr">
        <is>
          <t>Phoenix, AZ, US</t>
        </is>
      </c>
      <c r="H24" s="1" t="n">
        <v>46071</v>
      </c>
      <c r="I24" t="inlineStr">
        <is>
          <t>**About the Team**  
It's an exciting time in technology, and that buzz is felt throughout PetSmart! We are continuing to grow at a faster pace and we want to continue to provide best\-in\-class experiences for pets and pet parents.
Our **Technology team** has 6 different departments: Information Security, Service Delivery, Business Enabling Systems, eCommerce \&amp; Marketing Technology, Data and Stores, Services \&amp; Supply Chain.
Whether it's online or in our stores, the work that the IT team does is instrumental in PetSmart's success. We have a strategic and actionable plan underway and are looking for associates who are just as excited about it as we are.
**About the Location**  
**Collaborative Work Environment:**  
At PetSmart, teamwork and connection are core to how we thrive. This role is based at our Phoenix Home Office, with an expectation of working a minimum of four days in the office each week. In a standard work week, associates may work up to one remote "flex day" (with leader approval). Our hybrid approach is designed to foster strong collaboration while also supporting flexibility and individual success.
**About the Job**  
**Associate Data Engineer \- TIBCO / Integration (Entry Level)**  
**Position Overview**  
As an Associate Data Engineer \- TIBCO / Integration, you will support the development and operation of PetSmart's enterprise system integrations that enable reliable, secure data exchange across the business. This entry\-level role focuses on learning PetSmart's integration architecture, enterprise platforms, and BIRI fundamentals while delivering well\-defined integration and data components under the guidance of senior engineers. You will gain hands\-on experience with TIBCO\-based integrations, APIs, and message\-driven systems while building a strong foundation in data engineering best practices.
**Key Responsibilities**  
* Learn and apply **TIBCO integration platforms** (e.g., TIBCO BusinessWorks 6, EMS, Container Edition) and PetSmart integration standards, patterns, and governance practices.
* Build and maintain **basic integration components** within existing solutions, including process flows, transitions, connectors, adapters, and message transformations.
* Support **API\-based integrations** (REST/SOAP) and **message\-driven integrations** using JMS , pub\-sub, queues, and topics to enable synchronous and asynchronous data exchange used in technologies like RabbitMQ or GCP Pub/Sub.
* Develop data transformations, mappings, and validations to ensure **data quality, accuracy, and consistency** across systems.
* Apply best\-fit **governance, security, and compliance requirements** defined by senior engineers.
* Write and maintain **tests, documentation, and deployment artifacts** ; participate in code reviews and incorporate feedback quickly.
* Assist with **monitoring, alerting, and basic troubleshooting** of integration and data pipelines; escalate issues as needed.
* Follow coding standards and engineering best practices; contribute to continuous improvement through automation and simplification of repetitive tasks.
Collaborate with team members to clarify requirements, understand acceptance criteria, and ensure deliverables meet usability and quality expectations.  
* 
**Qualifications \&amp; Experience**  
* Bachelor's degree (or in progress) in Computer Science, Engineering, Information Systems, or related fields .
* **0\-2 years of experience** (including internships, co\-ops, or academic projects) in data engineering, integration engineering, or software development.
* Foundational knowledge of **integration concepts** , including APIs, message\-based systems, and ETL/ELT pipelines.
* Basic proficiency in **SQL** and programming languages such as **Java** .
* Exposure to **TIBCO** , MuleSoft, Boomi, or similar integration platforms is strongly preferred.
* Familiarity with **REST/SOAP APIs** , **JSON/XML** , messaging concepts (JMS), and version control tools such as **Git** .
* Strong analytical and problem\-solving skills, eagerness to learn, and the ability to apply feedback quickly.
* Clear communication skills and a **reliable, team\-first mindset** .
**Additional Job Considerations**  
* This role requires collaboration, teamwork, and face\-to\-face interaction with colleagues, leaders, and/or clients.
* Being in the office ensures access to leaders, cross\-functional partners, and resources necessary to make timely decisions and drive results.
* On\-site presence in accordance with our FlexSmart policy supports our culture of innovation, mentorship, and engagement, which is integral to our success in developing the best team.
* This is not intended to be an all\-inclusive, exhaustive list of all essential job functions for this position. PetSmart retains the right to change or assign other required job duties to this position.
**About the Culture**  
At PetSmart, Anything for Pets begins with our people. Every associate plays a vital role in creating meaningful experiences for pets and their families, and we empower our teams with the tools, resources, and opportunities to grow and succeed.
We're more than a workplace, we're Team PetSmart. Together, we grow, collaborate, and challenge ourselves to be the best in all we do. Our culture is built on belonging and shared purpose, where every voice and experience matters. Guided by our values, we strive to do what's right, lead responsibly, and bring our passion for pets to life every day. Not sure if you meet 100% of the position requirements and whether you should apply? We'd still like to hear from you and encourage you to apply with us! You might be the right fit for this role or another opportunity across Team PetSmart.
Our home office offers outstanding amenities in a fun and rewarding workplace including:
* **Pet\-friendly environment** , bring your pets to work and enjoy the on\-site dog park!
* **On\-Site Events \&amp; Adoptions** , enjoy community\-building opportunities, including pet adoption days, seasonal celebrations, family events, art events, \&amp; holiday festivals
* **"Top Dog" gym** with equipment, fitness classes, massage therapists, personal trainers, and wellness spaces
* **"Sit \&amp; Stay" Café** serving fresh breakfast and lunch options, snacks, \&amp; more
* "**Lil Paws" NAEYC\-accredited onsite childcare** facility providing high\-quality early education
* **Paid Volunteer Opportunities** to spend time doing good for causes close to heart
* **Print Center and Business Services** , Dry Cleaning, Mother's Rooms, Sustainable Infrastructure \&amp; more
PetSmart provides an equal opportunity for all associates and job applicants without regard to race, color, religion, sex, sexual orientation, gender identity, national origin, disability, veteran status or other legally protected characteristics.</t>
        </is>
      </c>
    </row>
    <row r="25">
      <c r="A25" t="inlineStr">
        <is>
          <t>in-68973259004103d5</t>
        </is>
      </c>
      <c r="B25" t="inlineStr">
        <is>
          <t>Senior Maps Client Analytics Engineer - Apple Maps and Ecosystem</t>
        </is>
      </c>
      <c r="C25" t="inlineStr">
        <is>
          <t>Apple</t>
        </is>
      </c>
      <c r="D25" t="inlineStr">
        <is>
          <t>indeed</t>
        </is>
      </c>
      <c r="E25">
        <f>HYPERLINK("https://www.indeed.com/viewjob?jk=68973259004103d5", "https://www.indeed.com/viewjob?jk=68973259004103d5")</f>
        <v/>
      </c>
      <c r="F25">
        <f>HYPERLINK("https://jsv3.recruitics.com/redirect?rx_cid=3427&amp;rx_jobId=200647298-0836_rxr-661&amp;rx_url=https%3A%2F%2Fjobs.apple.com%2Fen-us%2Fdetails%2F200647298-0836%2Fsenior-maps-client-analytics-engineer-apple-maps-and-ecosystem%3Fboard_id%3DJB001%26rx_campaign%3Dindeed0%26rx_ch%3Djobp4p%26rx_group%3D122365%26rx_id%3D9771367e-0e1f-11f1-976e-a976274fe204%26rx_job%3D200647298-0836_rxr-661%26rx_medium%3Dcpc%26rx_r%3Dnone%26rx_source%3Dindeed%26rx_ts%3D20260220T103803Z%26rx_vp%3Dcpc%26team%3DSFTWR", "https://jsv3.recruitics.com/redirect?rx_cid=3427&amp;rx_jobId=200647298-0836_rxr-661&amp;rx_url=https%3A%2F%2Fjobs.apple.com%2Fen-us%2Fdetails%2F200647298-0836%2Fsenior-maps-client-analytics-engineer-apple-maps-and-ecosystem%3Fboard_id%3DJB001%26rx_campaign%3Dindeed0%26rx_ch%3Djobp4p%26rx_group%3D122365%26rx_id%3D9771367e-0e1f-11f1-976e-a976274fe204%26rx_job%3D200647298-0836_rxr-661%26rx_medium%3Dcpc%26rx_r%3Dnone%26rx_source%3Dindeed%26rx_ts%3D20260220T103803Z%26rx_vp%3Dcpc%26team%3DSFTWR")</f>
        <v/>
      </c>
      <c r="G25" t="inlineStr">
        <is>
          <t>Cupertino, CA, US</t>
        </is>
      </c>
      <c r="H25" s="2" t="n">
        <v>46072</v>
      </c>
      <c r="I25" t="inlineStr">
        <is>
          <t>Apple Maps is looking for a passionate and skilled Senior Maps Client Analytics Engineer to join our team. This role sits at the exciting intersection of cutting\-edge client technology and data\-driven insights, where you will design and build the robust analytics infrastructure that enables us to understand user behavior and inform the evolution of exceptional visual experiences across Maps and other Apple ecosystems such as Find My. Your work will directly impact how millions of users experience maps, driving continuous improvement through deep understanding of client\-side data.  
**Description**  
In this individual contributor role, you will be instrumental in designing, implementing, and maintaining the client\-side analytics frameworks that power our understanding of user interaction within Apple Maps. You will enable the transformation of raw data into actionable insights, collaborating closely with product, design, and cross\-functional engineering teams to identify key metrics, track performance, and uncover opportunities for innovation. We are looking for an engineer who thrives on technical excellence, is user\-centered, and possesses a strong passion for leveraging data to shape the future of our products.","responsibilities":"Design, develop, and maintain robust client\-side analytics instrumentation and data pipelines for Apple Maps features using Objective\-C and Swift.  
Collaborate with product managers, designers, and engineering teams to define critical metrics and analytics requirements that inform product strategy and development.  
Develop tools and processes for effective data collection, validation, and reporting, ensuring data quality and integrity.  
Champion privacy\-preserving analytics techniques and ensure compliance with Apple's stringent privacy standards.  
Contribute to a collaborative, user\-centered culture that prioritizes both technical excellence and creative empowerment.  
Apply a deep understanding of core computer science concepts to orchestrate robust and scalable client\-side analytics solutions.  
**Preferred Qualifications**  
Experience with large\-scale data analytics platforms and tools.  
Familiarity with A/B testing methodologies and experimentation frameworks.  
Background in data science, geospatial data, mapping applications, or location\-based services.  
Experience with scripting languages like Python for automation and tooling around analytics pipelines.  
**Minimum Qualifications**  
5\+ years of professional software development experience, with a strong focus on analytics, frameworks, and/or client\-side applications.  
5\+ years of experience with Objective\-C and Swift.  
Deep understanding of iOS and macOS application architecture and development best practices.  
Proven experience in designing and implementing client\-side analytics and telemetry systems.  
Excellent problem\-solving skills and a meticulous attention to detail.  
Strong communication and collaboration skills, with the ability to articulate technical concepts and data insights effectively to both technical and non\-technical audiences.  
Demonstrated ability to balance technical excellence with user needs and product goals.  
Bachelors Degree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6">
      <c r="A26" t="inlineStr">
        <is>
          <t>in-5f8c1fe404cffcb5</t>
        </is>
      </c>
      <c r="B26" t="inlineStr">
        <is>
          <t>Lead Data Engineer</t>
        </is>
      </c>
      <c r="C26" t="inlineStr">
        <is>
          <t>Capital One</t>
        </is>
      </c>
      <c r="D26" t="inlineStr">
        <is>
          <t>indeed</t>
        </is>
      </c>
      <c r="E26">
        <f>HYPERLINK("https://www.indeed.com/viewjob?jk=5f8c1fe404cffcb5", "https://www.indeed.com/viewjob?jk=5f8c1fe404cffcb5")</f>
        <v/>
      </c>
      <c r="F26">
        <f>HYPERLINK("https://www.capitalonecareers.com/job/-/-/1732/91911068176", "https://www.capitalonecareers.com/job/-/-/1732/91911068176")</f>
        <v/>
      </c>
      <c r="G26" t="inlineStr">
        <is>
          <t>McLean, VA, US</t>
        </is>
      </c>
      <c r="H26" s="2" t="n">
        <v>46071</v>
      </c>
      <c r="I26" t="inlineStr">
        <is>
          <t>Lead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Data Engineer  
New York, NY: $215,200 \- $245,600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7">
      <c r="A27" t="inlineStr">
        <is>
          <t>in-b280ac078fc23be9</t>
        </is>
      </c>
      <c r="B27" t="inlineStr">
        <is>
          <t>Senior Manager, Data Engineering - Cloud Platform</t>
        </is>
      </c>
      <c r="C27" t="inlineStr">
        <is>
          <t>Charles Schwab</t>
        </is>
      </c>
      <c r="D27" t="inlineStr">
        <is>
          <t>indeed</t>
        </is>
      </c>
      <c r="E27">
        <f>HYPERLINK("https://www.indeed.com/viewjob?jk=b280ac078fc23be9", "https://www.indeed.com/viewjob?jk=b280ac078fc23be9")</f>
        <v/>
      </c>
      <c r="F27">
        <f>HYPERLINK("https://www.schwabjobs.com/job/-/-/33727/91922644480", "https://www.schwabjobs.com/job/-/-/33727/91922644480")</f>
        <v/>
      </c>
      <c r="G27" t="inlineStr">
        <is>
          <t>Austin, TX, US</t>
        </is>
      </c>
      <c r="H27" s="2" t="n">
        <v>46072</v>
      </c>
      <c r="I27" t="inlineStr">
        <is>
          <t>**Your opportunity**
--------------------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In this role, you’ll lead a highly skilled data engineering team responsible for designing and delivering cloud\-based data platforms that power critical business insights across the firm. You’ll partner closely with architects, product teams, and business leaders to shape scalable, secure, and reliable data solutions while creating an environment where engineers can do their best work, grow their careers, and see the impact of what they build. If you’re energized by leading people, solving complex data problems, and building platforms that matter, this is an opportunity to own your tomorrow at Schwab.
 **Key Responsibilities**
* Lead and develop a team of data engineers, providing clear direction, mentorship, and career development support
* Partner with business stakeholders to understand strategic and financial objectives and translate them into scalable data solutions
* Plan, estimate, prioritize, and coordinate technical activities across data engineering initiatives
* Define and enforce standards, guidelines, and best practices for data design, development, testing, and deployment
* Oversee ETL design, development, data management, and analytics delivery to ensure solutions meet functional and non\-functional requirements
* Identify and manage project dependencies and downstream impacts across applications and platforms
* Evaluate new tools and technologies, lead proofs of concept, and recommend improvements to the enterprise data landscape
* Collaborate with internal teams and external vendors to resolve platform issues and keep delivery on track
* Ensure alignment with architecture policies, security standards, and development methodologies
* Work effectively with onshore and offshore teams to deliver high\-quality, timely solutions
* Provide hands\-on technical guidance and coding support when needed
* Identify opportunities for system reuse, simplification, and continuous improvement
**What you have**
-----------------
 **What You Have**
To help us deliver on our commitment to integrity, innovation, and succeeding together, this role requires the following qualifications.
 **Required Qualifications**
* Bachelor’s degree in Engineering, Technology, or a related field
* 3\+ years of people leadership experience supporting highly technical teams
* 12\+ years of experience designing, developing, and supporting ETL and database solutions
* 7\+ years of experience leading small to mid\-sized technology projects
* 3\+ years of hands\-on experience with Informatica Intelligent Data Management Cloud (IDMC)
* 3\+ years of experience with Control\-M
* 3\+ years of experience working with Google Cloud Platform technologies, including GCS, BigQuery, and Dataproc
* Strong data modeling skills supporting operational and analytical reporting systems
* Deep understanding of data warehouse concepts and cloud\-based architecture patterns
* Strong SQL skills and solid understanding of relational database concepts
* Experience working in Agile delivery models using tools such as Jira
* Excellent written, verbal, and interpersonal communication skills
 **Preferred Qualifications**
* Experience working in the financial services industry
* Proficiency with Python, Perl, or other scripting languages
* Familiarity with source control and DevOps tools and CI/CD best practices
In addition to the salary range, this role is also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28">
      <c r="A28" t="inlineStr">
        <is>
          <t>in-81eb7d99af38ec58</t>
        </is>
      </c>
      <c r="B28" t="inlineStr">
        <is>
          <t>Data Engineer</t>
        </is>
      </c>
      <c r="C28" t="inlineStr">
        <is>
          <t>Premier Nutrition Company</t>
        </is>
      </c>
      <c r="D28" t="inlineStr">
        <is>
          <t>indeed</t>
        </is>
      </c>
      <c r="E28">
        <f>HYPERLINK("https://www.indeed.com/viewjob?jk=81eb7d99af38ec58", "https://www.indeed.com/viewjob?jk=81eb7d99af38ec58")</f>
        <v/>
      </c>
      <c r="F28">
        <f>HYPERLINK("https://www.premiernutrition.com/careers/?gnk=job&amp;gni=8a7883ac9a9e36db019a9e6aa9e90469&amp;gns=Indeed+Free", "https://www.premiernutrition.com/careers/?gnk=job&amp;gni=8a7883ac9a9e36db019a9e6aa9e90469&amp;gns=Indeed+Free")</f>
        <v/>
      </c>
      <c r="G28" t="inlineStr">
        <is>
          <t>Emeryville, CA, US</t>
        </is>
      </c>
      <c r="H28" s="2" t="n">
        <v>46072</v>
      </c>
      <c r="I28" t="inlineStr">
        <is>
          <t>**Here’s what all the hype is about…**
Premier Nutrition Company (PNC) is one of the fastest\-growing companies in the proactive wellness space showing clear leadership in the category of protein shakes and powders. We make the brands *Premier Protein and Dymatize*, and are part of our publicly traded holding company, BellRing Brands (NYSE: BRBR).
We have a simple, yet powerful, formula for our success, which we’ve been nailing since our founding in 1997\. We start with an organization powered by our company purpose—*Changing Lives with Good Energy*. Then our purpose\-driven people are given the support and autonomy to develop and grow. Next, we are super\-intentional about designing a culture where everyone feels like they truly *connect and belong*, which is one of our five company core values. Purpose\-driven, connected employees deliver amazing business results. And winning companies with remarkable people and thriving cultures attract and retain top talent, so the cycle becomes self\-reinforcing or what we call our *regenerative culture*.
We don’t mind sharing our formula, since we believe the world would be a better place if more workplaces treated adults like adults and gave them the platform to do the best work of their lives—alongside some truly amazing colleagues. Why don’t more companies do this? It takes deep\-in\-your\-bones conviction to your people, products, and purpose to pull it off. It also takes resisting the urge to try to control people, and instead, trusting them to make the right decisions. The result of our vibrant culture speaks for itself: We were certified as a *Great Place to Work*™ for the 9th year\-running in 2025\. And we currently rank \#8 on *Fortune Magazine’s* Best Workplaces in our category and were in the top 12 for each of the last 7 years.
We have a long list of ways we take care of our people, but here are some crowd\-pleasers that our employees often say they love most: Year\-round ½ day Fridays, in\-office massages, free lunches \&amp; snacks, dogs in the office, culture of belonging celebrations, engaging in\-office events like bring your kids to work day, 6% 401k match after 1 year, generous paid family leave regardless of gender, all positions bonus\-eligible, company\-wide volunteer days, company\-matched charitable donations, no employee handbook, no dress code, coaching conversations instead of performance reviews, and walking meetings.
PNC seeks individuals who will flourish in this type of work environment and will add to our culture and help build this high\-growth company for the next phase in our amazing journey. Does this sound like you? Then read on…
We believe in the power of mindset, and specifically what we call the *Challenger Mindset*. Do you take smart, bold risks, display relentless hunger, and see yourself as a builder? We’re looking for individuals who choose action over analysis paralysis—those who start before they feel completely ready, make calculated moves based on the best information available, and build momentum through decisive action rather than perfect planning. You should have an insatiable drive that keeps you agile and forward\-thinking, always challenging assumptions, seeking new opportunities, and focusing on long\-term impact over short\-term wins. Above all, you’re a builder—someone who transforms the status quo, finds smarter, simpler, faster ways to get things done, and inspires others to do the same.
**The role you’re interested in…**As a Data Engineer, you will help our company solve their most challenging problems and drive decisions with data. As a member in our Enterprise Data Intelligence team, you will be at the center of data and analytical innovation and adoption. In this role, you will drive value by migrating, acquiring, maintaining, and evolving our data integration process and platform. Activities range from data acquisition and validation, designing and implementing ETL/ELT data pipelines, designing and implementing databases, job suite execution and monitoring, support testing, troubleshooting, and system analysis. You will be collaborating with all our departments to build end\-to\-end data infrastructure and pipelines that promote reporting and advanced analytics and further business process evaluation.
**The work environment…**
So, what’s it like to work here? If you’re based in the greater Bay Area, you’ll walk into our Emeryville office each Tuesday morning and start the in\-person portion of our hybrid work week at our weekly all\-company meeting and find close to 200 of your colleagues, some sitting with their dogs, talking excitedly through the week ahead and watching a newer teammate tell their personal life and career journey followed by a quick update on any hot topics that might be relevant to the week ahead.
We are a dynamic, HYBRID workplace so every employee who lives within 100 miles of our offices is expected to come in Tuesday through Thursday. We are very intentional about connecting in person for things like innovation, impromptu collaboration, having respectful challenges to get to better decisions, leadership role\-modeling, and culture building. Great work cultures are built on stories about what great looks like in practice, and great stories during virtual meetings just don’t happen. The expected pay scale for this role is $145k to $155k, which may vary based on relevant experience, qualifications, geographic area (if applicable), and internal equity for the role.
At the beginning of 2026, we will move into our massive modern 133,000 square foot headquarters in Emeryville, California, complete with spacious personal workspaces, gym with rock\-climbing wall, a café, free onsite parking, tons of greenery, and many transportation options.
**You’re excited about this opportunity because your time will be filled with…**Design, Develop, and Maintain Data Infrastructure and Pipelines: 60% of your time
* Design, build, and maintain cloud\-native data pipelines and infrastructure to support analytics, reporting, and data science use cases in a SaaS\-based environment.
* Perform all stages of the data lifecycle: requirements gathering, design, ingestion, transformation, modeling, testing, deployment, monitoring, and production support.
* Implement and manage ELT pipelines using tools such as Fivetran, dbt, and Python, delivering reliable and scalable data solutions.
* Develop and maintain data models, data marts, APIs, and automation scripts to streamline analytics workflows.
* Design and deploy database schemas, tables, and views in Snowflake across multiple environments (DEV, QA/UAT, PROD).
* Collaborate with stakeholders to translate business requirements into robust technical designs.
* Support documentation, training, and enablement to drive adoption of enterprise data assets.
Enhance and Optimize DataOps Operational Excellence: of your time 30%
* Protect the data pipeline! Your mission is to monitor the production schedule, troubleshoot any failures, and ensure that the processes are running smoothly.
* Monitor data quality and dig in deep to find solutions to problems when they arise.
* Administer Snowflake security strategy and database management.
* Fine\-tune and optimize databases, queries, and pipelines for improved performance and efficiency.
* Proactively identify processes that would benefit from system automation to improve the Enterprise Data Intelligence team effectiveness and increase operating efficiencies.
* Research and test new technology solutions, assist in vetting architectural changes/database design that would have to occur to support enterprise adoption and determine impacts.
Data Warehouse Administration: 10% of your time
* Follow documented procedures for configuring, maintaining, upgrading, testing, and deploying as a database administrator. Ensure best technical practices are followed for all enterprise database administration for the best user experience and sustainable design.
**What are we looking for?**
Education:
* Bachelor’s degree in Computer Science, Engineering, Information Systems, or related technical disciplines.
Experience:
* 5\+ years of experience as a Data Engineer working within cloud\-native and SaaS\-based environments, supporting enterprise data platforms built on data warehouses, data lakes, and application databases (e.g., Snowflake, Oracle, SQL Server).
* 5\+ years of SQL experience with proven ability to write, optimize, and maintain complex queries and stored procedures.
* Programming experience in Python, Scala, or other scripting languages for automation, data transformation, and integration.
* Hands\-on experience designing, building, and maintaining ELT/ETL data pipelines, dimensional models, and data marts using modern tools such as dbt, Fivetran, or equivalent cloud\-based frameworks.
* Demonstrated experience working with SaaS data sources and APIs, integrating data from cloud\-based systems such as ERP (e.g., NetSuite), CRM, and planning tools (e.g., Oracle EPM, O9, or Salesforce).
* Exposure to or hands\-on experience with AI/LLM frameworks (e.g., Snowflake Cortex, MCP, or similar technologies) to enhance automation and data intelligence.
* Experience with data integration and orchestration tools (e.g., Dell Boomi, Airflow, Azure Data Factory, or equivalent).
* Strong understanding of data governance, observability, lineage, and data quality management in a cloud environment.
* Experience using Git\-based version control systems (e.g., GitHub, GitLab) and CI/CD workflows for deployment across multi\-environment pipelines (DEV, QA, PROD).
* Working knowledge of cloud platforms (preferably Azure, with exposure to AWS or GCP) and secure data exchange mechanisms (APIs, SFTP).
* Excellent communication and collaboration skills, with the ability to work cross\-functionally in a distributed SaaS organization.
Preferred Qualifications
* Master’s degree in Computer Science, Engineering, Information Systems, or related technical disciplines preferred.
* Hands on knowledge with at least one key BI market tool (Tableau, SAP BO, Oracle BI, MS Power BI) is a plus.
* Must be willing to be on call for night/weekend production support.
* Ability to think strategically about tools and technologies that enable analytics.
* Experience working in CPG industry.
Skills
* Problem\-Solving: Ability to analyze complex data challenges and develop innovative solutions that align with business objectives.
* Get Things Done: Great work ethic and moves with a sense of urgency.
* Drives Continuous Improvement: Always focusing on effective and efficient work and ways to get better.
* Obsesses over the Details and committed to paying attention to the details
* Demonstrated excellent verbal/written communication skills.
* Life long learner: A passion for staying up\-to\-date with the latest trends and advancements in data engineering and related technologies.
* Provocative thinker who is courageous to share his or her thoughts regardless of the level of the audience
* Self\-motivated individual who can identify issues/opportunities for improvement and be proactive in addressing them
* Able to wear many hats and multitask as priorities evolve and change
* Demonstrates ownership of outcomes vs being an order taker of tasks
* Manage the forward progress on multiple projects and determine priority order
* Bring a sense of fun, passion and positive attitude to every day
So, if after reading through this long list you’re thinking—I’m not sure I meet 100% of these requirements, should I still apply? YES—if you embody a growth mindset, see challenges as opportunities to develop, and find innovative ways to get the real work that matters done, you sound like our kind of candidate!  
**The 5 capabilities or mindsets most relevant to this role:**
* Challenger Mindset—bias for action, hungry to get after it, comfortable taking smart risks
* Be a builder by creating for the future
* Enterprise strategic view—take the full company perspective over departments or channels
* Challenge ideas respectfully by sharing your real opinion with conviction; disagree in a way people feel heard
* Bring people along by providing context and cascading information; share openly and inclusively
**You will thrive here and may just do the best work of your life if…**
* You are hungry, are comfortable with smart risks,
* You like to get sh\*t, I mean—stuff done
* You can be both clear and kind—empathetic yet hold people accountable
* You want to be an integral part of shaping an amazing work culture and being a culture\-add
* You are comfortable being natural, casual, open, and even a bit playful at work
**This may not be your ideal next career move if you like…**
* …a lot of structure, rules, and uniformity
* …a lot of command and control management
* …a “big company” impersonal, cog\-in\-the\-machine vibe—that ain’t us
* …to build a beautiful, orderly bureaucracy
* … things to not change much (we suggest the elevator business for that)
**Here’s the deal with our not\-so\-standard, um…*****standard interview process*** **because we know you are the curious type, which is why you’re still reading this…**
* Quick 30 min phone chat with a high energy member of our Talent Acquisition team to do a quick overview of your background and answer any burning questions you have
* Team interviews are kept to a minimum to foster a more efficient, candidate\-friendly process (too many interviewers yields little value and drags out the process for you—and who wants that, right?):
	+ A short series of in\-person or video interviews in a 1:1 setting; these are usually with the hiring manager, one or two other team members, and a person from another team to get broader perspectives (note: we don’t do panel interviews because they don’t give interviewers a chance to ask you unique questions, and we assign interviewers different roles so we’re probing different capabilities)
* A case study or job task to simulate what you’d actually be doing in the role might be included (since your job is not actually to be interviewed for a living, why is that the thing companies rely on so much?) Yes, there will be a small panel for this one so you don’t have to do it more than once, and yes, they might ask you some kind yet probing questions at the end after the raucous applause stops.
* Once your interview concludes, the team will meet for an in\-depth consultative process to ensure we are hiring the right person for the right job. Interviewers must come in with a strong **yes** or **no** vote beforehand to avoid groupthink with supporting reasons. The collective thoughts on your candidacy will be discussed in an environment of safety to challenge ideas respectfully, debate. and be open to all important qualifications of the candidates. A trained, disinterested bias blocker will be present to help mitigate bias so the team can make a sound hiring decision. The moment of truth arrives when the hiring manager makes the big decision. If you nailed the interviews and the case study was brilliant, guess what? The offer is all yours! And the ball is in your court. Will you accept? We sure hope so, because this place is the real deal, and don’t just believe us—just ask the 91% of our people who said this is a great place to work in our most recent employee survey.
We strive to create an equitable and inclusive environment to contribute to the success of our organization. Premier Nutrition provides equal employment opportunities to all employees and applicants for employment without regard to race, color, religion, gender, sexual orientation, national origin, age, disability, genetic information, marital status, status as a covered veteran and any other category protected under applicable federal, state, provincial and local laws.</t>
        </is>
      </c>
    </row>
    <row r="29">
      <c r="A29" t="inlineStr">
        <is>
          <t>in-cf290172484244ef</t>
        </is>
      </c>
      <c r="B29" t="inlineStr">
        <is>
          <t>Data Engineer</t>
        </is>
      </c>
      <c r="C29" t="inlineStr">
        <is>
          <t>eClerx</t>
        </is>
      </c>
      <c r="D29" t="inlineStr">
        <is>
          <t>indeed</t>
        </is>
      </c>
      <c r="E29">
        <f>HYPERLINK("https://www.indeed.com/viewjob?jk=cf290172484244ef", "https://www.indeed.com/viewjob?jk=cf290172484244ef")</f>
        <v/>
      </c>
      <c r="F29">
        <f>HYPERLINK("https://fa-ewji-saasfaprod1.fa.ocs.oraclecloud.com/hcmUI/CandidateExperience/en/sites/CX_1/requisitions/preview/82076", "https://fa-ewji-saasfaprod1.fa.ocs.oraclecloud.com/hcmUI/CandidateExperience/en/sites/CX_1/requisitions/preview/82076")</f>
        <v/>
      </c>
      <c r="G29" t="inlineStr">
        <is>
          <t>New York, NY, US</t>
        </is>
      </c>
      <c r="H29" s="2" t="n">
        <v>46072</v>
      </c>
      <c r="I29" t="inlineStr">
        <is>
          <t>**Data Engineer**
\-
**Location** : New York, Alpharetta US
**Type** : Full\-time
**Department** : Technology
\-
**Summary**
eClerx is seeking for an experienced Data Engineer with 5\+ years of expertise in data warehousing and ETL development. The ideal candidate will have strong hands\-on experience with Snowflake, Talend or Informatica, and Python, along with a proven ability to design and optimize scalable, high\-performance data pipelines.
This role involves building and maintaining cloud\-native data solutions, driving automation and performance improvements, and implementing Agile and DevOps best practices. You will collaborate closely with business, analytics, and IT stakeholders to deliver reliable, cost\-efficient data solutions that generate measurable business value. Strong ownership, problem\-solving skills, and the ability to thrive in a fast\-paced, data\-driven environment are essential.
**Responsibilities**
* ETL and Data Warehousing: Develop, and maintain robust, scalable ETL pipelines and data warehouse solutions using Snowflake, ETL(Talend Enterprise/ Informatica PowerCenter), and Python.
* Cloud Data Engineering: Design and implement cloud\-native data solutions, ensuring performance, cost\-efficiency, and scalability.
* Performance Optimization: Continuously monitor and optimize ETL processes and data pipelines for maximum efficiency and reliability.
* Agile \&amp; DevOps Implementation: Drive the adoption of Agile methodologies and DevOps best practices to enhance team efficiency and accelerate delivery cycles.
* Automation \&amp; Innovation: Identify opportunities for automation throughout the data lifecycle and implement innovative solutions to streamline operations.
* Stakeholder Collaboration: Work closely with business, analytics, and IT stakeholders to understand data requirements and deliver solutions that drive business value.
**Eligibility Requirements**
* 5\+ years of experience in data engineering, data warehousing, and ETL development.
* Advanced proficiency in Snowflake, ETL(Talend Enterprise/ Informatica PowerCenter), and Python.
* Strong background in designing and implementing scalable, high\-performance data pipelines.
* Demonstrated experience in delivering complex projects.
* Solid grasp of Agile and DevOps principles with practical experience implementing these in data engineering environments.
* Excellent communication and collaboration skills.
* Strong sense of ownership, accountability, and proven problem\-solving abilities.
* Experience driving team transformation and process improvement through automation and cloud adoption.
* Ability to foster a culture of innovation, continuous learning, and excellence.
* Prior experience working in fast\-paced, data\-driven organizations.
In the US, the target base salary for this role is $120K \- $130K. Compensation is based on a range of factors that include relevant experience, knowledge, skills, other job\-related qualifications, and geography. We expect the majority of candidates who are offered roles at our company to fall throughout the range based on these factors
**What We Offer**
* Competitive salary and performance bonuses
* Flexible working hours
* Career growth opportunities and ongoing training
* Inclusive, supportive company culture
**How to Apply**
* Click "Apply Now" to submit your resume through our career site
* Be sure to include any relevant experience that aligns with the role.
* Qualified candidates will be contacted by a member of our recruitment team for next steps
**About eClerx**
eClerx is a leading provider of productized services, bringing together people, technology and domain expertise to amplify business results.
The firm provides business process management, automation, and analytics services to a number of Fortune 2000 enterprises, including some of the world’s leading financial services, communications, retail, fashion, media \&amp; entertainment, manufacturing, travel \&amp; leisure, and technology companies. Incorporated in 2000, eClerx is traded on both the Bombay and National Stock Exchanges of India. The firm employs more than 19,000 people across Australia, Canada, France, Germany, Switzerland, Egypt. India, Italy, Netherlands, Peru, Philippines, Singapore, Thailand, the UK, and the USA.
For more information, visit www.eclerx.com
You can also find us on:
https://www.linkedin.com/company/eclerx/
https://www.indeed.com/cmp/Eclerx/about
https://www.glassdoor.com/eClerx
eClerx is an Equal Opportunity Employer. All qualified applicants will receive consideration for employment without regard to race, color, religion, sex, national origin, disability or protected veteran status, or any other legally protected basis, in accordance with applicable law. We are also committed to protecting and safeguarding your personal data. Please find our policy here</t>
        </is>
      </c>
    </row>
    <row r="30">
      <c r="A30" t="inlineStr">
        <is>
          <t>in-1e790db46564b645</t>
        </is>
      </c>
      <c r="B30" t="inlineStr">
        <is>
          <t>Associate Data Engineer</t>
        </is>
      </c>
      <c r="C30" t="inlineStr">
        <is>
          <t>PetSmart</t>
        </is>
      </c>
      <c r="D30" t="inlineStr">
        <is>
          <t>indeed</t>
        </is>
      </c>
      <c r="E30">
        <f>HYPERLINK("https://www.indeed.com/viewjob?jk=1e790db46564b645", "https://www.indeed.com/viewjob?jk=1e790db46564b645")</f>
        <v/>
      </c>
      <c r="F30">
        <f>HYPERLINK("https://careers.petsmart.com/jobs/7377?lang=en-us", "https://careers.petsmart.com/jobs/7377?lang=en-us")</f>
        <v/>
      </c>
      <c r="G30" t="inlineStr">
        <is>
          <t>Phoenix, AZ, US</t>
        </is>
      </c>
      <c r="H30" s="2" t="n">
        <v>46071</v>
      </c>
      <c r="I30" t="inlineStr">
        <is>
          <t>**About the Team**  
It's an exciting time in technology, and that buzz is felt throughout PetSmart! We are continuing to grow at a faster pace and we want to continue to provide best\-in\-class experiences for pets and pet parents.
Our **Technology team** has 6 different departments: Information Security, Service Delivery, Business Enabling Systems, eCommerce \&amp; Marketing Technology, Data and Stores, Services \&amp; Supply Chain.
Whether it's online or in our stores, the work that the IT team does is instrumental in PetSmart's success. We have a strategic and actionable plan underway and are looking for associates who are just as excited about it as we are.
**About the Location**  
**Collaborative Work Environment:**  
At PetSmart, teamwork and connection are core to how we thrive. This role is based at our Phoenix Home Office, with an expectation of working a minimum of four days in the office each week. In a standard work week, associates may work up to one remote "flex day" (with leader approval). Our hybrid approach is designed to foster strong collaboration while also supporting flexibility and individual success.
**About the Job**  
**Associate Data Engineer \- TIBCO / Integration (Entry Level)**  
**Position Overview**  
As an Associate Data Engineer \- TIBCO / Integration, you will support the development and operation of PetSmart's enterprise system integrations that enable reliable, secure data exchange across the business. This entry\-level role focuses on learning PetSmart's integration architecture, enterprise platforms, and BIRI fundamentals while delivering well\-defined integration and data components under the guidance of senior engineers. You will gain hands\-on experience with TIBCO\-based integrations, APIs, and message\-driven systems while building a strong foundation in data engineering best practices.
**Key Responsibilities**  
* Learn and apply **TIBCO integration platforms** (e.g., TIBCO BusinessWorks 6, EMS, Container Edition) and PetSmart integration standards, patterns, and governance practices.
* Build and maintain **basic integration components** within existing solutions, including process flows, transitions, connectors, adapters, and message transformations.
* Support **API\-based integrations** (REST/SOAP) and **message\-driven integrations** using JMS , pub\-sub, queues, and topics to enable synchronous and asynchronous data exchange used in technologies like RabbitMQ or GCP Pub/Sub.
* Develop data transformations, mappings, and validations to ensure **data quality, accuracy, and consistency** across systems.
* Apply best\-fit **governance, security, and compliance requirements** defined by senior engineers.
* Write and maintain **tests, documentation, and deployment artifacts** ; participate in code reviews and incorporate feedback quickly.
* Assist with **monitoring, alerting, and basic troubleshooting** of integration and data pipelines; escalate issues as needed.
* Follow coding standards and engineering best practices; contribute to continuous improvement through automation and simplification of repetitive tasks.
Collaborate with team members to clarify requirements, understand acceptance criteria, and ensure deliverables meet usability and quality expectations.  
* 
**Qualifications \&amp; Experience**  
* Bachelor's degree (or in progress) in Computer Science, Engineering, Information Systems, or related fields .
* **0\-2 years of experience** (including internships, co\-ops, or academic projects) in data engineering, integration engineering, or software development.
* Foundational knowledge of **integration concepts** , including APIs, message\-based systems, and ETL/ELT pipelines.
* Basic proficiency in **SQL** and programming languages such as **Java** .
* Exposure to **TIBCO** , MuleSoft, Boomi, or similar integration platforms is strongly preferred.
* Familiarity with **REST/SOAP APIs** , **JSON/XML** , messaging concepts (JMS), and version control tools such as **Git** .
* Strong analytical and problem\-solving skills, eagerness to learn, and the ability to apply feedback quickly.
* Clear communication skills and a **reliable, team\-first mindset** .
**Additional Job Considerations**  
* This role requires collaboration, teamwork, and face\-to\-face interaction with colleagues, leaders, and/or clients.
* Being in the office ensures access to leaders, cross\-functional partners, and resources necessary to make timely decisions and drive results.
* On\-site presence in accordance with our FlexSmart policy supports our culture of innovation, mentorship, and engagement, which is integral to our success in developing the best team.
* This is not intended to be an all\-inclusive, exhaustive list of all essential job functions for this position. PetSmart retains the right to change or assign other required job duties to this position.
**About the Culture**  
At PetSmart, Anything for Pets begins with our people. Every associate plays a vital role in creating meaningful experiences for pets and their families, and we empower our teams with the tools, resources, and opportunities to grow and succeed.
We're more than a workplace, we're Team PetSmart. Together, we grow, collaborate, and challenge ourselves to be the best in all we do. Our culture is built on belonging and shared purpose, where every voice and experience matters. Guided by our values, we strive to do what's right, lead responsibly, and bring our passion for pets to life every day. Not sure if you meet 100% of the position requirements and whether you should apply? We'd still like to hear from you and encourage you to apply with us! You might be the right fit for this role or another opportunity across Team PetSmart.
Our home office offers outstanding amenities in a fun and rewarding workplace including:
* **Pet\-friendly environment** , bring your pets to work and enjoy the on\-site dog park!
* **On\-Site Events \&amp; Adoptions** , enjoy community\-building opportunities, including pet adoption days, seasonal celebrations, family events, art events, \&amp; holiday festivals
* **"Top Dog" gym** with equipment, fitness classes, massage therapists, personal trainers, and wellness spaces
* **"Sit \&amp; Stay" Café** serving fresh breakfast and lunch options, snacks, \&amp; more
* "**Lil Paws" NAEYC\-accredited onsite childcare** facility providing high\-quality early education
* **Paid Volunteer Opportunities** to spend time doing good for causes close to heart
* **Print Center and Business Services** , Dry Cleaning, Mother's Rooms, Sustainable Infrastructure \&amp; more
PetSmart provides an equal opportunity for all associates and job applicants without regard to race, color, religion, sex, sexual orientation, gender identity, national origin, disability, veteran status or other legally protected characteristics.</t>
        </is>
      </c>
    </row>
    <row r="31">
      <c r="A31" t="inlineStr">
        <is>
          <t>in-773320468894cf98</t>
        </is>
      </c>
      <c r="B31" t="inlineStr">
        <is>
          <t>Data Engineer - Databricks</t>
        </is>
      </c>
      <c r="C31" t="inlineStr">
        <is>
          <t>Steampunk</t>
        </is>
      </c>
      <c r="D31" t="inlineStr">
        <is>
          <t>indeed</t>
        </is>
      </c>
      <c r="E31">
        <f>HYPERLINK("https://www.indeed.com/viewjob?jk=773320468894cf98", "https://www.indeed.com/viewjob?jk=773320468894cf98")</f>
        <v/>
      </c>
      <c r="F31">
        <f>HYPERLINK("https://careers-steampunk.icims.com/jobs/7437/job?utm_source=indeed_integration&amp;iis=Job%20Board&amp;iisn=Indeed&amp;indeed-apply-token=73a2d2b2a8d6d5c0a62696875eaebd669103652d3f0c2cd5445d3e66b1592b0f", "https://careers-steampunk.icims.com/jobs/7437/job?utm_source=indeed_integration&amp;iis=Job%20Board&amp;iisn=Indeed&amp;indeed-apply-token=73a2d2b2a8d6d5c0a62696875eaebd669103652d3f0c2cd5445d3e66b1592b0f")</f>
        <v/>
      </c>
      <c r="G31" t="inlineStr">
        <is>
          <t>McLean, VA, US</t>
        </is>
      </c>
      <c r="H31" s="2" t="n">
        <v>46071</v>
      </c>
      <c r="I31" t="inlineStr">
        <is>
          <t>Overview:
We are looking for seasoned **Data Engineer** to work with our team and our clients to develop enterprise grade data platforms, services, and pipelines. We are looking for more than just a "Data Engineer", but a technologist with excellent communication and customer service skills and a passion for data and problem solving.
Contributions:
* Lead and architect data pipelines and ingest patterns to move raw data from data producers to an enterprise data ecosystem, with a focus on performance and reliability
* Assess and understand the ETL jobs, workflows, BI tools, and reports
* Address technical inquiries concerning customization, integration, enterprise architecture and general feature / functionality of data products
* Experience in crafting database / data warehouse solutions in cloud (Preferably AWS. Alternatively Azure, GCP).
* Key must have skill sets – Python, SQL, Databricks, AWS Data Services
* Support an Agile software development lifecycle
* You will contribute to the growth of our Data Exploitation Practice!
Qualifications:
* Ability to hold a position of public trust with the US government.
* Bachelor’s Degree and 6\+ years of total experience or equivalent experience and education.
* 6\+ years direct experience in Data Engineering with experience in tools such as:
* + Big data tools: Hadoop, Spark, Kafka, etc.
	+ Relational SQL and NoSQL databases, including Postgres and Cassandra.
	+ Data pipeline and workflow management tools: Azkaban, Luigi, Airflow, etc.
	+ AWS cloud services: EC2, S3, RDS, Glue, Step Functions, Lamda, EMR, DynamoDB, DocumentDB, Redshift, Aurora, Athena
	+ Data Platforms: Databricks, Snowflake
	+ Data streaming systems: Kafka, Storm, Spark\-Streaming, etc.
	+ Languages: Python, R, Scala, Go
* Ability to inspect existing data pipelines, discern their purpose and functionality, and re\-implement them efficiently in Databricks.
* Advanced working SQL knowledge and experience working with relational databases
* Advanced working knowledge and of NoSQL databases
* Experience with message queuing, stream processing, and highly scalable ‘big data’ data stores.
* Experience manipulating, processing, and extracting value from large, disconnected datasets.
* Experience manipulating structured and unstructured data for analysis.
* Experience with data modeling tools and processes.
* Experience aggregating and transforming data from multiple datasets to create data products
* Experience working in an Agile environment
About **steampunk**:
Steampunk relies on several factors to determine salary, including but not limited to geographic location, contractual requirements, education, knowledge, skills, competencies, and experience. The projected compensation range for this position is $110,000 to $160,000\. The estimate displayed represents a typical annual salary range for this position. Annual salary is just one aspect of Steampunk’s total compensation package for employees. Learn more about additional Steampunk benefits here. **Identity Statement**
As part of the application process, you are expected to be on camera during interviews and assessments. We reserve the right to take your picture to verify your identity and prevent fraud.  
Steampunk is a **Change Agent** in the Federal contracting industry, bringing new thinking to clients in the Homeland, Federal Civilian, Health and DoD sectors. Through our **Human\-Centered delivery methodology**, we are fundamentally changing the expectations our Federal clients have for true shared accountability in solving their toughest mission challenges. As an **employee owned company**,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li-4356575471</t>
        </is>
      </c>
      <c r="B2" t="inlineStr">
        <is>
          <t>Data Engineer (L5) - Messaging</t>
        </is>
      </c>
      <c r="C2" t="inlineStr">
        <is>
          <t>Netflix</t>
        </is>
      </c>
      <c r="D2" t="inlineStr">
        <is>
          <t>linkedin</t>
        </is>
      </c>
      <c r="E2" t="inlineStr"/>
      <c r="F2" t="inlineStr"/>
      <c r="G2" t="inlineStr"/>
      <c r="H2" t="inlineStr"/>
      <c r="I2"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At Netflix, Messaging refers to our off\-platform communications with members (e.g., emails, push notifications) as well as in\-product interstitials. Messaging has long been a key lever for driving growth and member engagement at Netflix. As we invest in new formats like Live Content and Games, Messaging becomes even more critical to our success. Messaging will play a critical role in notifying and reminding members when these new events occur, helping them adapt to this new model of engagement with Netflix content.
 In this role, you will work collaboratively with data engineers and other partners in the messaging space to build reliable, scalable data pipelines using Apache Spark/Flink. These pipelines will power analytic dashboards, custom viz applications, A/B experiments, and algo features.
 We cannot build one\-off pipelines for each and every use case. Rather, the right candidate will see this problem through a platform lens, building scalable, flexible data products that support the many current use cases and can adapt to future ones. This candidate will have previous experience building out new systems from the ground up and past success with complex cross\-domain partnerships.
**Who You Are**
* You have experience in distributed data processing (Batch or Streaming)
* You have strong SQL skills
* You are proficient in at least one major programming language and are passionate about writing clean, supportable code.
* You have strong data modeling skills. You design structures that adapt to changes in source data or business processes.
* You are an advocate for data quality. You have a strong opinion on when data audits, unit tests, and documentation can be most effective.
* You have strong communication skills that enable you to effectively collaborate with data scientists and engineering partners.
* You are curious about the rapidly evolving technologies in this domain. You are eager to learn and master new tech that can have a big impact on our team.
* You have proven success leading complex technical projects
* You can relate to many aspects of Netflix Culture and love to operate independently while collaborating and giving/receiving candid feedback from your team members.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$380,000\.00 \- $610,000\.00\.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
      <c r="A3" t="inlineStr">
        <is>
          <t>li-4359462015</t>
        </is>
      </c>
      <c r="B3" t="inlineStr">
        <is>
          <t>Data Engineer</t>
        </is>
      </c>
      <c r="C3" t="inlineStr">
        <is>
          <t>Brex</t>
        </is>
      </c>
      <c r="D3" t="inlineStr">
        <is>
          <t>linkedin</t>
        </is>
      </c>
      <c r="E3" t="inlineStr"/>
      <c r="F3" t="inlineStr"/>
      <c r="G3" t="inlineStr">
        <is>
          <t>San Francisco, CA</t>
        </is>
      </c>
      <c r="H3" t="inlineStr"/>
      <c r="I3" t="inlineStr">
        <is>
          <t>**Why join us**
 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Our Scientists and Engineers work together to make data — and insights derived from data — a core asset across Brex. But it's more than just crunching numbers. The Data team at Brex develops infrastructure, statistical models, and products using data. Our work is ingrained in Brex's decision\-making process, the efficiency of our operations, our risk management policies, and the unparalleled experience we provide our customers.
**What You’ll Do**
 As a Data Engineer at Brex, you will be a core contributor in transforming raw data into actionable insights for various departments across the organization. You'll collaborate closely with Data Scientists, Software Engineers, and business units to create efficient data models, pipelines, and analytics frameworks that drive the business forward. You also play a leading role in the design, implementation, and maintenance of Core Data tables, our high\-quality, curated data source for a wide range of analytic applications.
**Where you’ll work**
 This role will be based in our San Francisco office. We are a hybrid environment that combines the energy and connections of being in the office with the benefits and flexibility of working from home. We currently require a minimum of two coordinated days in the office per week, Wednesday and Thursday. Starting February 2, 2026, we will require three days per week in office \- Monday, Wednesday and Thursday. As a perk, we also have up to four weeks per year of fully remote work!
**Responsibilities**
* Design, build, and maintain data models and pipelines that scale with the growing number of services, products, and changes in the company.
* Collaborate closely with Data Scientists, Data Analysts, and Business teams to understand their data needs, translating them into robust, efficient, scalable data solutions that enable ease of predictive analytics, data analysis, and metrics formulation.
* Maintain data documentation and definitions, building and ensuring that source\-of\-truth tables remain high quality for data science and reporting applications.
* Develop and enable integration with various data sources, allowing for more data\-driven initiatives across the company.
* Apply best practices in data management to ensure the reliability and robustness of data utilized across various analytics applications.
* Set and proliferate company\-wide standards for data relating to structure, quality, and expectations.
* Act as a liaison between the technical and non\-technical teams, bridging gaps and ensuring that data solutions align with business objectives.
**Requirements**
* 3\+ years of experience in Data Engineering, Data Analytics, or a related field such as Analytics Engineering.
* 2\+ years of experience working with modern data transformation tools like DBT.
* Advanced knowledge of databases and SQL with the ability to efficiently stage, process, and transform data.
* Experience integrating and orchestrating data workflows with various modern data tools and systems.
* Experience with data modeling, ETL/ELT processes, and data warehousing solutions.
* Experience working with a data warehouse such as Snowflake.
* Experience with a data workflow orchestrator tool such as Airflow.
* Experience with a programming language such as Python.
* Familiarity with BI tools such as Looker, Tableau, or similar platforms is a plus.
* Exceptional quantitative and analytical skills.
* Strong communication skills and ability to collaborate with various stakeholders, both technical and non\-technical.
**Compensation**
 The expected salary range for this role is $120,800 \- $151,000\.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*Please be aware, job\-seekers may be at risk of targeting by malicious actors looking for personal data. Brex recruiters will only reach out via LinkedIn or email with a brex.com domain. Any outreach claiming to be from Brex via other sources should be ignored.*</t>
        </is>
      </c>
    </row>
    <row r="4">
      <c r="A4" t="inlineStr">
        <is>
          <t>li-4344499272</t>
        </is>
      </c>
      <c r="B4" t="inlineStr">
        <is>
          <t>Analytics Engineer 5 - Identity</t>
        </is>
      </c>
      <c r="C4" t="inlineStr">
        <is>
          <t>Netflix</t>
        </is>
      </c>
      <c r="D4" t="inlineStr">
        <is>
          <t>linkedin</t>
        </is>
      </c>
      <c r="E4" t="inlineStr"/>
      <c r="F4" t="inlineStr"/>
      <c r="G4" t="inlineStr"/>
      <c r="H4" t="inlineStr"/>
      <c r="I4"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Data is at the heart of our commerce strategy. Our Commerce Data Science and Engineering team works with a broad range of collaborators and stakeholders, including Product, Engineering, and Finance to inform commerce strategy and data\-informed decision\-making through analysis, metrics research, experimentation, causal inference, and modeling, but also through exceptional judgment, partnership, and business acumen.
 As part of our investment in next\-generation commerce and identity capabilities, the Identity team is responsible for building a unified, individual\-level identity platform that will serve as the core foundation for future product experiences. This cross\-functional, cross\-domain effort will transform our understanding of users and how identity signals are captured, connected, and utilized across the Netflix ecosystem. Our mission is to deliver a more consistent, accurate, and personalized experience for every individual who interacts with Netflix.
 We are hiring a founding Analytics Engineer to help define this space from the ground up and develop the analytical frameworks that will power new commerce experiences at a global scale. As an Analytics Engineer, you will join a team of other stunning Analytics Engineers, Data Scientists, Machine Learning Scientists, and Research Engineers. You will utilize data to identify opportunities and inform product decisions within the identity space. You will collaborate with the commerce team, data engineers, and analysts to provide insights and tooling to scale data\-driven decision\-making for Netflix.
**In This Role, You Will**
* Partner directly with our cross\-functional stakeholders on data, metrics \&amp; analytics initiatives
* Proactively identify and perform data exploration and deep dives to influence future product directions
* Develop and validate the appropriate metrics to measure success in the identity space
* Improve foundational data models while designing, owning, and implementing analytical layers and visualizations for scalable analytics
* Collaborate with the data engineering and data science teams to ensure data quality, integrity, and availability for analysis
* Contribute to the excellence of the Netflix analytics engineering community
* Live Netflix values while bringing a new perspective to continue improving our culture
**To Be Successful In This Role, You Have**
* 5\+ years of industry experience in a data analytics or data science function
* Expertise in SQL, programming skills (e.g., Python or R, Scala), and some exposure to ETL and data warehousing concepts
* A proven track record of data analysis, maintaining analytical layers, reporting, and visualization (e.g., Plotly Dash, Streamlit, Tableau)
* Exceptional communication, storytelling, and collaboration skills coupled with strong business curiosity and acumen
* Comfort with ambiguity; able to take ownership, and thrive with minimal oversight and process
* Experience managing expectations and relationships across a variety of stakeholders
* An interest in Netflix culture
* Familiarity with applied A/B testing experimentation fundamentals is a plus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$330,000\.00 \- $566,000\.00\.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5">
      <c r="A5" t="inlineStr">
        <is>
          <t>li-4301890430</t>
        </is>
      </c>
      <c r="B5" t="inlineStr">
        <is>
          <t>Senior Data Platform Engineer</t>
        </is>
      </c>
      <c r="C5" t="inlineStr">
        <is>
          <t>Samsara</t>
        </is>
      </c>
      <c r="D5" t="inlineStr">
        <is>
          <t>linkedin</t>
        </is>
      </c>
      <c r="E5" t="inlineStr"/>
      <c r="F5" t="inlineStr"/>
      <c r="G5" t="inlineStr"/>
      <c r="H5" t="inlineStr"/>
      <c r="I5"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The Integrations, Data Engineering and AI (IDEA) team within Samsara’s Business Technology organization is looking for a Senior Data Platform Engineer to join our team. We enable various teams at Samsara to leverage GenAI and data to glean insights and make data\-driven decisions by delivering a reliable data platform and trustworthy data and analytics. We are a team that are passionate about leveraging quality data and AI to deliver a great customer experience. Our team promotes an agile, collaborative, supportive environment where diverse thinking, innovative design, and experimentation is welcomed and encouraged.
**This role is open to candidates residing in the US except San Francisco Bay Area and New York Metro City.**
**You should apply if:**
* You want to impact the industries that run our world: Your efforts will result in real\-world impact—helping to keep the lights on, get food into grocery stores, reduce emissions, and most importantly, ensure workers return home safely.
*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 You’re energized by our opportunity: The vision we have to digitize large sectors of the global economy requires your full focus and best efforts to bring forth creative, ambitious ideas for our customers.
* You want to be with the best: At Samsara, we win together, celebrate together and support each other. You will be surrounded by a high\-calibre team that will encourage you to do your best.
**In this role, you will:**
 Databricks
* Administer and monitor Databricks workspaces and underlying AWS Infra. Develop platform admin tools and capabilities to effectively administer, monitor, track and troubleshoot Databricks resources: clusters, catalogs, users, groups, databases, storage and security.
* Act as the primary Databricks SME, assisting and guiding teams on platform features and best practices.
* Collaborate with data engineers, analysts, and data scientists to operationalize and optimize workflows and data pipelines.
 Infrastructure \&amp; DevOps
* Oversee data\-engineering dev ecosystem, including dev\-tooling, CI/CD pipelines, and monitoring frameworks.
* Own implementation and management of IaaC (Terraform, CloudFormation) and CI/CD automation for Databricks and AWS resources.
* Ensure security, high availability, disaster recovery, and compliance across data services.
* Incorporate DevOps best practices including automated testing, deployment, observability, and monitoring.
 Cross\-Functional Collaboration \&amp; Enablement
* Engage directly with internal cross\-functional stakeholders to understand their data needs and design scalable solutions.
* Collaborate with engineers, managers, and vendor representatives in evaluating new features and solutions. Lead rapid prototyping and proof\-of\-concepts to evaluate for performance, cost, security, scalability, observability.
* Provide mentorship to junior team members, and provide technical guidance, training, and knowledge\-sharing across teams.
**Minimum requirements for this role:**
* Bachelor's or Master's degree in Computer Sciences, Software Engineering, Electrical Engineering, Computer Engineering, or related discipline
* 10\+ years experience in a Software Engineering, Platform Engineering, Data Engineering, DevOps/DataOps or similar technical role, including at least 2\+ years experience in data infrastructure or platform focused role.
* Experience building, delivery and administering large\-scale production\-grade data platforms and services to data engineering, business analyst and data\-science teams.
* Solid knowledge of Databricks features and administration, including Unity Catalog, cluster management, security, conducting troubleshooting and root\-cause analysis, and performance optimization.
* Experience and familiarity with AWS services and Cloud Infrastructure provisioning, management, monitoring, and security (e.g., S3, IAM, RDS, Lambda, API\-Gateway, VPC, EC2, ECS/EKS).
* Strong knowledge of SQL and Python, and hands\-on data\-engineering experience in designing and developing data pipelines and ETL routines from a variety of sources (SaaS corporate systems, APIs, RDBMS).
* Skilled with change\-data capture, incremental and batch loading techniques. Experienced in troubleshooting underlying issues and translating them into technical solutions.
* Excellent problem\-solving, communication, and stakeholder management skills.
**An ideal candidate also has:**
* Experience delivering and managing Databricks and AWS Infra for 100s of users
* Experience as a technical lead.
* Knowledge of DevOps tools and practices: GitHub/GitLab, CI/CD systems, Terraform, monitoring/logging tools (e.g., Datadog, CloudWatch).
* Experience implementing robust data governance and security measures to ensure data integrity and compliance.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$134,470—$180,800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6">
      <c r="A6" t="inlineStr">
        <is>
          <t>li-4375665412</t>
        </is>
      </c>
      <c r="B6" t="inlineStr">
        <is>
          <t>Data Engineer</t>
        </is>
      </c>
      <c r="C6" t="inlineStr">
        <is>
          <t>Franklin Fitch</t>
        </is>
      </c>
      <c r="D6" t="inlineStr">
        <is>
          <t>linkedin</t>
        </is>
      </c>
      <c r="E6" t="inlineStr"/>
      <c r="F6" t="inlineStr"/>
      <c r="G6" t="inlineStr">
        <is>
          <t>Peabody, MA</t>
        </is>
      </c>
      <c r="H6" t="inlineStr"/>
      <c r="I6" t="inlineStr">
        <is>
          <t>**About the Company** 
 Our client is a well\-established financial services organization with a strong presence across retail banking, insurance, wealth management, and mortgage services. They are embarking on an exciting journey to build a next\-generation data analytics platform from the ground up, leveraging rich datasets and modern cloud technologies.
 This is a fantastic opportunity to join a collaborative, mid\-sized environment where you can make a real impact on data strategy and analytics capabilities.
**The Role** 
 We are seeking a Data Engineer who can wear multiple hats—data modeling, dashboard development, predictive analytics—and help shape the future of data within the organization.
 You’ll work closely with business stakeholders and IT leadership to design and implement solutions that unlock insights and drive strategic decisions.
**Key Responsibilities** 
* Design and develop new data solutions to meet evolving business needs.
* Build and optimize predictive models; integrate with BI tools.
* Develop dashboards and reports using Power BI.
* Create and maintain efficient data pipelines; support cloud\-to\-cloud environments.
* Collaborate with leadership to provide actionable insights.
* Mentor team members on data handling best practices.
* Stay current with emerging technologies and advocate for ethical data use.
**Technical Requirements** 
 Must Have:
* Power BI and SQL Server expertise
* Azure Cloud experience
* ETL/ELT tools (SSIS, Informatica, Databricks, KingswaySoft)
 Nice to Have:
* Snowflake experience
* Multi\-cloud exposure (AWS/GCP)
* Python and ML frameworks (TensorFlow, PyTorch, scikit\-learn)
* Predictive modeling and advanced analytics
**Soft Skills** 
* Builder mindset—creative with limited resources.
* Comfortable in a non\-siloed environment; able to wear multiple hats.
* Strong collaboration and communication skills.
* Open to learning financial services domain.
**Why Apply?** 
* Opportunity to design and build a data analytics platform from scratch.
* Direct interaction with business stakeholders.
* Stable organization with a history of growth and strong financials.
* Collaborative culture with room for innovation.</t>
        </is>
      </c>
    </row>
    <row r="7">
      <c r="A7" t="inlineStr">
        <is>
          <t>li-4366863912</t>
        </is>
      </c>
      <c r="B7" t="inlineStr">
        <is>
          <t>Data Engineer (Streaming &amp; Analytics)</t>
        </is>
      </c>
      <c r="C7" t="inlineStr">
        <is>
          <t>CRG</t>
        </is>
      </c>
      <c r="D7" t="inlineStr">
        <is>
          <t>linkedin</t>
        </is>
      </c>
      <c r="E7" t="inlineStr"/>
      <c r="F7" t="inlineStr"/>
      <c r="G7" t="inlineStr">
        <is>
          <t>North Fort Myers, FL</t>
        </is>
      </c>
      <c r="H7" t="inlineStr"/>
      <c r="I7" t="inlineStr">
        <is>
          <t>Must sit onsite in Florida
 Monday – Friday / 8:00am \- 5:00pm
 Salary: $115,000\+
 No Sponsorship Available / No C2C
 The Data Engineer is responsible for building and maintaining data pipelines, streaming systems, and transformation layers that power our new Microsoft\-centered analytics ecosystem. This role is essential in modernizing our data platform that integrates Apache Kafka, Apache Spark, Python, MongoDB, SQL Server, Data Frames, Rapids, Microsoft Fabric, Power BI, Copilot, and Purview.
**Responsibilities** 
* Design, build, and maintain scalable batch and streaming data pipelines that support LCEC’s Microsoft Fabric–based analytics ecosystem.
* Develop reliable data ingestion and transformation processes across layered architectures (e.g., Bronze/Silver/Gold) to enable operational analytics, BI, and advanced use cases.
* Engineer high\-performance, fault\-tolerant solutions for both real\-time and batch data processing.
* Design and implement logical and physical data models that align with enterprise analytics, semantic layers, and Power BI consumption.
* Collaborate closely with BI analysts, data consumers, and platform teams to ensure data products are well\-modeled, discoverable, and trusted.
* Work in a managed data environment that maintains lineage, metadata, and thorough documentation.
* Apply engineering best practices, including code reviews, monitoring, optimization, and cost\-aware design.
* Contribute to emerging analytics capabilities, including AI\-assisted and Copilot\-enabled data experiences.
* Ensure smooth operations, productive communications, and effective understanding during all interpersonal contacts. Provide current and accurate information to all requesters, courteously and in a timely manner.
* Support Storm Restoration efforts when needed. Work in emergency storm situations (i.e. hurricanes) and work long hours (\&gt;12 hours per day) for many continuous days/weeks as needed.
**Requirements** 
* Bachelor’s degree in computer science, Engineering, or a related field.
* 6 years' professional experience in data engineering
* Apache Kafka, including producers, consumers, topic design, and retention concepts.
* Integrating data from MongoDB, SQL Server, APIs, and operational systems.
* Dimensional modeling, including star schemas, fact tables, and slowly changing dimensions.
* Apache Spark / PySpark for scalable batch and streaming workloads.
* Microsoft Fabric, including Lakehouse, Warehouse, OneLake, notebooks, and pipelines.
* Demonstrated experience with Power Platform tools, including Power Apps and Power Automate.
* Designing and operating ETL/ELT pipelines in production environment.
* Operating in governed environments using Microsoft Purview.
**Preferred Qualifications** 
* Experience integrating data pipelines with machine learning or MLOps workflows.
* Experience implementing real\-time monitoring, alerting, and observability.
* Experience optimizing data platforms for cost, performance, and scalability.
 Category Code: JN008</t>
        </is>
      </c>
    </row>
    <row r="8">
      <c r="A8" t="inlineStr">
        <is>
          <t>li-4330737317</t>
        </is>
      </c>
      <c r="B8" t="inlineStr">
        <is>
          <t>Senior Data Engineer</t>
        </is>
      </c>
      <c r="C8" t="inlineStr">
        <is>
          <t>Adobe</t>
        </is>
      </c>
      <c r="D8" t="inlineStr">
        <is>
          <t>linkedin</t>
        </is>
      </c>
      <c r="E8" t="inlineStr"/>
      <c r="F8" t="inlineStr"/>
      <c r="G8" t="inlineStr">
        <is>
          <t>San Jose, CA</t>
        </is>
      </c>
      <c r="H8" t="inlineStr"/>
      <c r="I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The role involves playing a key role in crafting the future services for Adobe’s Experience Platform Operational Intelligence group. This team is at the forefront of a transformative project that enables Digital Experience solutions with intelligent technology for personalized experiences on a large scale, a critical differentiator in the industry. Operational Intelligence Platform delivers scalable solutions that improve business performance and enhance operational efficiency for our clients.
 Engineers have the opportunity to address scale challenges, craft AI/ML software for Adobe, work closely with a proficient team, address data challenges, and invent scalable services.
 What you'll Do
* Build high\-performance and fault\-tolerant systems for data processing at scale.
* Build new features by partnering with Product Management.
* Build and optimize the infrastructure needed to train, test, and deploy ML models at scale.
* Work with data scientists to transition models from research and prototyping into production.
* Participate in architecture, composition, and code reviews.
* Investigate problem areas; coordinate with other developers on resolution.
* Document and demonstrate solutions by developing build documentation, code comments, presentations, and through code execution.
 What you need to succeed
* BS or MS in Computer Science.
* 4\-7 years of work experience.
* Strong grasp of Computer Science fundamentals, specifically algorithms and data structures.
* Experience developing in Java, Scala, or Python.
* Past experience in building and deploying ML models is highly desirable.
* Experience writing unit test cases using mocking frameworks.
* Desire to learn new technologies.
* Strong communication skills.
 Our compensation reflects the cost of labor across several  U.S. geographic markets, and we pay differently based on those defined markets. The U.S. pay range for this position is $139,000 \-\- $257,550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$177,900 \- $257,550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9">
      <c r="A9" t="inlineStr">
        <is>
          <t>li-4324541103</t>
        </is>
      </c>
      <c r="B9" t="inlineStr">
        <is>
          <t>Data Engineer</t>
        </is>
      </c>
      <c r="C9" t="inlineStr">
        <is>
          <t>Chicago Trading Company</t>
        </is>
      </c>
      <c r="D9" t="inlineStr">
        <is>
          <t>linkedin</t>
        </is>
      </c>
      <c r="E9" t="inlineStr"/>
      <c r="F9" t="inlineStr"/>
      <c r="G9" t="inlineStr">
        <is>
          <t>Chicago, IL</t>
        </is>
      </c>
      <c r="H9" t="inlineStr"/>
      <c r="I9" t="inlineStr">
        <is>
          <t>CTC is a cutting\-edge proprietary trading firm with a long\-term vision and a clear focus on helping the world price and manage risk. Our fun and trusting culture inspires us to solve the industry’s most challenging problems and take calculated risks in a collaborative environment.
 We strive to be the most innovative firm in the industry today, tomorrow, and long into the future while upholding ethical excellence. We believe that CTC makes a positive impact on the markets, the lives of our employees, and all the communities to which we belong. Started in 1995 by a team of forward\-thinking Traders, we are proud to call ourselves an industry leader that keeps making markets and each other better.
**THE ROLE**
 As an engineer for Analytics products, you will build and maintain the core data assets that power our Sigma and Dash Dashboards, used by every desk at CTC, from junior traders to executives. Because of this broad user base, the product’s surface area is extensive. By ensuring timely feedback for traders, these products support data\-driven decision\-making, so it is important to understand the essential metrics traders use.
****WHAT YOU’LL DO****
* Be responsible for the quality, reliability, and overall health of our data pipelines.
* Work closely with Data Scientists, Traders and Quantitative Researchers (QTs) to understand their needs, and how they use our final data products.
* Detect source data quality issues that lead to incorrect downstream metrics, and partner with data owners to develop tools to proactively surface and resolve these issues.
* Assist colleagues in transitioning data pipelines and analytics tools to enterprise\-wide standards, and improve the process for future adoptions.
* Collaborate with the broader data organization to improve our overall platform offering and functionality.
* Map business workflows to ETL jobs to help own the end\-to\-end data pipelines.
* Own and continuously improve the Metrics UI and related dashboards.
****WHAT WE’RE LOOKING FOR****
* Proficiency in constructing and managing data\-processing pipelines.
* Strong proficiency in SQL and object\-oriented languages like Python.
* Strong interpersonal skills with the ability to work in a team environment
* Hands\-on experience with ETL tools (e.g. PySpark) and large\-scale, complex data transformations.
* Experience with lightweight UI or dashboarding frameworks like Dash is a plus.
****Compensation****
 The salary range for this role is listed below. This role is also eligible for an annual discretionary bonus. The discretionary bonus will be dependent upon the individual’s skills, experience, qualifications, and firm performance.
 Salary Range
 $175,000—$200,000 USD
 Most teams at CTC, with the exception of Trading, follow a hybrid workplace model, subject to change based on business need.
****Our Benefits****
 We strongly believe in the well\-being of our employees and their families so we offer outstanding benefits to support you both professionally and personally. These benefits include generous medical coverage, paid parental leave, free breakfast and lunch (plus healthy snacks, of course), wellness reimbursement, quarterly recharge days, and a variety of other benefits focused on providing the best employee experience.
*(Disclaimer: interns and contractors are not eligible for benefits at CTC)*
**Our Commitment to Diversity, Equity and Inclusion**
 At CTC, we aim to cultivate a workplace that celebrates diversity and each person feels included, engaged and empowered. Where each of us feels we belong. We are committed to having a diverse workforce and are proud to be an equal opportunity employer. CTC does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If you have a disability and believe you need a reasonable accommodation in order to search for a job opening or to apply for a position, please contact us at info@chicagotrading.com. Note that emails sent to this email account for non\-disability related issues, such as following up on an application, will not receive a response.
**Use of Artificial Intelligence (AI)**
 Information submitted by job applicants may be subject to review and analysis by automated systems, including Artificial Intelligence (AI), as part of the recruitment process. Such systems are utilized to enhance the efficiency and effectiveness of our hiring procedures. Applicants are advised that any information provided may be evaluated by AI tools to ensure an equitable and thorough assessment.
****Compensation****
 The salary range for this role is listed below. This role is also eligible for an annual discretionary bonus. The discretionary bonus will be dependent upon the individual’s skills, experience, qualifications, and firm performance.</t>
        </is>
      </c>
    </row>
    <row r="10">
      <c r="A10" t="inlineStr">
        <is>
          <t>li-4375677160</t>
        </is>
      </c>
      <c r="B10" t="inlineStr">
        <is>
          <t>Data Engineer</t>
        </is>
      </c>
      <c r="C10" t="inlineStr">
        <is>
          <t>Wiraa</t>
        </is>
      </c>
      <c r="D10" t="inlineStr">
        <is>
          <t>linkedin</t>
        </is>
      </c>
      <c r="E10" t="inlineStr"/>
      <c r="F10" t="inlineStr"/>
      <c r="G10" t="inlineStr"/>
      <c r="H10" t="inlineStr"/>
      <c r="I10" t="inlineStr">
        <is>
          <t>**About The Company**
 Zelis is a forward\-thinking healthcare financial technology company dedicated to modernizing the financial experience across payers, providers, and healthcare consumers. Serving over 750 payers, including the top five national health plans, regional health plans, third\-party administrators, and millions of healthcare providers and consumers, Zelis offers a comprehensive platform of solutions designed to optimize financial processes. The company's approach involves leveraging innovative technology built by healthcare experts to identify, analyze, and resolve systemic challenges holistically. Zelis's commitment to driving measurable results ensures that clients benefit from enhanced efficiency, accuracy, and transparency in their financial operations.
**About The Role**
 The Lead Data Engineer \- Finance \&amp; Accounting at Zelis is a pivotal role responsible for designing, developing, and deploying scalable, cloud\-native data services that support critical finance functions such as financial reporting, reconciliation, billing, and operational accounting. This role requires a combination of technical expertise, leadership capabilities, and end\-to\-end project ownership—from solution architecture to production deployment. The ideal candidate will possess strong domain knowledge in finance and accounting, extensive experience with AWS and Snowflake, and a proven track record of building reliable data platforms that ensure data accuracy, traceability, and audit readiness. As a technical leader, you will mentor engineering teams, collaborate with cross\-functional stakeholders, and drive initiatives that enhance the company's financial data infrastructure.
**Qualifications**
* 7\+ years of experience in data engineering, with at least 2\+ years in a technical lead or ownership role
* Proven experience developing data solutions within finance and accounting domains, including general ledger, revenue, payments, claims, billing, or financial reporting
* Extensive experience designing and implementing Snowflake cloud data warehouse solutions
* Strong cloud engineering background supporting financial data platforms such as data lakes, pipelines, and native cloud services
* Advanced SQL skills, including complex joins, performance tuning, and reconciliation logic
* Hands\-on experience migrating financial data systems from on\-premises SQL platforms to cloud environments
* Deep understanding of financial data modeling, ETL/ELT processes, and analytics architecture
* Excellent leadership, mentorship, and cross\-functional collaboration skills
* Effective communication skills for engaging both technical teams and finance stakeholders
* Experience working within Agile/Scrum methodologies and facilitating related ceremonies
**Responsibilities**
* Own the end\-to\-end delivery of finance and accounting data services, from requirements gathering and architecture design to implementation, testing, deployment, and ongoing support
* Design and implement Snowflake\-based financial data architectures, including accounting\-ready data models and DBT transformation pipelines
* Build and maintain high\-reliability data pipelines supporting financial reporting, reconciliations, close processes, and downstream analytics
* Lead cloud data engineering initiatives supporting general ledger, revenue, payments, claims, billing, and operational finance workflows
* Serve as the technical lead on finance\-focused projects, establishing engineering standards and making architectural decisions to ensure quality and timely delivery
* Collaborate closely with finance, accounting, FP\&amp;A, and analytics teams to translate business needs into scalable data products
* Ensure financial data integrity, auditability, and traceability through controls, lineage, and reconciliation logic
* Mentor and guide data engineers through code reviews, design reviews, and technical problem\-solving
* Establish and enforce data quality, observability, and governance practices aligned with financial and regulatory standards
* Support migration initiatives from on\-premises financial data systems to cloud\-based platforms
* Participate in Agile delivery cycles, including sprint planning, standups, retrospectives, and release management
* Uphold data privacy, security, and compliance standards relevant to financial and healthcare data
**Benefits**
* Competitive base salary within the range of $127,000 to $160,550
* Comprehensive benefits package including health, dental, vision, and prescription drug coverage
* 401(k) plan with employer match
* Flexible paid time off and holidays
* Parental leave and family support programs
* Life and disability insurance coverage
* Opportunities for professional growth and development
* Hybrid and remote work options based on role and team needs
 Equal Opportunity
 Zelis is an equal opportunity employer committed to fostering an inclusive workplace. All qualified applicants will receive consideration for employment without regard to race, color, religion, national origin, gender, gender identity or expression, sexual orientation, age, disability, veteran status, or any other protected characteristic under federal, state, or local law. We encourage applicants from diverse backgrounds to apply and join our team. We value the perspectives and experiences that each individual brings and are dedicated to creating a welcoming environment for all employees.
 We are committed to accessibility and providing reasonable accommodations during the application and interview process.</t>
        </is>
      </c>
    </row>
    <row r="11">
      <c r="A11" t="inlineStr">
        <is>
          <t>li-4374356507</t>
        </is>
      </c>
      <c r="B11" t="inlineStr">
        <is>
          <t>Azure Data Engineer</t>
        </is>
      </c>
      <c r="C11" t="inlineStr">
        <is>
          <t>Sigmoid</t>
        </is>
      </c>
      <c r="D11" t="inlineStr">
        <is>
          <t>linkedin</t>
        </is>
      </c>
      <c r="E11" t="inlineStr"/>
      <c r="F11" t="inlineStr"/>
      <c r="G11" t="inlineStr">
        <is>
          <t>Dallas, TX</t>
        </is>
      </c>
      <c r="H11" t="inlineStr"/>
      <c r="I11" t="inlineStr">
        <is>
          <t>**About Sigmoid:** 
 Sigmoid empowers enterprises to make smarter, data\-driven decisions by blending advanced data engineering with AI consulting. We collaborate with some of the world’s leading data\-rich organizations across sectors such as CPG\-retail, BFSI, life sciences, manufacturing, and more to solve complex business challenges. Our global team specializes in cloud data modernization, predictive analytics, generative AI, and DataOps, supported by 10\+ delivery centers and innovation hubs, including a major global presence in Bengaluru and operations across the USA, Canada, UK, Netherlands, Poland, Singapore, and India.
 Recognized as a leader in the data and analytics space, Sigmoid is backed by Peak XV Partners and has consistently received accolades for innovation and rapid growth. Highlights include being named a ‘Leader’ in ISG’s Specialty Analytics Services for Supply Chain (2024\), a two\-time ‘India Future Unicorn’ by Hurun India, and a four\-time honoree on both the Inc. 500 and Deloitte Technology Fast 500 lists.
 We are looking for an experienced
 **Senior Data Engineer** 
 with 8–12 years of hands\-on experience in designing, building, and optimizing scalable data solutions. The ideal candidate will have strong expertise in
 **Azure Data Services, Databricks, and PySpark** 
 , with a proven track record of building enterprise\-grade data pipelines and modern data platforms.
**Key Responsibilities** 
* Design, develop, and maintain scalable data pipelines using
 **Azure Databricks and PySpark**
* Build and optimize ETL/ELT workflows for structured and unstructured data
* Develop data solutions leveraging
 **Azure Data Factory, Azure Data Lake, and Azure Synapse**
* Implement data transformation and processing frameworks using PySpark
* Optimize performance tuning of Spark jobs and large\-scale data processing
* Design and maintain data models (star/snowflake schemas)
* Ensure data quality, governance, and security best practices
* Collaborate with data scientists, analysts, and business stakeholders
* Support CI/CD deployment pipelines and DevOps practices
* Troubleshoot and resolve production data issues
**Required Skills \&amp; Qualifications** 
**Technical Skills:** 
* 8–12 years of experience in Data Engineering
* Strong expertise in
 **Azure Cloud Platform**
* Hands\-on experience with
 **Azure Databricks**
* Advanced proficiency in
 **PySpark and Spark optimization**
* Experience with
 **Azure Data Factory (ADF)**
* Strong knowledge of
 **Azure Data Lake (ADLS Gen2\)**
* Experience with
 **Azure Synapse Analytics**
* Strong SQL skills
* Experience with data warehousing concepts and dimensional modeling
* Knowledge of CI/CD, Git, and DevOps practices
* Experience with REST APIs and data integration
**Good to Have:** 
* Experience with Delta Lake
* Experience with streaming frameworks (Kafka / Event Hub)
* Understanding of data governance tools</t>
        </is>
      </c>
    </row>
    <row r="12">
      <c r="A12" t="inlineStr">
        <is>
          <t>li-4366872414</t>
        </is>
      </c>
      <c r="B12" t="inlineStr">
        <is>
          <t>Data Engineer</t>
        </is>
      </c>
      <c r="C12" t="inlineStr">
        <is>
          <t>Applied Systems</t>
        </is>
      </c>
      <c r="D12" t="inlineStr">
        <is>
          <t>linkedin</t>
        </is>
      </c>
      <c r="E12" t="inlineStr"/>
      <c r="F12" t="inlineStr"/>
      <c r="G12" t="inlineStr"/>
      <c r="H12" t="inlineStr"/>
      <c r="I12" t="inlineStr">
        <is>
          <t>**Job Description**
**Amazing Career Moments Happen Here**
 Transforming the insurance industry is ambitious, we know. That’s why at Applied, we’re building a team that shows up every day ready to learn, willing to try new things, and driven to deliver innovative software and services that make us indispensable to our customers – all within a culture built on values that make us indispensable to each other too. With 40\+ years of experience in the insurtech game, we’re not just redefining what’s achievable, we’re creating a place where amazing career moments are made possible.
**Position Overview**
 We're seeking a
 **Data Engineer** 
 to build and enhance data solutions and AI initiatives for the business of insurance. In this role, you will work closely with the Principal Data Architect, Data Scientists, and Software Engineers to build, model, and maintain data solutions as we optimize data architecture and accessibility of large\-scale datasets for our global teams.
**What You’ll Do**
* Code BigQuery procedures, functions, and other database objects by applying expert knowledge in BigQuery SQL and ANSI SQL
* Implement scalable and efficient data models within our data lake, with a focus on BigQuery
* Manage and optimize data storage, partitioning, and clustering strategies to ensure high performance and reliability of our data infrastructure
* Develop and implement features and enhancements in BigQuery, levering your expertise in SQL and cloud\-based data warehousing technologies
* Collaborate with cross\-functional teams to understand requirements and deliver solutions aligned with business objectives, security requirements, and guidelines for data governance
* Develop documentation for the team to support design discussions
* Ensure data integrity and quality by implementing robust data validation and error\-handling mechanisms. Maintain and advocate for these standards through code review
* Identify and implement improvements across the full lifecycle of data management, from ingestion to ETL processes and final reporting layers, to increase productivity on the team
* Continuously build knowledge of industry trends and advancements in data engineering and big data technologies
**We’re Excited To Learn More About You**
 We’re looking for someone who:
* Can work remotely or from an Applied office
 Your experience should include some or all of the following:
* 3\+ years focused on modeling, building, and maintaining data solutions
* Proven experience with BigQuery and cloud\-based data warehousing solutions
* Advanced knowledge of data modeling, data warehousing, and big data architecture
* Experience managing and optimizing BigQuery and Google Cloud Platform data services
* Proficiency in SQL and Python to manipulate, store, manage, or retrieve data assets
* Knowledge of Agile frameworks, ideally Scrum, and tools like Jira and Confluence
* Ability to communicate with global team members to clarify requirements, confirm priorities, and deliver solutions within committed timelines
* Advanced analytical and problem\-solving skills, with a detail\-oriented mindset
* Bachelor\-level degree in Computer Science, MIS, or CIS, or equivalent experience
+ We proudly support and encourage people with military experience, as well as military spouses, to apply
**When You Join Team Applied, You Can Expect:**
**A culture that values who you are** 
 and recognizes that you aren’t just an employee; you are a teammate, and you matter. We thrive on the benefits of our different experiences and celebrate the uniqueness our teammates bring to work with them every day.
**We flex our time together** 
 , collaborating remotely and in\-person to empower our teams to work in the ways that work best for them.
**A comprehensive benefits and compensation package** 
 that centers our teammates and helps them to bring their best to work every day:
* Medical, Dental, and Vision Coverage
* Holiday and Vacation Time
* Health \&amp; Wellness Days
* A Bonus Day for Your Birthday
 Learn more about the people behind our products at https://www1\.appliedsystems.com/en\-us/about\-us/jobs/
 Our targeted starting base salary in the United States for this position ranges from $60,000 \- $120,000\. To determine a new team member’s starting pay, we consider a variety of factors, including someone’s depth, breadth, and variety of experience, skills, and responsibilities. Depending on the role, team members may also be eligible to participate in additional compensation plans such as bonus and commission.
**Your Security Matters:**
 Our candidates’ personal information and online safety are top of mind for us. At Applied, we proactively protect your personal information and only communicate with candidates via a secure @appliedsystems.com email or through our official careers portal. Recruiters will never request payments, ask for financial account information or sensitive information like social security numbers.
**EEO Statement**
 Applied Systems is proud to be an Equal Employment Opportunity Employer. Diversity and Inclusion is a business imperative and is a part of building our brand and reputation. At Applied, we don’t discriminate, and we are committed to recruit, develop, retain , and promote regardless of race, religion, color, national origin, sexual orientation, gender identity, disability, age, veteran status, and other protected status as required by applicable law.</t>
        </is>
      </c>
    </row>
    <row r="13">
      <c r="A13" t="inlineStr">
        <is>
          <t>li-4375681087</t>
        </is>
      </c>
      <c r="B13" t="inlineStr">
        <is>
          <t>Data Engineer, Sr.</t>
        </is>
      </c>
      <c r="C13" t="inlineStr">
        <is>
          <t>Wiraa</t>
        </is>
      </c>
      <c r="D13" t="inlineStr">
        <is>
          <t>linkedin</t>
        </is>
      </c>
      <c r="E13" t="inlineStr"/>
      <c r="F13" t="inlineStr"/>
      <c r="G13" t="inlineStr"/>
      <c r="H13" t="inlineStr"/>
      <c r="I13" t="inlineStr">
        <is>
          <t>**About The Company**
 Opala delivers robust, secure solutions to tackle the most complex data challenges faced by healthcare's payers and providers. As a startup originating from a major healthcare plan in the Northwest, we combine deep health\-tech expertise with top\-tier data and software engineering talent to create products that our customers find meaningful and valuable. These products empower payers and their partners to find timely insights and take action to intervene in areas like value\-based care analytics, interoperability compliance, and real\-time streaming of clinical data.
**About The Role**
 In this remote position, we are seeking a Senior Data Engineer with a strong background in various databases, processes, and tools to join our team. The successful candidate will be responsible for designing, developing, deploying, and maintaining our data\-hub and associated integrations. This role requires a highly skilled professional capable of building scalable data pipelines, optimizing data workflows, and supporting advanced analytics and machine learning initiatives. The Senior Data Engineer will collaborate closely with cross\-functional teams to ensure data quality, reliability, and security while supporting the company's mission to deliver innovative healthcare data solutions.
**Qualifications**
* Bachelor's degree in Computer Science, Data Science, Engineering, or related technical discipline (or equivalent experience)
* 7\+ years overall experience in data engineering or related fields
* 5\+ years building and managing data pipelines and workflows
* 5\+ years designing and managing relational and non\-relational data systems
* Experience with cloud platforms and distributed data environments
* Strong understanding of data modeling, performance optimization, and system reliability
* Experience supporting advanced analytics or machine learning workflows
* Familiarity with data integration from diverse sources, including healthcare systems and standards for data representation and communication
**Responsibilities**
* Build and optimize scalable end\-to\-end data pipelines for ingestion, transformation, and delivery
* Design and develop data models and warehouse structures to support analytics and reporting
* Operationalize data\-driven solutions, including advanced analytics and predictive models
* Create high\-quality datasets for business intelligence, machine learning, and experimentation
* Implement data quality, lineage, and observability best practices across data workflows
* Maintain and improve internal tools and automation frameworks for data operations
* Integrate new data sources, including clinical systems, healthcare standards, vendor feeds, and real\-time streams
* Contribute to CI/CD workflows, infrastructure automation, and cloud\-based data architecture
* Support all software development lifecycle activities following industry best practices
* Research and incorporate design strategies, specifications, and user requirements into data solutions
* Conduct complex investigations and testing for data systems and workflows
* Participate in special projects as needed
* Provide technical guidance to the data engineering team through reviews and infrastructure support
* Troubleshoot complex data and application issues, ensuring system reliability and performance
**Benefits**
* Competitive salary range of $163,000 to $192,000 annually, determined by role, level, and location
* Comprehensive health insurance including medical, dental, and vision coverage
* Life and AD\&amp;D insurance
* Employee Assistance Program (EAP)
* Short\-term and long\-term disability coverage
* Paid time off including 16 days PTO and 8 paid holidays
* Fully paid holiday closure
* Parental and family medical leave
* 401(k) retirement plan with company matching
* Stock options and annual performance\-based bonuses and salary increases
 Equal Opportunity
 Opala is an equal opportunity employer and makes employment decisions based on merit. We are committed to providing a workplace free from harassment and discrimination. We celebrate the unique differences of our employees because that is what drives curiosity, innovation, and the success of our business. We do not discriminate on the basis of race, religion, color, national origin, gender, sexual orientation, gender identity or expression, age, marital status, veteran status, disability status, pregnancy, parental status, genetic information, political affiliation, or any other protected status. Accommodations are available for applicants with disabilities.</t>
        </is>
      </c>
    </row>
    <row r="14">
      <c r="A14" t="inlineStr">
        <is>
          <t>li-4351966701</t>
        </is>
      </c>
      <c r="B14" t="inlineStr">
        <is>
          <t>Data Engineer, Analytics (Technical Leadership)</t>
        </is>
      </c>
      <c r="C14" t="inlineStr">
        <is>
          <t>Meta</t>
        </is>
      </c>
      <c r="D14" t="inlineStr">
        <is>
          <t>linkedin</t>
        </is>
      </c>
      <c r="E14" t="inlineStr"/>
      <c r="F14" t="inlineStr"/>
      <c r="G14" t="inlineStr">
        <is>
          <t>Menlo Park, CA</t>
        </is>
      </c>
      <c r="H14" t="inlineStr"/>
      <c r="I14" t="inlineStr">
        <is>
          <t>Every month, billions of people leverage Meta products to connect with friends and loved ones from across the world. On the Data Engineering Team, our mission is to support these products both internally and externally by delivering the best data foundation that drives impact through informed decision making. As a highly collaborative organization, our data engineers work cross\-functionally with software engineering, data science, and product management to optimize growth, strategy, and experience for our 3 billion plus users, as well as our internal employee community.We are looking for a technical leader in our Data Engineering team to work closely with Product Managers, Data Scientists and Software Engineers to support building out a great platform for the future of computing. In this role, you will view a direct correlation between your work, company growth, and user satisfaction. You’ll work with some of the best minds in the industry, work with one of the richest data sets in the world, use cutting edge technology, and see your efforts affect products and people on a regular basis.The ideal candidate will have demonstrated experience in data infrastructure and data architecture as well as areas such as governing company wide data marts, enabling security and privacy data solutions, and full stack experience with analytical technologies. Candidates should also have a proven track record of leading and scaling efforts related to end\-to\-end analytics systems, operational skills to drive efficiency and speed, project management leadership, and a vision for how data can proactively improve companies.As we continue to expand and create, we have a lot of exciting work ahead of us!
 Data Engineer, Analytics (Technical Leadership) Responsibilities:
* Proactively drive the vision for data foundation and analytics to accelerate building and improvement of cross platform components across Instagram, and define and execute on plan to achieve that vision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Build cross\-functional relationships with Data Scientists, Product Managers and Software Engineers to understand data needs and deliver on those needs
* Define and manage SLA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use cases across different products or domains
* Solve our most challenging data integrations problems, utilizing optimal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10\+ years experience in the data warehouse space
* 10\+ years experience in custom ETL design, implementation and maintenance
* 10\+ years experience with object\-oriented programming languages
* 10\+ years experience with schema design and dimensional data modeling
* 10\+ years experience in authoring SQL statements
* Experience analyzing data to identify deliverables, gaps and inconsistencies
* Experience managing and communicating data warehouse plans to internal clients
 Preferred Qualifications:
* BS/BA in Technical Field, Computer Science or Mathematics
* Experience working with either a MapReduce or an MPP system
* Knowledge and practical application of Python
* Experience working autonomously in global teams
* Experience influencing product decisions with data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$210,000/year to $281,000/year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
      <c r="A15" t="inlineStr">
        <is>
          <t>li-4351669392</t>
        </is>
      </c>
      <c r="B15" t="inlineStr">
        <is>
          <t>Data Engineer, Analytics (Technical Leadership)</t>
        </is>
      </c>
      <c r="C15" t="inlineStr">
        <is>
          <t>Meta</t>
        </is>
      </c>
      <c r="D15" t="inlineStr">
        <is>
          <t>linkedin</t>
        </is>
      </c>
      <c r="E15" t="inlineStr"/>
      <c r="F15" t="inlineStr"/>
      <c r="G15" t="inlineStr">
        <is>
          <t>Sunnyvale, CA</t>
        </is>
      </c>
      <c r="H15" t="inlineStr"/>
      <c r="I15" t="inlineStr">
        <is>
          <t>Every month, billions of people leverage Meta products to connect with friends and loved ones from across the world. On the Data Engineering Team, our mission is to support these products both internally and externally by delivering the best data foundation that drives impact through informed decision making. As a highly collaborative organization, our data engineers work cross\-functionally with software engineering, data science, and product management to optimize growth, strategy, and experience for our 3 billion plus users, as well as our internal employee community.We are looking for a technical leader in our Data Engineering team to work closely with Product Managers, Data Scientists and Software Engineers to support building out a great platform for the future of computing. In this role, you will view a direct correlation between your work, company growth, and user satisfaction. You’ll work with some of the best minds in the industry, work with one of the richest data sets in the world, use cutting edge technology, and see your efforts affect products and people on a regular basis.The ideal candidate will have demonstrated experience in data infrastructure and data architecture as well as areas such as governing company wide data marts, enabling security and privacy data solutions, and full stack experience with analytical technologies. Candidates should also have a proven track record of leading and scaling efforts related to end\-to\-end analytics systems, operational skills to drive efficiency and speed, project management leadership, and a vision for how data can proactively improve companies.As we continue to expand and create, we have a lot of exciting work ahead of us!
 Data Engineer, Analytics (Technical Leadership) Responsibilities:
* Proactively drive the vision for data foundation and analytics to accelerate building and improvement of cross platform components across Instagram, and define and execute on plan to achieve that vision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Build cross\-functional relationships with Data Scientists, Product Managers and Software Engineers to understand data needs and deliver on those needs
* Define and manage SLA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use cases across different products or domains
* Solve our most challenging data integrations problems, utilizing optimal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10\+ years experience in the data warehouse space
* 10\+ years experience in custom ETL design, implementation and maintenance
* 10\+ years experience with object\-oriented programming languages
* 10\+ years experience with schema design and dimensional data modeling
* 10\+ years experience in authoring SQL statements
* Experience analyzing data to identify deliverables, gaps and inconsistencies
* Experience managing and communicating data warehouse plans to internal clients
 Preferred Qualifications:
* BS/BA in Technical Field, Computer Science or Mathematics
* Experience working with either a MapReduce or an MPP system
* Knowledge and practical application of Python
* Experience working autonomously in global teams
* Experience influencing product decisions with data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$210,000/year to $281,000/year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
      <c r="A16" t="inlineStr">
        <is>
          <t>li-4370139021</t>
        </is>
      </c>
      <c r="B16" t="inlineStr">
        <is>
          <t>Data Engineer and Integration Developer</t>
        </is>
      </c>
      <c r="C16" t="inlineStr">
        <is>
          <t>Southern California Edison (SCE)</t>
        </is>
      </c>
      <c r="D16" t="inlineStr">
        <is>
          <t>linkedin</t>
        </is>
      </c>
      <c r="E16" t="inlineStr"/>
      <c r="F16" t="inlineStr"/>
      <c r="G16" t="inlineStr">
        <is>
          <t>Rosemead, CA</t>
        </is>
      </c>
      <c r="H16" t="inlineStr"/>
      <c r="I16" t="inlineStr">
        <is>
          <t>**Join the Clean Energy Revolution**
 Become a
 **Data Engineer and Integration Developer** 
 at Southern California Edison (SCE) and build a better tomorrow. In this job, you’ll enable digital transformation for our business and work with a team that is dynamic, with a strong sense of dedication to our customers. You will be responsible for interfacing with key business stakeholders, listen to their business needs and apply your technical proficiency around data warehouses, data architecture and data applications to drive increased automation and establishing a solid centralized data warehouse for critical operational and compliance reporting and analytics. As a
 **Data Engineer and Integration Developer** 
 , your work will help power our planet, reduce carbon emissions and create cleaner air for everyone. Are you ready to take on the challenge to help us build the future?
**Responsibilities**
* Optimizes performance and scalability of critical data pipelines.
* Develops reusable and parameterized pipeline components and templates. Performs analysis and support to Data Scientists for model development.
* Designs pipeline architectures and ETL processes using big data technologies to support business initiatives.
* Collaborates with stakeholders to elicit pipeline requirements and identify improvement opportunities. Utilizes data ingestion capabilities to ingest and preprocess data from various sources, designed and optimized.
* Troubleshoots and resolves issues with production pipelines.
* Ensures data pipeline continuity and integrity through testing and change management. Contributes to data dictionary and data mapping from sources to the target from SCIM Data Model Design and develop Data\-as\-a\-Service solutions to improve data consumption.
* A material job duty of all positions within the Company is ensuring the protection of all its physical, ﬁnancial and cybersecurity assets, and properly accessing and managing private customer data, proprietary information, conﬁdential medical records, and other types of highly sensitive information and data with the highest standards of conduct and integrity.
**Minimum Qualifications**
* Bachelor's Degree in Computer Science, Information Systems, Engineering, Statistics/ Mathematics or equivalent STEM major
* Five or more years of experience in data processing large data sets, hands\-on with data transformation, aggregation, and ﬁltering.
**Preferred Qualifications**
* Background in the utility sector and/or energy markets is highly desirable
* Experience in Snowflake (architecture, SQL, stored procedures, data management analysis) and/or strong proficiency with front\-end Python frameworks (Streamlit, Dash, Flask, Django)
* Experience working with Power BI (and/or other visualization tools) to build dashboards and reports leveraging BI languages \&amp; frameworks (i.e. DAX, PowerQuery)
* Experience working with business stakeholders to understand business processes and goals and work with IT to translate these needs into requirements and desired technology solutions.
* Experience managing projects including defining scope, establishing business value and ongoing communication on status and risk.
* Understanding of application design and life cycles
* Experience working closely with business stakeholders to understand needs and communicate to IT to meet stated goals.
* Strong knowledge Data structures, Data Engineering concepts, Algorithms, Collections
* Experience in large scale cloud data migrations using Snowflake, Python, Spark, SQL
* Critical thinking and problem\-solving skills, including planning, organizing and adaptability.
* Ability to interact with team members at all levels of the organization and with cross functional teams.
**Additional Information**
* This position’s work mode is hybrid. The employee will report to an SCE facility for a set number of days with the option to work remotely on the remaining days.  Unless otherwise noted, employees are required to work and reside in the state of California.  Further details of this work mode will be discussed at the interview stage. The work mode can be changed based on business needs.
* Visit our Candidate Resource page to get meaningful information related to benefits, perks, resources, testing information, hiring process, and more!
* Qualified applications with arrest or conviction records will be considered for employment in accordance with the Los Angeles County Fair Chance Ordinance for Employers and the California Fair Chance Act.
* Relocation does not apply to this position.
**About Southern California Edison**
 The people at SCE don't just keep the lights on. Our mission is so much bigger. We’re fueling the kind of innovation that’s changing an entire industry, and quite possibly the planet. Join us and create a future with cleaner energy, while providing our customers with the safety and reliability they demand. At SCE, you’ll have a chance to grow personally and professionally, making a real impact in Southern California and around the world.
 Southern California Edison is a proud Equal Opportunity Employer, including disability and protected veteran status.
 We are committed to ensuring that individuals with disabilities are provided reasonable accommodation to participate in the job application or interview process, to perform essential job functions, and to receive other benefits and privileges of employment. Please contact us to request accommodations at (833\) 343\-0727\.</t>
        </is>
      </c>
    </row>
    <row r="17">
      <c r="A17" t="inlineStr">
        <is>
          <t>li-4375664014</t>
        </is>
      </c>
      <c r="B17" t="inlineStr">
        <is>
          <t>Software and Data Engineer | PH</t>
        </is>
      </c>
      <c r="C17" t="inlineStr">
        <is>
          <t>Peak Support</t>
        </is>
      </c>
      <c r="D17" t="inlineStr">
        <is>
          <t>linkedin</t>
        </is>
      </c>
      <c r="E17" t="inlineStr"/>
      <c r="F17" t="inlineStr"/>
      <c r="G17" t="inlineStr">
        <is>
          <t>Cambridge, MA</t>
        </is>
      </c>
      <c r="H17" t="inlineStr"/>
      <c r="I17" t="inlineStr">
        <is>
          <t>**Description**
 Join a passionate team of innovators as a Software and Data Engineer. This position is responsible for the delivery, management, and implementation of platforms, applications, and solutions that support our internal teams and clients across a complex, high growth, multi\-National environment. Reporting to the \*\*\* Business Intelligence Manager, the Software and Data Engineer is responsible for the execution of design, development, configuration, testing, documentation and delivery of comprehensive software and data strategies and solutions.
**Responsibilities**
* Design, develop, and maintain code within data strategy and standards outlined by IT leadership and architects.
* Develop a practical and working knowledge of business processes; interact with IT Leadership and key business partners and execute appropriate solutions that best meet strategic needs.
* Collaborate with business stakeholders and Business Intelligence Manager and Architects to establish data architecture strategy, design, and evolution
* Provide hands on development of data platforms, including architecture, collection, standards, and best practices to enable scalable, actionable, reliable data and insights.
* Abide by best practices and strategies for platform administration and cloud production systems
* Continuously discover, evaluate, and implement new technologies and frameworks to maximize software and data platform development efficiency.
* Incorporate a culture of efficient platform, integration, and testing methods and functions
**Peak Support and our Work\-from\-Home PLUS model**
 At Peak Support, we are dedicated to providing exceptional service to our clients
 *and* 
 an exceptional work environment for our team members.
 We don’t do this with ping pong tables or video games. We do it by creating a positive, encouraging and performance\-driven culture that enables our team members to build rewarding, long\-term careers. We’re proud that our Glassdoor rating of 4\.5 is the highest in the Business Process Outsourcing industry.
 Peak Support offers all the convenience of working from home, with the benefits of working for an established organization with an exceptional team and tremendous opportunities for growth. Peak Support has been 100% remote since day one, so we have built a culture and a set of processes that support the success of our remote team members.
**Work from Home PLUS**
 Peak Support offers all the convenience of working from home, with the benefits of working for an established organization with an exceptional team and tremendous opportunities for growth.
 While we recently opened our first in\-person office, many of our roles—including this one—remain fully remote. We have built a strong culture and set of processes to support the success of our remote team members. We also value in\-person connections and, when possible, organize opportunities for team members to meet and build relationships offline. We believe that building offline relationships is critical to successful online work.
**Requirements**
* 6\+ years experience development in MSSQL, preferably in a cloud environment
* 4\+ years experience with Azure Business Intelligence solutions including Azure Database, Azure Data Factory, and Azure DevOps, Azure Synapse
* 4\+ experience in data integration with CRM software applications like Salesforce, Zendesk, Zoho, hubspot, etc.
* 2\+ years experience writing, deploying, and maintaining .NET C\# code (nice to have).
* Windows services preferred; web development experience would be a bonus. (nice to have).
* 4\+ years experience in API integration Can communicate effectively and implement documentation, and training for all levels of the organization with technical and non\-technical audiences.</t>
        </is>
      </c>
    </row>
    <row r="18">
      <c r="A18" t="inlineStr">
        <is>
          <t>li-4358589053</t>
        </is>
      </c>
      <c r="B18" t="inlineStr">
        <is>
          <t>Data Engineer</t>
        </is>
      </c>
      <c r="C18" t="inlineStr">
        <is>
          <t>MBK Real Estate Companies</t>
        </is>
      </c>
      <c r="D18" t="inlineStr">
        <is>
          <t>linkedin</t>
        </is>
      </c>
      <c r="E18" t="inlineStr"/>
      <c r="F18" t="inlineStr"/>
      <c r="G18" t="inlineStr">
        <is>
          <t>Irvine, CA</t>
        </is>
      </c>
      <c r="H18" t="inlineStr"/>
      <c r="I18" t="inlineStr">
        <is>
          <t>MBK Real Estate (MBK) is an industry leader in real estate operations and development. Through its subsidiaries, MBK Rental Living, MBK Industrial Properties and MBK Senior Living, MBK Real Estate is renowned for building award\-winning new home and apartment communities, state\-of\-art distribution facilities and for its reputation in providing exceptional high standards of service throughout its senior living communities.
 MBK is a privately held real estate development firm with roots in the business dating back to 1996\. MBK's extensive activities through its operating divisions, along with the size and scale of our development and building activities represent the continuation and commitment to American enterprise.
**Job Description**
 MBK Real Estate is hiring a Data Engineer to join our team at our Home Office in Irvine, CA!
 This role will be hybrid with 3 days in office and 2 days remote.
**Job Summary**
 We are seeking a highly skilled Data Engineer with strong experience in Microsoft Azure, Microsoft Fabric, SQL, Python, and Power BI to help design, build, and optimize our cloud\-based data ecosystem. This role will work closely with our data/business intelligence team to ensure scalable, reliable, and high\-quality data solutions that support our enterprise data strategy.
**Supervisory Responsibilities**
* N/A
**Duties \&amp; Responsibilities**
* Design, build, and maintain cloud\-native data pipelines using Azure Synapse and Microsoft Fabric.
* Develop and optimize ETL/ELT workflows for ingestion, transformation, and processing of large\-scale datasets.
* Create and manage data models, warehouses, and lakehouse environments within Microsoft Fabric.
* Write high\-performance SQL for data transformation, report automation, modeling, and analytics.
* Build reusable Python components for data processing, automation, and orchestration.
* Implement best practices for data quality, governance, observability, security, and performance tuning.
* Collaborate with data analysts and business teams to translate requirements into scalable solutions.
* Monitor, troubleshoot, and improve pipelines to ensure high availability and reliability.
* Contribute to cloud architecture, tooling selection, performance tuning, and overall platform modernization efforts.
**Salary: $120,000\-$130,000 \+ Bonus**
* Candidates must be legally authorized to work in the United States. This position does not offer sponsorship now or in the future
* We are not able to consider relocation candidates, and candidates will need to reside within a reasonably commutable distance for consideration
**Education Requirements**
* A bachelor’s Degree in a computer science\-related field is strongly preferred.
**Experience Requirements (in Years)**
* 5\+ years of professional experience as a Data Engineer or similar role.
* Strong hands\-on experience (3\+ years) with Azure cloud services (e.g., Azure Synapse, Azure Data Lake Storage, Azure Functions preferred).
* Practical experience (1\+ years) working with Microsoft Fabric (Data Factory, Lakehouse, Pipelines, Notebooks, and Power BI integration).
* Advanced proficiency (3\+ years) in SQL (query optimization, performance tuning, complex joins, stored procedures).
* Strong Python programming skills (2\+ years) for data processing, automation, and scripting.
**Required Competencies/Licenses/Certifications**
* Experience building scalable, production\-grade data pipelines for structured and unstructured data.
* Understanding of data modeling, data warehousing concepts, and ELT/ETL patterns.
* Familiarity with CI/CD, Git\-based workflows, and modern DevOps practices.
* Microsoft Suite competency.
* Strong problem\-solving and analytical mindset.
* Excellent communication skills and ability to partner across technical and business teams.
* Detail\-oriented, organized, and able to manage multiple priorities.
* Growth mindset and eagerness to work with emerging Azure/Fabric technologies.
**Preferred Qualifications**
* Experience with Delta Lake, parquet, or similar big data file formats.
* Familiarity with Power BI, semantic models, and Fabric integrated analytics.
* Knowledge of Spark, Databricks, or distributed data processing.
* Exposure to data governance frameworks, metadata management, and lineage tools.
* Azure and/or certifications (e.g., DP\-203, Azure Data Engineer Associate, DP\-700, Fabric Data Engineer Associate).
**Physical Demands \&amp; Work Environment**
* Must be mobile and able to perform the physical requirements of the job, bending, kneeling, stooping, pushing, pulling and repetitive motion.
* Ability to sit and work at a computer for long periods of time.
* Able to move intermittently throughout the workday and between divisions.
 We offer a rich benefits package comprising of the following: competitive salaries with opportunities for growth; 401(k) retirement plan with up to 4% employer matching; comprehensive industry leading medical, dental and vision insurance; company\-provided life, disability and AD\&amp;D insurance; flexible spending accounts, generous paid time off including vacation and sick time, holidays, and bereavement leave; and a variety of programs including leadership development, training, and personal coaching; education loan assistance and scholarships; daily living, financial and legal services; childcare and eldercare assistance; employee discounts; and health and wellness resources that include virtual yoga, mindfulness, and financial readiness for employees and their family members.
 If you are ready to meet the challenges of this critical role, we want to hear from you!
**MBK is an equal opportunity employer.** 
 All qualified applicants will receive consideration for employment without regard to race, color, religion, sex, disability, age, sexual orientation, gender identity, national origin, veteran status, genetic information, or other protected reason. Our company is committed to providing access, equal opportunity and reasonable accommodation for qualifying individuals in employment, its services, programs, and activities. To request reasonable accommodation, contact talentacquisition@mbk.com.
**Regulatory Disclosures for Senior Living Communities with Medicaid Residents:** 
 An “Excluded Party” is a person that the federal or state government found not eligible to provide care and services in a facility that receives Medicare or Medicaid funding. If employed at one of our senior living communities that receives Medicare or Medicaid funding, team members must not be considered an “Excluded Party” as defined by the U.S. Department of Health and Human Services, any state Medicaid Programs, and any additional federal and state government contract programs. If, as a team member, you learn that you are an Excluded Party at any time, you must present your Excluded Party notice letter to your supervisor immediately.
**Other Regulatory Requirements:** 
 If employed at one of our senior living communities, team members must continually comply with certain laws and regulations that impact the company, including, but not limited to, as applicable, state licensing regulations, the Health Insurance Portability and Accountability Act of 1996 (HIPAA), Resident Rights as defined by the U.S. Department of Health and Human Services, and any other federal or state laws relating to team members’ professional licenses.
**HIPAA Disclosure**
*All Team Members prior to commencing employment and once employed must not be considered an “Excluded Party” as defined by the Medicare and state Medicaid Programs as well as other federal and state government contract programs. If as an associate you learn you are an Excluded Party, you must present your Excluded Party notice letter to your supervisor immediately. An Excluded Party is a person that the federal or state government found not eligible to provide care and services in a Community that receives Medicare or Medicaid funding. In addition, at all times, during your employment, all associates must be in compliance with certain laws and regulations that affect the company, including but not limited to Resident Rights, HIPAA, State licensing regulations, and those laws relating you an associates’ professional license.*</t>
        </is>
      </c>
    </row>
    <row r="19">
      <c r="A19" t="inlineStr">
        <is>
          <t>li-4370140029</t>
        </is>
      </c>
      <c r="B19" t="inlineStr">
        <is>
          <t>Data Engineer and Integration Developer</t>
        </is>
      </c>
      <c r="C19" t="inlineStr">
        <is>
          <t>Southern California Edison (SCE)</t>
        </is>
      </c>
      <c r="D19" t="inlineStr">
        <is>
          <t>linkedin</t>
        </is>
      </c>
      <c r="E19" t="inlineStr"/>
      <c r="F19" t="inlineStr"/>
      <c r="G19" t="inlineStr">
        <is>
          <t>Rosemead, CA</t>
        </is>
      </c>
      <c r="H19" t="inlineStr"/>
      <c r="I19" t="inlineStr">
        <is>
          <t>**Join the Clean Energy Revolution**
 Become a
 **Data Engineer and Integration Developer** 
 at Southern California Edison (SCE) and build a better tomorrow. In this job, you’ll you’ll enable digital transformation for our business and work with a team that is dynamic, with a strong sense of dedication to our customers. You will be responsible for interfacing with key business stakeholders, listen to their business needs and apply your technical proficiency around data warehouses, data architecture and data applications to drive increased automation and establishing a solid centralized data warehouse for critical operational and compliance reporting and analytics . As a
 **Data Engineer and Integration Developer** 
 , your work will help power our planet, reduce carbon emissions and create cleaner air for everyone. Are you ready to take on the challenge to help us build the future?
**Responsibilities**
* Optimizes performance and scalability of critical data pipelines.
* Develops reusable and parameterized pipeline components and templates. Performs analysis and support to Data Scientists for model development.
* Designs pipeline architectures and ETL processes using big data technologies to support business initiatives.
* Collaborates with stakeholders to elicit pipeline requirements and identify improvement opportunities. Utilizes data ingestion capabilities to ingest and preprocess data from various sources, designed and optimized.
* Troubleshoots and resolves issues with production pipelines.
* Ensures data pipeline continuity and integrity through testing and change management. Contributes to data dictionary and data mapping from sources to the target from SCIM Data Model Design and develop Data\-as\-a\-Service solutions to improve data consumption.
* A material job duty of all positions within the Company is ensuring the protection of all its physical, ﬁnancial and cybersecurity assets, and properly accessing and managing private customer data, proprietary information, conﬁdential medical records, and other types of highly sensitive information and data with the highest standards of conduct and integrity.
**Minimum Qualifications**
* Bachelor's Degree in Computer Science, Information Systems, Engineering, Statistics/ Mathematics or equivalent STEM major
* Five or more years of experience in data processing large data sets, hands\-on with data transformation, aggregation, and ﬁltering.
**Preferred Qualifications**
* Background in the utility sector and/or energy markets is highly desirable
* Experience in Snowflake (architecture, SQL, stored procedures, data management analysis) and/or strong proficiency with front\-end Python frameworks (Streamlit, Dash, Flask, Django)
* Experience working with Power BI (and/or other visualization tools) to build dashboards and reports leveraging BI languages \&amp; frameworks (i.e. DAX, PowerQuery)
* Experience working with business stakeholders to understand business processes and goals and work with IT to translate these needs into requirements and desired technology solutions.
* Experience managing projects including defining scope, establishing business value and ongoing communication on status and risk.
* Understanding of application design and life cycles
* Experience working closely with business stakeholders to understand needs and communicate to IT to meet stated goals.
* Strong knowledge Data structures, Data Engineering concepts, Algorithms, Collections
* Experience in large scale cloud data migrations using Snowflake, Python, Spark, SQL
* Critical thinking and problem\-solving skills, including planning, organizing and adaptability.
* Ability to interact with team members at all levels of the organization and with cross functional teams.
**Additional Information**
* This position’s work mode is hybrid. The employee will report to an SCE facility for a set number of days with the option to work remotely on the remaining days.  Unless otherwise noted, employees are required to work and reside in the state of California.  Further details of this work mode will be discussed at the interview stage. The work mode can be changed based on business needs.
* Visit our Candidate Resource page to get meaningful information related to benefits, perks, resources, testing information, hiring process, and more!
* Qualified applications with arrest or conviction records will be considered for employment in accordance with the Los Angeles County Fair Chance Ordinance for Employers and the California Fair Chance Act.
* Relocation does not apply to this position.
**About Southern California Edison**
 The people at SCE don't just keep the lights on. Our mission is so much bigger. We’re fueling the kind of innovation that’s changing an entire industry, and quite possibly the planet. Join us and create a future with cleaner energy, while providing our customers with the safety and reliability they demand. At SCE, you’ll have a chance to grow personally and professionally, making a real impact in Southern California and around the world.
 Southern California Edison is a proud Equal Opportunity Employer, including disability and protected veteran status.
 We are committed to ensuring that individuals with disabilities are provided reasonable accommodation to participate in the job application or interview process, to perform essential job functions, and to receive other benefits and privileges of employment. Please contact us to request accommodations at (833\) 343\-0727\.</t>
        </is>
      </c>
    </row>
    <row r="20">
      <c r="A20" t="inlineStr">
        <is>
          <t>li-4344150670</t>
        </is>
      </c>
      <c r="B20" t="inlineStr">
        <is>
          <t>Analytics Engineer</t>
        </is>
      </c>
      <c r="C20" t="inlineStr">
        <is>
          <t>DoorDash</t>
        </is>
      </c>
      <c r="D20" t="inlineStr">
        <is>
          <t>linkedin</t>
        </is>
      </c>
      <c r="E20" t="inlineStr"/>
      <c r="F20" t="inlineStr"/>
      <c r="G20" t="inlineStr">
        <is>
          <t>San Francisco, CA</t>
        </is>
      </c>
      <c r="H20" t="inlineStr"/>
      <c r="I20" t="inlineStr">
        <is>
          <t>**About The Team**
 The Analytics Engineering team at DoorDash is embedded within the Analytics and Data Engineering Orgs, and is responsible for building internal data products that scale decision\-making across business teams and drive efficiency in our operations. Data is fundamental to DoorDash’s success, and this team plays a critical role in enabling high\-impact, data\-driven solutions across Product, Operations, Finance, and more.
**About The Role**
 As an Analytics Engineer, you’ll play a key role in building and scaling the data foundations that enable fast, reliable, and actionable insights. You’ll work closely with partner teams to drive end\-to\-end analytics initiatives; working alongside Data Engineers, Data Scientists, Software Engineers, Product Managers, and Operators.
 This is a highly technical role where you'll be a driving force behind the analytics stack, delivering trusted data and metrics that support decision\-making at all levels of the company. If you're energized by solving technical problems with data and comfortable being deeply embedded across several domains, this role is for you!
**You’re Excited About This Opportunity Because You Will…**
* Collaborate with data scientists, data engineers, and business stakeholders to understand business needs, and translate that scope into data requirements
* Identify key business questions and problems to solve for, and generate insights by developing structured solutions to resolve them
* Lead the development of data products and self\-serve tools that enable analytics to scale across the company
* Build and maintain canonical datasets by developing high\-volume, reliable ETL/ELT pipelines using data lake and data warehousing concepts
* Design metrics and data visualizations with dashboarding tools like Tableau, Sigma, and Mode
* Be a cross\-functional champion at upholding high data integrity standards to increase reusability, readability and standardization
**We’re Excited About You Because…**
* 3\+ years of experience working in business intelligence, analytics engineering, data engineering or a similar role
* Strong proficiency in SQL for data transformation, comfort in at least one functional/OOP language such as Python or Scala
* Expertise in creating compelling reporting and data visualization solutions using dashboarding tools (e.g., Looker, Tableau, Sigma)
* Familiarity with database fundamentals (e.g. S3, Trino, Hive, Spark), and experience with SQL performance tuning
* Experience in writing data quality checks to validate data integrity (e.g., Pydeequ, Great Expectations)
* Excellent communication skills and experience working with technical and non\-technical teams
* Comfortable working in fast paced environment, self starter and self organizing
* Ability to think strategically, analyze and interpret market and consumer information
* Must be comfortable regularly exercising discretion and independent judgment in performing job duties, including evaluating options, making informed decisions, and determining appropriate courses of action within the scope of assigned responsibilities.
**Nice to Have**
* Experience with modern data warehousing platforms (e.g., Snowflake, Databricks, Redshift) and ability to optimize performance
* Experience building multi\-step ETL jobs coupled with orchestrating workflows (e.g. Airflow, Dagster, DBT)
* Familiarity with experimentation concepts like A/B testing and their data requirements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$117,500—$172,800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21">
      <c r="A21" t="inlineStr">
        <is>
          <t>li-4375665914</t>
        </is>
      </c>
      <c r="B21" t="inlineStr">
        <is>
          <t>Data Engineer</t>
        </is>
      </c>
      <c r="C21" t="inlineStr">
        <is>
          <t>Sanford Health</t>
        </is>
      </c>
      <c r="D21" t="inlineStr">
        <is>
          <t>linkedin</t>
        </is>
      </c>
      <c r="E21" t="inlineStr"/>
      <c r="F21" t="inlineStr"/>
      <c r="G21" t="inlineStr">
        <is>
          <t>Michigan, United States</t>
        </is>
      </c>
      <c r="H21" t="inlineStr"/>
      <c r="I21" t="inlineStr">
        <is>
          <t>**Careers With Purpose**
**Sanford Health is one of the largest and fastest\-growing not\-for\-profit health systems in the United States. We're proud to offer many development and advancement opportunities to our nearly 50,000 members of the Sanford Family who are dedicated to the work of health and healing across our broad footprint.**
**Facility:** 
 Remote MI (Central Time)
**Location:** 
 Remote, MI
**Address**
**Shift:** 
 8 Hours \- Day Shifts
**Job Schedule:** 
 Full time
**Weekly Hours:** 
 40\.00
**Salary Range:** 
 $34\.50 \- $57\.00
**Pay Info:** 
 Pay starts at $34\.50 and increases according to years of applicable experience.
**Department Details**
 The Data Engineering team is a collaborative, fun and dynamic group. We strive to innovate and improve the process to bring quality data to our end users.
**Job Summary**
 The Data Engineer is responsible for providing technical support for Data Pipeline implementation, monitoring and administration. This person will work with all the data environments across the enterprise and will also be responsible for ensuring that the systems are scalable, efficient, and accurate. Assemble and manage large, complex datasets that meet both non\-functional and functional business requirements. Identify, design, and implement internal process improvements to enhance scalability, optimize data delivery, and automate manual processes. Build and maintain optimal data pipeline architecture for efficient extraction, transformation, and loading of data from various sources.
 Provide technical expertise and support for data\-related issues. Partner with data and analytics experts to enhance functionality and performance of data systems. Design and deploy frameworks and microservices to serve data assets to data consumers. Performs root cause analysis on data and processes to identify opportunities for improvement.
 Act as a trusted advisor and partner to business leads, understanding their needs, interpreting data drivers, and aligning data strategies with business goals. Evaluate customer requirements and contribute to the development of structural necessities within the data architecture.
 Ensure database implementation procedures comply with relevant regulations. Organize data within cloud storage and implement appropriate security measures. Collaborate cross\-functionally with multiple teams within the organization.
 Works independently and collaboratively in a team environment. Excellent analytical and problem\-solving abilities. Strong attention to detail to ensure accuracy and predictability of data pipelines. Effectively communicates with engineers, product managers, and analysts to understand data needs. Commitment to building secure, resilient, and fault\-tolerant architectures with clear documentation and support procedures.
**Qualifications**
 Bachelor’s degree required in data engineering, data analytics, computer engineering, or a related field.
 Minimum of 3 years’ experience in data engineering or database analytics. Must have strong programming skills in Python, Scala, and SQL. Advanced SQL knowledge and experience working with relational databases. Prior work with various data management technologies such as RedShift, Postgres, or Snowflake is preferred.
**Benefits**
 Sanford Health offers an attractive benefits package for qualifying full\-time and part\-time employees. Depending on eligibility, a variety of benefits include health insurance, dental insurance, vision insurance, life insurance, a 401(k) retirement plan, work/life balance benefits, and a generous time off package to maintain a healthy home\-work balance. For more information about Total Rewards, visit https://sanfordcareers.com/benefits .
 Sanford is an EEO/AA Employer M/F/Disability/Vet. If you are an individual with a disability and would like to request an accommodation for help with your online application, please call 1\-877\-673\-0854 or send an email to talent@sanfordhealth.org .
 Sanford Health has a Drug Free Workplace Policy. An accepted offer will require a drug screen and pre\-employment background screening as a condition of employment.
**Req Number:** 
 R\-0243489
**Job Function:** 
 Information Technology
**Featured:** 
 No</t>
        </is>
      </c>
    </row>
    <row r="22">
      <c r="A22" t="inlineStr">
        <is>
          <t>li-4375671718</t>
        </is>
      </c>
      <c r="B22" t="inlineStr">
        <is>
          <t>Data Engineer - CETS</t>
        </is>
      </c>
      <c r="C22" t="inlineStr">
        <is>
          <t>American Express</t>
        </is>
      </c>
      <c r="D22" t="inlineStr">
        <is>
          <t>linkedin</t>
        </is>
      </c>
      <c r="E22" t="inlineStr"/>
      <c r="F22" t="inlineStr"/>
      <c r="G22" t="inlineStr">
        <is>
          <t>Phoenix, AZ</t>
        </is>
      </c>
      <c r="H22" t="inlineStr"/>
      <c r="I22" t="inlineStr">
        <is>
          <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We are looking for a highly skilled Data Engineer with a solid experience of building Bigdata, GCP Cloud based ETL Pipelines and Spark applications. The Engineer will play a crucial role in designing, implementing, and optimizing data solutions to support our organization’s data\-driven initiatives. This role requires expertise in data engineering, strong problem\-solving abilities, and a collaborative mindset to work effectively with various stakeholders.
 Joining the CETS team, this role will be focused on the delivery of innovative solutions to satisfy the needs of our business. As an agile team we work closely with our business partners to understand what they require, and we strive to continuously improve as a team.
 We pride ourselves on a culture of kindness and positivity, and a continuous focus on supporting colleague development to help you achieve your career goals.  We lead with integrity, and we emphasize work/life balance for all of our teammates.
 How will you make an impact in this role?
 There are hundreds of opportunities to make your mark on technology and life at American Express. Here’s just some of what you’ll be doing:
* Develop modern, high quality, and robust operational engineering capabilities.
* Develop software in technology stack which is constantly evolving but currently includes Big data platforms like BigQuery, Airflow, DataProc.
* Work with Business partners and stakeholders to understand functional requirements, architecture dependencies, and business capability roadmaps.
* Create technical solution designs to meet business requirements.
* Define best practices to be followed by team.
* Taking your place as a core member of an Agile team driving the latest development practices
* Identify and drive reengineering opportunities, and opportunities for adopting new technologies and methods.
* Perform peer code review and participate in technical discussions with the team on the best solutions possible
 Minimum Qualifications
* BS or MS degree in computer science, computer engineering, or other technical discipline, or equivalent work experience.
* 5\+ years of hands\-on software development experience with Big Data \&amp; Analytics solutions
	+ Hadoop Hive, Spark, Python, shell scripting, GCP Cloud \- Big Query, Airflow, DataProc, PubSub
* Strong experience in designing, developing, and optimizing data pipelines for large\-scale data processing, transformation, and analysis using Big Data and GCP technologies.
* Proficiency in SQL and database systems, with experience in designing and optimizing data models for performance and scalability.
* Experience of building event processing pipelines with Kafka or GCP PubSub.
* Design and development experience with Airflow, PubSub Kafka, Git, Jenkins is desirable.
* Knowledge of distributed (multi\-tiered) systems, algorithms \&amp; relational databases.
* Strong Object\-Oriented Programming skills and design patterns.
* Experience with CICD pipelines, Automated test frameworks, and source code management tools (XLR, Jenkins, Git).
* Good knowledge and experience with configuration management tools like GitHub
* Ability to analyze complex data engineering problems, propose effective solutions, and implement them effectively.
* Ability and willingness to learn, adopt and build solutions using the Enterprise frameworks established for Big Data
* Looks proactively beyond the obvious for continuous improvement opportunities.
* Communicates effectively with product and cross functional team.
* Willingness to learn new technologies and leverage them to their optimal potential.
* Understanding of various SDLC methodologies, familiarity with Agile \&amp; scrum ceremonies.
* Certifications in cloud platform (GCP Professional Data Engineer) is a plus.
 Salary Range: $89,250\.00 to $150,250\.00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 
 Bonus incentives 
 6% Company Match on retirement savings plan 
 Free financial coaching and financial well\-being support 
 Comprehensive medical, dental, vision, life insurance, and disability benefits 
 Flexible working model with hybrid, onsite or virtual arrangements depending on role and business need 
 20\+ weeks paid parental leave for all parents, regardless of gender, offered for pregnancy, adoption or surrogacy 
 Free access to global on\-site wellness centers staffed with nurses and doctors (depending on location) 
 Free and confidential counseling support through our Healthy Minds program 
 Career development and training opportunities
 For a full list of Team Amex benefits, visit our
 Colleague Benefits Site
 .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
 Know Your Rights
 ” poster. If the link does not work, you may access the poster by copying and pasting the following URL in a new browser window:
 https://www.eeoc.gov/poster
 Employment eligibility to work with American Express in the U.S. is required as the company will not pursue visa sponsorship for these positions</t>
        </is>
      </c>
    </row>
    <row r="23">
      <c r="A23" t="inlineStr">
        <is>
          <t>li-4367153528</t>
        </is>
      </c>
      <c r="B23" t="inlineStr">
        <is>
          <t>Data Engineer</t>
        </is>
      </c>
      <c r="C23" t="inlineStr">
        <is>
          <t>SAIC</t>
        </is>
      </c>
      <c r="D23" t="inlineStr">
        <is>
          <t>linkedin</t>
        </is>
      </c>
      <c r="E23" t="inlineStr"/>
      <c r="F23" t="inlineStr"/>
      <c r="G23" t="inlineStr">
        <is>
          <t>San Diego, CA</t>
        </is>
      </c>
      <c r="H23" t="inlineStr"/>
      <c r="I23" t="inlineStr">
        <is>
          <t>Job ID 2600839
**Location** 
 SAN DIEGO, CA, US
**Date Posted** 
 2026\-01\-28
**Category** 
 Information Technology
**Subcategory** 
 Database Engr
**Schedule** 
 Full\-time
**Shift** 
 Day Job
**Travel** 
 No
**Minimum Clearance Required TS/SCI**
**Clearance Level Must Be Able to Obtain** 
 None
**Potential for Remote Work** 
 No
**Description**
 SAIC is seeking a
 **TS/SCI cleared Data Engineer** 
 in support of NAVWAR’s Naval Operational Architecture (NOA) program in San Diego, CA. The Data Engineer will to support a transformational, Navy\-led network\-centric initiative that converges existing systems, automating the correlation of multiple ISR data streams, dramatically reducing the "sensor\-to\-shooter" timeline. This is a recently awarded contract, funded for five years.
**Work is performed on site in San Diego, CA.**
 Please view our program page for more information and to view all open positions available https//jobs.saic.com/pages/NOA
**Job Duties**
* Build and optimize robust data pipelines ingestion, transformation, storage, and governance.
* Convert between tactical data formats, e.g., XML, JSON, GEOJSON, Cursor\-on\-Target (CoT), JREAP\-C, Link\-16\.
* Implement automation using CHRON/CRON jobs and data orchestration frameworks (Apache Airflow, Kafka, AWS Step Functions).
* Architect and maintain scalable data stores (e.g., Apache Iceberg, Elasticsearch) with schema evolution and deduplication.
* Enable real\-time data indexing and fast query performance.
* Implement MIL\-STD\-6016 (Link\-16\) and MIL\-STD\-3011 (JREAP) message handling.
* Support integration or development of Cross\-Domain Solutions (CDS) for secure, policy\-based data transfers.
* Present complex data flows and technical insights effectively to leadership and stakeholders using clear data models and visual aids.
**Qualifications**
**Citizenship and Clearance Requirement**
* U.S. Citizenship required.
* Active TS/SCI security clearance required.
**Education And Certification Requirements**
* Bachelor’s degree in Data Science, Computer Science, Engineering, or related STEM field.
**Required Skills And Experience**
* 5 \- 10 years' experience working as a business analyst, data analyst, data scientist, data engineer, database administrator, geospatial analyst, geospatial engineer, machine learning engineer, or software engineer.
* Hands on Keyboard\- Developer Skillsets.
* Fluency in Python, can code without Modern libraries.
* Experience in format conversions with some of the following XML, JREAP\-C, COT (cursor\-on\-target), JSON, GEO JSON, UMF/UHR, text link\-16, Tapil\-J, and other Tactical Data Links.
* Experience in natural language parsing (NLP) and using regular expressions, RegEx.
* Experience implementing CHRON/CRON jobs.
* Experience in data pipeline orchestration, ETL, orchestration tools (e.g., Kafka, Apache Airflow, AWS Step Functions).
* Focused experience implementing and monitoring data stores i.e. (Apache Iceberg, elastic search, data lake management).
* Experience with schema evolution, dataflow and governance.
* Experience with real\-time search and analytics engines for indexing and querying semi\-structured data.
* Focused experience optimizing data store queries for speed and deduplication.
* Direct experience implementing MIL\-STD\-6016 and MIL\-STD\-3011\.
* Can translate data between source and destination schemas.
* Data modeling and PowerPoint presentations for leadership and stakeholder presentations.
* Experience working with or developing Cross Domain Solutions (CDS) systems.
**Preferred Skills And Experience**
* Familiarity with DoD data architecture principles (e.g. DoDAF, CADM).
* Experience with DataOps or similar mission\-critical pipeline automation (e.g., deduplication, schema normalization).
* Any experience leveraging universal data distribution architectures within DOD operations.
 Target salary range $120,001 \- $160,000\. The estimate displayed represents the typical salary range for this position based on experience and other factors.</t>
        </is>
      </c>
    </row>
    <row r="24">
      <c r="A24" t="inlineStr">
        <is>
          <t>li-4375642566</t>
        </is>
      </c>
      <c r="B24" t="inlineStr">
        <is>
          <t>Senior Data Engineer</t>
        </is>
      </c>
      <c r="C24" t="inlineStr">
        <is>
          <t>FlightSafety International</t>
        </is>
      </c>
      <c r="D24" t="inlineStr">
        <is>
          <t>linkedin</t>
        </is>
      </c>
      <c r="E24" t="inlineStr"/>
      <c r="F24" t="inlineStr"/>
      <c r="G24" t="inlineStr">
        <is>
          <t>Columbus, OH</t>
        </is>
      </c>
      <c r="H24" t="inlineStr"/>
      <c r="I24" t="inlineStr">
        <is>
          <t>**About FlightSafety International**
 FlightSafety International is the world’s premier professional aviation training company and supplier of flight simulators, visual systems and displays to commercial, government and military organizations. The company provides training for pilots, technicians and other aviation professionals from 167 countries and independent territories. FlightSafety operates the world’s largest fleet of advanced full\-flight simulators and award\-winning maintenance training at Learning Centers and training locations in the United States, Canada, France and the United Kingdom.
 Purpose of Position
 The Senior Database Engineer is responsible for reviewing, analyzing, modifying, and developing applications for production Enterprise Resource Planning (ERP) and supporting applications.
 Tasks and Responsibilities
* Client/server application development, customization, and end\-user support for all MRP/ERP, document management, and other miscellaneous database systems
* Interfacing with appropriate personnel to determine and maintain database, server, and application backup and disaster recovery schemes and procedures
* Maintenance of database and MRP/ERP software licensing and administration of program distribution, including the following items: software revision synchronization software licensing maintenance, renewal, and purchasing, and research for software upgrades, automation, and alternative/additional software solutions
* Authoring of process/procedural documentation, which may include the following: application\-specific tutorials, training documentation, step\-by\-step procedural outlines, FAQs, how\-to's, and best practices outlines
* Interfacing with appropriate governing groups to ascertain database application and customization needs
* Assists in the specification and maintenance of records for user access regarding access level and available data for each relevant database
* Reviews computer system capabilities, workflow, and scheduling limitations to determine if the requested program or program change is possible within the existing system
* Confers with personnel of organizational units to analyze current operational procedures, identify problems, and learn specific input and output requirements, such as forms of data input, how data is to be summarized, and formats for reports
* Plans and prepares technical reports, memoranda, and instructional manuals as documentation of process development; assists in preparing training materials for end\-user training classes
* Writes detailed description of user needs, program functions, and steps required to develop or modify computer programs
* Assists in studies of existing systems to evaluate effectiveness; develop proposals for new systems or modifications needed to existing systems to improve production or workflow as required
* Prepares workflow charts and diagrams to detail the operations to be performed by equipment, computer programs, and personnel in the system
* Prepares training materials and leads end\-user training classes for MRP/ERP system and supporting applications
* Accountable for the control and distribution of documents and equipment subject to export control restrictions and the security of FSI materials, projects, and business information regarding the methods and techniques used in the production and usage of FSI products
* Accountable and responsible for the accuracy and completeness of assigned work and results
* Prioritize and manage workload and communicate issues clearly
* Complete other tasks as required
* Travel when required
 Minimum Education
* Bachelor's degree from an accredited institution or equivalent industry experience
**Minimum Experience**
* 5\+ years of experience administrating and customizing SQL Server databases with their associated toolsets in a production or support environment
**Knowledge, Skills, Abilities**
* In\-depth experience developing client/server applications and GUIs utilizing programming languages and tools in a Windows environment. Specifically, Microsoft SQL Server T\-SQL programming language, Visual Basic .Net, SQL Server Reporting Services, Crystal Reports, VB Scripting, Microsoft C\#, SQL Server Integration Services, ODBC, and ADO.NET
* Strong working knowledge of Windows OS, Microsoft Office, and other Windows\-based programs
* Knowledge of UNIX is a plus
* Proficient Windows usage skills
* Required specific application experience customizing, administrating, and supporting the following programs: SQL Server and Syteline or Symix
* Uses experience and sound judgment to plan and accomplish goals. Performs various complicated tasks in a fast\-paced, production\-critical support environment. A certain degree of creativity and latitude is expected
* Strong written and verbal communications skills
* Excellent organizational skills, including the ability to multi\-task and prioritize workload
 Physical Demands and Work Environment
 The physical demands and work environment described here are representative of those that must be met and/or encountered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finger, handle, or feel; reach with hands and arms; and communicate. The employee may be required to stand, walk, and sit. Specific vision abilities required by this job include the ability to view monitors, technical documents, and reference material. The noise level in the work environment is usually low to moderate.
 FlightSafety is an Equal Opportunity Employer/Vet/Disabled. All qualified applicants will receive consideration for employment without regard to race, color, religion, sex, sexual orientation, gender identity, national origin, or disability.
*Any offer of employment is contingent upon successful completion of required compliance reviews, including verification that the candidate is not prohibited from employment under U.S. economic sanctions programs administered by the U.S. Department of the Treasury’s Office of Foreign Assets Control (OFAC).*
*This position may require access to export\-controlled technology or services subject to the International Traffic in Arms Regulations (ITAR) and/or the Export Administration Regulations (EAR). Employment consideration and any offer of employment are contingent upon the applicant’s ability to comply with these requirements, including qualifying as a “U.S. Person” under applicable regulations or otherwise eligible for export authorization within a timeframe consistent with business needs. A “U.S. Person” includes U.S. citizens, lawful permanent residents (holders of approved and unexpired green cards), and certain refugees or asylees with protected status under U.S. law.*
*This position may also require eligibility to obtain and maintain a U.S. Government security clearance for the duration of employment.*
**Cybersecurity Notice:** 
 All official recruiting communication from FlightSafety International will come from an
 **@flightsafety.com** 
 email address. FlightSafety International will never ask for personal or financial information through social media or third\-party email providers.</t>
        </is>
      </c>
    </row>
    <row r="25">
      <c r="A25" t="inlineStr">
        <is>
          <t>li-4367338676</t>
        </is>
      </c>
      <c r="B25" t="inlineStr">
        <is>
          <t>Senior Analytics Engineer, VM</t>
        </is>
      </c>
      <c r="C25" t="inlineStr">
        <is>
          <t>Valon</t>
        </is>
      </c>
      <c r="D25" t="inlineStr">
        <is>
          <t>linkedin</t>
        </is>
      </c>
      <c r="E25" t="inlineStr"/>
      <c r="F25" t="inlineStr"/>
      <c r="G25" t="inlineStr"/>
      <c r="H25" t="inlineStr"/>
      <c r="I25" t="inlineStr">
        <is>
          <t>**About The Company**
 Valon is transforming both mortgage servicing and consumer direct lending with a technology\-first approach. Backed by Andreessen Horowitz (a16z) and managing over $130 billion in loans, we’ve built our platforms from the ground up—not on outdated legacy systems—so homeowners, lenders, and investors experience greater transparency, efficiency, and care. By unifying processes into a modern, AI\-native operating system, we’re leading the way in automation, compliance, and continuous improvement across our servicing and lending businesses.
 Our mission is to empower every homeowner by making the mortgage experience simple, secure, and financially empowering. To achieve this, we bring together world\-class engineers, servicing experts, lending professionals, and operations leaders who share a passion for improving the homeowner journey. We’re not only reshaping what servicing and lending look like today—we’re creating opportunities for talented people to help drive the future of the industry.
 As we continue to grow, Valon is expanding its footprint across multiple states, opening the door to exciting new roles and career paths. Joining Valon means becoming part of a fast\-scaling company where innovation, collaboration, and customer impact go hand in hand. Mortgage is just the beginning—we’re building the future of regulated finance, and we want you to be part of it.
**About The Role**
 We are seeking a
 **Senior Analytics Engineer** 
 to take ownership of our external client reporting pipelines. This crucial role involves managing the layer of our data platform responsible for transforming raw data into reliable, structured, and performant assets for reporting, analysis, and AI initiatives. This role sits at the intersection of engineering and analytics, ensuring data is production\-grade, auditable, and easily accessible across the organization.
 You will own client reporting, standardize our data modeling practices, manage the orchestration of analytical workflows, and provide hands\-on analytical support for high\-stakes operational business functions, including reporting and performance management.
**Responsibilities**
* Client Reporting \&amp; Infrastructure: Scope and develop new client reports, while also maintaining and enhancing existing reporting pipelines. Collaborate with external clients and our internal client success team to effectively manage and triage inbound requests. Partner with Valon Technologies' data team to improve the underlying infrastructure for client reporting.
* Data Modeling \&amp; Transformation: Design, build, and maintain the production\-grade data models and analytical layers using our existing stack of dbt Cloud and Airflow to ensure reliability and structure at scale.
* Data Governance \&amp; Quality: Partner with engineering and product teams to define and implement data contracts and observability frameworks (e.g., Great Expectations) to guarantee data quality and auditability for a regulated environment.
* Analytical Support: Write complex SQL queries, build dashboards (in tools like Hex or Looker), and conduct ad hoc analysis to empower operational leaders and provide deep root\-cause insights into business performance.
* Compliance \&amp; Reporting: Own and fulfill third\-party audit, exam, and regulatory reporting requirements, managing timelines and delivering clear, defensible outputs to clients and regulators.
**Ideal Background \&amp; Qualifications**
* Experience: 7\+ years of combined experience in data engineering, analytics engineering, or a highly technical data analytics role, ideally at a mortgage servicer or financial institution (Series B–E startup experience is a plus).
* Technical Stack: Expertise in SQL (required), strong proficiency in Python, and proven experience with core modern data stack tools like dbt and Airflow.
* Communication: Communicate effectively with external clients, clearly synthesizing their requests, establishing realistic timelines, and proactively managing expectations, including pushing back when necessary to ensure successful outcomes.
* Architecture \&amp; Quality: Deep understanding of data architecture patterns (e.g. medallion architecture) and experience implementing data quality frameworks, observability tools, or data contracts at scale.
* Analytical Tools: Experience with data visualization tools (Hex, Looker, or equivalent) and proficiency in Google Sheets/Microsoft Excel.
* Mindset: A strong product mindset, focusing on the usability, reliability, and developer experience of the data systems you build.
* Problem\-Solving: Proven ability to solve complex problems independently and build repeatable processes around novel situations.
**Minimum Qualifications**
* Bachelor’s Degree or equivalent professional experience in Computer Science, Data Analytics, or a similar field.
**Benefits**
* Compensation: competitive salary and 401(k) plan
* Health \&amp; well\-being: we’ll invest in your physical and mental well\-being with comprehensive medical, dental, \&amp; vision benefits
* Grow together: Company\-wide orientation for you to successfully onboard and other learning \&amp; development opportunities, including regular review cycles that feature 360\-degree feedback
* Generous time off: 17 days paid time off, sick days, and 11 company holidays
* Baby bonding time!: 12 weeks off for both birthing and non\-birthing parents \- fully paid so you can focus your energy on your newest addition
*Throughout the interview process, please remember that emails will only be from* 
*valon.com* 
*email addresses. We will never ask for any personally identifiable information during the interview process itself. Please reach out to talent@valon.com if you have any requests to verify the authenticity of an outreach.*
*Valon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t>
        </is>
      </c>
    </row>
    <row r="26">
      <c r="A26" t="inlineStr">
        <is>
          <t>li-4348653344</t>
        </is>
      </c>
      <c r="B26" t="inlineStr">
        <is>
          <t>Analytics Engineer, GTM Data Infrastructure</t>
        </is>
      </c>
      <c r="C26" t="inlineStr">
        <is>
          <t>DoorDash</t>
        </is>
      </c>
      <c r="D26" t="inlineStr">
        <is>
          <t>linkedin</t>
        </is>
      </c>
      <c r="E26" t="inlineStr"/>
      <c r="F26" t="inlineStr"/>
      <c r="G26" t="inlineStr">
        <is>
          <t>San Francisco, CA</t>
        </is>
      </c>
      <c r="H26" t="inlineStr"/>
      <c r="I26" t="inlineStr">
        <is>
          <t>**About The Team**
 The Go To Market Technology (GTMT) organization enables the growth and productivity for DoorDash Go\-To\-Market teams with reliable data, intelligent workflows, and frictionless experiences that move at the speed of DoorDash. We build systems that streamline business processes to be nimble and effective while serving the needs of our Merchants and Customers. We're looking for analysts to join our Go\-To\-Market Technology (GTMT) team, where you'll build elegant solutions that power
 DoorDash's rapid growth. Specifically, we are seeking proactive and driven individuals who are eager to dive deep into data, build scalable data platforms/tools, and translate insights into actions that drive our business forward.
**About The Role**
 We're looking for a business\-savvy data specialist who can think like an engineer and act like an analyst. You'll automate high\-impact GTM workflows, rapidly prototype new business processes, and own end\-to\-end data quality across critical systems. If you've built internal tools, scripted away manual reporting pain, or unified Salesforce data across platforms — we want to talk to you.
 You will be reporting to the Manager of the GTM \- Data team in our GTM product and engineering organization.
**Responsibilities**
* Partner with Product, Engineering, Data Science \&amp; Analytics, Operations, Finance, and other cross\-functional stakeholders to understand their needs and deliver data solutions to meet business objectives.
* Develop frameworks and scalable processes to streamline reporting, drive decision\-making, and build first class scalable data platforms/ tools to deliver data quickly, reliably, and accurately.
* Implement automation solutions, data products and explore/integrate AI capabilities into data tools and applications to enhance productivity and decision\-making.
* Be a strategic partner for the business: Identify opportunities and create solutions to automate and scale ad hoc requests.
* Build and maintain robust data pipelines and data models using tools like SQL, Python, Airflow, ensuring high data integrity and performance.
**You’re Excited About This Opportunity Because You Will**
* Drive Strategic Impact: Play a pivotal role in shaping business objectives through the implementation of innovative technological solutions.
* Own Problem Solving: Enjoy the autonomy to directly address and resolve challenges in collaboration with key business partners.
* Embrace Continuous Evolution: Thrive in a dynamic environment where you'll encounter new challenges and opportunities to expand your skillset.
* Develop Diverse Expertise: Continuously enhance both your business acumen and technical capabilities across a wide range of problem domains — including exploring and applying AI capabilities to automate workflows, improve decision\-making, and drive innovation in GTM operations
* Tackle Ambiguity: Embrace the challenge of solving large, complex problems using an iterative and data\-driven approach.
* Shape Data Infrastructure: Be at the forefront of transforming and managing data to make it insightful and accessible for critical business processes.
* Influence Decision Making: Define and monitor key metrics, build insightful dashboards, and present findings to senior leadership, directly influencing strategic decisions.
* Build Scalable Solutions: Develop robust data pipelines and scalable processes that streamline reporting and drive prioritization.
* Partner Cross\-Functionally: Collaborate closely with Product, Engineering, Data Science \&amp; Analytics, Operations, Finance, and other teams to deliver data solutions and meet business objectives.
* Innovate with Technology: Explore and implement automation solutions and AI capabilities to enhance data tools and applications.
**We're Excited About You Because You Have**
* 4\+ years of experience in analytics engineering in a high\-growth environment.
* Ability to translate unstructured business problems into clearly defined requirements with minimal oversight.
* Ability to build automation solutions, ETL pipelines and production facing data products to scale business processes.
* Proficient in SQL and Python and quantitative analysis; you can deep dive into large amounts of data, draw meaningful insights, dissect business issues, and draw actionable conclusions. You can automate business processes and integrate internal systems using python scripts and build unified sources of truths using ETL pipelines.
* Strong problem\-solving and analytical skills with the ability to transition between detailed data and high\-level business problems.
* Great communication (listening, written, and oral) skills with the ability to present findings \&amp; recommendations targeted to the audience in question.
* Strong interpersonal skills, with the ability to build relationships and trust across functions and work collaboratively.
* Strong attention to detail, structured thinking, and experience developing processes to reduce human error.
* Master’s degree in Mathematics, Statistics, Economics, Engineering, or a related technical field.
* Good understanding of development processes and best practices like engineering standards, code reviews, and testing.
**Nice To Have**
* Knowledge of CI/CD practices and infrastructure as code.
* Deploying, monitoring, and maintaining applications/services in AWS and DevOps skills.
* Experience building dashboards in Sigma/Tableau for performance analysis.
**Why You’ll Love Working at DoorDash**
* We are leaders: Leadership is not limited to our management team. It’s something everyone at DoorDash embraces and embodies.
* We are doers: We believe the only way to predict the future is to build it. Creating solutions that will lead our company and our industry is what we do \-\- on every project, every day.
* We are learners: We’re not afraid to dig in and uncover the truth, even if it’s scary or inconvenient. Everyone here is continually learning on the job, no matter if we’ve been in a role for one year or one minute.
* We are customer obsessed: Our mission is to grow and empower local economies. We are committed to our customers, merchants, and dashers and believe in connecting people with possibility.
* We are all DoorDash: The magic of DoorDash is our people, together making our inspiring goals attainable and driving us to greater heights.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$100,600—$148,000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27">
      <c r="A27" t="inlineStr">
        <is>
          <t>li-4348594343</t>
        </is>
      </c>
      <c r="B27" t="inlineStr">
        <is>
          <t>Analytics Engineer, GTM Data Infrastructure</t>
        </is>
      </c>
      <c r="C27" t="inlineStr">
        <is>
          <t>DoorDash</t>
        </is>
      </c>
      <c r="D27" t="inlineStr">
        <is>
          <t>linkedin</t>
        </is>
      </c>
      <c r="E27" t="inlineStr"/>
      <c r="F27" t="inlineStr"/>
      <c r="G27" t="inlineStr">
        <is>
          <t>New York, NY</t>
        </is>
      </c>
      <c r="H27" t="inlineStr"/>
      <c r="I27" t="inlineStr">
        <is>
          <t>**About The Team**
 The Go To Market Technology (GTMT) organization enables the growth and productivity for DoorDash Go\-To\-Market teams with reliable data, intelligent workflows, and frictionless experiences that move at the speed of DoorDash. We build systems that streamline business processes to be nimble and effective while serving the needs of our Merchants and Customers. We're looking for analysts to join our Go\-To\-Market Technology (GTMT) team, where you'll build elegant solutions that power
 DoorDash's rapid growth. Specifically, we are seeking proactive and driven individuals who are eager to dive deep into data, build scalable data platforms/tools, and translate insights into actions that drive our business forward.
**About The Role**
 We're looking for a business\-savvy data specialist who can think like an engineer and act like an analyst. You'll automate high\-impact GTM workflows, rapidly prototype new business processes, and own end\-to\-end data quality across critical systems. If you've built internal tools, scripted away manual reporting pain, or unified Salesforce data across platforms — we want to talk to you.
 You will be reporting to the Manager of the GTM \- Data team in our GTM product and engineering organization.
**Responsibilities**
* Partner with Product, Engineering, Data Science \&amp; Analytics, Operations, Finance, and other cross\-functional stakeholders to understand their needs and deliver data solutions to meet business objectives.
* Develop frameworks and scalable processes to streamline reporting, drive decision\-making, and build first class scalable data platforms/ tools to deliver data quickly, reliably, and accurately.
* Implement automation solutions, data products and explore/integrate AI capabilities into data tools and applications to enhance productivity and decision\-making.
* Be a strategic partner for the business: Identify opportunities and create solutions to automate and scale ad hoc requests.
* Build and maintain robust data pipelines and data models using tools like SQL, Python, Airflow, ensuring high data integrity and performance.
**You’re Excited About This Opportunity Because You Will**
* Drive Strategic Impact: Play a pivotal role in shaping business objectives through the implementation of innovative technological solutions.
* Own Problem Solving: Enjoy the autonomy to directly address and resolve challenges in collaboration with key business partners.
* Embrace Continuous Evolution: Thrive in a dynamic environment where you'll encounter new challenges and opportunities to expand your skillset.
* Develop Diverse Expertise: Continuously enhance both your business acumen and technical capabilities across a wide range of problem domains — including exploring and applying AI capabilities to automate workflows, improve decision\-making, and drive innovation in GTM operations
* Tackle Ambiguity: Embrace the challenge of solving large, complex problems using an iterative and data\-driven approach.
* Shape Data Infrastructure: Be at the forefront of transforming and managing data to make it insightful and accessible for critical business processes.
* Influence Decision Making: Define and monitor key metrics, build insightful dashboards, and present findings to senior leadership, directly influencing strategic decisions.
* Build Scalable Solutions: Develop robust data pipelines and scalable processes that streamline reporting and drive prioritization.
* Partner Cross\-Functionally: Collaborate closely with Product, Engineering, Data Science \&amp; Analytics, Operations, Finance, and other teams to deliver data solutions and meet business objectives.
* Innovate with Technology: Explore and implement automation solutions and AI capabilities to enhance data tools and applications.
**We're Excited About You Because You Have**
* 4\+ years of experience in analytics engineering in a high\-growth environment.
* Ability to translate unstructured business problems into clearly defined requirements with minimal oversight.
* Ability to build automation solutions, ETL pipelines and production facing data products to scale business processes.
* Proficient in SQL and Python and quantitative analysis; you can deep dive into large amounts of data, draw meaningful insights, dissect business issues, and draw actionable conclusions. You can automate business processes and integrate internal systems using python scripts and build unified sources of truths using ETL pipelines.
* Strong problem\-solving and analytical skills with the ability to transition between detailed data and high\-level business problems.
* Great communication (listening, written, and oral) skills with the ability to present findings \&amp; recommendations targeted to the audience in question.
* Strong interpersonal skills, with the ability to build relationships and trust across functions and work collaboratively.
* Strong attention to detail, structured thinking, and experience developing processes to reduce human error.
* Master’s degree in Mathematics, Statistics, Economics, Engineering, or a related technical field.
* Good understanding of development processes and best practices like engineering standards, code reviews, and testing.
**Nice To Have**
* Knowledge of CI/CD practices and infrastructure as code.
* Deploying, monitoring, and maintaining applications/services in AWS and DevOps skills.
* Experience building dashboards in Sigma/Tableau for performance analysis.
**Why You’ll Love Working at DoorDash**
* We are leaders: Leadership is not limited to our management team. It’s something everyone at DoorDash embraces and embodies.
* We are doers: We believe the only way to predict the future is to build it. Creating solutions that will lead our company and our industry is what we do \-\- on every project, every day.
* We are learners: We’re not afraid to dig in and uncover the truth, even if it’s scary or inconvenient. Everyone here is continually learning on the job, no matter if we’ve been in a role for one year or one minute.
* We are customer obsessed: Our mission is to grow and empower local economies. We are committed to our customers, merchants, and dashers and believe in connecting people with possibility.
* We are all DoorDash: The magic of DoorDash is our people, together making our inspiring goals attainable and driving us to greater heights.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$100,600—$148,000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28">
      <c r="A28" t="inlineStr">
        <is>
          <t>li-4373145972</t>
        </is>
      </c>
      <c r="B28" t="inlineStr">
        <is>
          <t>Advanced Package Yield and Data Engineer</t>
        </is>
      </c>
      <c r="C28" t="inlineStr">
        <is>
          <t>Marvell Technology</t>
        </is>
      </c>
      <c r="D28" t="inlineStr">
        <is>
          <t>linkedin</t>
        </is>
      </c>
      <c r="E28" t="inlineStr"/>
      <c r="F28" t="inlineStr"/>
      <c r="G28" t="inlineStr">
        <is>
          <t>Santa Clara, CA</t>
        </is>
      </c>
      <c r="H28" t="inlineStr"/>
      <c r="I28" t="inlineStr">
        <is>
          <t>**About Marvell**
 Marvell’s semiconductor solutions are the essential building blocks of the data infrastructure that connects our world. Across enterprise, cloud and AI, and carrier architectures, our innovative technology is enabling new possibilities.
 At Marvell, you can affect the arc of individual lives, lift the trajectory of entire industries, and fuel the transformative potential of tomorrow. For those looking to make their mark on purposeful and enduring innovation, above and beyond fleeting trends, Marvell is a place to thrive, learn, and lead.
**Your Team, Your Impact**
 The Advanced Packaging Yield \&amp; Data Engineer will play a critical role in driving yield improvement, data analytics, and process optimization across advanced packaging technologies for co\-packaged optics products. This position blends domain expertise in semiconductor and optical packaging with strong data engineering and analytical capabilities to support high\-volume manufacturing and technology development. The successful candidate will be able to leverage the latest in data engineering and analytics and establish robust yield reporting and improvement systems across the entire product lifecycle.
**What You Can Expect**
* Select, implement and maintain scalable data pipeline solutions to collect, clean, and structure data
* Partner with design, test, manufacturing and characterization leads to understand challenges and provide data analytics solutions
* Integrate data from ATE (Automated Test Equipment), DFT (Design for Test), and fab \&amp; assembly process and reliability logs for comprehensive analysis
* Prepare reports and presentations summarizing yield trends, analysis results, improvement opportunities, and project status for engineering and management stakeholders.
* Drive or support data\-driven predictive models and analytics methodologies (statistical analysis, machine learning, AI where applicable) to forecast yield behavior.
* Enable engineering teams with self\-serve data analytics tools at each IC level and at partner sites.
**What We're Looking For**
* MS in CS/physical sciences/engineering and 7\+ years of relevant industry experience.
* Proven experience in semiconductor advanced packaging, including exposure to 2\.5D/3D integration, fan\-out, or other heterogeneous packaging formats.
* Experience in managing data with third party vendors (preferably foundries and/or OSATs)
* Experience with python/SQL/JMP for large data sets
* Strong cross\-functional collaboration with packaging process, test, metrology, design, and external manufacturing partners.
* Excellent communication skills for conveying technical findings to both technical and non\-technical stakeholders.
* Problem\-solving orientation with ability to lead root cause investigations and drive corrective actions.
**Preferred Qualifications**
* Experience integrating machine learning or predictive analytics into early development and manufacturing frameworks.
* Familiarity with advanced data warehousing or cloud analytics platforms used for large\-scale data processing, including third\-party data.
**Expected Base Pay Range (USD)**
 158,600 \- 234,650, $ per annum
 The successful candidate’s starting base pay will be determined based on job\-related skills, experience, qualifications, work location and market conditions. The expected base pay range for this role may be modified based on market conditions.
**Additional Compensation And Benefit Elements**
 Marvell is committed to providing exceptional, comprehensive benefits that support our employees at every stage \- from internship to retirement and through life’s most important moments. Our offerings are built around four key pillars: financial well\-being, family support, mental and physical health, and recognition. Highlights include an employee stock purchase plan with a 2\-year look back, family support programs to help balance work and home life, robust mental health resources to prioritize emotional well\-being, and a recognition and service awards to celebrate contributions and milestones. We look forward to sharing more with you during the interview process.
 All qualified applicants will receive consideration for employment without regard to race, color, religion, sex, national origin, sexual orientation, gender identity, disability or protected veteran status.
 Any applicant who requires a reasonable accommodation during the selection process should contact Marvell HR Helpdesk at TAOps@marvell.com.
**Interview Integrity**
 To support fair and authentic hiring practices, candidates are not permitted to use AI tools (such as transcription apps, real\-time answer generators like ChatGPT or Copilot, or automated note\-taking bots) during interviews.
 These tools must not be used to record, assist with, or enhance responses in any way. Our interviews are designed to evaluate your individual experience, thought process, and communication skills in real time. Use of AI tools without prior instruction from the interviewer will result in disqualification from the hiring process.
**This position may require access to technology and/or software subject to U.S. export control laws and regulations, including the Export Administration Regulations (EAR). As such, applicants must be eligible to access export\-controlled information as defined under applicable law. Marvell may be required to obtain export licensing approval from the U.S. Department of Commerce and/or the U.S. Department of State. Except for U.S. citizens, lawful permanent residents, or protected individuals as defined by 8 U.S.C. 1324b(a)(3\), all applicants may be subject to an export license review process prior to employment.**</t>
        </is>
      </c>
    </row>
    <row r="29">
      <c r="A29" t="inlineStr">
        <is>
          <t>li-4365224092</t>
        </is>
      </c>
      <c r="B29" t="inlineStr">
        <is>
          <t>Data Engineer II (Tech Lead) - AWS, Ab Initio, Databricks, Snowflake, Teradata</t>
        </is>
      </c>
      <c r="C29" t="inlineStr">
        <is>
          <t>Travelers</t>
        </is>
      </c>
      <c r="D29" t="inlineStr">
        <is>
          <t>linkedin</t>
        </is>
      </c>
      <c r="E29" t="inlineStr"/>
      <c r="F29" t="inlineStr"/>
      <c r="G29" t="inlineStr">
        <is>
          <t>Hartford, CT</t>
        </is>
      </c>
      <c r="H29" t="inlineStr"/>
      <c r="I29"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$126,500\.00 \- $208,700\.00
**Target Openings**
 1
**What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stories found in data by leveraging a variety of data programming techniques. You will leverage your ability to design, build and deploy data solutions that capture, explore, transform, and utilize data to support Artificial Intelligence, Machine Learning and business intelligence/insights.
**What Will You Do?**
* Build and operationalize complex data solutions, correct problems, apply transformations, and recommending data cleansing/quality solutions.
* Design complex data solutions
* Perform analysis of complex sources to determine value and use and recommend data to include in analytical processes.
* Incorporate core data management competencies including data governance, data security and data quality.
* Collaborate within and across teams to support delivery and educate end users on complex data products/analytic environment.
* Perform data and system analysis, assessment and resolution for complex defects and incidents and correct as appropriate.
* Test data movement, transformation code, and data components.
* Perform other duties as assigned.
**What Will Our Ideal Candidate Have?**
* Bachelor’s Degree in STEM related field or equivalent.
* Eight years of related experience.
* Highly proficient in use of ETL tools (Abinitio, Databricks), techniques, and manipulation including AWS cloud platforms, programming languages (Python, SQL), and a full understanding of modern data engineering practices
* The ability to deliver work at a steady, predictable pace to achieve commitments, deliver complete solutions but release them in small batches, and identify and negotiate important tradeoffs.
* Demonstrated track record of domain expertise including understanding technical concepts necessary and industry trends, and possess in\-depth knowledge of immediate systems worked on and some knowledge of adjacent systems.
* Strong problem solver who ensures systems are built with longevity and creates innovate ways to resolve issues.
* Strong written and verbal communication skills with the ability to work collaborate well with team members and business partners.
* Ability to lead team members and help create a safe environment for others to learn and grow as engineers. and a proven track record of self\-motivation in identifying opportunities and tracking team efforts.
**What is a Must Have?**
* Bachelor’s degree in computer science, related STEM field, or its equivalent in education and/or work experience.
* 4 additional years of 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30">
      <c r="A30" t="inlineStr">
        <is>
          <t>li-4331270270</t>
        </is>
      </c>
      <c r="B30" t="inlineStr">
        <is>
          <t>Senior Analytics Engineer, People Analytics</t>
        </is>
      </c>
      <c r="C30" t="inlineStr">
        <is>
          <t>Klaviyo</t>
        </is>
      </c>
      <c r="D30" t="inlineStr">
        <is>
          <t>linkedin</t>
        </is>
      </c>
      <c r="E30" t="inlineStr"/>
      <c r="F30" t="inlineStr"/>
      <c r="G30" t="inlineStr">
        <is>
          <t>Boston, MA</t>
        </is>
      </c>
      <c r="H30" t="inlineStr"/>
      <c r="I30"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klaviyo.com/careers to see how we empower creators to own their own destiny.*
**About The Team And Role**
 Data is at the heart of every decision made at Klaviyo, and we’re looking for a Business Intelligence Data Engineer to join our Business Intelligence (BI) team supporting People Analytics. This domain of data aims to improve the experience of all Klaviyos, from culture and engagement to retention and satisfaction. This role sits in Data Engineering as part of the BI team and is fully dedicated to People Analytics as a sponsored headcount.
 You’ll build and steward the source of truth for people data so People leaders and analysts can answer lifecycle questions quickly and confidently and turn those insights into a healthier, higher\-performing organization.
 You will be an independent, embedded partner to People leadership, capable of translating ambiguous requirements into stable data products. You’ll be supported by the broader Data Engineering organization’s standards, tooling, and review practices.
**How You’ll Make a Difference**
* Deliver people‑data SSoT that drives employee experience. Stand up curated, documented marts that make it easy to monitor org health, retention, hiring, performance, movement, and comp cycles so that leadership can act earlier and more precisely.
* Own the pipelines \&amp; models end‑to‑end. Build and maintain reliable integrations from core HR systems (e.g., HRIS/ATS/OKR/comp), model them in dbt, and publish governed marts and reverse‑ETLs to operational destinations where they create value.
* Create lifecycle views with People Analytics. Partner with analysts to build hire→onboard→develop→promote→compensate→offboard lifecycle views and “employee 360” profiles that reduce swivel‑chair reporting and speed up decision cycles.
* Raise the bar on data reliability and governance. Instrument monitoring and alerting, tests (freshness/volume/constraints), and documentation so the people data ecosystem is discoverable, auditable, and self\-serve.
* Operate as a trusted partner to leadership. Work directly with People leadership to scope problems, clarify trade‑offs, and communicate technical concepts in exec‑ready language.
**What You’ll Do (responsibilities)**
* Integrations \&amp; ingestion: Own secure ingestion from HRIS/ATS/comp/performance systems into Snowflake; define SLAs/SLOs; implement monitoring \&amp; alerting for each feed.
* Modeling \&amp; marts: Design dimensional/entity models (dbt) for employees, positions, org structure, requisitions/offers, performance/promo history, compensation/equity, and movement; publish curated marts with strong contracts and lineage.
* Reverse ETL: Operationalize high‑value models to downstream tools and workflows using reverse‑ETL patterns to close the loop between insight and action.
* Quality \&amp; governance: Implement tests (unit/integration, schema/freshness), data policies (masking, purpose‑based access), and documentation that enable safe self‑service across the analytics community.
* Repository stewardship: Maintain the analytics codebase (dbt repo), perform code reviews, and ensure modular, reusable patterns the broader team can adopt.
* Stakeholder partnership: Run an intake \&amp; engagement model with People Analytics (primary), HRIS/People Tech (security/integration), Finance (plan/comp interfaces), and BI/Platform teams (shared standards).
**Who You Are (qualifications)**
 Must‑have
* 3–5\+ years in analytics/data engineering with production ELT in Snowflake \+ dbt \+ SQL; Python for orchestration/utilities.
* Demonstrated independence partnering with senior, non‑technical leaders; able to translate open‑ended needs into scalable data products.
* Proven experience implementing tests, monitoring, and documentation that keep pipelines healthy and reporting trustworthy.
* Experience building data integrations and reverse‑ETL pipelines that support business operations.
* Airflow (orchestration) and Fivetran/Workato (ELT/integration).
* Familiarity with data privacy controls (masking/RLS) in people data.
* AWS experience (S3/EC2/Lambda) and IaC/Terraform.
* You’ve already experimented with AI in work or personal projects, and you’re excited to dive in and learn fast. You’re hungry to responsibly explore new AI tools and workflows, finding ways to make your work smarter and more efficient.
**The tools you’ll use**
 Snowflake, dbt, Airflow, Fivetran, Workato, Python, AWS, Tableau/Looker/ThoughtSpot; publishing via reverse‑ETL where appropriate.
**Success measures \&amp; ramp plan (30/60/90\)**
* 30 days: Access/RBAC in place; landscape documented; agree with People leadership on the first lifecycle views and SSoT scope; monitoring baselines defined.
* 60 days: Core HRIS ingestion \+ tests/alerts live; first curated marts (headcount/movement, recruiting funnel) powering People Analytics dashboards; reverse‑ETL pilot to an operational destination.
* 90 days: Extend coverage (e.g., performance, compensation); publish employee 360 profile model; codify governance/RLS for sensitive attributes; usage dashboard for self‑serve adoption.
**What This Role Is Not**
* Not a Workday configuration/HRIS admin role.
* Not an infra‑only platform role. This is hands‑on modeling \+ ELT \+ reverse‑ETL in service of People Analytics.
**Our commitment to candidates**
 We value unique backgrounds and experiences; even if you don’t match every bullet, we encourage you to apply. Klaviyo is an equal‑opportunity employer.
 We use Covey as part of our hiring and / or promotional process. For jobs or candidates in NYC, certain features may qualify it as an AEDT. As part of the evaluation process we provide Covey with job requirements and candidate submitted applications. We began using Covey Scout for Inbound on April 3, 2025\.
 Please see the independent bias audit report covering our use of Covey here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$124,000—$186,000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31">
      <c r="A31" t="inlineStr">
        <is>
          <t>li-4374349605</t>
        </is>
      </c>
      <c r="B31" t="inlineStr">
        <is>
          <t>Data Engineer (SQL, ETL, ERP)</t>
        </is>
      </c>
      <c r="C31" t="inlineStr">
        <is>
          <t>Jobs via Dice</t>
        </is>
      </c>
      <c r="D31" t="inlineStr">
        <is>
          <t>linkedin</t>
        </is>
      </c>
      <c r="E31" t="inlineStr"/>
      <c r="F31" t="inlineStr"/>
      <c r="G31" t="inlineStr">
        <is>
          <t>Buena Park, CA</t>
        </is>
      </c>
      <c r="H31" t="inlineStr"/>
      <c r="I31" t="inlineStr">
        <is>
          <t>Dice is the leading career destination for tech experts at every stage of their careers. Our client, Ledgent Technology, is seeking the following. Apply via Dice today!
*No C2C / No Third\-Party Agencies*
 Hiring on behalf of our client:
 **Data Engineer**
 Buena Park, CA (float to other location)
 \~ $120,000 (DOE)
**:** 
 Full\-Time, Direct Hire
 We're looking for a Data Engineer who's excited about building the data foundation that keeps our systems connected and our teams empowered. In this role, you'll be responsible for creating and maintaining the pipelines, integrations, and infrastructure that move data smoothly and securely across key platforms, including ERP, CRM, CPQ, and analytics tools.
 You'll collaborate closely with the Data Systems Team to establish dependable frameworks that fuel reporting, automation, and AI efforts\-ultimately supporting smarter, faster decision making across the organization.
**Data Architecture \&amp; Pipeline**
* Design, develop and maintain ETL/ELT pipelines that enable efficient data movement between business systems.
* Craft and fine tune SQL queries, stored procedures, and automation scripts.
* Build scalable data models and structures that support forecasting, reporting, and analytical workloads.
**System Integration / Automation**
* Create and manage integrations across ERP, CRM, CPQ, and external platforms using APIs and middleware.
* Implement workflow automation to maintain reliable, consistent data across systems.
* Partner with Software and Data teams to uphold integration best practices and standards.
**Data Quality, Security, Performance**
* Investigate and resolve pipeline issues to protect system uptime and reliability.
* Apply validation, quality assurance, and performance tuning approaches.
* Support data governance and security initiatives to ensure compliance and safeguard information.
**Collaboration \&amp; Support**
* Work with Data Scientists and Analysts to deliver clean, well structured datasets.
* Contribute to refining documentation and evolving internal data processes.
* Participate in modernization projects, including cloud migrations, Power BI integrations, and automation leveraging tools like Power Automate and Copilot.
**Qualifications**
* Bachelor's degree in Computer Science, Engineering, or a related discipline.
* At least 4 years of experience in data engineering or database development.
* Proficiency in SQL and programming languages such as JavaScript, HTML, CSS, or similar.
* Experience with ETL technologies like SSIS and Airflow.
* Background in ERP or enterprise scale data environments is preferred.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California Fair Chance Act, City of Los Angeles' Fair Chance Initiative for Hiring Ordinance, and Los Angeles County Fair Chance Ordinance.*</t>
        </is>
      </c>
    </row>
    <row r="32">
      <c r="A32" t="inlineStr">
        <is>
          <t>li-4348292989</t>
        </is>
      </c>
      <c r="B32" t="inlineStr">
        <is>
          <t>Lead Data Engineer</t>
        </is>
      </c>
      <c r="C32" t="inlineStr">
        <is>
          <t>Fisher Investments</t>
        </is>
      </c>
      <c r="D32" t="inlineStr">
        <is>
          <t>linkedin</t>
        </is>
      </c>
      <c r="E32" t="inlineStr"/>
      <c r="F32" t="inlineStr"/>
      <c r="G32" t="inlineStr">
        <is>
          <t>Camas, WA</t>
        </is>
      </c>
      <c r="H32" t="inlineStr"/>
      <c r="I32" t="inlineStr">
        <is>
          <t>**Overview**
 It's an exciting time to join Fisher Investments; we're investing in the future of our firm's technology and information security. Our business is growing internationally, which emphasizes the need to build an unparalleled team that promotes future global growth through strategic solutions and progress. We are important to supporting our firm's diverse businesses, and we're excited to continue solidifying that foundation as we add more experienced technologists to our Technology team.
 We are looking for an Application Development Technical Lead to plan the cloud architecture and solution design of enterprise data warehouses/data marts and analytics as part of a collection of systems in a large technology ecosystem. You will report to the AVP of Data Delivery and Data Governance.
**The Opportunity:**
 As a Application Development Technical Lead, you will perform design and administration of our Azure data and analytics platform to ensure smooth system operations and be the guide for architectural principles and standards. As a technical expert for our data and analytics ecosystem, you will support Fisher Investments business line reporting teams and Technology Business data delivery teams. This hands\-on role will provide direction to other developers of data warehouse workloads and data related projects.
 You will help align department\-wide solutions to Fisher's enterprise priorities and survey the technology landscape and guide the evolution of current environment to support future capabilities and requirements. You will be a part of the team that plans the technology to ensure capacity and scalability as demand and usage evolves.
**The Day\-to\-Day:**
* Work with business and technology partners to analyze how the data warehouse, analytics and application will meet our goals
* Evaluate all proposed requests to determine fit with data warehouse, analytics and application solution architecture
* Manage data warehouse and analytics technical platform on Azure, from implementation to enhancements and ongoing operations
* Develop and coordinate cloud data and application solutions/projects across diverse groups and areas including enterprise architecture, application development, identity and access management, network and data management
* Provide technical direction and guidance to database and application developers
* Develop cloud security and access control solution/policy, data and BI standards, guidelines and best practice for business groups and technical teams
* Perform maintenance and troubleshooting activities for data warehouse, BI platform and other data projects and resolve issues
* Review system application logs and identify potential issues and improvements to ensure smooth operations
* Perform capacity planning, cloud cost analysis and optimization and provide recommendations to management
* Provide after\-hour system and application support
* Develop multiple work plans for projects and prepare appropriate status reports and submit them to management
**Your Qualifications:**
* 15\+ years' experience developing data\-related solutions and software
* Minimum of 8 years of experience as a System Architect or Application Architect focusing on data and cloud applications with direct experience with application development, data warehouse and BI design, implementation, and operation
* Experience with cloud data warehouse and analytics technologies, specifically Azure Synapse, Azure Data Factory, Azure Data Lake Storage, Power BI, and other Azure data solutions
* Knowledge or experience with infrastructure (operating system and networking) and cloud administration and automation such as Terraform for Infrastructure as Code.
* Knowledge of DevOps in application development such as GitHub Actions, PowerShell
* Experience with application development using Microsoft or cloud technologies (such as SQL, Azure, C\#, Python)
* Knowledge of Databricks, Microsoft Purview, and SecuritiAi
* Experience with Agile methodologies in a cloud, application, database, data warehousing and BI space
* BS or equivalent in Computer Science or related field or a combination of technical skills, cloud, operating system, networking, security, data application, data modeling and BI background
**Compensation:**
* $175,000 \- $215,000 base salary per year in the state of WA. New hires should expect to start at the lower end of the range depending on experience.
* Eligible for a discretionary bonus based on firm and individual performance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33">
      <c r="A33" t="inlineStr">
        <is>
          <t>li-4367314075</t>
        </is>
      </c>
      <c r="B33" t="inlineStr">
        <is>
          <t>Senior Data Engineer (Enterprise Data)</t>
        </is>
      </c>
      <c r="C33" t="inlineStr">
        <is>
          <t>Capital One</t>
        </is>
      </c>
      <c r="D33" t="inlineStr">
        <is>
          <t>linkedin</t>
        </is>
      </c>
      <c r="E33" t="inlineStr"/>
      <c r="F33" t="inlineStr"/>
      <c r="G33" t="inlineStr">
        <is>
          <t>McLean, VA</t>
        </is>
      </c>
      <c r="H33" t="inlineStr"/>
      <c r="I3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3\+ years of experience in AbInitio development and administration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4">
      <c r="A34" t="inlineStr">
        <is>
          <t>li-4367378344</t>
        </is>
      </c>
      <c r="B34" t="inlineStr">
        <is>
          <t>Lead Data Engineer - Finance &amp; Accounting Focus</t>
        </is>
      </c>
      <c r="C34" t="inlineStr">
        <is>
          <t>Zelis</t>
        </is>
      </c>
      <c r="D34" t="inlineStr">
        <is>
          <t>linkedin</t>
        </is>
      </c>
      <c r="E34" t="inlineStr"/>
      <c r="F34" t="inlineStr"/>
      <c r="G34" t="inlineStr">
        <is>
          <t>Boston, MA</t>
        </is>
      </c>
      <c r="H34" t="inlineStr"/>
      <c r="I34" t="inlineStr">
        <is>
          <t>At Zelis, we Get Stuff Done. So, let’s get to it!
**A Little About Us**
 Zelis is modernizing the healthcare financial experience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 driving real, measurable results for clients.
**A Little About You**
 You bring a unique blend of personality and professional expertise to your work, inspiring others with your passion and dedication. Your career is a testament to your diverse experiences, community involvement, and the valuable lessons you've learned along the way. You are more than just your resume; you are a reflection of your achievements, the knowledge you've gained, and the personal interests that shape who you are.
**Position Overview**
 The Lead Data Engineer – Finance \&amp; Accounting focus owns the design, development, and delivery of scalable, cloud\-native data services supporting finance treasury and accounting functions, including financial reporting, reconciliation, billing, and operational accounting use cases. This role combines hands\-on data engineering, technical leadership, and end\-to\-end project ownership, with accountability from solution design through production delivery.
 The ideal candidate brings strong finance and accounting domain experience, deep expertise in AWS and Snowflake, and a proven ability to architect data platforms that ensure accuracy, traceability, and audit readiness while leading complex initiatives and mentoring engineers.
**What You’ll Do**
* Own end\-to\-end delivery of finance and accounting data service solutions, from requirements and architecture through implementation, testing, deployment, and support
* Design and implement Snowflake\-based financial data architectures, including accounting\-ready data models and DBT transformation pipelines
* Build and maintain high\-reliability data pipelines supporting financial reporting, reconciliations, close processes, and downstream analytics
* Lead cloud data engineering initiatives across the data platform supporting general ledger, revenue, payments, claims, billing, and operational finance workflows
* Serve as technical lead on finance\-focused projects, setting engineering standards, making architectural decisions, and ensuring delivery quality and timelines
* Partner closely with Finance, Accounting, FP\&amp;A, and Analytics teams to translate business and accounting requirements into scalable data products
* Ensure financial data integrity, auditability, and traceability, including controls, lineage, and reconciliation logic
* Mentor and guide data engineers through code reviews, design reviews, and hands\-on technical leadership
* Establish and enforce data quality, observability, and governance practices aligned to financial and regulatory expectations
* Support migration of financial data platforms from on\-premises systems to cloud\-based solutions
* Drive Agile delivery practices, participating in sprint planning, standups, retrospectives, and release management
* Uphold data privacy, security, and compliance standards relevant to financial and healthcare data
**What You’ll Bring To Zelis**
* 7\+ years of experience in data engineering, with 2\+ years in a technical lead or ownership role
* Demonstrated experience developing data solutions for finance and accounting domains, such as general ledger, revenue, payments, claims, billing, or financial reporting
* Proven experience designing and delivering Snowflake cloud data warehouse solutions
* Strong cloud engineering experience supporting financial data platforms, including data lakes, pipelines, and cloud\-native services
* Advanced SQL expertise, including complex joins, performance tuning, and reconciliation logic
* Experience building and managing enterprise financial data warehouses and data lakes
* Hands\-on experience migrating financial data systems from on\-premises SQL platforms to cloud environments
* Strong understanding of financial data modeling, ETL/ELT patterns, and analytics architecture
* Demonstrated leadership, mentorship, and cross\-functional collaboration skills
* Excellent communication skills with both technical teams and finance/accounting stakeholders
* Experience working in Agile/Scrum environments and facilitating ceremonies
**Preferred Skills**
* 5\+ years working with modern ETL/ELT tools (DBT strongly preferred)
* Experience with columnar MPP cloud data warehouses (Snowflake)
* Proficiency in the creation, performance tuning and reverse engineering of complex SQL queries and stored procedures
* Python proficiency for data engineering, automation, and financial data processing a plus
* Experience supporting financial close, reconciliations, audit reporting, and executive financial reporting
* Familiarity with real\-time or near\-real\-time financial data processing
* Working knowledge of Git, CI/CD pipelines, Azure DevOps, Jira, and Confluence
* Experience using AI\-assisted development tools (e.g., Cortex AI, Cursor) to improve development velocity and code quality
* Healthcare finance, payments, or regulated financial systems experience
**Independence/ Accountability**
* Operates with minimal day\-to\-day supervision
* Takes full ownership of finance\-focused data initiatives and outcomes
* Independently prioritizes work across multiple financial and technical initiatives
* Regularly aligns goals, risks, and delivery status with leadership
* Comfortable working under pressure while supporting time\-sensitive financial reporting cycles
**Problem Solving**
* Proactively identifies financial data risks, reconciliation gaps, and data quality issues
* Designs and implements scalable, audit\-ready solutions
* Demonstrates strong organizational and project management skills
* Maintains exceptional attention to detail with awareness of financial and downstream business impact
***Please note at this time we are unable to proceed with candidates who require visa sponsorship now or in the future.***
**Location and Workplace Flexibility**
 We have offices in Atlanta GA, Boston MA, Morristown NJ, Plano TX, St. Louis MO, St. Petersburg FL, and Hyderabad, India. We foster a hybrid and remote friendly culture, and all our employee's work locations are based on the needs of the position and determined by the Leadership team. In\-office work and activities, if applicable, vary based on the work and team objectives in accordance with Company policies.
**Base Salary Range**
 $127,000\.00 \- $160,550\.00
 At Zelis we are committed to providing fair and equitable compensation packages. The base salary range allows us to make an offer that considers multiple individualized factors, including experience, education, qualifications, as well as job\-related and industry\-related knowledge and skills, etc. Base pay is just one part of our Total Rewards package, which may also include discretionary bonus plans, commissions, or other incentives depending on the role.
 Zelis’ full\-time associates are eligible for a highly competitive benefits package as well, which demonstrates our commitment to our employees’ health, well\-being, and financial protection. The US\-based benefits include a 401k plan with employer match, flexible paid time off, holidays, parental leaves, life and disability insurance, and health benefits including medical, dental, vision, and prescription drug coverage.
**Equal Employment Opportunity**
 Zelis is proud to be an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welcome applicants from all backgrounds and encourage you to apply even if you don’t meet 100% of the qualifications for the role. We believe in the value of diverse perspectives and experiences and are committed to building an inclusive workplace for all.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duties, and skills from time to time.*</t>
        </is>
      </c>
    </row>
    <row r="35">
      <c r="A35" t="inlineStr">
        <is>
          <t>li-4367196531</t>
        </is>
      </c>
      <c r="B35" t="inlineStr">
        <is>
          <t>Senior Data Engineer (Enterprise Data)</t>
        </is>
      </c>
      <c r="C35" t="inlineStr">
        <is>
          <t>Capital One</t>
        </is>
      </c>
      <c r="D35" t="inlineStr">
        <is>
          <t>linkedin</t>
        </is>
      </c>
      <c r="E35" t="inlineStr"/>
      <c r="F35" t="inlineStr"/>
      <c r="G35" t="inlineStr">
        <is>
          <t>Richmond, VA</t>
        </is>
      </c>
      <c r="H35" t="inlineStr"/>
      <c r="I3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3\+ years of experience in AbInitio development and administration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6">
      <c r="A36" t="inlineStr">
        <is>
          <t>li-4374361448</t>
        </is>
      </c>
      <c r="B36" t="inlineStr">
        <is>
          <t>Sr. Data Engineer - Snowflake</t>
        </is>
      </c>
      <c r="C36" t="inlineStr">
        <is>
          <t>Jobs via Dice</t>
        </is>
      </c>
      <c r="D36" t="inlineStr">
        <is>
          <t>linkedin</t>
        </is>
      </c>
      <c r="E36" t="inlineStr"/>
      <c r="F36" t="inlineStr"/>
      <c r="G36" t="inlineStr">
        <is>
          <t>Waltham, MA</t>
        </is>
      </c>
      <c r="H36" t="inlineStr"/>
      <c r="I36" t="inlineStr">
        <is>
          <t>**JOB TITLE: Sr Data Engineer**
**JOB LOCATION: Waltham, MA**
**WAGE RANGE\*: 70\.00\-74\.00
 JOB NUMBER: NGGJP00017052
 REQUIRED EXPERIENCE:
 Snowflake is key**
 3\+ years' experience in database development (Snowflake, SQLServer, Oracle, etc)
 Experience in data mapping, modeling and working with teams to define data models
 Experience in a dynamic work environment
 Proven ability to work well in a team environment, and be capable of building and maintaining positive relationships with other staff, departments, and customers
 Strong communicator
**Job Description**
 The Senior Data Engineer will work on a major IT initiative to enable Client Business Partners by improving how our employees serve our customers today and by creating the platform for tomorrow's growth.
**Key Accountabilities**
 Perform and collaborate on system designs, data solution development including data migration and extracts from multiple legacy systems
 Updates to data mappings and data catalogs
 Participate in, and/or lead, design and pre\-deployment reviews.
 Data profiling
 Design and development of data synchronization processes
 Participate in the design/development of SaaS solutions, including data modeling
 Assist in determining the cross\-application data standards, data distribution standards and promote data\-driven design
 Create database deliverables ensuring quality and traceability to requirements and adherence to all quality management plans and governance standards
 Work with the team to ensure that all components work together to meet objectives and performance goals as defined in the requirements. Identify and communicate any cross\-area or cross\-release issues that may affect other areas of the project
 Participate in go\-live preparation activities such as QA, dress rehearsals, issue remediation, cutover and go\-live aftercare
 Participate in data management maturity assessments to identify gaps and pain points for capabilities including data quality, governance, analytics, metadata management, master data management
 Seek opportunities for continuous improvement in processes, procedures and systems with regards to data
**Supervisory/Interpersonal\- Experience Required**
 Good team leadership and influencing skills for colleagues, partners / vendors; project sponsors
 Experience with cloud database architecture is a plus
 Experience with Matillion is a plus
 Experience with real\-time data loads is a plus
 Experience with Agile/Lean software development process and practices is a plus
 Experience in with SaaS solutions such as Salesforce, ESRI and Workforce is a plus
 Other requirements:
 Ability to work with cross\-functional teams, subject matter experts, and architects
**Equal opportunity employer as to all protected groups, including protected veterans and individuals with disabilities**
* While an hourly range is posted for this position, an eventual hourly rate is determined by a comprehensive salary analysis which considers multiple factors including but not limited to: job\-related knowledge, skills and qualifications, education and experience as compared to others in the organization doing substantially similar work, if applicable, and market and business considerations. Benefits offered include medical, dental and vision benefits; dependent care flexible spending account; 401(k) plan; voluntary life/short term disability/whole life/term life/accident and critical illness coverage; employee assistance program; sick leave in accordance with regulation. Benefits may be subject to generally applicable eligibility, waiting period, contribution, and other requirements and conditions. Benefits offered are in accordance with applicable federal, state, and local laws and subject to change at TCM's discretion
 \#Dice \#IND1</t>
        </is>
      </c>
    </row>
    <row r="37">
      <c r="A37" t="inlineStr">
        <is>
          <t>li-4367384413</t>
        </is>
      </c>
      <c r="B37" t="inlineStr">
        <is>
          <t>Aviation Data Engineer, Lead</t>
        </is>
      </c>
      <c r="C37" t="inlineStr">
        <is>
          <t>Booz Allen Hamilton</t>
        </is>
      </c>
      <c r="D37" t="inlineStr">
        <is>
          <t>linkedin</t>
        </is>
      </c>
      <c r="E37" t="inlineStr"/>
      <c r="F37" t="inlineStr"/>
      <c r="G37" t="inlineStr">
        <is>
          <t>Washington, DC</t>
        </is>
      </c>
      <c r="H37" t="inlineStr"/>
      <c r="I37" t="inlineStr">
        <is>
          <t>**Job Number: R0233129**
 Aviation Data Engineer, Lead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professional like you to help our clients find answers in their data to impact important missions—from fraud detection to cancer research to national intelligence.
 As an Aviation Data Engineer at Booz Allen, you’ll use your expertise to help build advanced technology solutions and lead data engineering activities on some of the most mission\-driven projects in the industry. You’ll guide data engineering activities by overseeing the development and deployment of pipelines and platforms that organize and make disparate data meaningful.
 Here, you’ll mentor a multi\-disciplinary team of analysts, data engineers, developers, and data consumers in a fast\-paced, agile environment. You’ll use your expertise in analytical exploration and data examination while you oversee the assessment, design, building, and maintenance of scalable platforms for your clients.
 Work with us to use data for good.
 Join us. The world can’t wait.
**You Have:**
* 7\+ years of experience in application development using Databricks, PySpark, and AWS
* 7\+ years of experience designing, developing, operationalizing, and maintaining complex data applications at enterprise scale
* 5\+ years of experience creating software for retrieving, parsing, and processing structured and unstructured data
* 5\+ years of experience developing scalable ETL or ELT workflows for reporting and analytics
* Experience developing scripts and programs for converting various types of data into usable formats and supporting the project team to scale, monitor, and operate data platforms
* Experience with aviation, geospatial, and weather datasets
* Experience supervising others and leading projects and deliverables within a collaborative, cross\-functional team environment
* Ability to obtain and maintain a Public Trust or Suitability/Fitness determination based on client requirements
* Bachelor’s degree
**Nice If You Have:**
* 5\+ years of experience with a public cloud, including AWS, Microsoft Azure, or Google Cloud
* 5\+ years of experience with distributed data and computing tools, including Spark, Databricks, Hadoop, Hive, AWS EMR, or Kafka
* 5\+ years of experience working on real\-time data and streaming applications
* 5\+ years of experience with NoSQL implementation, including MongoDB or Cassandra
* 5\+ years of experience with data warehousing, including AWS Redshift, MySQL, or Snowflake
* 5\+ years of experience with UNIX/Linux, including basic commands and Shell scripting
* 5\+ years of experience with Agile engineering practices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8">
      <c r="A38" t="inlineStr">
        <is>
          <t>li-4367384528</t>
        </is>
      </c>
      <c r="B38" t="inlineStr">
        <is>
          <t>ServiceNow Platform Analytics Engineer</t>
        </is>
      </c>
      <c r="C38" t="inlineStr">
        <is>
          <t>SAIC</t>
        </is>
      </c>
      <c r="D38" t="inlineStr">
        <is>
          <t>linkedin</t>
        </is>
      </c>
      <c r="E38" t="inlineStr"/>
      <c r="F38" t="inlineStr"/>
      <c r="G38" t="inlineStr">
        <is>
          <t>Washington, DC</t>
        </is>
      </c>
      <c r="H38" t="inlineStr"/>
      <c r="I38" t="inlineStr">
        <is>
          <t>Job ID 2600824
**Location** 
 WASHINGTON, DC, US
**Date Posted** 
 2026\-01\-29
**Category** 
 Software
**Subcategory** 
 SW Engineer
**Schedule** 
 Full\-time
**Shift** 
 Day Job
**Travel** 
 No
**Minimum Clearance Required Secret**
**Clearance Level Must Be Able to Obtain** 
 None
**Potential for Remote Work** 
 Yes
**Description**
 We are seeking a skilled ServiceNow Platform Analytics Engineer to develop Department of State Assessment Tool (DOSAT) dashboards. The engineer will be supporting the Vendor Performance Management (VPM) initiatives within the Department of State’s Bureau of Diplomatic Technology (DT).
 This role is hybrid and reports onsite in Washington, DC on Tuesday and Thursday.
**Responsibilities**
* Data Visualization \&amp; Reporting Create and maintain interactive dashboards, reports, and scorecards using ServiceNow Platform Analytics.
* Performance Analysis Develop and monitor key performance indicators (KPIs) to measure feature usage, platform engagement, and system performance.
* Platform Optimization Analyze data to identify trends, insights, and opportunities for enhancing platform functionality and user experience.
* Data Governance \&amp; Modeling Ensure data accuracy, consistency, and integrity, including managing data models, ETL processes, and user access permissions.
* Technical Implementation Leverage knowledge of ServiceNow table structures, data relationships, and domain separation to ensure accurate data modeling.
* Cross\-functional Collaboration Work with Product Managers, Data Engineering, and leadership to define metrics, analyze user behavior, and support strategic decision\-making.
**Qualifications**
**Required Education \&amp; Experience**
* BS in Computer Science, Engineering, Information Systems, or related field and 14 years or more experience; MS and 12 years or more experience; may accept additional experience in lieu of degree.
* 5 or more years in data analytics, business intelligence, or product analytics.
* Technical Skills Proficiency in SQL and data visualization tools ServiceNow Platform Analytics – knowledge of Tableau is nice to have.
* Platform Knowledge Familiarity with specific platforms ServiceNow Performance Analytics and/or ServiceNow Platform Analytics.
* Analytical Skills Strong ability to conduct A/B testing, predictive modeling, and root cause analysis.
* Experience with common tools \&amp; technologies such as
+ Data Visualization ServiceNow Platform and Performance Analytics.
+ Database/Languages SQL, JavaScript, Glide API.
**Required Clearance**
* US Citizenship.
* Active Secret Security Clearance.
 Target salary range $200,001 \- $240,000\. The estimate displayed represents the typical salary range for this position based on experience and other factors.</t>
        </is>
      </c>
    </row>
    <row r="39">
      <c r="A39" t="inlineStr">
        <is>
          <t>li-4347593095</t>
        </is>
      </c>
      <c r="B39" t="inlineStr">
        <is>
          <t>Software Engineer (L5) – Commerce Data Engineering, Foundations Team</t>
        </is>
      </c>
      <c r="C39" t="inlineStr">
        <is>
          <t>Netflix</t>
        </is>
      </c>
      <c r="D39" t="inlineStr">
        <is>
          <t>linkedin</t>
        </is>
      </c>
      <c r="E39" t="inlineStr"/>
      <c r="F39" t="inlineStr"/>
      <c r="G39" t="inlineStr"/>
      <c r="H39" t="inlineStr"/>
      <c r="I39"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**About The Commerce Data Engineering**
 The Commerce Data Engineering ensures the availability, reliability, and quality of the critical data that powers our product experiences, drives customer acquisition, and optimizes our signup journeys. The Foundations Team within the Commerce Data Engineering is dedicated to building frameworks, services, and tools that elevate the efficiency, reliability, and observability of data processing across the entire Commerce Data Engineering ecosystem.
**The Opportunity**
 As a Solution/Software Engineer in the Foundations Team, you will design and build scalable, forward\-looking systems that improve data processing efficiency, data health, and developer productivity. You will collaborate closely with other data engineers and platform teams to create solutions that are widely adopted across the Commerce Data Engineering team and the broader Netflix data platform.
 Your work will directly impact the quality and discoverability of our data, helping us deliver seamless, “in\-the\-moment” experiences to current and future Netflix members.
**What You’ll Do**
* Architect, build, and maintain distributed services and frameworks (gRPC/REST) that enhance the efficiency, reliability, and observability of data pipelines.
* Develop tools and automation that improve data health, processing efficiency, and the productivity of data engineers.
* Champion best practices in data quality, system health, and observability, ensuring our solutions are robust, reliable, and scalable.
* Partner with cross\-functional teams, including product management, data science, and engineering, to deeply understand business needs and deliver impactful solutions.
* Drive innovation by exploring and implementing new technologies and methodologies that keep Netflix at the forefront of data engineering.
* Own the systems you build, from design to deployment and ongoing operations, ensuring high availability and operational excellence.
**About You**
* You are proficient in at least one major language on the JVM stack (Java or Scala), and you write clean, maintainable, and elegant code.
* You have hands\-on experience building distributed services (gRPC/REST) and are well\-versed in building APIs, frameworks, and transport protocols.
* You have experience with batch and real\-time data processing technologies (e.g., Spark, Flink, Kafka, Iceberg).
* You have expertise in building data platforms and data frameworks
* You are passionate about data quality, system health, and observability, and you design systems with comprehensive monitoring, logging, and alerting.
* You have a product mindset, are curious about the business, and collaborate effectively with cross\-functional partners.
* You have a strong operational awareness and experience supporting 24x7, high\-scale, multi\-tenant systems.
* You thrive in agile environments, embrace ambiguity, and adapt quickly to change.
* You embody Netflix's culture of innovation, ownership, and candid feedback. You enjoy both independent work and collaborative problem solving.
* You are committed to continuous learning and take pride in delivering solutions that have a lasting impact.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40">
      <c r="A40" t="inlineStr">
        <is>
          <t>li-4339054526</t>
        </is>
      </c>
      <c r="B40" t="inlineStr">
        <is>
          <t>Data Engineer, Go-To-Market</t>
        </is>
      </c>
      <c r="C40" t="inlineStr">
        <is>
          <t>Notion</t>
        </is>
      </c>
      <c r="D40" t="inlineStr">
        <is>
          <t>linkedin</t>
        </is>
      </c>
      <c r="E40" t="inlineStr"/>
      <c r="F40" t="inlineStr"/>
      <c r="G40" t="inlineStr">
        <is>
          <t>San Francisco, CA</t>
        </is>
      </c>
      <c r="H40" t="inlineStr"/>
      <c r="I40"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As Notion continues to grow rapidly, we're seeking talented data engineers to join our team and help us build the foundational datasets and pipelines to support our go\-to\-market strategies. You'll be at the forefront of integrating our product and business systems to create rock solid processes that will propel us forward. If you're passionate about analytics use cases, data models, and solving complex data problems, then we want you on our team.
**What You'll Achieve**
* You'll build core datasets to serve as the sources of truth for Notion’s marketing and sales reporting, integrating data to and from business systems data and Notion’s product.
* You’ll partner closely with our Marketing, Sales, Revenue Operations, Business Technology, Business Intelligence and Data Science teams to support critical reporting and analysis needs.
* You'll design, build and monitor pipelines that meet today's requirements but can gracefully scale with our growing data size.
* You’ll help democratize access to high quality data across go\-to\-market teams, Staff, and the entire company.
**Skills You'll Need To Bring**
* You've spent 3\+ years as a data engineer building core datasets and supporting business verticals as needed, ideally in product and business areas with high data volumes. You are passionate about analytics use cases, data models and solving complex data problems.
* You have experience working with both Marketing and Sales datasets at a SaaS company, and have built integrations with business systems like Salesforce, Netsuite, Marketo, Zendesk, etc.
* You are a self\-starter and continuously gather and synthesize high\-impact needs from business partners, design and implementing the appropriate technical solutions, and effectively communicating about deliverables, timelines and tradeoffs
* You have hands\-on experience shipping scalable data solutions in the cloud (e.g AWS, GCP, Azure), across multiple data stores (e.g Snowflake, Redshift, Hive, SQL/NoSQL, columnar storage formats) and methodologies (e.g dimensional modeling, data marts, star/snowflake schemas)
* You are a SQL expert. You intimately understand aggregation functions, window functions, UDFs, self\-joins, partitioning and clustering approaches to run correct and highly\-performant queries
* You are comfortable with object\-oriented programming paradigms (e.g Python, Java, Scala)
* You don’t need to be an AI expert, but you’re curious and willing to adopt AI tools to work smarter and deliver better results
**Nice To Haves**
* You have hands\-on experience in designing and building highly scalable and reliable data pipelines using BigData stack (e.g Airflow, DBT, Spark, Hive, Parquet/ORC, Protobuf/Thrift, etc)
* You have worked with Go\-To\-Market stakeholders in the past.
* You’ve worked at a fast\-growing company or are eager to contribute in such an environment (being a current Notion user would also be great!)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$150,000 \- $177,000 per year.
 By clicking “Submit Application”, I understand and agree that Notion and its affiliates and subsidiaries will collect and process my information in accordance with Notion’s Global Recruiting Privacy Policy.</t>
        </is>
      </c>
    </row>
    <row r="41">
      <c r="A41" t="inlineStr">
        <is>
          <t>li-4344448909</t>
        </is>
      </c>
      <c r="B41" t="inlineStr">
        <is>
          <t>Data Engineer, Finance</t>
        </is>
      </c>
      <c r="C41" t="inlineStr">
        <is>
          <t>Notion</t>
        </is>
      </c>
      <c r="D41" t="inlineStr">
        <is>
          <t>linkedin</t>
        </is>
      </c>
      <c r="E41" t="inlineStr"/>
      <c r="F41" t="inlineStr"/>
      <c r="G41" t="inlineStr">
        <is>
          <t>San Francisco, CA</t>
        </is>
      </c>
      <c r="H41" t="inlineStr"/>
      <c r="I41"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As Notion continues to grow rapidly, we're seeking talented data engineers to join our team and help us build the foundational datasets and pipelines for robust financial reporting. You'll be at the forefront of integrating our product, financial, and business systems to create rock solid processes that will propel us forward. If you're passionate about analytics use cases, data models, and solving complex data problems, then we want you on our team.
**What You'll Achieve**
* You'll build core datasets to serve as the sources of truth for Notion’s financial reporting, integrating data from financial systems, business systems data and Notion’s product.
* You’ll partner closely with our Finance, Monetization Engineering, Business Intelligence and Data Science teams to support critical financial reporting and analysis needs.
* You'll design, build and monitor pipelines that meet today's requirements but can gracefully scale with our growing data size.
* You’ll help democratize access to high quality financial data across Finance, Staff and go\-to\-market teams.
**Skills You'll Need To Bring**
* You've spent 4\+ years as a data engineer building core datasets and supporting business verticals as needed, ideally in product and business areas with high data volumes. You are passionate about analytics use cases, data models and solving complex data problems.
* You’ve built integrations with and reporting datasets for payments, finance and business systems like Stripe, Netsuite, Adaptive, Anaplan, Salesforce and/or others.
* You are a self\-starter and continuously gather and synthesize high\-impact needs from business partners, design and implementing the appropriate technical solutions, and effectively communicating about deliverables, timelines and tradeoffs
* You have hands\-on experience shipping scalable data solutions in the cloud (e.g AWS, GCP, Azure), across multiple data stores (e.g Snowflake, Redshift, Hive, SQL/NoSQL, columnar storage formats) and methodologies (e.g dimensional modeling, data marts, star/snowflake schemas)
* You are a SQL expert. You intimately understand aggregation functions, window functions, UDFs, self\-joins, partitioning and clustering approaches to run correct and highly\-performant queries
* You are comfortable with object\-oriented programming paradigms (e.g Python, Java, Scala)
* You don’t need to be an AI expert, but you’re curious and willing to adopt AI tools to work smarter and deliver better results
**Nice To Haves**
* You have hands\-on experience in designing and building highly scalable and reliable data pipelines using BigData stack (e.g Airflow, DBT, Spark, Hive, Parquet/ORC, Protobuf/Thrift, etc)
* You have hands\-on experience building payment processing and invoice systems or have worked closely with teams that do this.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$170,000 \- $240,000\.
 By clicking “Submit Application”, I understand and agree that Notion and its affiliates and subsidiaries will collect and process my information in accordance with Notion’s Global Recruiting Privacy Policy.</t>
        </is>
      </c>
    </row>
    <row r="42">
      <c r="A42" t="inlineStr">
        <is>
          <t>li-4375805218</t>
        </is>
      </c>
      <c r="B42" t="inlineStr">
        <is>
          <t>Data Engineer</t>
        </is>
      </c>
      <c r="C42" t="inlineStr">
        <is>
          <t>Connecticut Innovations</t>
        </is>
      </c>
      <c r="D42" t="inlineStr">
        <is>
          <t>linkedin</t>
        </is>
      </c>
      <c r="E42" t="inlineStr"/>
      <c r="F42" t="inlineStr"/>
      <c r="G42" t="inlineStr"/>
      <c r="H42" t="inlineStr"/>
      <c r="I42" t="inlineStr">
        <is>
          <t>Are you ready to join Connecticut Innovation’s vibrant community of innovators? Connecticut Innovations (“CI”) is Connecticut’s strategic venture capital arm, and we are passionate about serving our portfolio of 220\+ companies across various industries, with strengths in life sciences, technology, and climate tech.
 Come join Arccos Golf. Golf’s \#1 Game Tracker.!
**About Arccos** 
 Named one of "The World's Most Innovative Companies" by Fast Company, Arccos is the global leader in golf data and Artificial Intelligence, and IoT sensor technology. Arccos is revolutionizing the golfing experience by delivering actionable insights that help golfers, and businesses in golf, make smarter decisions to optimize performance.
**The Opportunity** 
 Our data volume, structure, and business logic have grown faster than our underlying architecture. Today, working with our data requires deep tribal knowledge, significant time investment, and complex queries across scattered tables and pipelines.
 We are hiring a Staff Data Engineer, Data Architecture — an individual contributor who will take end\-to\-end ownership of designing, documenting, and implementing the next\-generation data architecture for Arccos. This is a rare opportunity to start with near\-greenfield autonomy, rethinking ingestion, modeling, transformations, governance, and access patterns across the entire company.
 This role is for someone who loves building systems right, turning chaos into clarity, and enabling data science, analytics, and product teams to move dramatically faster.
**Architect and Implement a Modern, Unified Data Platform** 
* Redesign Arccos's data architecture from the ground up with a focus on scalability, clarity, and long\-term maintainability.
* Create canonical models, schemas, and semantic layers that eliminate duplicated logic and reduce time\-to\-insight across teams.
* Unify fragmented tables and data sources into coherent, well\-documented, lineage\-aware structures.
* Identify where to shift business logic upstream and create reliable, auditable data transformations.
**Design a Data Ecosystem that Supports AI\-Driven Analytics** 
* Architect data structures, metadata layers, and documentation standards that enable AI tooling, including Snowflake's Conversational Analytics and emerging agentic analysis workflows.
* Build and maintain a comprehensive, AI\-ready data dictionary across MySQL and Snowflake — ensuring every table and field is clearly described, contextualized, and optimized for LLM\-based context retrieval.
* Ensure schemas, lineage, semantic layers, and business logic are organized so AI systems can reliably understand context, meaning, and relationships across datasets.
* Provide data architecture guidance and logging infrastructure to support Arccos's LLM/AI strategy.
* Build with the assumption that a growing percentage of internal analytics, querying, and business insights will be generated or augmented by AI agents.
**Build High\-Quality Data Pipelines** 
* Own ingestion and transformation pipelines spanning: app telemetry, shot and sensor data, subscriptions and commerce, internal business systems, and product analytics.
* Architect highly optimized Snowflake models and performance\-tuned warehouse patterns.
* Improve organization and access patterns across large volumes of raw and enriched S3 data, including flattening and restructuring JSON dumps and semi\-structured data.
* Use (or refine) existing orchestration tooling like Airflow; recommend improvements where appropriate.
**Create Standards, Documentation, and Governance** 
* Define naming conventions, folder structures, transformation standards, and SQL style guidelines.
* Build and maintain comprehensive data documentation, lineage mapping, and data dictionaries.
* Introduce robust data quality checks, automated validation, and monitoring.
**Partner Across the Organization** 
* Work closely with data science, engineering, product, and growth teams to create data structures that support analytics, ML, and product development.
* Contribute to active feature development in parallel with onboarding — ensuring new data structures are designed correctly from the start rather than retrofitted later.
* Dramatically simplify the downstream query experience so teams can be productive without heroic effort.
* Be the company\-wide steward of best practices for ingesting, modeling, and deploying data.
**Success Within 30 Days** 
* Develop a thorough understanding of Arccos's current data landscape — MySQL schemas, Snowflake warehouse, S3 data, pipelines, and key pain points.
* Produce a documented assessment of the ecosystem: gaps, risks, duplication, and technical debt.
* Begin contributing to active feature development and new initiatives (e.g., LLM/AI logging and data architecture needs) in parallel with onboarding.
**Success Within 60 Days** 
* Deliver a proposed Target State Architecture with clear principles and a phased implementation plan.
* Deliver an AI\-ready data dictionary covering key MySQL and Snowflake tables — every table and field documented with clear descriptions optimized for LLM consumption.
**Success Within 90 Days** 
* Stand up initial canonical models for key domains (e.g., users, sessions, commerce, shot\-level data).
* Establish naming conventions, transformation standards, and folder structures.
* Deliver initial documentation and lineage mapping for top critical pipelines.
* Reduce query complexity for high\-impact stakeholders (DS, product, exec analytics).
**Success Within 180 Days** 
* Implement major portions of the redesigned ingest \+ transformation pipeline.
* Migrate priority data sources to new canonical models.
* Introduce automated data quality checks and monitoring across core domains.
* Measurably reduce analysis time and eliminate major areas of schema confusion.
* Deliver a documented, scalable architecture that supports ML, analytics, and product needs.
* Be recognized internally as the owner and subject matter expert for Arccos's data platform.
**Required Qualifications** 
* 6–12\+ years in data engineering or data architecture roles.
* Demonstrated experience architecting both transactional database systems and data warehouses — understanding how data flows from OLTP sources into analytical environments and designing both sides well.
* Deep experience with:
* **AWS** 
 (S3, Lambda, IAM, Airflow)
* **Snowflake** 
 (performance tuning, modeling, optimization)
* **MySQL** 
 (schema design, query optimization, managing production OLTP data as a source for analytics)
* **Python** 
 for ETL/ELT development
* **SQL** 
 expertise at a high craft level.
* Proven success architecting complex, multi\-source data ecosystems.
* Experience working with large semi\-structured datasets (JSON, Parquet, logs).
* Demonstrated ability to bring order to fragmented, legacy, or fast\-evolving environments.
* Understanding of how metadata, documentation, and schema design influence LLM performance and context retrieval.
* Strong communication and documentation skills.
* Thrives as a high\-ownership, self\-directed individual contributor who can assess what needs to be done and drive toward it autonomously.
**Nice to Have Qualifications** 
* Experience with AI\-driven analytics and agentic tools (e.g., Snowflake's Conversational Analytics).
* Ability to architect data systems that support natural\-language interfaces and automated insight generation.
* Experience with analytical modeling layer tools.
* Experience supporting ML training pipelines (S3 → high\-memory/GPU compute).
* Database administration familiarity (replication, uptime management, performance troubleshooting) — this role is not a DBA, but comfort interfacing with outsourced DBA resources is a plus.
* Familiarity with MySQL schema migration strategies.
* Interest in golf or sports data (not required).
**Benefits** 
* Competitive Compensation – We offer a market\-competitive salary structure designed to attract and retain top talent.
* Comprehensive Health Coverage – Access to competitively priced medical, dental and vision insurance through our nationwide Professional Employer Organization (PEO).
* 401(k) with Company Match – Plan for your future with our employer\-sponsored 401(k) program and company matching contributions.
* Flexible Time Off – Enjoy an unlimited PTO policy built on trust, accountability and performance.
* Golf Reimbursements – We support your passion for the game and the opportunity to utilize and test our unique product offerings.
* People and Culture – Join a highly engaged, passionate team that values collaboration, initiative, and a shared love for what we do.
 Arccos is an Equal Opportunity/Affirmative Action Employer. All qualified applicants will receive consideration for employment without regard to race, color, religion, sex, pregnancy, sexual orientation, gender identity, national origin, age, protected veteran status, or disability status.</t>
        </is>
      </c>
    </row>
    <row r="43">
      <c r="A43" t="inlineStr">
        <is>
          <t>li-4317203984</t>
        </is>
      </c>
      <c r="B43" t="inlineStr">
        <is>
          <t>Data Engineer</t>
        </is>
      </c>
      <c r="C43" t="inlineStr">
        <is>
          <t>Carrot</t>
        </is>
      </c>
      <c r="D43" t="inlineStr">
        <is>
          <t>linkedin</t>
        </is>
      </c>
      <c r="E43" t="inlineStr"/>
      <c r="F43" t="inlineStr"/>
      <c r="G43" t="inlineStr"/>
      <c r="H43" t="inlineStr"/>
      <c r="I43"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Role overview
 The Data Engineer helps evolve the reliability and scalability of Carrot’s modern data platform across analytics, reporting, and business intelligence. They build and maintain robust, automated data pipelines and partner with cross\-functional stakeholders to deliver secure, compliant, high\-quality data solutions.
 This role is hands\-on across the data lifecycle—contributing to resilient ETL/ELT pipelines, real\-time and batch integrations, and workflow orchestration—while steadily improving automation, cost efficiency, and documentation quality.
 You will improve the reliability and scalability of Carrot’s data platform, reduce manual operational risk through automation, and enable stakeholders with secure, high\-quality data—while growing your scope toward deeper ownership and technical leadership over time.
 Key responsibilities
 * Data pipeline development and operations: Build, test, deploy, monitor, and iterate on scalable ETL/ELT pipelines using platforms such as dbt and Fivetran; contribute to standard workflows (e.g., member engagement, finance/billing reports) and support ad hoc reporting needs.
* Warehouse and lake stewardship: Contribute to the design and continuous improvement of Snowflake and related cloud data platforms (AWS/GCP), including source integrations, performance tuning, and cost optimizations.
* Workflow orchestration and integrations: Develop auditable orchestration flows with tools like Prefect or Airflow; integrate with services such as S3, SFTP, APIs, and Files.com: Next\-Generation MFT, SFTP \&amp; File Sharing ; implement robust alerting, retries, and monitoring.
* Infrastructure optimization: Identify opportunities to improve pipeline speed, reliability, and cost; help refactor legacy processes, reduce manual steps, and document changes for scale and reuse.
* Partner\- and stakeholder\-facing deliverables: Support automated data integrations and exports (e.g., eligibility feeds, payroll/tax/billing files) with finance, product, legal, and commercial teams; help enforce data specs and secure handling of sensitive information.
* Change management and auditability: Follow best practices for Git/GitHub, code reviews, testing, Jira workflows, audit\-trail documentation, and exception logging; uphold InfoSec and compliance standards across the data lifecycle.
* Analytics enablement: Help design modular, well\-documented data models and marts (dbt/Snowflake) that enable BI and data science use cases (e.g., segmentation, provider matching, engagement analytics).
* Incident participation and support: Participate in on\-call or escalation routines for high\-impact data incidents; assist with root\-cause analysis, remediation, and clear stakeholder communications.
* Process automation: Codify business rules and automate recurring cycles (e.g., monthly finance handoffs, audit logs) to reduce manual intervention and operational risk.
* Data security and governance: Implement privacy\-conscious practices such as masking and de\-identification; contribute to safe, compliant access across the stack and external data exchanges.
 Minimum qualifications
 * Proficiency with Snowflake, dbt, and Python for data modeling, transformations, and pipeline development in production environments.
* Strong SQL skills for complex querying and performance optimization across large datasets.
* Experience building and maintaining automated ETL/ELT pipelines using orchestration tools such as Prefect or Airflow, including alerting, dependency management, and retries.
* Hands\-on exposure to cloud data platforms (e.g., Snowflake, AWS S3/Redshift, Google Cloud) and integrating new data sources at scale.
* Understanding of secure external data flows via SFTP, Files.com: Next\-Generation MFT, SFTP \&amp; File Sharing, and APIs, with attention to reliability and compliance requirements.
* Comfort with Git/GitHub and Jira for version control, code reviews, and operational transparency in a team setting.
* Track record of automating manual workflows and creating reusable components that reduce operational overhead.
* Collaborative, dependable working style with adaptability in dynamic environments and clear communication with technical and non\-technical partners.
 Preferred qualifications
 * Experience in fast\-paced or growth environments delivering data solutions under shifting priorities and timelines.
* Background enabling BI and data science teams via scalable integrations, data marts, and documentation that supports multi\-tenant reporting or advanced analytics.
* Familiarity with batch and event\-driven paradigms, including near\-real\-time pipelines using Snowflake, dbt, and Python.
* Experience automating operational, financial, or compliance\-driven workflows in cloud data environments.
* Exposure to audit, privacy, and compliance frameworks (e.g., SOC, HIPAA, GDPR, ISO, SOX) and role\-based access controls in regulated or healthtech contexts.
**Compensation:** 
 Carrot offers a comprehensive Total Rewards package designed to support our employees in all aspects of their lives both inside and outside of work. This includes health and wellness benefits, retirement savings plans, short\- and long\-term incentives, parental leave, family\-forming assistance, and a competitive compensation package. The starting base salary for this position will range from $104,000\.00 to $130,000\.00\. Actual compensation may differ from the listed base salary based on your specific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44">
      <c r="A44" t="inlineStr">
        <is>
          <t>li-4315399398</t>
        </is>
      </c>
      <c r="B44" t="inlineStr">
        <is>
          <t>Analytics Engineer</t>
        </is>
      </c>
      <c r="C44" t="inlineStr">
        <is>
          <t>Pave</t>
        </is>
      </c>
      <c r="D44" t="inlineStr">
        <is>
          <t>linkedin</t>
        </is>
      </c>
      <c r="E44" t="inlineStr"/>
      <c r="F44" t="inlineStr"/>
      <c r="G44" t="inlineStr">
        <is>
          <t>New York, NY</t>
        </is>
      </c>
      <c r="H44" t="inlineStr"/>
      <c r="I44" t="inlineStr">
        <is>
          <t>**Who We Are**
 At Pave, we're building the industry’s leading compensation platform, combining the world's largest real\-time compensation dataset with deep expertise in AI and machine learning. Our platform is perfecting the art and science of pay to give 8,500\+ companies unparalleled confidence in every compensation decision.
 Top tier companies like OpenAI, McDonald’s, Instacart, Atlassian, Synopsys, Stripe, Databricks, and Waymo use Pave, transforming every pay decision into a competitive advantage. $190\+ billion in total compensation spend is managed in our workflows, and 70% of Forbes AI 50 use Pave to benchmark compensation.
 The future of pay is real\-time \&amp; predictive, and we’re making it happen right now. We’ve raised $160M in funding from leading investors like Andreessen Horowitz, Index Ventures, Y Combinator, Bessemer Venture Partners, and Craft Ventures.
 The Data Team @ Pave
 As part of the Data team at Pave, you will help us redefine how companies understand the labor market and determine compensation. Even the most innovative tech companies in the world often use spreadsheets full of flawed statistics to determine how to pay. At Pave we’ve built a system of real\-time integrations that allow us to bring best practices from machine learning, data science, software tooling, and AI to an industry that is built on data, but doesn’t have the tools it needs to fully leverage it.
**What You'll Do**
* Extend and maintain core data models that power Pave's compensation intelligence products
* Design scalable data pipelines that support production use cases across our product suite, with an emphasis on Market Data
* Own data observability by implementing monitoring, testing, and validation frameworks that maintain trust in our dataset as it scales
* Collaborate cross\-functionally with data scientists, product managers and software engineers to translate product needs into insights that supported our thousands of customers
* Help drive millions of dollars of revenue growth
**What You'll Bring**
* Product Mindset \- You want to be a core contributor in building and maintaining the data infrastructure for a product. You intuitively understand how decisions made within the data pipeline affect the user experience downstream.
* Scalability \- You design and implement systems that are robust and scalable, ensuring they can efficiently handle future growth and evolving use\-cases.
* Bias for Action \- You’re a catalyst and an accelerator. You’re constantly unblocking yourself and others while making strategic trade\-offs.
* Experience \- 4\+ years of experience in a Data/Analytics Engineering role, ideally in a product\-facing capacity. Proficiency with dbt and airflow, and familiarity with cloud data warehouses.
* Exposure to ML workflows \- you've collaborated with data scientists or machine learning engineers to transform features, create training data sets, and deploy and monitor models
* Track record of impact \- you've shipped data products or infrastructure that meaningfully improved business outcomes and end user experiences
**Compensation, It's What We Do.**
 Salary is just one component of Pave's total compensation package for employees. Your total rewards package at Pave will include equity, top\-notch medical, dental, and vision coverage, an unlimited PTO policy, and many other region\-specific benefits. Your level is based on our assessment of your interview performance and experience, which you can always ask the hiring manager about to understand in more detail. This salary range may include multiple levels.
 The targeted cash compensation for this position is (level depends on experience and performance in the interview process):
 P3: $174,250 \- $205,000
 P4: $205,700 \- $242,000
**Life @ Pave**
 Since being founded in 2019, Pave has established a robust global footprint. Headquartered in San Francisco's Financial District, we operate strategic regional hubs across New York City's Flatiron District, Salt Lake City, and the United Kingdom. We cultivate a vibrant, collaborative workplace culture through our hybrid model, bringing teams together in\-person on Mondays, Tuesdays, Thursdays, and Fridays to foster innovation and strengthen professional relationships
**Benefits** 
**@ Pave**
 At Pave, career advancement drives everything—roles expand, responsibilities deepen, and compensation rises alongside your professional growth.
**What We Provide**
* Complete Health Coverage: Comprehensive Medical, Dental and Vision coverage for you and your family, with plenty of options to suit your needs
* Time off \&amp; Flexibility: Flexible PTO and the ability to work from anywhere in the world for a month
* Meals \&amp; Snacks: Lunch \&amp; dinner stipends as well as fully stocked kitchens to fuel you
* Professional Development: Quarterly education stipend to continuously grow
* Family Support: Robust parental leave to bond with your new family
* Commuter Assistance: A commuter stipend to help you collaborate in person
**Vision** 
 \- Our vision is to unlock a labor market built on trust
**Mission** 
 \- Our team's mission is to build confidence in every compensation decision
**Are you ready to help our customers make smarter, more effective compensation decisions?**</t>
        </is>
      </c>
    </row>
    <row r="45">
      <c r="A45" t="inlineStr">
        <is>
          <t>li-4375672708</t>
        </is>
      </c>
      <c r="B45" t="inlineStr">
        <is>
          <t>Data Engineer</t>
        </is>
      </c>
      <c r="C45" t="inlineStr">
        <is>
          <t>Calyptus</t>
        </is>
      </c>
      <c r="D45" t="inlineStr">
        <is>
          <t>linkedin</t>
        </is>
      </c>
      <c r="E45" t="inlineStr"/>
      <c r="F45" t="inlineStr"/>
      <c r="G45" t="inlineStr">
        <is>
          <t>New York, United States</t>
        </is>
      </c>
      <c r="H45" t="inlineStr"/>
      <c r="I45"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Build reliable pipelines to ingest on\-chain data into ClickHouse (or similar OLAP systems)
* Interact with Solana full nodes or RPC infrastructure to extract raw blockchain data
* Design and maintain dashboards to visualize key metrics
* Maintain data accuracy, uptime, and performance of analytics services
* Extract and process validator performance metrics and staking rewards data
**Requirements** 
* Deep familiarity with ClickHouse, Grafana, or equivalent data/visualization stacks
* 3\+ years of experience with Python and shell scripting
* 2\+ years of experience with Rust
* Experience with blockchain indexers or off\-chain data APIs
* Bonus: Understanding of Solana's account model, transaction structure, and program architecture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46">
      <c r="A46" t="inlineStr">
        <is>
          <t>li-4374613049</t>
        </is>
      </c>
      <c r="B46" t="inlineStr">
        <is>
          <t>Data Engineer</t>
        </is>
      </c>
      <c r="C46" t="inlineStr">
        <is>
          <t>AARATECH</t>
        </is>
      </c>
      <c r="D46" t="inlineStr">
        <is>
          <t>linkedin</t>
        </is>
      </c>
      <c r="E46" t="inlineStr"/>
      <c r="F46" t="inlineStr"/>
      <c r="G46" t="inlineStr"/>
      <c r="H46" t="inlineStr"/>
      <c r="I46"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47">
      <c r="A47" t="inlineStr">
        <is>
          <t>li-4374397232</t>
        </is>
      </c>
      <c r="B47" t="inlineStr">
        <is>
          <t>Data Engineer</t>
        </is>
      </c>
      <c r="C47" t="inlineStr">
        <is>
          <t>AARATECH</t>
        </is>
      </c>
      <c r="D47" t="inlineStr">
        <is>
          <t>linkedin</t>
        </is>
      </c>
      <c r="E47" t="inlineStr"/>
      <c r="F47" t="inlineStr"/>
      <c r="G47" t="inlineStr"/>
      <c r="H47" t="inlineStr"/>
      <c r="I47"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48">
      <c r="A48" t="inlineStr">
        <is>
          <t>li-4347563800</t>
        </is>
      </c>
      <c r="B48" t="inlineStr">
        <is>
          <t>Data Engineer</t>
        </is>
      </c>
      <c r="C48" t="inlineStr">
        <is>
          <t>Suno</t>
        </is>
      </c>
      <c r="D48" t="inlineStr">
        <is>
          <t>linkedin</t>
        </is>
      </c>
      <c r="E48" t="inlineStr"/>
      <c r="F48" t="inlineStr"/>
      <c r="G48" t="inlineStr">
        <is>
          <t>New York, NY</t>
        </is>
      </c>
      <c r="H48" t="inlineStr"/>
      <c r="I48" t="inlineStr">
        <is>
          <t>**About Suno**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We’re seeking talented data engineers to join our founding team, working closely with key stakeholders and taking ownership of building and shaping Suno’s core data foundation.
 Check out our Suno version of the job here!
**What You’ll Do**
* Serve as a critical contributor to the Suno products team, providing insights and solutions that influence high\-level decisions and shape the product roadmap.
* Design, develop, and maintain complex data products, systems, platforms, and pipelines to build scalable, secure, and high\-quality big data solutions that seamlessly integrate diverse data sources, process high\-volume real\-time and batch data, and ensure data integrity, quality, and compliance.
* Collaborate with scientists, ML engineers, software developers, business leaders, and product teams to define data requirements, architect solutions, and implement data\-driven opportunities that enhance customer experiences.
* Leverage advanced analytics and data engineering practices to uncover actionable customer insights that drive the development of innovative and enhanced customer experiences for Suno.
* Implement and monitor data systems to ensure high availability, reliability, and scalability while advocating for and applying best practices in big data engineering and analytics.
**What You’ll Need**
* 5\+ years of experience in data engineering, with a strong grasp of Big Data engineering concepts, data architecture design, and performance optimization.
* Experience with data modeling, warehousing and building ETL pipelines.
* Experience with SQL and Python.
* Experience in scaling data pipelines from the ground up (0 to 1\)
* Familiarity with Airflow, DBT, and Snowflake is a strong advantage.
* Passionate about engineering excellence, rapid iteration, learning, and hard work.
* Technical leadership or management experience is a plus.
* A love of music (listening, exploring, making) is a huge plus.
* Bachelor's degree or equivalent required.
**Additional Notes:** 
 Applicants must be eligible to work in the US.
**Perks \&amp; Benefits For Full\-Time Employees**
* Company Equity Package
* 401(k) with 3% Employer Match \&amp; Roth 401(k)
* Medical, Dental, \&amp; Vision Insurance (PPO w/ HSA \&amp; FSA options)
* 11 Paid Holidays \+ Unlimited PTO \&amp; Sick Time
* 16 Weeks of Paid Parental Leave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49">
      <c r="A49" t="inlineStr">
        <is>
          <t>li-4374397203</t>
        </is>
      </c>
      <c r="B49" t="inlineStr">
        <is>
          <t>Data Engineer</t>
        </is>
      </c>
      <c r="C49" t="inlineStr">
        <is>
          <t>AARATECH</t>
        </is>
      </c>
      <c r="D49" t="inlineStr">
        <is>
          <t>linkedin</t>
        </is>
      </c>
      <c r="E49" t="inlineStr"/>
      <c r="F49" t="inlineStr"/>
      <c r="G49" t="inlineStr"/>
      <c r="H49" t="inlineStr"/>
      <c r="I49"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50">
      <c r="A50" t="inlineStr">
        <is>
          <t>li-4373470130</t>
        </is>
      </c>
      <c r="B50" t="inlineStr">
        <is>
          <t>Senior Data Engineer - AI - ETL - Multi Strategy Hedge Fund - NY - Up to $500k TC</t>
        </is>
      </c>
      <c r="C50" t="inlineStr">
        <is>
          <t>Mondrian Alpha</t>
        </is>
      </c>
      <c r="D50" t="inlineStr">
        <is>
          <t>linkedin</t>
        </is>
      </c>
      <c r="E50" t="inlineStr"/>
      <c r="F50" t="inlineStr"/>
      <c r="G50" t="inlineStr"/>
      <c r="H50" t="inlineStr"/>
      <c r="I50" t="inlineStr">
        <is>
          <t>**Senior Data Engineer \- AI \- ETL \- Multi Strategy Hedge Fund \- NY \- Up to $500k TC** 
*We’re working with a global investment firm managing over $30bn AUM, which has invested heavily in modernising its data stack and is continuing to grow. This is a chance to be a core Data Engineer in a small, high‑impact team, owning the pipelines and ETL workflows that power trading, research, risk and portfolio decisions end to end.* 
**The Opportunity** 
 You’ll be engineering the backbone of the firm’s data ecosystem: designing and scaling robust, production‑grade data pipelines that feed systematic strategies, risk engines and analytics. You’ll work closely with quants, traders, risk and technology leadership to turn messy, heterogeneous data into clean, trusted, well‑documented “golden sources” that the business can rely on. The firm has recently brought in senior talent from leading systematic platforms such as DRW and Millennium to help drive this build‑out and long‑term data strategy.
**What you’ll work on** 
* Design, build and optimise ETL/ELT pipelines across trading, alpha research, risk management, accounting and more.
* Create and own golden source datasets (security master, account master, price master) that everything else downstream relies on.
* Develop shared Python libraries for data APIs, logging and core data services, improving developer productivity across the firm.
* Ensure high data quality, observability and governance using modern tooling and best practices.
* Optimise large‑scale data processing workflows for performance, reliability and cost efficiency.
* Partner with technical and non‑technical stakeholders to understand requirements and ship pragmatic, well‑communicated solutions.
* Troubleshoot and support data pipelines, APIs and database performance issues in production.
**What we’re looking for** 
* 6\+ years of software development experience, including 2\+ years focused on data engineering.
* Strong Python and SQL, with extensive hands‑on ETL/ELT pipeline design and automation experience.
* Solid foundations in data structures, data modelling, query design and performance tuning in SQL databases (e.g. Postgres, MS SQL Server).
* Experience with containerisation and deployment (Docker, Kubernetes).
* Familiarity with modern data transformation and governance/observability tools.
* Excellent communication skills and the ability to collaborate across quant, trading, risk and engineering teams.
**Nice to have** 
* Experience with modern cloud data platforms (e.g. Snowflake, Databricks or similar).
* Financial markets literacy across asset classes (equities, fixed income, futures, options).
* Experience with data observability tools (e.g. OpenMetadata, Great Expectations).
* Dashboarding/BI experience and/or Python web APIs (e.g. FastAPI).
* Exposure to distributed processing frameworks such as Dask or Spark.
**Location \&amp; Working model** 
 This role is based in New York, operating on a hybrid model of four days per week in the office with one day remote. You’ll join a lean, senior team with an owner’s mindset, where smart risk‑taking, collaboration, humility and integrity are genuinely part of how decisions get made.
 If you’re a Data Engineer who enjoys owning mission‑critical pipelines, working close to the investment decision‑making process and shaping a modern data platform rather than just inheriting one, we’d like to hear from you. Apply here or reach out directly for a confidential conversation.</t>
        </is>
      </c>
    </row>
    <row r="51">
      <c r="A51" t="inlineStr">
        <is>
          <t>li-4375696590</t>
        </is>
      </c>
      <c r="B51" t="inlineStr">
        <is>
          <t>Data Engineer</t>
        </is>
      </c>
      <c r="C51" t="inlineStr">
        <is>
          <t>NeerInfo Solutions</t>
        </is>
      </c>
      <c r="D51" t="inlineStr">
        <is>
          <t>linkedin</t>
        </is>
      </c>
      <c r="E51" t="inlineStr"/>
      <c r="F51" t="inlineStr"/>
      <c r="G51" t="inlineStr">
        <is>
          <t>Richardson, TX</t>
        </is>
      </c>
      <c r="H51" t="inlineStr"/>
      <c r="I51" t="inlineStr">
        <is>
          <t>**Job Title: GCP data engineer** 
**Location: Richardson, TX / Jersey City, NJ (Onsite)** 
**Job type: full\-time** 
**Job Description** 
**We are seeking GCP data engineer** 
 . In this role, you will enable digital transformation for our clients in a global delivery model, research on technologies independently, recommend appropriate solutions and contribute to technology\-specific best practices and standards. You will be responsible to interface with key stakeholders and apply your technical proficiency across different stages of the Software Development Life Cycle. You will be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At least 4 years of Information Technology experience.
* Experience working with technologies like – GCP with data engineering – data flow / air flow, pub sub/ kafta, data proc/Hadoop, Big Query.
* ETL development experience with strong SQL background such as Python/R, Scala, Java, Hive, Spark, Kafka
* Strong knowledge on Python Program development to build reusable frameworks, enhance existing frameworks.
* Application build experience with core GCP Services like Dataproc, GKE, Composer,
**Preferred Qualifications:** 
* Good knowledge on Google Big Query, using advance SQL programing techniques to build Big Query Data sets in Ingestion and Transformation layer.
* Experience in Relational Modeling, Dimensional Modeling and Modeling of Unstructured Data
* Knowledge on Airflow Dag creation, execution, and monitoring.
* experience in Tera data
* Good understanding of Agile software development frameworks
* Ability to work in teams in a diverse, multi\-stakeholder environment comprising of Business and Technology teams.
* Experience and desire to work in a global delivery environment.</t>
        </is>
      </c>
    </row>
    <row r="52">
      <c r="A52" t="inlineStr">
        <is>
          <t>li-4329948151</t>
        </is>
      </c>
      <c r="B52" t="inlineStr">
        <is>
          <t>Data Engineer</t>
        </is>
      </c>
      <c r="C52" t="inlineStr">
        <is>
          <t>Solace</t>
        </is>
      </c>
      <c r="D52" t="inlineStr">
        <is>
          <t>linkedin</t>
        </is>
      </c>
      <c r="E52" t="inlineStr"/>
      <c r="F52" t="inlineStr"/>
      <c r="G52" t="inlineStr"/>
      <c r="H52" t="inlineStr"/>
      <c r="I52" t="inlineStr">
        <is>
          <t>**About Solace**
 Healthcare in the U.S. is fundamentally broken. The system is so complex that 88% of U.S. adults do not have the health literacy necessary to navigate it without help. Solace cuts through the red tape of healthcare by pairing patients with expert advocates and giving them the tools to make better decisions—and get better outcomes.
 We're a Series C startup, founded in 2022 and backed by Inspired Capital, Craft Ventures, Torch Capital, Menlo Ventures, Signalfire, and IVP. Our U.S. based team is lean, mission\-driven, and growing quickly.
 Solace isn't a place to coast. We're here to redefine healthcare—and that demands urgency, precision, and heart. If you're looking to stretch yourself, sharpen your edge, and do the best work of your life alongside a team that cares deeply, you're in the right place. We’re intense, and we like it that way.
***Read more in our Bloomberg funding announcement***
***here***
***.***
**About The Role**
 At Solace, we are building the data foundation that will power patient outcomes. We are a small but growing team where everyone wears many hats and moves fast. We are looking for a Data Engineer who loves solving hard problems with clean, maintainable code and thrives in this high\-growth startup environment.
 In this role, you will architect the infrastructure that allows us to scale. You will be a core builder of our data platform, establishing the frameworks, standards, and best practices that will define our engineering culture for years to come. From raw data ingestion to complex modeling, your work will ensure that our data is not just available, but trusted, reliable, and ready for action.
 What You’ll Do
* Architect Robust Pipelines: Design, build, and optimize scalable data pipelines using Airflow, Python, dbt, and Snowflake. You will replace brittle manual processes with resilient, automated workflows.
* Build Infrastructure as Code: Manage and evolve our cloud infrastructure (AWS/GCP) using Terraform, ensuring our platform is reproducible, secure, and scalable.
* Elevate Code Quality: Write clean, production\-grade code for complex data processing. You will champion engineering best practices, including code reviews, testing, and CI/CD.
* Optimize Data Models: Collaborate with analysts to design performant SQL transformations and data models in Snowflake (experience with dbt is a huge plus).
* Ensure Data Reliability: Implement observability and monitoring to catch issues before they impact stakeholders. You are the first line of defense for data quality.
* Partner Cross\-Functionally: Work closely with Data Analysts and Product Managers to understand their data needs and deliver high\-quality data products that empower decision\-making.
 What You Bring to the Table
* Strong Python Proficiency: You are comfortable writing modular, testable, and efficient Python code for data processing and automation.
* Advanced SQL \&amp; Snowflake: You have deep expertise in SQL and cloud data warehousing (Snowflake preferred), understanding how to optimize queries for performance and cost.
* Orchestration Mastery: Proven experience building and maintaining complex workflows using Airflow (or similar tools).
* Infrastructure Mindset: Familiarity with Terraform and cloud services (AWS or GCP). You understand how to provision and manage the resources your pipelines run on.
* Security \&amp; Stewardship: You understand the gravity of handling sensitive medical data. You are experienced in properly handling PHI and PII, implementing secure access controls (RBAC), and adhering to strict governance standards.
* Startup DNA: You are a self\-starter who is comfortable with ambiguity. You take ownership of problems and are willing to wear many hats to get the job done.
* Communication Skills: You can translate complex technical challenges into clear options for non\-technical stakeholders.
 Bonus Points
* dbt Expertise: Experience using dbt to manage transformations and implement testing/documentation standards.
* Healthcare Background: Experience working with healthcare data standards or strictly regulated environments (HIPAA) a plus.
* Containerization: Experience with Docker and Kubernetes for deploying data applications.
 Our Tech Stack
* Compute \&amp; Storage: Snowflake, Postgres
* Orchestration: Airflow
* Infrastructure: Terraform, AWS/GCP
* Transformation: dbt, SQL, Python
*Applicants must be based in the United States.*
**Up for the Challenge?**
 We look forward to meeting you.
**Fraudulent Recruitment Advisory:** 
 Solace Health will
 **NEVER** 
 request bank details or offer employment without an interview. All legitimate communications come from official solace.health emails only or ashbyhq.com. Report suspicious activity to recruiting@solace.health or advocate@solace.health.</t>
        </is>
      </c>
    </row>
    <row r="53">
      <c r="A53" t="inlineStr">
        <is>
          <t>li-4373436879</t>
        </is>
      </c>
      <c r="B53" t="inlineStr">
        <is>
          <t>Data Engineer</t>
        </is>
      </c>
      <c r="C53" t="inlineStr">
        <is>
          <t>Air Apps</t>
        </is>
      </c>
      <c r="D53" t="inlineStr">
        <is>
          <t>linkedin</t>
        </is>
      </c>
      <c r="E53" t="inlineStr"/>
      <c r="F53" t="inlineStr"/>
      <c r="G53" t="inlineStr">
        <is>
          <t>San Francisco, CA</t>
        </is>
      </c>
      <c r="H53" t="inlineStr"/>
      <c r="I53"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
 **Data Engineer** 
 at Air Apps, you will be responsible for
 **designing, building, and optimizing data pipelines, data warehouses, and data lakes** 
 to ensure efficient data processing and analytics. You will work closely with data analysts, scientists, and software engineers to create scalable and reliable data infrastructure that supports business intelligence and machine learning initiatives.
 This role requires
 **expertise in data architecture, ETL processes, and cloud\-based data solutions** 
 to handle large volumes of structured and unstructured data.
**Responsibilities**
* Design, build, and maintain scalable data pipelines and ETL workflows to support analytics and reporting.
* Develop and optimize data warehouses and data lakes using cloud platforms such as AWS, Google Cloud, or Azure.
* Implement real\-time and batch data processing solutions for various business needs.
* Work with structured and unstructured data, ensuring proper data modeling and storage strategies.
* Ensure data reliability, consistency, and scalability through best practices in architecture and engineering.
* Collaborate with data analysts, scientists, and software engineers to enable efficient data access and analysis.
* Automate data ingestion, transformation, and validation processes to improve data quality.
* Monitor and optimize query performance and data processing efficiency.
* Implement security, compliance, and governance standards for data storage and access control.
* Stay up to date with emerging data engineering trends, tools, and technologies.
**Requirements**
* Around 4\+ years of experience in data engineering, software engineering, or database management.
* Proficiency in SQL, Python, or Scala for data processing and automation.
* Hands\-on experience with cloud\-based data solutions (AWS Redshift, Google BigQuery, Azure Synapse, Snowflake).
* Experience building ETL pipelines with tools such as Apache Airflow, dbt, Talend, or Fivetran.
* Strong understanding of data modeling, schema design, and database optimization.
* Experience with big data frameworks (Apache Spark, Hadoop, Kafka, Flink) is a plus.
* Familiarity with orchestration tools, containerization (Docker, Kubernetes), and CI/CD workflows.
* Knowledge of data security, governance, and compliance (GDPR, CCPA, SOC 2\).
* Strong problem\-solving and debugging skills with the ability to handle large\-scale data challenges.
* Experience working in fast\-paced, data\-driven environments with cross\-functional teams.
**What benefits are we offering?**
* Apple hardware ecosystem for work.
* Annual Bonus.
* Medical Insurance (including vision \&amp; dental).
* Disability insurance \- short and long\-term.
* 401k up to 4% contribution.
* Air Conference – an opportunity to meet the team, collaborate, and grow together.
* Transportation budget
* Free meals at the hub
* Gym membership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t>
        </is>
      </c>
    </row>
    <row r="54">
      <c r="A54" t="inlineStr">
        <is>
          <t>li-4375689600</t>
        </is>
      </c>
      <c r="B54" t="inlineStr">
        <is>
          <t>Data Engineer</t>
        </is>
      </c>
      <c r="C54" t="inlineStr">
        <is>
          <t>Best Job Tool</t>
        </is>
      </c>
      <c r="D54" t="inlineStr">
        <is>
          <t>linkedin</t>
        </is>
      </c>
      <c r="E54" t="inlineStr"/>
      <c r="F54" t="inlineStr"/>
      <c r="G54" t="inlineStr"/>
      <c r="H54" t="inlineStr"/>
      <c r="I54" t="inlineStr">
        <is>
          <t>**About The Company**
 Ernst \&amp; Young Oman, a member of the global EY network, is a leading professional services firm committed to building a better working world. We provide a wide range of services including assurance, advisory, consulting, and tax services to clients across various industries. Our focus is on delivering innovative solutions that help organizations navigate complex challenges and seize new opportunities. At EY Oman, we foster a collaborative, inclusive, and dynamic work environment that encourages continuous learning and development. Our reputation is built on integrity, quality, and a commitment to excellence, making us a trusted partner for our clients and a desirable employer for talented professionals.
**About The Role**
 We are seeking a highly skilled and experienced Manager of Data Engineering to join our Technology \- Data and Decision Science team in Oman. In this pivotal role, you will lead the design, development, and implementation of advanced cloud\-based analytics solutions, with a strong emphasis on Databricks. Your expertise will be instrumental in architecting scalable data solutions that deliver actionable insights and drive strategic decision\-making for our clients. The ideal candidate will possess a deep understanding of data architecture, cloud technologies, and analytics, combined with exceptional leadership and client management skills. This role offers an exciting opportunity to work on large\-scale projects, influence technological innovation, and mentor a team of talented data engineers in a fast\-paced environment.
**Qualifications**
 The successful candidate should have a bachelor's degree in computer science, engineering, or a related field, with a master's degree preferred. A minimum of 4 to 6 years of relevant experience in data engineering, particularly in cloud data solutions and analytics, is required. Proven expertise in Databricks and Spark for big data processing is essential. Candidates should have a strong background in data architecture, data modeling, and building complex cloud analytics solutions. Proficiency in programming languages such as Python, Scala, or SQL is necessary. Experience managing and mentoring teams, along with excellent problem\-solving and communication skills, are critical for success. Familiarity with cloud platforms like AWS, Azure, or GCP, and knowledge of data governance and compliance standards are highly desirable.
**Responsibilities**
 As a Data Engineering Manager, your responsibilities will encompass leading technical initiatives and managing client relationships. You will oversee the end\-to\-end development of scalable data pipelines, ensuring data quality, security, and integrity throughout the data lifecycle. Your key duties include translating business requirements into technical solutions, designing and deploying cloud analytics architectures, and ensuring the delivery of high\-quality workstreams. You will actively engage with clients during project execution, participate in working sessions, and identify opportunities for additional services. Managing resource allocation, budgets, and engagement economics will be part of your role. You will also be responsible for mentoring and developing your team, fostering a culture of innovation and continuous improvement. Keeping abreast of emerging trends and technologies in data engineering and cloud computing is essential to maintain a competitive edge. Additionally, you will communicate complex technical concepts to both technical and non\-technical stakeholders, ensuring clear understanding and alignment.
**Benefits**
 At EY Oman, we are committed to supporting your professional growth and well\-being. We offer a comprehensive compensation package that rewards performance and recognizes the value you bring to the organization. Our salary ranges are competitive and vary based on experience, education, and location, with additional benefits including medical and dental coverage, pension plans, 401(k) options, and generous paid time off. We promote a flexible work environment, encouraging a hybrid model of in\-person and remote work to foster work\-life balance. Our flexible vacation policy allows you to decide how much time off you need, complemented by designated holidays, winter and summer breaks, and personal leave options. We also provide opportunities for ongoing learning, leadership development, and exposure to cutting\-edge projects, ensuring you can achieve your career aspirations while contributing to impactful initiatives.
 Equal Opportunity
 Ernst \&amp; Young Oman is an equal opportunity employer that values diversity and inclusion in the workplace. We are committed to providing a work environment free from discrimination and harassment. All qualified applicants will receive consideration regardless of race, gender, age, religion, national origin, disability, or any other protected characteristic. We believe that diverse teams foster innovation and drive better business outcomes, and we actively seek to create an inclusive culture where everyone can thrive and reach their full potential.</t>
        </is>
      </c>
    </row>
    <row r="55">
      <c r="A55" t="inlineStr">
        <is>
          <t>li-4351649411</t>
        </is>
      </c>
      <c r="B55" t="inlineStr">
        <is>
          <t>Data Engineer, Analytics (Technical Leadership)</t>
        </is>
      </c>
      <c r="C55" t="inlineStr">
        <is>
          <t>Meta</t>
        </is>
      </c>
      <c r="D55" t="inlineStr">
        <is>
          <t>linkedin</t>
        </is>
      </c>
      <c r="E55" t="inlineStr"/>
      <c r="F55" t="inlineStr"/>
      <c r="G55" t="inlineStr">
        <is>
          <t>New York, NY</t>
        </is>
      </c>
      <c r="H55" t="inlineStr"/>
      <c r="I55" t="inlineStr">
        <is>
          <t>Every month, billions of people leverage Meta products to connect with friends and loved ones from across the world. On the Data Engineering Team, our mission is to support these products both internally and externally by delivering the best data foundation that drives impact through informed decision making. As a highly collaborative organization, our data engineers work cross\-functionally with software engineering, data science, and product management to optimize growth, strategy, and experience for our 3 billion plus users, as well as our internal employee community.We are looking for a technical leader in our Data Engineering team to work closely with Product Managers, Data Scientists and Software Engineers to support building out a great platform for the future of computing. In this role, you will view a direct correlation between your work, company growth, and user satisfaction. You’ll work with some of the best minds in the industry, work with one of the richest data sets in the world, use cutting edge technology, and see your efforts affect products and people on a regular basis.The ideal candidate will have demonstrated experience in data infrastructure and data architecture as well as areas such as governing company wide data marts, enabling security and privacy data solutions, and full stack experience with analytical technologies. Candidates should also have a proven track record of leading and scaling efforts related to end\-to\-end analytics systems, operational skills to drive efficiency and speed, project management leadership, and a vision for how data can proactively improve companies.As we continue to expand and create, we have a lot of exciting work ahead of us!
 Data Engineer, Analytics (Technical Leadership) Responsibilities:
* Proactively drive the vision for data foundation and analytics to accelerate building and improvement of cross platform components across Instagram, and define and execute on plan to achieve that vision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Build cross\-functional relationships with Data Scientists, Product Managers and Software Engineers to understand data needs and deliver on those needs
* Define and manage SLA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use cases across different products or domains
* Solve our most challenging data integrations problems, utilizing optimal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10\+ years experience in the data warehouse space
* 10\+ years experience in custom ETL design, implementation and maintenance
* 10\+ years experience with object\-oriented programming languages
* 10\+ years experience with schema design and dimensional data modeling
* 10\+ years experience in authoring SQL statements
* Experience analyzing data to identify deliverables, gaps and inconsistencies
* Experience managing and communicating data warehouse plans to internal clients
 Preferred Qualifications:
* BS/BA in Technical Field, Computer Science or Mathematics
* Experience working with either a MapReduce or an MPP system
* Knowledge and practical application of Python
* Experience working autonomously in global teams
* Experience influencing product decisions with data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$210,000/year to $281,000/year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6">
      <c r="A56" t="inlineStr">
        <is>
          <t>li-4374605190</t>
        </is>
      </c>
      <c r="B56" t="inlineStr">
        <is>
          <t>Data Engineer</t>
        </is>
      </c>
      <c r="C56" t="inlineStr">
        <is>
          <t>AARATECH</t>
        </is>
      </c>
      <c r="D56" t="inlineStr">
        <is>
          <t>linkedin</t>
        </is>
      </c>
      <c r="E56" t="inlineStr"/>
      <c r="F56" t="inlineStr"/>
      <c r="G56" t="inlineStr"/>
      <c r="H56" t="inlineStr"/>
      <c r="I56"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57">
      <c r="A57" t="inlineStr">
        <is>
          <t>li-4283433751</t>
        </is>
      </c>
      <c r="B57" t="inlineStr">
        <is>
          <t>Real-Time Data Engineer II</t>
        </is>
      </c>
      <c r="C57" t="inlineStr">
        <is>
          <t>AppFolio</t>
        </is>
      </c>
      <c r="D57" t="inlineStr">
        <is>
          <t>linkedin</t>
        </is>
      </c>
      <c r="E57" t="inlineStr"/>
      <c r="F57" t="inlineStr"/>
      <c r="G57" t="inlineStr">
        <is>
          <t>Atlanta, GA</t>
        </is>
      </c>
      <c r="H57" t="inlineStr"/>
      <c r="I57" t="inlineStr">
        <is>
          <t>**Description**
 What we’re looking for:
 As a member of the Data Platform Engineering team, the
 **Real\-Time** 
 Data Engineer II will work collaboratively to develop an infrastructure that ingests data from disparate sources, processes them real\-time and routes them to various target storages and applications, while providing access to high quality data to users, ranging from application developers interested in specific events to data analysts keen on business intelligence to data scientists training ML models.
 At AppFolio, we paddle as one. We ride and make waves together, with a relentless focus on building great products for the way our customers work and live today – and tomorrow. AppFolio is a destination organization where careers are made and accelerated. Here, innovation is a team sport.
 Your impact:
* Design, build and operate on next generation data pipeline infrastructure based on Apache Kafka and its ecosystem
* Improve data architecture, quality, discoverability and access policies to enable and enforce data governance
* Collaborate with engineers, data analysts and scientists to ensure that our data infrastructure meets the SLOs of our data\-intensive customers
* Develop techniques for monitoring the completeness, correctness and reliability of our data sets
* Leverage agile practices, encourage collaboration, prioritization, and urgency to develop at a rapid pace
* Research, share, and recommend new technologies and trends
**Qualifications**
* You have hands\-on experience with using Apache Kafka in production and have a passion for building a reliable, scalable and fault\-tolerant infrastructure.
* You have industry experience with working with real time transformation technologies such as Apache Flink
* You have worked with a variety of data sources, including change data capture systems, data streaming and event sourcing in production.
* You have hands\-on experience with data warehouse technology.
* You embrace the platform\-first approach to build standard solutions and self\-serve capabilities for engineering teams
* You want to work with a high degree of autonomy, while at the same time working on initiatives of high importance to the company.
* You care about work\-life balance and want your company to care about it too; you'll put in the extra hour when needed but won't let it become a habit.
 Must have
* 3\+ years of experience with Apache Kafka, Kafka Connect and its ecosystem
* 2\+ years of experience in streaming processing technologies, such as Apache Flink
* 2\+ years of experience with AWS primitives (IAM, VPC, S3, MSK, EKS, etc.)
* 3\+ years of experience working with programming languages like Python or Ruby
* Excellent SQL skills with working knowledge of query optimization
* 2\+ years of experience working with Infrastructure as Code, configuration management, and monitoring tools.
* Bachelors in Computer Science or other quantitative fields.
 Nice to have
* Experience with Debezium connectors
* Experience with large scale Data Lakes and Lake Houses, especially with Apache Iceberg is a plus
* Experience with distributed SQL query engines, such as Trino is a plus
* Experience with containers and container orchestration tools. Docker and Kubernetes experience is desirable.
* Data science skills for analyzing data and communicating with ML engineers are a plus.
**Compensation \&amp; Benefits**
 The base salary/hourly wage that we reasonably expect to pay for this role is: $104,000 to $130,000\.
 The actual base salary/hourly wage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58">
      <c r="A58" t="inlineStr">
        <is>
          <t>li-4373471067</t>
        </is>
      </c>
      <c r="B58" t="inlineStr">
        <is>
          <t>Data Engineer</t>
        </is>
      </c>
      <c r="C58" t="inlineStr">
        <is>
          <t>Cititec</t>
        </is>
      </c>
      <c r="D58" t="inlineStr">
        <is>
          <t>linkedin</t>
        </is>
      </c>
      <c r="E58" t="inlineStr"/>
      <c r="F58" t="inlineStr"/>
      <c r="G58" t="inlineStr">
        <is>
          <t>Houston, TX</t>
        </is>
      </c>
      <c r="H58" t="inlineStr"/>
      <c r="I58" t="inlineStr">
        <is>
          <t>My client is a
 **successful commodities trading firm.** 
 They are hiring for a Data Engineer to work on their data management platform. This is a key area of the business, with
 **lots of greenfield projects and high visibility.** 
 4 Days in the Houston office
 Competitive base salary
**Average bonuses between 40% \- 50% (uncapped)** 
 Experience Required: \-
* Hands\-on experience developing data solutions in Python, Pandas, Numpy, etc.
* Experience with relational databases; Snowflake highly preferred.
* Data Engineering experience specializing in SQL programming, data architecture, and dimension modelling.
* Experience working on AWS platforms
**More information is available upon request**</t>
        </is>
      </c>
    </row>
    <row r="59">
      <c r="A59" t="inlineStr">
        <is>
          <t>li-4344302519</t>
        </is>
      </c>
      <c r="B59" t="inlineStr">
        <is>
          <t>Data Engineer - GTM Team</t>
        </is>
      </c>
      <c r="C59" t="inlineStr">
        <is>
          <t>Rippling</t>
        </is>
      </c>
      <c r="D59" t="inlineStr">
        <is>
          <t>linkedin</t>
        </is>
      </c>
      <c r="E59" t="inlineStr"/>
      <c r="F59" t="inlineStr"/>
      <c r="G59" t="inlineStr">
        <is>
          <t>San Francisco, CA</t>
        </is>
      </c>
      <c r="H59" t="inlineStr"/>
      <c r="I5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Team**
 The
 ****Revenue Operations****
 team is dedicated to aligning a company’s go\-to\-market (GTM) functions across Marketing, Sales, Customer Success, and related operations to power growth and optimize the revenue engine. The core remit of RevOps is to drive predictable and efficient growth by optimizing processes, data, systems, and insights that power the end\-to\-end customer lifecycle.
 The team partners very closely with the Sales, AI/ML, and Data Engineering teams to build solutions that amplify the effectiveness and efficiency of the Rippling Sales org – from
 ****recommendation models****
 and
 ****AI\-driven enrichment pipelines****
 to
 ****proprietary data funnels****
 .
 The broader team works on a modern Growth Services infrastructure built on
 ****FastAPI, Kubernetes, Databricks, Kafka, Snowflake, PostgreSQL, and OpenAI APIs****
 , enabling rapid experimentation and scalable delivery of AI\-powered systems.
**About The Role**
 We are looking to bring on a talented GTM minded
 ****Data Engineer****
 to join the team. The ideal candidate wants to work in an agile environment close to the business and is not tied down to one specific product, but rather is a catalyst of innovation serving various business needs and pains. You will design and implement backend services, AI integrations, and data pipelines that power Rippling’s sales automation stack – including
 ****account/lead enrichment, recommendation engines, AI\-powered workflows in CRM, and multi\-LLM orchestration frameworks****
 .
 You’ll work closely with AI/ML engineers, data scientists, and sales partners to bring production\-grade AI systems to life, while maintaining reliability, performance, and developer velocity.
**What You’ll Do**
* Design and implement scalable backend systems that power AI/ML\-driven recommendation, ranking, and personalization workflows.
* Build and maintain multi\-LLM applications using OpenAI, Claude, and custom Databricks models, integrating them into real\-time workflows.
* Develop and optimize data pipelines for model training, enrichment, and scoring using Databricks, Snowflake, and Kafka.
* Collaborate on AI/ML pipeline development, training and deploying models such as XGBoost, classification systems, and matrix factorization\-based recommenders.
* Design and maintain scalable data pipelines that unify data across CRM, product systems, marketing platforms, billing systems, and internal databases
* Build internal tools and APIs to support feature generation and GTM evaluation frameworks for AI models.
* Partner with Growth Engineering and GTM stakeholders to translate growth initiatives into scalable AI and data systems.
****Tech Stack You’ll Work With****
* Backend \&amp; APIs: Python, FastAPI, SQLAlchemy, Pydantic, PostgreSQL, Redis
* Frontend (if applicable): Next.js 14, React, TypeScript, Tailwind CSS, Radix UI
* Data \&amp; ML Infrastructure: Databricks, Delta Live Tables, Snowflake, Polars, PyArrow, Kafka, Debezium
* AI/ML Systems: OpenAI, Claude, LangChain, XGBoost, matrix factorization, recommendation systems
* Observability: Braintrust, LangSmith, DataDog, custom evaluation metrics
* Infrastructure: Docker, Kubernetes, AWS, automated CI/CD pipelines
**Qualifications**
* 3\+ years of professional software engineering experience (preferably in backend, data, or AI\-focused roles).
* Strong Python development and system design skills.
* Experience building production\-grade services or data\-intensive applications.
* Familiarity with AI/ML systems, including model training, inference APIs, or recommendation engines.
* Experience working with data platforms such as Databricks, Snowflake, or Kafka.
* Experience working with GTM teams (sales/marketing/RevOps/Sales Ops)
* Excellent communication skills and ability to collaborate cross\-functionally in a fast\-paced environment.
**What We Offer**
* Competitive salary, significant equity, and comprehensive benefits
* Opportunity to work on cutting\-edge AI/ML and data infrastructure
* Direct hands\-on exposure to high\-growth GTM businesses
* High ownership and autonomy in a fast\-growing team
* Collaborative environment focused on technical excellence and real business impact
**The pay range for this role is:**
 129,000 \- 225,750 USD per year(US Tier 1\)</t>
        </is>
      </c>
    </row>
    <row r="60">
      <c r="A60" t="inlineStr">
        <is>
          <t>li-4374379929</t>
        </is>
      </c>
      <c r="B60" t="inlineStr">
        <is>
          <t>Senior BI Data Engineer</t>
        </is>
      </c>
      <c r="C60" t="inlineStr">
        <is>
          <t>Qcells EPC</t>
        </is>
      </c>
      <c r="D60" t="inlineStr">
        <is>
          <t>linkedin</t>
        </is>
      </c>
      <c r="E60" t="inlineStr"/>
      <c r="F60" t="inlineStr"/>
      <c r="G60" t="inlineStr">
        <is>
          <t>Houston, TX</t>
        </is>
      </c>
      <c r="H60" t="inlineStr"/>
      <c r="I60" t="inlineStr">
        <is>
          <t>**Description**
 Title: Senior BI Data Engineer
 Department: Process Innovation Office
 Location: Houston, TX
 Supervisor: Senior Manager Business Process
 FLSA Status: Exempt
 Position Status: Permanent, Full Time
 Work Status (Remote/Hybrid/In\-Office):Hybrid
 SENIOR BI DATA ENGINEER
 Hanwha Qcells USA Corp (Qcells USA), headquartered in Irvine, CA, specializes in providing utility\-scale modules, solar photovoltaic (PV), and battery energy storage systems (BESS) project development, along with Engineering, Procurement, and Construction (EPC) services for solar and BESS projects nationwide. Qcells USA delivers comprehensive turnkey solutions encompassing the entire utility\-scale project lifecycle. By choosing Qcells USA for turnkey solutions, customers can reduce uncertainty and risk, leading to enhanced investment returns and contributing to a more sustainable future.
 Qcells USA’s complete turnkey solutions seamlessly integrate the expertise of our Development, Module, and EPC teams, while ensuring close coordination with other vital internal groups such as Project Finance, Systems Integration, and Legal. This collaborative approach ensures that Qcells USA projects deliver exceptional value and performance. With several multi\-billion\-dollar investments, Qcells is pioneering the establishment of the only complete module supply chain in the U.S., including the expansion of our Georgia module manufacturing facility, which stands as the largest in the Western Hemisphere.
 As an integral part of the global Qcells brand, Qcells USA benefits from a legacy of excellence in photovoltaic manufacturing. Qcells is renowned worldwide for its high\-performance, superior\-quality solar cells and modules. With dual headquarters in Seoul, South Korea (Global Executive HQ) and Thalheim, Germany (Technology \&amp; Innovation HQ), Qcells operates under the umbrella of Hanwha Group, a FORTUNE Global 500 company and one of the top 8 business conglomerates in South Korea.
**Summary**
 The Senior BI Data Engineer will provide data and reporting solutions to support construction project execution and commercial management. This position will work with business stakeholders and team members to facilitate data acquisition, processing, and analysis of data to support decision making. This position reports to the Senior Manager Business Process or another management personnel that the team lead may designate. This position is Hybrid based out of the Houston office three days per week. Working hours are Monday through Friday, from 8:00am to 5:00pm or 9:00am to 6:00pm local time. Overtime and weekend working hours will be required as needed. This position is expected to travel up to 10%.
 Applicants mustbe authorized towork for any employer in the United States.We are unable to sponsor or take over sponsorship of an employment visaat this time.
**Essential Job Function \&amp; Responsibilities**
* Build analytic models and Power BI visualizations to support organization leadership.
* Design and implement data integration and architecture to support analytics systems and self\-serve BI/analytics for advanced business users.
* Create andmaintainprocesses to generateaccurateandtimelyreports that help stakeholders understand and act on key data insights.
* Ensure accurate and timely data in analytic solutions.
* Assist in data system troubleshooting failures and inefficiencies, providing critical feedback to users and developers to minimize downtime.
* Author standard operating procedures and guidelines to facilitate end user training.
* Manage the support and ongoing development of existing applications, data integration platforms, and analytic solutions.
* Provide guidance and best practices to citizen analysts.
* Advise on developing and deploying new data technologies and capabilities in support of business strategies and needs.
* Possess expert knowledge of data modeling to ensure consistent and efficient application of technologies.
* Work closely with development teams in an advisory capacity to understand division requirements that add value to system design and implementation.
* Attend work regularly and punctually as scheduled, and comply with the Employee Handbook, Code of Conduct, and Company Policies \&amp; Procedures
* Regular attendance, in accordance with the company’s attendance policy and supervisory assignment, is an essential job duty requirement for this position.
* Perform other duties and special projects as assigned by Management.
**Required Qualificatons**
* Bachelor's degree in business, Engineering, IS/IT or equivalent field
* Five or more years of experience in business intelligence and data management, preferably Power BI, Databricks, and Azure.
* Strong skills in SQL, Python, DAX, or similar technology.
* Experience with data management, analytics, and deployment of system solutions.
* Fundamental understanding and experience with construction management platforms (SalesForce, P6, HCSS, Procore, and other construction project management applications) preferred.
* Ability to take user requirements, translate into technical deliverables, and to create illustrative narratives using data.
* Ability to simplify and summarize complex topics for non\-technical audiences and translate non\-technical stakeholder needs into technical solutions.
* Strong project management/stakeholder management skills, with the ability to manage change and priorities in a dynamic environment.
* Travel is up to 10% as needed.
 EXAMPLES OF PHYSICAL DEMANDS
* Stationary Position: frequently remains stationary up to 90% of the time and sitting up to 8 hours in a day
* Move/Traverse: infrequently bend, stand, stoop and/or walk
* Carry Weight: infrequently carry weight and/or lift objects (light to heavy) weighing up to 10 pounds
* Hearing and Speech: frequently communicates with the ability to hear and talk on a regular basis with employees, coworkers, and all personnel matters; must be able to exchange accurate information in these situations
* Sight: frequent use of sight to detect images on computer, office documents, and office objects near and far
* Climb: occasionally ascends/descends on stairway to get to office upper and lower floors
* Travel: up to 10% as needed
 EXAMPLES OF WORK ENVIRONMENT
* Regular professional, office business setting
* Noise level ranges from low to moderate (if in office setting)
* Noise level ranges from moderate to high (if on construction worksite)
* Under the Office Mobilization Plan (OMP) policy, the role may transition to an onsite or hybrid arrangement, asdeterminedby business needs and the Head of Department
 Hanwha Qcells is proud to be an at\-will Equal Opportunity Employer and prohibits discrimination against race, color, religion, sex, sexual orientation, gender perception or identity, national origin, age, marital status, pregnancy, citizenship, disability, protected veteran status and any other classification protected by applicable federal, state or local law. This policy applies to all terms and conditions of employment, including recruiting, hiring, placement, promotion, termination, layoff, recall, transfer, leaves of absence, compensation and training.
 We are committed to the full inclusion of all qualified individuals. As part of this commitment, Hanwha Qcells will provide reasonable accommodations to all qualified individuals with disabilities to participate in the job application or interview process, to perform essential job functions, and/or to receive other benefits and privileges of employment. Please contact us to request accommodations at hr\-usa@qcells.com.
 Nothing in this statement shall imply implicitly or explicitly a guarantee of employment outside our at\-will employment opportunity.</t>
        </is>
      </c>
    </row>
    <row r="61">
      <c r="A61" t="inlineStr">
        <is>
          <t>li-4367068131</t>
        </is>
      </c>
      <c r="B61" t="inlineStr">
        <is>
          <t>Data Engineer</t>
        </is>
      </c>
      <c r="C61" t="inlineStr">
        <is>
          <t>Safe-Guard Products International</t>
        </is>
      </c>
      <c r="D61" t="inlineStr">
        <is>
          <t>linkedin</t>
        </is>
      </c>
      <c r="E61" t="inlineStr"/>
      <c r="F61" t="inlineStr"/>
      <c r="G61" t="inlineStr">
        <is>
          <t>Atlanta, GA</t>
        </is>
      </c>
      <c r="H61" t="inlineStr"/>
      <c r="I61" t="inlineStr">
        <is>
          <t>**Please do not respond to direct messages with your personal information. All job applications and your sensitive, personal information should only be submitted via our official job platform.**
**Job Title: Data Engineer** 
 (hybrid\- Monday\-Thursday onsite)
**Location:** 
 US\-GA\-Atlanta (Sandy Springs)
**FLSA** 
 : Exempt
 \#Hybrid
**Job Overview** 
 :
 Safe\-Guard’s Risk Department is expanding and adding a new Data Engineer role within the Enterprise Analytics team. Safe\-Guard has claims and contract data on over 40 million vehicles, with thousands of vehicles added every day. We are the leading provider of automotive warranties in North America, providing warranties to a wide variety of clients. Our clients include BMW, Mercedes\-Benz, GM, and many more.
 As a Data Engineer, you will be responsible for building and maintaining an enterprise\-wide analytical data warehouse. This includes but is not limited to: gathering data from different systems using SQL/Python, creating complex data models, developing proprietary reporting metrics, and driving necessary change across IT systems to help support the company’s analytical priorities. This role will be directly responsible for supporting the highest visibility initiatives at the company.
**Job Responsibilities:**
* Serve as the technical expert for creating Safe\-Guard’s analytical data infrastructure.
* Develop extensive ETL processes to take data from across different systems and bring them into centralized data models.
* Develop and implement automated data quality control processes.
 The above statements are intended only to describe the general nature of the job and should not be construed as an all\-inclusive list of position responsibilities.
**Job Requirements:**
* 4\+ years working in data or analytics role.
* Extensive experience in data modeling and data infrastructure.
* B.S. in mathematics, computer science, statistics, engineering, or equivalent.
* M.S. in mathematics, computer science, statistics, engineering, or equivalent (preferred).
* Expert proficiency in SQL, Python, and Git.
* Experience using common data orchestration tools such as dbt and Airflow
* Working knowledge of common database platforms such as Snowflake, Postgres, and AWS.
* Strong written and verbal communication skills.
**Company Benefits:**
* Medical, Dental, and Vision Insurance
* Flexible Spending Account
* Health Savings Account
* 401(k) Plan with Company Match
* Company\-paid Short\-Term and Long\-Term Disability
* Company\-paid Life Insurance
* Paid Holidays and Vacation
* Employee Referral Program
* Employee Assistance Program
* Wellness Programs
* Paid Community Service Opportunities
* Tuition Reimbursement
* Ongoing Training \&amp; Personal Development
* And More!
**About Safe\-Guard Products International:**
 Safe\-Guard serves Original Equipment Manufacturers (OEMs), top retailers, and independent agents in the automotive finance and insurance industry with the leading Protection Products Platform. Our platform delivers innovative protection products and solutions that protect consumers from the perils of ownership, while providing Finance \&amp;Insurance professionals the tools to ignite scalable and sustainable business growth. Safe\-Guard’s success is driven by over 850 employees, who serve more than 12,000 dealers and support contract holders across the U.S. and Canada.
 For 30 years and counting, our team continues to transform the motor vehicle space, earning a stellar reputation from our partners and peers by providing: 1\) the highest quality protection products in the industry, 2\) a broad platform of branded product, technology, marketing, and training solutions, and 3\) an unwavering commitment to uncomplicated care and customer service.
 Safe\-Guard Products International is an equal opportunity employer and gives consideration for employment to qualified applicants without regard to age, race, color, religion, creed, sex, sexual orientation, gender identity or expression, national origin, marital status, disability or protected veteran status, or any other status or characteristic protected by federal, state, or local law.</t>
        </is>
      </c>
    </row>
    <row r="62">
      <c r="A62" t="inlineStr">
        <is>
          <t>li-4374370966</t>
        </is>
      </c>
      <c r="B62" t="inlineStr">
        <is>
          <t>Lead data engineer</t>
        </is>
      </c>
      <c r="C62" t="inlineStr">
        <is>
          <t>Velocity Tech</t>
        </is>
      </c>
      <c r="D62" t="inlineStr">
        <is>
          <t>linkedin</t>
        </is>
      </c>
      <c r="E62" t="inlineStr"/>
      <c r="F62" t="inlineStr"/>
      <c r="G62" t="inlineStr"/>
      <c r="H62" t="inlineStr"/>
      <c r="I62" t="inlineStr">
        <is>
          <t>Lead Data Engineer – Interoperability
**Fully Remote** 
 Velocity Tech has partnered with a high\-growth digital health platform operating at national scale, enabling millions of users to securely access and manage their personal data through modern, API\-driven infrastructure.
 We’re looking for a
 **Lead Data Engineer** 
 to drive large\-scale interoperability and real\-time data exchange initiatives. This is a strategic leadership role focused on architecting and scaling secure, compliant data systems across a highly integrated ecosystem.
 You will lead the design and delivery of real\-time data pipelines and API infrastructure that connect thousands of external data sources into a unified platform.
 What You’ll Do
* Lead the design and implementation of large\-scale, real\-time interoperability solutions supporting millions of records
* Architect and oversee Patient Access APIs, Provider Directory APIs, and Bulk FHIR APIs aligned to regulatory standards
* Drive technical strategy around
 **FHIR (R4\)** 
 adoption and integration best practices
* Design scalable data pipelines to ingest, transform, and exchange structured and unstructured data from multiple external systems
* Establish architectural standards and engineering best practices across interoperability and data infrastructure
* Evaluate and implement integration tooling and vendor solutions
* Design and maintain real\-time pipeline infrastructure using Python, Spark, orchestration frameworks, Kubernetes, and modern AI\-enabled tooling
* Lead and mentor a team of data engineers, supporting delivery and technical growth
* Partner cross\-functionally with product, engineering, security, and business teams to define requirements and execution strategy
* Ensure security, privacy, and compliance standards are embedded across all systems
 Experience Required
* 8\+ years of hands\-on experience in interoperability, data integration, or health IT environments
* 5\+ years working with
 **FHIR (R4 required)**
* 3\+ years in a technical leadership role managing data or interoperability teams
* Proven experience delivering large\-scale, real\-time data exchange systems
* Experience integrating with multiple EMR platforms and national exchange frameworks
* Strong knowledge of US Core, USCDI, and regulatory interoperability requirements
* Experience with SMART on FHIR (OAuth 2\.0, OpenID Connect)
* Familiarity with HL7 v2\.x and structured document standards
* Strong API security knowledge (OAuth2, JWT, mTLS, etc.)
* Experience with distributed messaging systems (Kafka or equivalent)
 Technical Stack
* Strong programming experience in at least two of: Python, Java, JavaScript/TypeScript, Go, or C\#
* Experience with modern backend frameworks
* Strong SQL and NoSQL database experience
* Experience handling structured data formats (JSON, XML, FHIR, HL7\)
* Familiarity with schema validation and data quality tooling</t>
        </is>
      </c>
    </row>
    <row r="63">
      <c r="A63" t="inlineStr">
        <is>
          <t>li-4374378500</t>
        </is>
      </c>
      <c r="B63" t="inlineStr">
        <is>
          <t>Data Engineer III</t>
        </is>
      </c>
      <c r="C63" t="inlineStr">
        <is>
          <t>RemoteHunter</t>
        </is>
      </c>
      <c r="D63" t="inlineStr">
        <is>
          <t>linkedin</t>
        </is>
      </c>
      <c r="E63" t="inlineStr"/>
      <c r="F63" t="inlineStr"/>
      <c r="G63" t="inlineStr"/>
      <c r="H63" t="inlineStr"/>
      <c r="I63" t="inlineStr">
        <is>
          <t>About the Opportunity:
 The Data Engineer III is responsible for building and maintaining robust data pipelines and models, overseeing a broad scope of ETL infrastructure and databases. This role enables accurate and timely access to data across the organization by simplifying and centralizing a complex ecosystem, providing trustworthy, analytic\-ready resources for various business units. It involves deep collaboration with stakeholders in Engineering, Analytics, Operations, Finance, Marketing, and Customer Service to create a dependable data environment and drive measurable business impact through data.
 Responsibilities:
 • Design, implement, and maintain scalable and reliable data pipelines using Airflow, dbt, Rivery, Python, and SQL.
 • Collaborate with business teams to translate high\-level goals into data solutions supporting forecasting, performance tracking, and optimization.
 • Develop and maintain well\-documented data models in Snowflake and BigQuery that support analytics, reporting, and operational workflows.
 • Integrate data from internal and external sources, including Google Analytics and third\-party APIs, to ensure full\-funnel visibility.
 • Enable self\-service analytics by making data assets discoverable and usable through tools like Tableau, focusing on semantic layer design and performance tuning.
 • Develop monitoring and observability practices for data quality and pipeline health.
 • Participate in architecture and design decisions involving cloud infrastructure and containerization using AWS, Pulumi, and Docker.
 • Maintain thorough documentation and promote engineering standards for transparency, maintainability, and reusability of data systems.
 Requirements:
 • 7\+ years of experience in data engineering, analytics engineering, or related roles.
 • Advanced proficiency in SQL and Python, including efficient query writing and software engineering principles.
 • Hands\-on experience with Snowflake and/or BigQuery, including data modeling and performance optimization.
 • Proficiency with orchestration tools like Airflow and data integration tools such as dbt.
 • Experience with AWS cloud services for data storage, compute, and infrastructure management, including AWS Batch, ECR, and Lambda.
 • Familiarity with data analytics and visualization tools, particularly Tableau, and experience supporting dashboard development.
 • Experience working with marketing and product data sources, including Google Analytics.
 • Strong knowledge of ETL/ELT design and data warehousing solutions.
 • Familiarity with CI/CD pipelines and DevOps practices for data engineering.
 • Proficient in Microsoft Suite for documentation and collaboration.
 • Experience with API design and integration.
 • Familiarity with SCRUM methodologies and tools like Jira.
 Benefits \&amp; Perks:
 • Paid Time Off
 • Medical, Dental, Vision, and Prescription Insurance
 • 401(k) Retirement Plan with Company Match
 • Flexible Spending Account and Health Savings Account
 • Tuition Reimbursement
 • Employee Discount
 • Parental Leave
 • Life Insurance
 Compensation:
 • Annual base pay range: $147,000 \- $172,000, determined by experience and qualifications.
 • Final pay based on individual qualifications, market demands, and work location.
 • Salary range may be modified.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4">
      <c r="A64" t="inlineStr">
        <is>
          <t>li-4192952759</t>
        </is>
      </c>
      <c r="B64" t="inlineStr">
        <is>
          <t>Data Platform Engineer</t>
        </is>
      </c>
      <c r="C64" t="inlineStr">
        <is>
          <t>Radar</t>
        </is>
      </c>
      <c r="D64" t="inlineStr">
        <is>
          <t>linkedin</t>
        </is>
      </c>
      <c r="E64" t="inlineStr"/>
      <c r="F64" t="inlineStr"/>
      <c r="G64" t="inlineStr">
        <is>
          <t>New York, NY</t>
        </is>
      </c>
      <c r="H64" t="inlineStr"/>
      <c r="I64" t="inlineStr">
        <is>
          <t>**About Radar**
 Radar is the global leader in geolocation, with geofencing SDKs, maps APIs, and AI\-enabled solutions for marketing, fraud, and operations teams.
 Why is Radar the best place to work?
* We're trusted by some of the world's best companies, from high\-growth startups to the Fortune 500\.
* We have incredible scale: We're processing over 1 billion API calls per day from hundreds of millions of devices.
* We're well\-resourced, and we've raised $85\.5M from world\-class investors, including Accel and Insight Partners.
* We have a high\-performance culture, with ambitious and entrepreneurial teammates in every role.
* We recently moved into an amazing new office in Flatiron, Manhattan, NYC.
* We were recently named a top 10 best place to work in NYC by Crain's.
 Despite our growth and scale, we're still just getting started. That's where you come in.
**About The Role**
 We're looking for a Data Platform Engineer to build out the next generation of our data platform . The ideal candidate has been a data platform engineer on a large system and is energized by deeply understanding customer pain points and opportunities related to our data platform. To date this has been a shared responsibility on our engineering team, but as we've grown to over 1 billion API calls per day (with lots of data exhaust into our data lake), we're hiring a Data Platform Engineering team to modernize and level up our data stack. This role can be either in our NYC HQ or remote in the US.
**How We Work**
 Most of our engineering team are former technical co\-founders or former Radar interns from schools like Waterloo and CMU. Most engineers at Radar fit one of two molds, technically: either Staff level expertise in one stack, or "Multi\-Stack" at any level. We say "Multi\-Stack" because "Full\-Stack" has the connotation of "Frontend and Backend", but Radar Engineers might also work on Mobile or Data engineering. Not that you need to be an expert in all of those, but a desire to learn, jump around to different stacks, and get things done is the important part.
 We care a lot about shipping fast and talking to customers. We're committed to our product vision of full\-stack location infrastructure, but we also know that customer feedback is a treasure map to gold. Even though Slack is the brain of our company, working together in\-person in our NYC HQ is the fastest way for us to get things done. We meet on Mondays to plan out work for the week in small groups and use Linear for planning. All projects are run by an Engineering lead, an executive and a Go\-to\-Market lead. Engineers figure out what to build, talk to customers, talk to prospects, help close them, get them live and make them successful.
 One of our most important company values is "Walk a mile," as in walking a mile in the customer's shoes, but also as in literally walking a mile, getting up from your desk and developing a deep understanding of how location services behave in the real world. To us, a week is a long time, and we expect to ship big things every week.
**The Stack**
* Our data stack includes Kinesis, S3, Athena, Terraform, Airflow, Parquet, Metabase, Python, Redis, MongoDB, and Kubernetes.
* Our primary languages are TypeScript, Rust, and Python.
* Most engineers are in the on\-call rotation.
* We sponsor OpenStreetMaps, MapLibre, and OpenAddresses.
**How We Use AI**
* Engineers choose what AI tools they use, Claude and Cursor being the two most popular.
* All code changes are reviewed by an Engineer knowledgeable in that area. Cursor and CoPilot also review all PRs.
* There is a range of how much engineers use AI. Some use it heavily, others less so.
* We are excited about what AI can do, but we also recognize the risks and don't compromise our coding standards.
**The Hiring Process**
 After a call with our Technical Recruiter, you'll do several technical Zoom calls with members of our engineering team: code screen, coding round, and system design round. If those go well we'll invite you to our NYC HQ for a final round interview. You'll meet one of our co\-founders, someone from outside engineering, and meet more people from Radar. We'll go into more depth about how we work to see if there is a match.
**What You’ll Do**
* Work on core Radar data infrastructure built with Kinesis, S3, Athena, Terraform, Airflow, Parquet, Metabase, Python, Redis, and Mongo (some of these need to be replaced \- you'll help figure out what that looks like)
* Improve our current data platform via incremental improvements and deploying next generation infra to level up our stack.
* Talk to Radar customers and prospects, hear their feedback, incorporate it into your work and make them successful
**You Should**
* Have experience building data infrastructure
* Besides experience with some of our current data stack, have experience with several of Snowflake, Clickhouse, Databricks, Dynamo and dbt or similar tools
* Are interested in talking to customers or prospects and making them successful
* Are deeply curious about how things work, and have the tenacity to sit with hard problems and power through them
**Bonus Points If You**
* Are a former technical co\-founder
* Have experience building end\-to\-end customer facing analytics, real\-time streaming solutions, leveraging cold and hot storage to achieve product goals
**You’ll Work With**
* Tim Julien, CTO
* Our customers and prospects
* Our Customer Success, Sales Engineering, and Sales teams
**What We Offer**
* Competitive salary
* Meaningful stock options in a fast\-growing company
* 401(k) plan with 4% match
* New HQ in Flatiron, NYC
* Top\-notch equipment
* Catered lunches
* Unlimited PTO
* Health, dental, and vision insurance with 100% coverage for employees
* 12 weeks of paid parental leave
* Commuter and fitness benefits
**Compensation**
 For candidates based in the United States, the base salary range for this full\-time position is between $150,000 \- $250,000/year with an opportunity for performance bonuses and incentives.
 In addition to cash compensation, Radar offers full\-time employees stock option grants under its equity plan. This is a meaningful ownership stake in the company we provide to our employees as we build a category\-defining company.
*Our salary ranges are determined by role, level, and location. The range displayed on this job posting reflects the minimum and maximum target for new hire salaries for the position across all US locations. Your exact offer may vary based on market location, job\-related skills, experience, and relevant education or training.*
*We are committed to equal employment opportunity regardless of race, color, ancestry, religion, sex, national origin, sexual orientation, age, citizenship, marital status, disability, gender, gender identity or expression, or veteran status. We are proud to be an equal opportunity workplace.*
 Compensation Range: $150K \- $250K</t>
        </is>
      </c>
    </row>
    <row r="65">
      <c r="A65" t="inlineStr">
        <is>
          <t>li-4375812246</t>
        </is>
      </c>
      <c r="B65" t="inlineStr">
        <is>
          <t>Data Engineer</t>
        </is>
      </c>
      <c r="C65" t="inlineStr">
        <is>
          <t>Haystack</t>
        </is>
      </c>
      <c r="D65" t="inlineStr">
        <is>
          <t>linkedin</t>
        </is>
      </c>
      <c r="E65" t="inlineStr"/>
      <c r="F65" t="inlineStr"/>
      <c r="G65" t="inlineStr"/>
      <c r="H65" t="inlineStr"/>
      <c r="I65" t="inlineStr">
        <is>
          <t>**Splunk Data Engineer \| Reston, VA \| $99,000 \- $225,000**
 We're working with Booz Allen Hamilton on this exciting opportunity.
 Join a leading team as a Splunk Data Engineer, where you'll design, deploy, and manage cutting\-edge Splunk infrastructure. This is your chance to shine by integrating diverse data sources and crafting robust dashboards to monitor and troubleshoot complex systems. Leveraging your expertise in Splunk architecture and data pipelines, you'll play a pivotal role in ensuring comprehensive data ingestion and driving solutions across cross\-functional teams.
**The Role**
* Design, deploy, and manage Splunk infrastructure, developing and maintaining dashboards, queries, and alerts.
* Integrate Splunk with various data sources, ensuring comprehensive data ingestion and building robust data pipelines.
* Monitor and troubleshoot Splunk performance issues, implementing and enforcing best practices for data management.
* Collaborate with cross\-functional teams to gather requirements and deliver innovative Splunk solutions.
* Provide expert user training and support for all Splunk\-related activities.
**What You'll Need**
* 2\+ years of hands\-on experience managing and configuring Splunk, including architecture components like indexers and search heads.
* 2\+ years of experience building data pipelines to parse, normalize, and route data using Splunk configurations (props.conf, transforms.conf).
* Proven experience in Linux and Windows administration, coupled with 1\+ years of regex for field extraction and Splunk REST API for automation.
* An active TS/SCI clearance with willingness to undergo a polygraph exam, and DoD 8570 IAT Level II certification (Security\+, CCNA\-Security).
* Ability to obtain a DoD 8570 Cyber Security Service Provider \- Infrastructure Support certification within 60 days of start date.
**What's On Offer**
* Competitive salary range of $99,000 \- $225,000 with comprehensive health, life, and disability benefits.
* Excellent opportunities for professional development, tuition assistance, and a focus on work\-life balance.
* Recognition awards for exceptional performance and a supportive, people\-first culture with remote\-friendly work options.
* A dynamic environment where your contributions are valued, and you're empowered to grow your career.
**Apply via Haystack today!**</t>
        </is>
      </c>
    </row>
    <row r="66">
      <c r="A66" t="inlineStr">
        <is>
          <t>li-4344019961</t>
        </is>
      </c>
      <c r="B66" t="inlineStr">
        <is>
          <t>Analytics Engineer</t>
        </is>
      </c>
      <c r="C66" t="inlineStr">
        <is>
          <t>DoorDash</t>
        </is>
      </c>
      <c r="D66" t="inlineStr">
        <is>
          <t>linkedin</t>
        </is>
      </c>
      <c r="E66" t="inlineStr"/>
      <c r="F66" t="inlineStr"/>
      <c r="G66" t="inlineStr">
        <is>
          <t>Sunnyvale, CA</t>
        </is>
      </c>
      <c r="H66" t="inlineStr"/>
      <c r="I66" t="inlineStr">
        <is>
          <t>**About The Team**
 The Analytics Engineering team at DoorDash is embedded within the Analytics and Data Engineering Orgs, and is responsible for building internal data products that scale decision\-making across business teams and drive efficiency in our operations. Data is fundamental to DoorDash’s success, and this team plays a critical role in enabling high\-impact, data\-driven solutions across Product, Operations, Finance, and more.
**About The Role**
 As an Analytics Engineer, you’ll play a key role in building and scaling the data foundations that enable fast, reliable, and actionable insights. You’ll work closely with partner teams to drive end\-to\-end analytics initiatives; working alongside Data Engineers, Data Scientists, Software Engineers, Product Managers, and Operators.
 This is a highly technical role where you'll be a driving force behind the analytics stack, delivering trusted data and metrics that support decision\-making at all levels of the company. If you're energized by solving technical problems with data and comfortable being deeply embedded across several domains, this role is for you!
**You’re Excited About This Opportunity Because You Will…**
* Collaborate with data scientists, data engineers, and business stakeholders to understand business needs, and translate that scope into data requirements
* Identify key business questions and problems to solve for, and generate insights by developing structured solutions to resolve them
* Lead the development of data products and self\-serve tools that enable analytics to scale across the company
* Build and maintain canonical datasets by developing high\-volume, reliable ETL/ELT pipelines using data lake and data warehousing concepts
* Design metrics and data visualizations with dashboarding tools like Tableau, Sigma, and Mode
* Be a cross\-functional champion at upholding high data integrity standards to increase reusability, readability and standardization
**We’re Excited About You Because…**
* 3\+ years of experience working in business intelligence, analytics engineering, data engineering or a similar role
* Strong proficiency in SQL for data transformation, comfort in at least one functional/OOP language such as Python or Scala
* Expertise in creating compelling reporting and data visualization solutions using dashboarding tools (e.g., Looker, Tableau, Sigma)
* Familiarity with database fundamentals (e.g. S3, Trino, Hive, Spark), and experience with SQL performance tuning
* Experience in writing data quality checks to validate data integrity (e.g., Pydeequ, Great Expectations)
* Excellent communication skills and experience working with technical and non\-technical teams
* Comfortable working in fast paced environment, self starter and self organizing
* Ability to think strategically, analyze and interpret market and consumer information
* Must be comfortable regularly exercising discretion and independent judgment in performing job duties, including evaluating options, making informed decisions, and determining appropriate courses of action within the scope of assigned responsibilities.
**Nice to Have**
* Experience with modern data warehousing platforms (e.g., Snowflake, Databricks, Redshift) and ability to optimize performance
* Experience building multi\-step ETL jobs coupled with orchestrating workflows (e.g. Airflow, Dagster, DBT)
* Familiarity with experimentation concepts like A/B testing and their data requirements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$117,500—$172,800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67">
      <c r="A67" t="inlineStr">
        <is>
          <t>li-4367339264</t>
        </is>
      </c>
      <c r="B67" t="inlineStr">
        <is>
          <t>Sr. Data Engineer</t>
        </is>
      </c>
      <c r="C67" t="inlineStr">
        <is>
          <t>American Heart Association</t>
        </is>
      </c>
      <c r="D67" t="inlineStr">
        <is>
          <t>linkedin</t>
        </is>
      </c>
      <c r="E67" t="inlineStr"/>
      <c r="F67" t="inlineStr"/>
      <c r="G67" t="inlineStr">
        <is>
          <t>Dallas, TX</t>
        </is>
      </c>
      <c r="H67" t="inlineStr"/>
      <c r="I67" t="inlineStr">
        <is>
          <t>**Overview**
 Since our founding in 1924, we've cut cardiovascular disease deaths in half, but there is still so much more to do. To overcome today’s biggest health challenges and accelerate this progress, we need passionate individuals like you. Join our movement, be part of the progress, and help ensure a healthier future for all. You matter, and so does the impact you can make with us.
 The American Heart Association has an excellent opportunity for a
 **Sr. Data Engineer** 
 based at our National Center in Dallas, TX.
**(This is a Fixed Term position with funding through 3/31/2028\. Funding is likely to extend)**
 The Association offers many resources to help you maintain work\-life harmonization through your changing needs and life situations. To help you be successful, you will have access to Heart U, our award\-winning corporate university, as well as additional training and support, locally.
 \\\#TheAHALife is more than a company culture; it is our way of life. It embodies our commitment to work\-life harmonization and is guided by our core values where our employees can thrive both personally and professionally. Discover why you will Be Seen. Be Heard. Be Valued at the American Heart Association by following us on LinkedIn, Instagram, Facebook, X, and at heart.jobs.
**Responsibilities**
* Designs integration architectures, defines clinical data mappings from electronic health record data including imaging, develops data models, and consults with the infrastructure team on server and data storage services.
* Formulates and recommends standards for achieving maximum performance, compliance and efficiency of the database and delivery to researchers in the American Heart Association Precision Medicine Platform.
* Ensures accuracy and integrity of service\-oriented architecture through analysis, coding, writing clear documentation and problem resolution. Reviews issues and enhancements documented in the incident management and project management system for consideration of business needs.
* Maintains in\-depth current knowledge of standards, guidelines, and industry trends for Data Warehouse Architecture as it relates to reporting and operations. Attends and interacts with user groups and researches new software vendors in the market. Evaluates new data sources for adherence to the organization's quality standards and ease of integration.
* Fosters use of self\-service analytics, data governance and visual discovery while guiding changes and limited reliance on manual data processes. Builds proof of concept and tangible results by sharing testing data.
* Participates in the planning for retirement of systems programs, and migration of systems infrastructure by providing current state and future state architectural diagrams.
* Works closely with Chief of Data Science and business groups within American Heart Association to ensure prioritization of corporate and department objectives within the portfolio management system.
* Provides guidance on Data Governance as it applies to enterprise data architecture choices.
* Champions data quality, integrity, and reliability throughout the department by designing data flow models and promoting development best practices with best of breed automation tools, working cross\-functionally to ensure that data is made available timely and securely.
* Provides mentoring to Extract/Transform/Load (ETL) team members with technical expertise, complex systems, and/or programming knowledge. Provides on\-the\-job training for new or less experienced ETL team members.
* Provides technical training to external team members to encourage cross\-department connections including the development and maintenance of standard operating procedures.
* Provides a methodology for the ongoing assessment of database performance and the identification of problem areas by holding regularly scheduled reviews of code and monitoring software.
* Develops business cases, impacts evaluation and ROI for department to get buy\-in from senior management.
* Performs other duties as required or assigned which are reasonably within the scope and responsibility of the job level and family.
**Want to help get your resume to the top? Take a look at the experience we require:**
**Qualifications**
* Bachelor's Degree from a four\-year college or university or equivalent work experience.
* Minimum of eight (8\) years of experience (ten (10\) years of experience preferred) of Data Mapping and Extract/Transform/Load (ETL) design and development experience with clinical electronic health record data and images.
* Minimum of eight (8\) years of experience with:
* Data modeling with an emphasis on ODS and Star schema models.
* Integration architecture design and implementation with electronic health records and images.
* Experience with Data Virtualization tools.
* Comprehensive knowledge in software development lifecycles/methodologies, i.e. agile.
* Strong presentation and collaboration skills, and can communicate all aspects of the job requirements, including the creation of formal documentation.
* Fluent in relational database concepts and flat file processing concepts.
* Strong problem\-solving, time management, and organizational skills.
**Here are some of the preferred skills we are looking for:**
* Experience with Electronic health records and image mapping
* Experience with Python, R, SQL
* Experience with Cloud offerings.
* Experience with Amazon Web Services: S3, Glue, SageMaker, Lake Formation, Lambda, Athena, RedShift, EMR, etc.
* ETL Technology: AWS Glue, SSIS, DataStage, Informatica.
* Time series analysis, clustering, decision trees, and neural networks.
* Database/Data Virtualization Technology: Apache Spark, Databricks, Snowflake, Hadoop, Cloudera, SQL Server, Oracle, Alteryx, Denodo.
* Business Intelligence Technology: SSRS, Power BI, Tableau, MicroStrategy.
**Compensation \&amp; Benefits**
 The expected pay range will be $130,000 \- $140,000\. Pay is commensurate with experience; geographic differentials to the pay range may apply. The American Heart Association reserves the right to pay more or less than the posted range.
 The American Heart Association invests in its people. Here are the main components of our total rewards package. Visit Rewards \&amp; Benefits to see more details.
* Compensation – Our goal is to ensure you have a competitive base salary. That’s why we regularly review the market value of jobs and make adjustments, as needed.
* Performance and Recognition – You are rewarded for achieving success through annual salary planning and incentive programs; based on the type of position
* Benefits – We offer a wide array of benefits including medical, dental, vision, disability, and life insurance, along with a robust retirement program that includes an employer match and automatic contribution. As a mark of our commitment to employee well\-being, we also offer an employee assistance program, employee wellness program and telemedicine, and medical consultation.
* Professional Development – You can join one of our many Employee Resource Groups (ERG) or be a mentor/mentee in our professional mentoring program. Heart U is the Association’s national online university, with more than 100,000 resources designed to meet your needs and busy schedule.
* Work\-Life Harmonization – The Association offers Paid Time Off (PTO) at a minimum of 16 days per year for new employees. The number of days will increase based on seniority level. You will also have a total of 12 paid holidays off each year, which includes several days off at the end of the year.
* Tuition Assistance \- We support the career development of all employees. This program provides financial assistance to employees who wish to further their education and career in relation to their current duties and responsibilities, or for potential future positions in the organization.
 The American Heart Association’s 2028 Goal: Building on over 100 years of trusted leadership in cardiovascular and brain health, by 2028 the Association will drive breakthroughs and implement proven solutions in science, policy, and care for healthier people and communities. The greatest discoveries in health must reach everyone where they are.
**At American Heart Association \| American Stroke Association, our mission is to be a relentless force for a world of longer, healthier lives, regardless of race, ethnicity, gender, gender identity, religion, age, language, sexual orientation, national origin and physical or cognitive abilities.**
**This position not a match with your skills?** 
 Click here to see other opportunities.
 In accordance with local and state laws where applicable, qualified applicants with arrest or conviction records will be considered for employment.
 EOE/Protected Veterans/Persons with Disabilities
 \\
**Join our Talent Community!**
 Join our Talent Community to receive updates on new opportunities and future events.
**Default: Location : Location** 
*US\-TX\-Dallas*
**Posted Date** 
*3 weeks ago* 
*(1/29/2026 9:57 AM)*
***Requisition ID***
*2026\-17044*
***Job Category***
*Science \&amp; Research*
***Position Type***
*Full Time*</t>
        </is>
      </c>
    </row>
    <row r="68">
      <c r="A68" t="inlineStr">
        <is>
          <t>li-4344090924</t>
        </is>
      </c>
      <c r="B68" t="inlineStr">
        <is>
          <t>Analytics Engineer</t>
        </is>
      </c>
      <c r="C68" t="inlineStr">
        <is>
          <t>DoorDash</t>
        </is>
      </c>
      <c r="D68" t="inlineStr">
        <is>
          <t>linkedin</t>
        </is>
      </c>
      <c r="E68" t="inlineStr"/>
      <c r="F68" t="inlineStr"/>
      <c r="G68" t="inlineStr">
        <is>
          <t>Seattle, WA</t>
        </is>
      </c>
      <c r="H68" t="inlineStr"/>
      <c r="I68" t="inlineStr">
        <is>
          <t>**About The Team**
 The Analytics Engineering team at DoorDash is embedded within the Analytics and Data Engineering Orgs, and is responsible for building internal data products that scale decision\-making across business teams and drive efficiency in our operations. Data is fundamental to DoorDash’s success, and this team plays a critical role in enabling high\-impact, data\-driven solutions across Product, Operations, Finance, and more.
**About The Role**
 As an Analytics Engineer, you’ll play a key role in building and scaling the data foundations that enable fast, reliable, and actionable insights. You’ll work closely with partner teams to drive end\-to\-end analytics initiatives; working alongside Data Engineers, Data Scientists, Software Engineers, Product Managers, and Operators.
 This is a highly technical role where you'll be a driving force behind the analytics stack, delivering trusted data and metrics that support decision\-making at all levels of the company. If you're energized by solving technical problems with data and comfortable being deeply embedded across several domains, this role is for you!
**You’re Excited About This Opportunity Because You Will…**
* Collaborate with data scientists, data engineers, and business stakeholders to understand business needs, and translate that scope into data requirements
* Identify key business questions and problems to solve for, and generate insights by developing structured solutions to resolve them
* Lead the development of data products and self\-serve tools that enable analytics to scale across the company
* Build and maintain canonical datasets by developing high\-volume, reliable ETL/ELT pipelines using data lake and data warehousing concepts
* Design metrics and data visualizations with dashboarding tools like Tableau, Sigma, and Mode
* Be a cross\-functional champion at upholding high data integrity standards to increase reusability, readability and standardization
**We’re Excited About You Because…**
* 3\+ years of experience working in business intelligence, analytics engineering, data engineering or a similar role
* Strong proficiency in SQL for data transformation, comfort in at least one functional/OOP language such as Python or Scala
* Expertise in creating compelling reporting and data visualization solutions using dashboarding tools (e.g., Looker, Tableau, Sigma)
* Familiarity with database fundamentals (e.g. S3, Trino, Hive, Spark), and experience with SQL performance tuning
* Experience in writing data quality checks to validate data integrity (e.g., Pydeequ, Great Expectations)
* Excellent communication skills and experience working with technical and non\-technical teams
* Comfortable working in fast paced environment, self starter and self organizing
* Ability to think strategically, analyze and interpret market and consumer information
* Must be comfortable regularly exercising discretion and independent judgment in performing job duties, including evaluating options, making informed decisions, and determining appropriate courses of action within the scope of assigned responsibilities.
**Nice to Have**
* Experience with modern data warehousing platforms (e.g., Snowflake, Databricks, Redshift) and ability to optimize performance
* Experience building multi\-step ETL jobs coupled with orchestrating workflows (e.g. Airflow, Dagster, DBT)
* Familiarity with experimentation concepts like A/B testing and their data requirements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$117,500—$172,800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69">
      <c r="A69" t="inlineStr">
        <is>
          <t>li-4374376397</t>
        </is>
      </c>
      <c r="B69" t="inlineStr">
        <is>
          <t>Analytics Engineer</t>
        </is>
      </c>
      <c r="C69" t="inlineStr">
        <is>
          <t>RemoteHunter</t>
        </is>
      </c>
      <c r="D69" t="inlineStr">
        <is>
          <t>linkedin</t>
        </is>
      </c>
      <c r="E69" t="inlineStr"/>
      <c r="F69" t="inlineStr"/>
      <c r="G69" t="inlineStr"/>
      <c r="H69" t="inlineStr"/>
      <c r="I69"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0">
      <c r="A70" t="inlineStr">
        <is>
          <t>li-4344485977</t>
        </is>
      </c>
      <c r="B70" t="inlineStr">
        <is>
          <t>Lead Data Engineer, Revenue Engine</t>
        </is>
      </c>
      <c r="C70" t="inlineStr">
        <is>
          <t>Charlie Health</t>
        </is>
      </c>
      <c r="D70" t="inlineStr">
        <is>
          <t>linkedin</t>
        </is>
      </c>
      <c r="E70" t="inlineStr"/>
      <c r="F70" t="inlineStr"/>
      <c r="G70" t="inlineStr">
        <is>
          <t>New York, NY</t>
        </is>
      </c>
      <c r="H70" t="inlineStr"/>
      <c r="I70" t="inlineStr">
        <is>
          <t>**Why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virtual care rooted in connection—between clients and clinicians, care teams, loved ones, and the communities that support them. By focusing on people with complex needs, we’re expanding access to meaningful care and driving better outcomes from the comfort of home.
 As a rapidly growing organization, we're reaching more communities every day and building a team that’s redefining what behavioral health treatment can look like. If you're ready to use your skills to drive lasting change and help more people access the care they deserve, we’d love to meet you.
**About The Role**
 The Revenue Engine team at Charlie Health services all parts of our business related to revenue collection, financial reporting, and the patient financial experience by sourcing, curating, and activating internally and externally sourced datasets, and building user\-facing products. As a data engineer on the Revenue Engine team, you will be responsible for building ELT pipelines, developing custom DAGs, transforming and warehousing data with DBT, and building integrations between our systems.
 We’re a team of passionate, forward\-thinking professionals eager to take on the challenge of the mental health crisis and play a formative role in providing life\-saving solutions. If you’re inspired by our mission and energized by the opportunity to increase access to mental healthcare and impact millions of lives in a profound way, apply today.
**Responsibilities**
* Develop, release, and maintain high quality data pipelines using Python, FiveTran, DBT, and Snowflake.
* Own and guide the development of our data infrastructure.
* Orchestrate complex data workflows using Dagster.
* Identify bottlenecks and implement improvements to our data engineering processes, tools, and procedures. Everyone on our team shares responsibility for continuously improving how we work.
* Promote a culture of collaboration and learning across the technology team via mentoring, documentation, presentations, or other knowledge\-sharing methods.
* Ensure our data is always available by participating in our on\-call rotation.
**Requirements**
* Bachelor’s degree in Computer Science, Mathematics, or other technical discipline, or equivalent practical experience
* 7\+ years experience in engineering, with at least 5 years of experience in a data engineering role
* Deep expertise in SQL. You understand CTEs, aggregation functions, window functions, partitioning and clustering approaches to run correct and highly\-performant queries
* High proficiency in Python and experience using common data engineering libraries such as Pandas, Numpy, and Great Expectations
* Experience with a modern data stack. Experience with our tools \- FiveTran, Snowflake, DBT, Dagster, and Tableau \- is a big plus
* Experience with data exploration, profiling, governance, visualization, and activation
* Proven ability to thrive in an ambiguous and rapidly changing environment
* Experience working with sensitive data in a regulated environment
* Expertise in healthcare and/or revenue cycle management is a plus
* You live within a 75 minute commute of our NYC office (near Union Square) and are able to work in\-office 4 days per week.
**Benefits**
 Charlie Health is pleased to offer comprehensive benefits to all full\-time, exempt employees. Read more about our benefits here.
 The total target base compensation for this role will be between $175,000 and $255,000 per year at the commencement of employment. Please note, pay will be determined on an individualized basis and will be impacted by location, experience, expertise, internal pay equity, and other relevant business considerations. Further, cash compensation is only part of the total compensation package, which, depending on the position, may include stock options and other Charlie Health\-sponsored benefits.
 Our Values
* Connection: Care deeply \&amp; inspire hope.
* Congruence: Stay curious \&amp; heed the evidence.
* Commitment: Act with urgency \&amp; don’t give up.
*Please do not call our public clinical admissions line in regard to this or any other job posting.*
*Please be cautious of potential recruitment fraud. If you are interested in exploring opportunities at Charlie Health, please go directly to our Careers Page: https://www.charliehealth.com/careers/current\-openings. Charlie Health will never ask you to pay a fee or download software as part of the interview process with our company. In addition, Charlie Health will not ask for your personal banking information until you have signed an offer of employment and completed onboarding paperwork that is provided by our People Operations team. All communications with Charlie Health Talent and People Operations professionals will only be sent from @charliehealth.com email addresses. Legitimate emails will never originate from gmail.com, yahoo.com, or other commercial email services.*
*Recruiting agencies, please do not submit unsolicited referrals for this or any open role. We have a roster of agencies with whom we partner, and we will not pay any fee associated with unsolicited referrals.*
*At Charlie Health, we value being an Equal Opportunity Employer. We strive to cultivate an environment where individuals can be their authentic selves. Being an Equal Opportunity Employer means every member of our team feels as though they are supported and belong. We value diverse perspectives to help us provide essential mental health and substance use disorder treatments to all young people.*
*Charlie Health applicants are assessed solely on their qualifications for the role, without regard to disability or need for accommodation.*
*By clicking "Submit application" below, you agree to Charlie Health's Privacy Policy and Terms of Service.*
*By submitting your application, you agree to receive SMS messages from Charlie Health regarding your application. Message and data rates may apply. Message frequency varies. You can reply STOP to opt out at any time. For help, reply HELP.*</t>
        </is>
      </c>
    </row>
    <row r="71">
      <c r="A71" t="inlineStr">
        <is>
          <t>li-4283090720</t>
        </is>
      </c>
      <c r="B71" t="inlineStr">
        <is>
          <t>Data Engineer- Consumer/Small Business</t>
        </is>
      </c>
      <c r="C71" t="inlineStr">
        <is>
          <t>BankUnited</t>
        </is>
      </c>
      <c r="D71" t="inlineStr">
        <is>
          <t>linkedin</t>
        </is>
      </c>
      <c r="E71" t="inlineStr"/>
      <c r="F71" t="inlineStr"/>
      <c r="G71" t="inlineStr">
        <is>
          <t>Miami Lakes, FL</t>
        </is>
      </c>
      <c r="H71" t="inlineStr"/>
      <c r="I71" t="inlineStr">
        <is>
          <t>**SUMMARY:** 
 The Data Engineer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This individual will also be responsible for supporting Consumer/Small Business units through the utilization of technical and business knowledge to recommend solutions that solve business problems and reporting needs, amongst other skill sets. This includes identifying and defining data analytics needs as well as the structuring and analysis of data from multiple source systems for the purposes of creating and maintaining reporting (e.g. visual and flowchart modeling).
**ESSENTIAL DUTIES AND RESPONSIBILITIES** 
 include the following. Other duties and special projects may be assigned.
* Create and maintain optimal data pipeline architecture
* Assemble large, complex data sets that meet functional / non\-functional business requirements.
* Identify, design, and implement internal process improvements: automating manual processes, optimizing data delivery, re\-designing infrastructure for greater scalability, etc.
* Work closely with IT departments to build the infrastructure required for optimal extraction, transformation, and loading of data from a wide variety of data sources using SQL and AWS ‘big data’ technologies
* Combine raw information from different sources to create consistent and machine\-readable formats
* Develop and test architectures that enable data extraction and transformation for predictive or prescriptive modeling
* Support the data mining, reporting and general analytics needs of the department
* Identify process gaps and recommend new opportunities for process improvement through the use of quantitative analytics
* Apply statistical techniques to interpret risk and develop solutions for business consumption
* Leverage understanding of multiple data structures and sources to perform complex data manipulation using advanced data extraction and analytical tools and techniques
* Recognizes the connection between the business operations and analytics to influence business strategies through the interpretation and explanation of data to stakeholders
* Supports development of innovative approaches and best practices
* Perform any other assignments as directed by manager.
* Adheres to and complies with applicable, federal and state laws, regulations and guidance, including those related to anti\-money laundering (i.e. Bank Secrecy Act, US PATRIOT Act, etc.).
* Adheres to Bank policies and procedures and completes required training.
* Identifies and reports suspicious activity.
**EDUCATION**
 Bachelor's Degree in Computer Science, Data Analytics, Data Science, Management Information Systems or a related field
**Experience**
* At least 4 years working with data modeling, software implementation, enhanced reporting analytics and/or related experience in financial services data analysis and/or application development
* Experience performing root cause analysis on internal and external data and processes to answer specific business questions and identify opportunities for improvement
* Mastery of analytic and data visualization tools such as SAS, SQL, Adobe Analytics Tableau, Google Analytics, Python or R, AWS Cloud Services (Cloudwatch ,EC2, EMR, Redshift, Athena,Glue) etc
* Ability to multitask, meet deadlines, manage competing demands/multiple projects, maintain a strong sense of urgency and follow through in addressing issues
* Effective and persuasive presentations (verbal and written) for project teams and business leaders
* Maintains strong attention to detail in high\-pressure situations
* Solid understanding of data warehouse and dimensional modeling concepts</t>
        </is>
      </c>
    </row>
    <row r="72">
      <c r="A72" t="inlineStr">
        <is>
          <t>li-4348538897</t>
        </is>
      </c>
      <c r="B72" t="inlineStr">
        <is>
          <t>Analytics Engineer, GTM Data Infrastructure</t>
        </is>
      </c>
      <c r="C72" t="inlineStr">
        <is>
          <t>DoorDash</t>
        </is>
      </c>
      <c r="D72" t="inlineStr">
        <is>
          <t>linkedin</t>
        </is>
      </c>
      <c r="E72" t="inlineStr"/>
      <c r="F72" t="inlineStr"/>
      <c r="G72" t="inlineStr">
        <is>
          <t>Phoenix, AZ</t>
        </is>
      </c>
      <c r="H72" t="inlineStr"/>
      <c r="I72" t="inlineStr">
        <is>
          <t>**About The Team**
 The Go To Market Technology (GTMT) organization enables the growth and productivity for DoorDash Go\-To\-Market teams with reliable data, intelligent workflows, and frictionless experiences that move at the speed of DoorDash. We build systems that streamline business processes to be nimble and effective while serving the needs of our Merchants and Customers. We're looking for analysts to join our Go\-To\-Market Technology (GTMT) team, where you'll build elegant solutions that power
 DoorDash's rapid growth. Specifically, we are seeking proactive and driven individuals who are eager to dive deep into data, build scalable data platforms/tools, and translate insights into actions that drive our business forward.
**About The Role**
 We're looking for a business\-savvy data specialist who can think like an engineer and act like an analyst. You'll automate high\-impact GTM workflows, rapidly prototype new business processes, and own end\-to\-end data quality across critical systems. If you've built internal tools, scripted away manual reporting pain, or unified Salesforce data across platforms — we want to talk to you.
 You will be reporting to the Manager of the GTM \- Data team in our GTM product and engineering organization.
**Responsibilities**
* Partner with Product, Engineering, Data Science \&amp; Analytics, Operations, Finance, and other cross\-functional stakeholders to understand their needs and deliver data solutions to meet business objectives.
* Develop frameworks and scalable processes to streamline reporting, drive decision\-making, and build first class scalable data platforms/ tools to deliver data quickly, reliably, and accurately.
* Implement automation solutions, data products and explore/integrate AI capabilities into data tools and applications to enhance productivity and decision\-making.
* Be a strategic partner for the business: Identify opportunities and create solutions to automate and scale ad hoc requests.
* Build and maintain robust data pipelines and data models using tools like SQL, Python, Airflow, ensuring high data integrity and performance.
**You’re Excited About This Opportunity Because You Will**
* Drive Strategic Impact: Play a pivotal role in shaping business objectives through the implementation of innovative technological solutions.
* Own Problem Solving: Enjoy the autonomy to directly address and resolve challenges in collaboration with key business partners.
* Embrace Continuous Evolution: Thrive in a dynamic environment where you'll encounter new challenges and opportunities to expand your skillset.
* Develop Diverse Expertise: Continuously enhance both your business acumen and technical capabilities across a wide range of problem domains — including exploring and applying AI capabilities to automate workflows, improve decision\-making, and drive innovation in GTM operations
* Tackle Ambiguity: Embrace the challenge of solving large, complex problems using an iterative and data\-driven approach.
* Shape Data Infrastructure: Be at the forefront of transforming and managing data to make it insightful and accessible for critical business processes.
* Influence Decision Making: Define and monitor key metrics, build insightful dashboards, and present findings to senior leadership, directly influencing strategic decisions.
* Build Scalable Solutions: Develop robust data pipelines and scalable processes that streamline reporting and drive prioritization.
* Partner Cross\-Functionally: Collaborate closely with Product, Engineering, Data Science \&amp; Analytics, Operations, Finance, and other teams to deliver data solutions and meet business objectives.
* Innovate with Technology: Explore and implement automation solutions and AI capabilities to enhance data tools and applications.
**We're Excited About You Because You Have**
* 4\+ years of experience in analytics engineering in a high\-growth environment.
* Ability to translate unstructured business problems into clearly defined requirements with minimal oversight.
* Ability to build automation solutions, ETL pipelines and production facing data products to scale business processes.
* Proficient in SQL and Python and quantitative analysis; you can deep dive into large amounts of data, draw meaningful insights, dissect business issues, and draw actionable conclusions. You can automate business processes and integrate internal systems using python scripts and build unified sources of truths using ETL pipelines.
* Strong problem\-solving and analytical skills with the ability to transition between detailed data and high\-level business problems.
* Great communication (listening, written, and oral) skills with the ability to present findings \&amp; recommendations targeted to the audience in question.
* Strong interpersonal skills, with the ability to build relationships and trust across functions and work collaboratively.
* Strong attention to detail, structured thinking, and experience developing processes to reduce human error.
* Master’s degree in Mathematics, Statistics, Economics, Engineering, or a related technical field.
* Good understanding of development processes and best practices like engineering standards, code reviews, and testing.
**Nice To Have**
* Knowledge of CI/CD practices and infrastructure as code.
* Deploying, monitoring, and maintaining applications/services in AWS and DevOps skills.
* Experience building dashboards in Sigma/Tableau for performance analysis.
**Why You’ll Love Working at DoorDash**
* We are leaders: Leadership is not limited to our management team. It’s something everyone at DoorDash embraces and embodies.
* We are doers: We believe the only way to predict the future is to build it. Creating solutions that will lead our company and our industry is what we do \-\- on every project, every day.
* We are learners: We’re not afraid to dig in and uncover the truth, even if it’s scary or inconvenient. Everyone here is continually learning on the job, no matter if we’ve been in a role for one year or one minute.
* We are customer obsessed: Our mission is to grow and empower local economies. We are committed to our customers, merchants, and dashers and believe in connecting people with possibility.
* We are all DoorDash: The magic of DoorDash is our people, together making our inspiring goals attainable and driving us to greater heights.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$100,600—$148,000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73">
      <c r="A73" t="inlineStr">
        <is>
          <t>li-4374386321</t>
        </is>
      </c>
      <c r="B73" t="inlineStr">
        <is>
          <t>REMOTE DoW Mid/Senior Data Engineer (Database Engineer) - 26859</t>
        </is>
      </c>
      <c r="C73" t="inlineStr">
        <is>
          <t>RemoteHunter</t>
        </is>
      </c>
      <c r="D73" t="inlineStr">
        <is>
          <t>linkedin</t>
        </is>
      </c>
      <c r="E73" t="inlineStr"/>
      <c r="F73" t="inlineStr"/>
      <c r="G73" t="inlineStr"/>
      <c r="H73" t="inlineStr"/>
      <c r="I73" t="inlineStr">
        <is>
          <t>About the Opportunity:
 This role is within a business group focused on cyber and mission IT, electronic warfare, and C5ISR systems supporting national defense. The position supports Executive Order projects by enhancing a centralized data environment (CDE) that delivers auditable financial transaction data, improves transparency and accountability across the Department of the Workforce (DoW), and provides a common operating picture for senior leadership decision\-making. The role requires expertise in Python development and relational databases to translate strategic imperatives into actionable data solutions in a national security environment.
 Responsibilities:
 • Design, model, document, and govern logical and conceptual data architectures and schema evolutions for enterprise\-scale applications supporting tracking and accountability reforms
 • Analyze system requirements and develop technical, structural, and organizational specifications for auditable, transparent data flows
 • Establish and enforce data modeling standards, capacity planning, and performance optimization for high\-reliability DoW environments
 • Develop Python\-based scripts and ETL/ELT pipelines for secure data ingestion, transformation, and integration from diverse sources
 • Apply advanced SQL skills for querying, schema design, optimization, and data integrity assurance
 • Operate within Agile/SAFe frameworks to deliver iterative, high\-value increments aligned with business priorities and DoW policies
 • Provide technical guidance and mentorship to align development with strategic financial management system reform objectives including enhanced tracking, oversight, and reporting
 • Perform additional duties as assigned to advance mission goals
 Requirements:
 • Proven Python development experience including building scalable data pipelines and automation solutions
 • Strong relational database (SQL) skills with advanced querying and optimization
 • Ability to work independently and collaboratively in team settings
 • Self\-motivated with strong problem\-solving skills and a proactive mindset
 • Must possess and maintain an active Secret clearance at the time of consideration
 • Remote\-eligible position aligned with Eastern Time Zone core business hours
 Experience Levels:
 \- Database Engineer II: 2 years relevant experience with Bachelor’s degree; or 6 years relevant experience with High School Diploma or equivalent
 \- Database Engineer III: 5 years relevant experience with Bachelor’s degree; or 9 years relevant experience with High School Diploma or equivalent
 \- Database Engineer IV: 9 years relevant experience with Bachelor’s degree; or 13 years relevant experience with High School Diploma or equivalent
 Preferred Requirements:
 • Strong understanding of transactional data flows, financial management systems, and auditability requirements in DoW/security cooperation contexts
 • Direct experience with ADVANA
 • Experience in SAFe Agile environments, including PI planning, Scrum/Kanban ceremonies, and DevSecOps practices
 • Candidate residing in the East Coast region
 Benefits \&amp; Perks:
 • Medical, dental, and vision insurance plans
 • Wellness resources and employee assistance programs
 • Savings plan options (401(k))
 • Financial planning tools
 • Life insurance
 Compensation:
 • Anticipated salary range: $90,000\.00 to $145,000\.00 annually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4">
      <c r="A74" t="inlineStr">
        <is>
          <t>li-4356626847</t>
        </is>
      </c>
      <c r="B74" t="inlineStr">
        <is>
          <t>Data Engineer - Tourism Economics - Philadelphia</t>
        </is>
      </c>
      <c r="C74" t="inlineStr">
        <is>
          <t>Oxford Economics</t>
        </is>
      </c>
      <c r="D74" t="inlineStr">
        <is>
          <t>linkedin</t>
        </is>
      </c>
      <c r="E74" t="inlineStr"/>
      <c r="F74" t="inlineStr"/>
      <c r="G74" t="inlineStr">
        <is>
          <t>Philadelphia, PA</t>
        </is>
      </c>
      <c r="H74" t="inlineStr"/>
      <c r="I74" t="inlineStr">
        <is>
          <t>**Department:** 
 Tourism Economics US
**Location:** 
 Philadelphia, US
**Description**
 Tourism Economics, a subsidiary of Oxford Economics, is looking to hire a Data Engineer based in our Wayne, PA office. As a Data Engineer, you will design, build, and maintain the data infrastructure that supports analytics, reporting, product development, and machine learning initiatives across the organization. You will work closely with the Lead Engineer to develop scalable ingestion pipelines, improve reliability across environments, and ensure that data is delivered with consistency, accuracy, and performance. You will play a key role in shaping engineering standards and supporting the long\-term growth of the platform.
 Note: Oxford Economics does not offer visa sponsorship for this role, now or in the future. Candidates must be authorized to work in the U.S. on a permanent, ongoing basis without sponsorship.
**Key Responsibilities**
**Data Pipelines and Infrastructure**
* Design, build, and maintain scalable data pipelines using tools such as Python, SQL, DBT, Terraform, AWS services, MongoDB, and Snowflake.
* Automate recurring data processes and optimize existing pipelines to ensure efficient delivery into the reporting and analytics layer.
* Implement data quality monitoring and alerting frameworks across Prefect and Snowflake to ensure accuracy, completeness, and timeliness.
* Improve deployment pipelines, infrastructure reliability, and environment consistency in collaboration with the broader engineering team.
**Collaboration, Standards \&amp; Documentation**
* Partner with the Data Visualization and Product Teams to support new product development, feature rollouts, and data driven enhancements.
* Work closely with analytics and business teams to understand data requirements and ensure upstream pipelines meet downstream needs.
* Contribute to scalable engineering practices that ensure smooth coordination across data, product, and analytics functions.
* Establish and maintain documentation for pipelines, environments, data flows, and engineering standards.
* Help develop best practices around ingestion, transformation, quality checks, and release management.
**Skills, Knowledge \&amp; Expertise**
* Bachelor’s or Master’s degree in Computer Science, Data Engineering, Information Systems, or a related technical field.
* 3\-5 years of hands on experience in data engineering or a closely related field.
* Strong proficiency in Python and SQL with demonstrated experience building end to end data pipelines.
* Familiarity with workflow orchestration, pipeline monitoring, and automation tools.
* Solid understanding of data modeling, data warehousing concepts, and ETL design patterns including star and snowflake schema and dimensional modeling.
* Experience with cloud platforms for data storage, orchestration, and compute.
* Strong communication skills and proven ability to manage multiple priorities in fast moving environments.
**Preferred Qualifications**
* Experience with Snowflake, AWS services such as S3, ECR, and EC2, DBT, Prefect, Terraform, MongoDB, and Docker.
* Exposure to data visualization platforms such as Tableau or Tableau Server.
* Strong understanding of data governance, access control, and cost optimization in cloud or multi cloud environments.
**Equal Employment Opportunity (EEO)**
*Oxford Economics is an equal opportunity employer. We prohibit discrimination and harassment of any kind based on race, color, age, religion, sex, sexual orientation, national origin, disability, genetic information, pregnancy, or any other protected characteristic as outlined by federal, state, or local laws.*</t>
        </is>
      </c>
    </row>
    <row r="75">
      <c r="A75" t="inlineStr">
        <is>
          <t>li-4371887801</t>
        </is>
      </c>
      <c r="B75" t="inlineStr">
        <is>
          <t>Epic Certified Data Engineer</t>
        </is>
      </c>
      <c r="C75" t="inlineStr">
        <is>
          <t>Blue Bridge People</t>
        </is>
      </c>
      <c r="D75" t="inlineStr">
        <is>
          <t>linkedin</t>
        </is>
      </c>
      <c r="E75" t="inlineStr"/>
      <c r="F75" t="inlineStr"/>
      <c r="G75" t="inlineStr"/>
      <c r="H75" t="inlineStr"/>
      <c r="I75" t="inlineStr">
        <is>
          <t>This is
 *NOT* 
 a traditional Data Engineering role. Please only apply if you have the applicable
 **EPIC experience.** 
 The client is only accepting candidates who reside in OHIO, INDIANA and KENTUCKY. Travel to Cincinnati monthly will be required.
 Unfortunately, client can NOT sponsor or transfer visas (this also excludes Student and Dependent Visas)
**\*\*Please no C2C/3rd party candidates\*\*** 
**Senior Data Engineer** 
**(EpicCare Ambulatory – Healthy Planet / Population Health)** 
**Role Summary** 
 The Senior Data Engineer (EpicCare Ambulatory – Healthy Planet / Population Health) plays a critical role in designing, building, and optimizing enterprise\-scale data pipelines, datasets, and ETL/ELT processes across their full lifecycle. This role partners closely with a multidisciplinary Agile team to deliver well\-governed, high\-quality, and actionable data that supports population health, clinical analytics, and business intelligence initiatives.
 This position is responsible for assembling and integrating large, complex datasets—including
 **paired clinical and operational data from Epic Data repositories** 
 —and supporting
 **data migration initiatives to Epic Cloud** 
 to ensure seamless, secure, and performant access to analytics\-ready data across the enterprise.
**Job Overview** 
1. Design, build, and maintain scalable, reliable, and optimized data pipeline architectures with awareness of emerging technologies aligned to evolving business needs.
2. **Integrate paired data sets with Epic Data (including Healthy Planet / Population Health domains) and support data migration and synchronization to Epic Cloud environments** 
 , ensuring data accuracy, consistency, and governance.
3. Sync data across multiple internal and external systems to ensure data integrity and enable reliable insights across analytics and reporting platforms.
4. Partner closely with data science teams and business/data analysts to refine data requirements and ensure datasets are fit for advanced analytics, reporting, and consumption.
5. Provide technical leadership and mentorship to engineering team members by removing development roadblocks through collaboration, clear communication, and innovative solution design.
6. Identify, design, and implement process and infrastructure improvements, including scalability enhancements, data delivery optimization, and automation of manual workflows.
7. Collaborate with stakeholders across data, design, product, and executive teams to troubleshoot and resolve data\-related technical challenges.
8. Maintain required certifications and continuing education, including Epic and Python certifications, in alignment with organizational standards.
**Job Requirements** 
**Education \&amp; Certifications** 
* Bachelor’s degree in Information Systems, Computer Science, Statistics, Healthcare Information Management, Engineering, or a related field
* Equivalent relevant experience may be accepted in lieu of a degree
* **Epic Ambulatory Certification (expected within 1 year of hire)**
* **Epic Clinical Data Model Certification**
**Technical \&amp; Domain Experience** 
* Hands\-on experience with
 **Healthy Planet (Population Health)**
* Experience working with
 **Epic Data models and clinical datasets** 
 , including data integration and cloud migration initiatives
* Exposure to relational databases (e.g., SQL Server) and non\-relational databases
* Experience designing and supporting ETL/ELT pipelines, curated datasets, and BI/analytics solutions
* Proficiency in programming languages such as Python and/or C\#
* Exposure to Agile/Scrum development methodologies
**Experience Level** 
* 4–5 years of experience in technical roles within Information Systems, Computer Science, Healthcare IT, or related disciplines
* Up to 1 year of clinical healthcare experience preferred
**Job Responsibilities** 
* Actively participate in team meetings, design reviews, planning sessions, huddles, and operational roundings.
* Communicate professionally, respectfully, and inclusively with customers, clinicians, researchers, administrators, and cross\-functional team members.
* Facilitate business requirements discussions with a diverse user community to support population health, clinical, and operational analytics initiatives.
* *Measured by participation metrics and customer service feedback.*
* Adhere to departmental standard operating procedures (SOPs), coding standards, documentation requirements, and version control practices.
* *Measured by compliance with design, development, testing, and deployment standards.*
* Obtain and maintain required training and certifications as defined by the Analytics Center of Excellence (ACoE). Contribute to training plans and continuous improvement initiatives.
* *Measured by certification completion, ACoE contributions, and submitted improvement ideas.*
* Design, build, test, and deploy high\-quality queries, data pipelines, and curated datasets aligned to business requirements and emerging technology standards.
* **Integrate, synchronize, and migrate Epic\-related datasets (including paired data) across on\-prem and Epic Cloud platforms** 
 to support enterprise analytics needs.
* *Measured by the number of certified datasets delivered on time, adherence to data quality standards, and orchestration SLAs.*
* Performance measurements are reviewed regularly by management, incorporating peer input, analytics team feedback, and customer satisfaction metrics.</t>
        </is>
      </c>
    </row>
    <row r="76">
      <c r="A76" t="inlineStr">
        <is>
          <t>li-4344509566</t>
        </is>
      </c>
      <c r="B76" t="inlineStr">
        <is>
          <t>Senior Data Engineer, Data Governance</t>
        </is>
      </c>
      <c r="C76" t="inlineStr">
        <is>
          <t>CarGurus</t>
        </is>
      </c>
      <c r="D76" t="inlineStr">
        <is>
          <t>linkedin</t>
        </is>
      </c>
      <c r="E76" t="inlineStr"/>
      <c r="F76" t="inlineStr"/>
      <c r="G76" t="inlineStr">
        <is>
          <t>Boston, MA</t>
        </is>
      </c>
      <c r="H76" t="inlineStr"/>
      <c r="I76" t="inlineStr">
        <is>
          <t>**Who We Are**
 At CarGurus (NASDAQ: CARG), our mission is to give people the power to reach their destination. We started as a small team of developers determined to bring trust and transparency to car shopping. Since then, our history of innovation and go\-to\-market acceleration has driven industry\-leading growth. In fact, we’re the largest and fastest\-growing automotive marketplace, and we’ve been profitable for over 15 years.
**What We Do**
 The market is evolving, and we are too, moving the entire automotive journey online and guiding our customers through every step. That includes everything from the sale of an old car to the financing, purchase, and delivery of a new one. Today, tens of millions of consumers visit CarGurus.com each month, and \~30,000 dealerships use our products. But they're not the only ones who love CarGurus—our employees do, too. We have a people\-first culture that fosters kindness, collaboration, and innovation, and empowers our Gurus with tools to fuel their career growth. Disrupting a trillion\-dollar industry requires fresh and diverse perspectives. Come join us for the ride!
**Job Overview**
 The Senior Data Engineer, Data Governance will be responsible for architecting, operationalizing, and optimizing the enterprise data governance framework. This role involves the deployment and configuration of data governance tools, implementation of automated data quality validation workflows, integration of metadata management platforms (e.g., data catalogs, lineage tools), and enforcement of data stewardship policies via role\-based access controls and policy engines. You will collaborate closely with data architects, engineers, data analysts, and business teams to maintain high standards of data integrity, security, and accessibility.
**What You’ll Do**
* Data Governance Framework: Develop and implement a robust data governance framework aligned with industry best practices and company requirements.
* Data Quality Management: Build tools and/or APIs to automate data quality monitoring and reporting, ensuring that data is accurate, complete, and consistent across the organization.
* Data Stewardship: Act as a key advocate for data stewardship, working with business and technical teams to promote accountability for data quality and management.
* Metadata Management: Build tools and/or APIs to automate metadata management, ensuring the accurate capture and categorization of data assets.
* Compliance \&amp; Security: Ensure that data governance policies comply with relevant laws, regulations (e.g., GDPR, CCPA), and industry standards. Promote data privacy best practices and work with legal and compliance teams.
* Data Lineage: Develop and maintain data lineage models or build tools to automatically map how data flows through systems, ensuring transparency and traceability. Enhance out of the box lineage tools where necessary.
* Collaboration \&amp; Training: Work closely with stakeholders across departments to establish data governance policies, provide training on data standards, and promote awareness of governance tools and practices.
* Continuous Improvement: Continuously assess and enhance the data governance framework to adapt to new business needs, technologies, and regulatory requirements.
* Documentation \&amp; Reporting: Create and maintain comprehensive documentation for data governance processes, guidelines, and policies. Provide regular reports on governance activities and data health metrics to leadership.
**What You’ll Bring**
* Bachelor’s degree in Computer Science, Information Systems, Data Management, or a related field (or equivalent experience).
* 3\+ years of experience in data governance, data management, or a related field.
* Proficiency in Python or similar languages widely used in the data engineering community
* Experience with data quality management tools (e.g., Monte Carlo, Metaplane)
* Familiarity with data governance tools (e.g., Alation, Atlan, data.world, Secoda).
* Knowledge of data privacy regulations (GDPR, CCPA, etc.) and compliance best practices.
* Proficiency in data modeling, data lineage, and data classification and familiarity with Snowflake, dbt and Looker
* Experience with cloud platforms (AWS, Azure, GCP) and data integration tools (Fivetran, data pipelines).
* Strong problem\-solving skills and ability to collaborate with cross\-functional teams.
* Excellent communication skills, with the ability to present complex technical concepts to non\-technical stakeholders.
* Attention to detail and a passion for maintaining high\-quality data.
 The displayed range represents the expected annual base salary / On\-Target Earnings (OTE) for this position. On\-Target Earnings (OTE) is inclusive of base salary and on\-target commission earnings, which applies exclusively to sales roles.
 Individual pay within this range is determined by work location and other factors such as job\-related skills, experience, and relevant education or training.
 This annual base salary forms part of a comprehensive Total Rewards Package. In addition to benefits, this role may qualify for discretionary bonuses/incentives and Restricted Stock Units (RSUs).
 Position Pay Range
 $125,000—$157,000 USD
**Working at CarGurus**
 We reward our Gurus’ curiosity and passion with best\-in\-class benefits and compensation, including equity for all employees, both when they start and as they continue to grow with us. Our career development and corporate giving programs, as well as our employee resource groups (ERGs) and communities, help people build connections while making an impact in personally meaningful ways. A flexible hybrid model and robust time off policies encourage work\-life balance and individual well\-being. Thoughtful perks like daily free lunch, a new car discount, meditation and fitness apps, commuting cost coverage, and more help our people create space for what matters most in their personal and professional lives.
**We welcome all**
 CarGurus strives to be a place to which people can bring the ultimate expression of themselves and their potential—starting with our hiring process. We do not discriminate based on race, color, religion, national origin, age, sex, marital status, ancestry, physical or mental disability, veteran status, gender identity, or sexual orientation. We foster an inclusive environment that values people for their skills, experiences, and unique perspectives. That’s why we hope you’ll apply even if you don’t check every box listed in the job description. We also encourage you to tell your recruiter if you require accommodations to participate in our hiring process due to a disability so we can provide the appropriate support. We want to know what only you can bring to CarGurus.</t>
        </is>
      </c>
    </row>
    <row r="77">
      <c r="A77" t="inlineStr">
        <is>
          <t>li-4356455970</t>
        </is>
      </c>
      <c r="B77" t="inlineStr">
        <is>
          <t>Microsoft Data Engineer Senior H/F</t>
        </is>
      </c>
      <c r="C77" t="inlineStr">
        <is>
          <t>EY</t>
        </is>
      </c>
      <c r="D77" t="inlineStr">
        <is>
          <t>linkedin</t>
        </is>
      </c>
      <c r="E77" t="inlineStr"/>
      <c r="F77" t="inlineStr"/>
      <c r="G77" t="inlineStr">
        <is>
          <t>Nashville, TN</t>
        </is>
      </c>
      <c r="H77" t="inlineStr"/>
      <c r="I77" t="inlineStr">
        <is>
          <t>**À propos de nous**
 Chez EY, nous vous offrons l’opportunité de construire une carrière qui vous ressemble, au sein d’un environnement international, porté par une culture inclusive, un accompagnement de qualité et des solutions technologiques de pointe.
 EY rassemble aujourd'hui près de 340 000 associés et collaborateurs à travers le monde dans plus de 154 pays. Grâce à ce réseau, dont le niveau d'intégration et l'ampleur internationale sont gages d'une même excellence partout dans le monde, EY renforce sa position de leader mondial de l'Audit, du Conseil, des Transactions, de la Fiscalité et du Droit.
 Nous faisons grandir les talents afin qu'ensemble, ils accompagnent les organisations vers une croissance pérenne. Et notre engagement envers nos équipes commence avec cette promesse : quel que soit votre parcours avec nous, l'expérience EY dure toute une vie.
 Chez EY, chaque collaborateur est encouragé à exprimer son point de vue, à valoriser son expertise et à s’engager pour contribuer à bâtir un meilleur environnement de travail et de confiance.
**Contexte**
 Dans le cadre de nos activités Data \&amp; Analytics, nous accompagnons nos clients, notamment dans le secteur bancaire et financier, dans leur transformation Data Driven et l’optimisation de leurs dispositifs de pilotage.
 Nous recherchons un.e Consultant.e Senior Microsoft Data Engineer pour intervenir sur la Data Platform Finance et Risques, avec un rôle clé dans la maintenance des applications et Dataflows, le traitement des données et le développement de solutions intégrées pour les équipes métiers et fonctionnelles.
**Ce que nous recherchons**
* Minimum 3 à 5 ans d’expérience dans un rôle similaire en Data Engineering ou Data Platform.
* Maîtrise de Microsoft Dataverse, Power Platform et Dynamics 365\.
* Forte expérience avec Microsoft Fabric ou outils équivalents (Synapse, Azure Data Factory, etc.).
* Solide background en Big Data : ingestion, transformation, modélisation de données complexes.
* Bonne compréhension des architectures cloud (Azure est un plus).
* Maîtrise du SQL, Power Query, DAX, et des langages de scripting.
* Connaissance de l’écosystème financier : produits, reporting, contraintes réglementaires.
* Capacité à évoluer dans un environnement dynamique et exigeant, en mode Agile / itératif.
* Autonomie, sens de l’initiative et orientation solution.
* Excellentes compétences en communication et esprit d’équipe.
* Français courant et anglais professionnel (écrit et oral).
* Expérience préalable dans le secteur bancaire, assurance ou finance d’entreprise fortement appréciée.
**Votre rôle**
 Vous serez amené(e) à :
* Participer à l’analyse des besoins métiers en lien avec les équipes fonctionnelles.
* Développer des solutions intégrées via Microsoft Dataverse, Power Apps, Power Automate et Dynamics 365\.
* Exploiter Microsoft Fabric pour la gestion de pipelines/dataflows, le traitement des données et la visualisation.
* Concevoir et maintenir un modèle de données complexe orienté Big Data.
* Implémenter des connecteurs entre les systèmes source (API, CFT, OneLake…).
* Collaborer avec les équipes Data \&amp; BI pour assurer l’interopérabilité des systèmes.
* Appliquer les meilleures pratiques de sécurité, qualité et performance.
* Reporting opérationnel et hiérarchique au Responsable de l’équipe Data.
**Pourquoi nous rejoindre ?**
 Rejoindre notre équipe, c’est intégrer un environnement stimulant où la donnée est au cœur de la prise de décision. Vous aurez l’opportunité de travailler sur des projets à forte valeur ajoutée, en interaction directe avec des équipes métiers clés (Finance, Risques, IT).
 Nous offrons :
* Des projets Data stratégiques à fort impact, contribuant directement aux décisions de l’entreprise et bénéficiant d’une forte exposition.
* L’opportunité de rejoindre un Big Four de renommée internationale, au sein d’un environnement de travail stimulant, collaboratif et international.
* Un cadre favorisant le partage des connaissances, les bonnes pratiques et la collaboration transverse.
* Le développement de votre expertise sur Microsoft Data Platform, Power Platform et Microsoft Fabric.
* Une culture orientée qualité, innovation et amélioration continue.
* Un environnement valorisant l’autonomie, la responsabilisation, la créativité, ainsi que de réelles perspectives d’évolution et de développement professionnel.
**Engagement diversité**
 Dans le cadre de sa politique Diversity, Equity \&amp; Inclusiveness, EY étudie toutes les candidatures à compétences égales, y compris celles de personnes en situation de handicap. EY offre une diversité d’expériences, de secteurs et de parcours, favorisant des opportunités professionnelles enrichissantes et durables.</t>
        </is>
      </c>
    </row>
    <row r="78">
      <c r="A78" t="inlineStr">
        <is>
          <t>li-4347356825</t>
        </is>
      </c>
      <c r="B78" t="inlineStr">
        <is>
          <t>Senior Genomics Data Engineer</t>
        </is>
      </c>
      <c r="C78" t="inlineStr">
        <is>
          <t>Helix</t>
        </is>
      </c>
      <c r="D78" t="inlineStr">
        <is>
          <t>linkedin</t>
        </is>
      </c>
      <c r="E78" t="inlineStr"/>
      <c r="F78" t="inlineStr"/>
      <c r="G78" t="inlineStr">
        <is>
          <t>California, United States</t>
        </is>
      </c>
      <c r="H78" t="inlineStr"/>
      <c r="I78" t="inlineStr">
        <is>
          <t>**Who We Are \&amp; What We Do**
 At Helix, our mission is simple: to help everyone improve their lives through their DNA.
 Ready to make a real\-world impact with your skills? At Helix, we're transforming healthcare by making genomics a standard of care. We partner with health systems and life science companies to accelerate the integration of genomic data into clinical practice. Join us in building a future where healthcare is personalized, proactive, and powered by genomics.
**What is special about this role?**
 The Helix Clinicogenomic Data Engineering team plays a pivotal role in Helix’s efforts to provide a best\-in\-class clinico\-genomics research dataset for our partners to conduct and publish cutting\-edge genomic studies and operational insights back to health systems. Working closely with our Research, Bioinformatics, and Engineering teams, we are responsible for a RUO\-genomics dataset as well as developing various programmatic interfaces to facilitate easy access to enable our scientists and analysts. The patient is top of mind in everything we do, and your contributions here have the opportunity to improve the real world outcomes for everyone.
**As a Senior Genomics Data Engineer, You Will**
* Leverage your specialized knowledge to develop innovative solutions that simplify complex genomic data, effectively lowering the barrier to entry for non\-expert users.
* Design, build, and continuously optimize robust, scalable, and automated data pipelines for processing large\-scale genomic and clinical data.
* Build and maintain critical pipelines to prepare, de\-identify, and securely deliver massive\-scale genetic datasets to both internal research teams and external partners.
* Work cross\-functionally with world\-class Engineering, Research, AI, Data Science, Bioinformatics, Product, and Commercial teams to tackle complex data challenges and drive scientific discovery.
* Provide expert\-level support and create tooling to help internal and external data consumers effectively utilize our complex datasets and platforms.
* Implement and manage data infrastructure as code using tools like AWS CDK, ensuring our distributed compute environment is efficient and scalable.
**About You**
* Bachelor's/Master's degree in Computer Science, Bioinformatics, Engineering or a related field with 5\+ years of experience
* Deep domain knowledge in molecular biology, next\-generation sequencing, or genomics
* Demonstrated experience in processing a variety of large scale genetic data formats (exome/whole genome), including but not limited to VCF, CRAM, BAM, and PLINK.
* Strong experience using industry\-standard bioinformatics tools such as bcftools, htslib, and samtools.
* Experience with genomic data\-reduction techniques, such as PCA
* Expert\-level proficiency in Python
* Proven experience designing and building distributed systems on AWS, including expertise with services like Glue, EMR, S3, Lambda, and DynamoDB.
* Proficiency with infrastructure\-as\-code frameworks (e.g., AWS CDK, Terraform).
* Expertise with ETL pipeline automation and workflow management tools such as Airflow, AWS Glue, AWS Step Functions, and CI/CD
* Familiarity with database design, data manipulation, and data quality techniques
* Demonstrated ability to thrive in a fast\-paced, adaptable environment.
**Pluses**
* Background in the bioinformatics or healthcare industries, and familiarity with clinical data.
* Proficiency in Go, Java, C, C\+\+, or Scala
* Hands\-on skills with genomics\-specific data tools such as Hail or TileDB
* Track records of working in a regulated data environment (e.g., HIPAA)
* Hands\-on experience designing and building distributed systems on AWS, frameworks such as Spark, Dask, EMR, Databricks, or similar
**Expected Interview Process**
* Recruiter Screen 2\) Manager Screen/Tech Screen 3\) Onsite 4\) Offer
**Expected Pay For This Role**
 There are 3 distinct parts to your Helix offer: 1\) Base Salary 2\) Annual Bonus 3\) Equity
* Expected Helix Base: $145,000 \- $201,250
* Expected Helix Discretionary Annual Bonus: 10% of your annual salary
* Equity: We offer generous equity at Helix. If you receive a Helix offer your recruiter will book dedicated time with you to educate you on our equity model.
 Aside from working alongside brilliant, dedicated, passionate, down\-to\-earth, curious, warm, and thoughtful people, we also provide great benefits:
* Comprehensive Health Insurance with Date of Hire eligibility
+ Above average employer paid premium coverage
* 12 weeks Helix Paid Parental Leave option
* 401(k) with employer matching of up to 3% and 100% Vesting on the Date of Hire
* Comprehensive Well\-Being Benefits
* Flexible PTO
* Remote options for many roles and a home office stipend
**What To Expect During Your First 90 Days**
* First 30 days: you’ll spend time learning the Helix way, completing training and onboarding for your roles, and getting introduced to your team and relevant stakeholders. You’ll also gain a deeper understanding of our customers, our products, the impact we make in the lives of our communities, and how to thrive at Helix through participation in Helix U.
* Day 30 \- 60: you’ll spend time contributing to projects, deeply familiarizing yourself with team and company processes, and developing a deeper understanding of Helix’s products, services and capabilities.
* Day 60 \- 90: you’ll build your OKRs with your manager, start to take ownership of projects and initiatives on your team, and begin to demonstrate your impact on the Helix mission.
*Helix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**Compensation**
 The base pay range for this role is $145,000 – $201,250 per year.</t>
        </is>
      </c>
    </row>
    <row r="79">
      <c r="A79" t="inlineStr">
        <is>
          <t>li-4356575471</t>
        </is>
      </c>
      <c r="B79" t="inlineStr">
        <is>
          <t>Data Engineer (L5) - Messaging</t>
        </is>
      </c>
      <c r="C79" t="inlineStr">
        <is>
          <t>Netflix</t>
        </is>
      </c>
      <c r="D79" t="inlineStr">
        <is>
          <t>linkedin</t>
        </is>
      </c>
      <c r="E79">
        <f>HYPERLINK("https://www.linkedin.com/jobs/view/4356575471", "https://www.linkedin.com/jobs/view/4356575471")</f>
        <v/>
      </c>
      <c r="F79">
        <f>HYPERLINK("https://explore.jobs.netflix.net/careers/job/790313754856?utm_source=LinkedIn&amp;domain=netflix.com&amp;urlHash=BTgo", "https://explore.jobs.netflix.net/careers/job/790313754856?utm_source=LinkedIn&amp;domain=netflix.com&amp;urlHash=BTgo")</f>
        <v/>
      </c>
      <c r="G79" t="inlineStr"/>
      <c r="H79" t="inlineStr"/>
      <c r="I79"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At Netflix, Messaging refers to our off\-platform communications with members (e.g., emails, push notifications) as well as in\-product interstitials. Messaging has long been a key lever for driving growth and member engagement at Netflix. As we invest in new formats like Live Content and Games, Messaging becomes even more critical to our success. Messaging will play a critical role in notifying and reminding members when these new events occur, helping them adapt to this new model of engagement with Netflix content.
 In this role, you will work collaboratively with data engineers and other partners in the messaging space to build reliable, scalable data pipelines using Apache Spark/Flink. These pipelines will power analytic dashboards, custom viz applications, A/B experiments, and algo features.
 We cannot build one\-off pipelines for each and every use case. Rather, the right candidate will see this problem through a platform lens, building scalable, flexible data products that support the many current use cases and can adapt to future ones. This candidate will have previous experience building out new systems from the ground up and past success with complex cross\-domain partnerships.
**Who You Are**
* You have experience in distributed data processing (Batch or Streaming)
* You have strong SQL skills
* You are proficient in at least one major programming language and are passionate about writing clean, supportable code.
* You have strong data modeling skills. You design structures that adapt to changes in source data or business processes.
* You are an advocate for data quality. You have a strong opinion on when data audits, unit tests, and documentation can be most effective.
* You have strong communication skills that enable you to effectively collaborate with data scientists and engineering partners.
* You are curious about the rapidly evolving technologies in this domain. You are eager to learn and master new tech that can have a big impact on our team.
* You have proven success leading complex technical projects
* You can relate to many aspects of Netflix Culture and love to operate independently while collaborating and giving/receiving candid feedback from your team members.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$380,000\.00 \- $610,000\.00\.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80">
      <c r="A80" t="inlineStr">
        <is>
          <t>li-4339054526</t>
        </is>
      </c>
      <c r="B80" t="inlineStr">
        <is>
          <t>Data Engineer, Go-To-Market</t>
        </is>
      </c>
      <c r="C80" t="inlineStr">
        <is>
          <t>Notion</t>
        </is>
      </c>
      <c r="D80" t="inlineStr">
        <is>
          <t>linkedin</t>
        </is>
      </c>
      <c r="E80">
        <f>HYPERLINK("https://www.linkedin.com/jobs/view/4339054526", "https://www.linkedin.com/jobs/view/4339054526")</f>
        <v/>
      </c>
      <c r="F80" t="inlineStr"/>
      <c r="G80" t="inlineStr">
        <is>
          <t>San Francisco, CA</t>
        </is>
      </c>
      <c r="H80" t="inlineStr"/>
      <c r="I80"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As Notion continues to grow rapidly, we're seeking talented data engineers to join our team and help us build the foundational datasets and pipelines to support our go\-to\-market strategies. You'll be at the forefront of integrating our product and business systems to create rock solid processes that will propel us forward. If you're passionate about analytics use cases, data models, and solving complex data problems, then we want you on our team.
**What You'll Achieve**
* You'll build core datasets to serve as the sources of truth for Notion’s marketing and sales reporting, integrating data to and from business systems data and Notion’s product.
* You’ll partner closely with our Marketing, Sales, Revenue Operations, Business Technology, Business Intelligence and Data Science teams to support critical reporting and analysis needs.
* You'll design, build and monitor pipelines that meet today's requirements but can gracefully scale with our growing data size.
* You’ll help democratize access to high quality data across go\-to\-market teams, Staff, and the entire company.
**Skills You'll Need To Bring**
* You've spent 3\+ years as a data engineer building core datasets and supporting business verticals as needed, ideally in product and business areas with high data volumes. You are passionate about analytics use cases, data models and solving complex data problems.
* You have experience working with both Marketing and Sales datasets at a SaaS company, and have built integrations with business systems like Salesforce, Netsuite, Marketo, Zendesk, etc.
* You are a self\-starter and continuously gather and synthesize high\-impact needs from business partners, design and implementing the appropriate technical solutions, and effectively communicating about deliverables, timelines and tradeoffs
* You have hands\-on experience shipping scalable data solutions in the cloud (e.g AWS, GCP, Azure), across multiple data stores (e.g Snowflake, Redshift, Hive, SQL/NoSQL, columnar storage formats) and methodologies (e.g dimensional modeling, data marts, star/snowflake schemas)
* You are a SQL expert. You intimately understand aggregation functions, window functions, UDFs, self\-joins, partitioning and clustering approaches to run correct and highly\-performant queries
* You are comfortable with object\-oriented programming paradigms (e.g Python, Java, Scala)
* You don’t need to be an AI expert, but you’re curious and willing to adopt AI tools to work smarter and deliver better results
**Nice To Haves**
* You have hands\-on experience in designing and building highly scalable and reliable data pipelines using BigData stack (e.g Airflow, DBT, Spark, Hive, Parquet/ORC, Protobuf/Thrift, etc)
* You have worked with Go\-To\-Market stakeholders in the past.
* You’ve worked at a fast\-growing company or are eager to contribute in such an environment (being a current Notion user would also be great!)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$150,000 \- $177,000 per year.
 By clicking “Submit Application”, I understand and agree that Notion and its affiliates and subsidiaries will collect and process my information in accordance with Notion’s Global Recruiting Privacy Policy.</t>
        </is>
      </c>
    </row>
    <row r="81">
      <c r="A81" t="inlineStr">
        <is>
          <t>li-4344448909</t>
        </is>
      </c>
      <c r="B81" t="inlineStr">
        <is>
          <t>Data Engineer, Finance</t>
        </is>
      </c>
      <c r="C81" t="inlineStr">
        <is>
          <t>Notion</t>
        </is>
      </c>
      <c r="D81" t="inlineStr">
        <is>
          <t>linkedin</t>
        </is>
      </c>
      <c r="E81">
        <f>HYPERLINK("https://www.linkedin.com/jobs/view/4344448909", "https://www.linkedin.com/jobs/view/4344448909")</f>
        <v/>
      </c>
      <c r="F81">
        <f>HYPERLINK("https://jobs.ashbyhq.com/notion/4d1bce46-3cb1-4a26-b6c6-ac9b02ee413d?source=LinkedIn&amp;urlHash=7Xty", "https://jobs.ashbyhq.com/notion/4d1bce46-3cb1-4a26-b6c6-ac9b02ee413d?source=LinkedIn&amp;urlHash=7Xty")</f>
        <v/>
      </c>
      <c r="G81" t="inlineStr">
        <is>
          <t>San Francisco, CA</t>
        </is>
      </c>
      <c r="H81" t="inlineStr"/>
      <c r="I81"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As Notion continues to grow rapidly, we're seeking talented data engineers to join our team and help us build the foundational datasets and pipelines for robust financial reporting. You'll be at the forefront of integrating our product, financial, and business systems to create rock solid processes that will propel us forward. If you're passionate about analytics use cases, data models, and solving complex data problems, then we want you on our team.
**What You'll Achieve**
* You'll build core datasets to serve as the sources of truth for Notion’s financial reporting, integrating data from financial systems, business systems data and Notion’s product.
* You’ll partner closely with our Finance, Monetization Engineering, Business Intelligence and Data Science teams to support critical financial reporting and analysis needs.
* You'll design, build and monitor pipelines that meet today's requirements but can gracefully scale with our growing data size.
* You’ll help democratize access to high quality financial data across Finance, Staff and go\-to\-market teams.
**Skills You'll Need To Bring**
* You've spent 4\+ years as a data engineer building core datasets and supporting business verticals as needed, ideally in product and business areas with high data volumes. You are passionate about analytics use cases, data models and solving complex data problems.
* You’ve built integrations with and reporting datasets for payments, finance and business systems like Stripe, Netsuite, Adaptive, Anaplan, Salesforce and/or others.
* You are a self\-starter and continuously gather and synthesize high\-impact needs from business partners, design and implementing the appropriate technical solutions, and effectively communicating about deliverables, timelines and tradeoffs
* You have hands\-on experience shipping scalable data solutions in the cloud (e.g AWS, GCP, Azure), across multiple data stores (e.g Snowflake, Redshift, Hive, SQL/NoSQL, columnar storage formats) and methodologies (e.g dimensional modeling, data marts, star/snowflake schemas)
* You are a SQL expert. You intimately understand aggregation functions, window functions, UDFs, self\-joins, partitioning and clustering approaches to run correct and highly\-performant queries
* You are comfortable with object\-oriented programming paradigms (e.g Python, Java, Scala)
* You don’t need to be an AI expert, but you’re curious and willing to adopt AI tools to work smarter and deliver better results
**Nice To Haves**
* You have hands\-on experience in designing and building highly scalable and reliable data pipelines using BigData stack (e.g Airflow, DBT, Spark, Hive, Parquet/ORC, Protobuf/Thrift, etc)
* You have hands\-on experience building payment processing and invoice systems or have worked closely with teams that do this.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$170,000 \- $240,000\.
 By clicking “Submit Application”, I understand and agree that Notion and its affiliates and subsidiaries will collect and process my information in accordance with Notion’s Global Recruiting Privacy Policy.</t>
        </is>
      </c>
    </row>
    <row r="82">
      <c r="A82" t="inlineStr">
        <is>
          <t>li-4375805218</t>
        </is>
      </c>
      <c r="B82" t="inlineStr">
        <is>
          <t>Data Engineer</t>
        </is>
      </c>
      <c r="C82" t="inlineStr">
        <is>
          <t>Connecticut Innovations</t>
        </is>
      </c>
      <c r="D82" t="inlineStr">
        <is>
          <t>linkedin</t>
        </is>
      </c>
      <c r="E82">
        <f>HYPERLINK("https://www.linkedin.com/jobs/view/4375805218", "https://www.linkedin.com/jobs/view/4375805218")</f>
        <v/>
      </c>
      <c r="F82" t="inlineStr"/>
      <c r="G82" t="inlineStr"/>
      <c r="H82" t="inlineStr"/>
      <c r="I82" t="inlineStr">
        <is>
          <t>Are you ready to join Connecticut Innovation’s vibrant community of innovators? Connecticut Innovations (“CI”) is Connecticut’s strategic venture capital arm, and we are passionate about serving our portfolio of 220\+ companies across various industries, with strengths in life sciences, technology, and climate tech.
 Come join Arccos Golf. Golf’s \#1 Game Tracker.!
**About Arccos** 
 Named one of "The World's Most Innovative Companies" by Fast Company, Arccos is the global leader in golf data and Artificial Intelligence, and IoT sensor technology. Arccos is revolutionizing the golfing experience by delivering actionable insights that help golfers, and businesses in golf, make smarter decisions to optimize performance.
**The Opportunity** 
 Our data volume, structure, and business logic have grown faster than our underlying architecture. Today, working with our data requires deep tribal knowledge, significant time investment, and complex queries across scattered tables and pipelines.
 We are hiring a Staff Data Engineer, Data Architecture — an individual contributor who will take end\-to\-end ownership of designing, documenting, and implementing the next\-generation data architecture for Arccos. This is a rare opportunity to start with near\-greenfield autonomy, rethinking ingestion, modeling, transformations, governance, and access patterns across the entire company.
 This role is for someone who loves building systems right, turning chaos into clarity, and enabling data science, analytics, and product teams to move dramatically faster.
**Architect and Implement a Modern, Unified Data Platform** 
* Redesign Arccos's data architecture from the ground up with a focus on scalability, clarity, and long\-term maintainability.
* Create canonical models, schemas, and semantic layers that eliminate duplicated logic and reduce time\-to\-insight across teams.
* Unify fragmented tables and data sources into coherent, well\-documented, lineage\-aware structures.
* Identify where to shift business logic upstream and create reliable, auditable data transformations.
**Design a Data Ecosystem that Supports AI\-Driven Analytics** 
* Architect data structures, metadata layers, and documentation standards that enable AI tooling, including Snowflake's Conversational Analytics and emerging agentic analysis workflows.
* Build and maintain a comprehensive, AI\-ready data dictionary across MySQL and Snowflake — ensuring every table and field is clearly described, contextualized, and optimized for LLM\-based context retrieval.
* Ensure schemas, lineage, semantic layers, and business logic are organized so AI systems can reliably understand context, meaning, and relationships across datasets.
* Provide data architecture guidance and logging infrastructure to support Arccos's LLM/AI strategy.
* Build with the assumption that a growing percentage of internal analytics, querying, and business insights will be generated or augmented by AI agents.
**Build High\-Quality Data Pipelines** 
* Own ingestion and transformation pipelines spanning: app telemetry, shot and sensor data, subscriptions and commerce, internal business systems, and product analytics.
* Architect highly optimized Snowflake models and performance\-tuned warehouse patterns.
* Improve organization and access patterns across large volumes of raw and enriched S3 data, including flattening and restructuring JSON dumps and semi\-structured data.
* Use (or refine) existing orchestration tooling like Airflow; recommend improvements where appropriate.
**Create Standards, Documentation, and Governance** 
* Define naming conventions, folder structures, transformation standards, and SQL style guidelines.
* Build and maintain comprehensive data documentation, lineage mapping, and data dictionaries.
* Introduce robust data quality checks, automated validation, and monitoring.
**Partner Across the Organization** 
* Work closely with data science, engineering, product, and growth teams to create data structures that support analytics, ML, and product development.
* Contribute to active feature development in parallel with onboarding — ensuring new data structures are designed correctly from the start rather than retrofitted later.
* Dramatically simplify the downstream query experience so teams can be productive without heroic effort.
* Be the company\-wide steward of best practices for ingesting, modeling, and deploying data.
**Success Within 30 Days** 
* Develop a thorough understanding of Arccos's current data landscape — MySQL schemas, Snowflake warehouse, S3 data, pipelines, and key pain points.
* Produce a documented assessment of the ecosystem: gaps, risks, duplication, and technical debt.
* Begin contributing to active feature development and new initiatives (e.g., LLM/AI logging and data architecture needs) in parallel with onboarding.
**Success Within 60 Days** 
* Deliver a proposed Target State Architecture with clear principles and a phased implementation plan.
* Deliver an AI\-ready data dictionary covering key MySQL and Snowflake tables — every table and field documented with clear descriptions optimized for LLM consumption.
**Success Within 90 Days** 
* Stand up initial canonical models for key domains (e.g., users, sessions, commerce, shot\-level data).
* Establish naming conventions, transformation standards, and folder structures.
* Deliver initial documentation and lineage mapping for top critical pipelines.
* Reduce query complexity for high\-impact stakeholders (DS, product, exec analytics).
**Success Within 180 Days** 
* Implement major portions of the redesigned ingest \+ transformation pipeline.
* Migrate priority data sources to new canonical models.
* Introduce automated data quality checks and monitoring across core domains.
* Measurably reduce analysis time and eliminate major areas of schema confusion.
* Deliver a documented, scalable architecture that supports ML, analytics, and product needs.
* Be recognized internally as the owner and subject matter expert for Arccos's data platform.
**Required Qualifications** 
* 6–12\+ years in data engineering or data architecture roles.
* Demonstrated experience architecting both transactional database systems and data warehouses — understanding how data flows from OLTP sources into analytical environments and designing both sides well.
* Deep experience with:
* **AWS** 
 (S3, Lambda, IAM, Airflow)
* **Snowflake** 
 (performance tuning, modeling, optimization)
* **MySQL** 
 (schema design, query optimization, managing production OLTP data as a source for analytics)
* **Python** 
 for ETL/ELT development
* **SQL** 
 expertise at a high craft level.
* Proven success architecting complex, multi\-source data ecosystems.
* Experience working with large semi\-structured datasets (JSON, Parquet, logs).
* Demonstrated ability to bring order to fragmented, legacy, or fast\-evolving environments.
* Understanding of how metadata, documentation, and schema design influence LLM performance and context retrieval.
* Strong communication and documentation skills.
* Thrives as a high\-ownership, self\-directed individual contributor who can assess what needs to be done and drive toward it autonomously.
**Nice to Have Qualifications** 
* Experience with AI\-driven analytics and agentic tools (e.g., Snowflake's Conversational Analytics).
* Ability to architect data systems that support natural\-language interfaces and automated insight generation.
* Experience with analytical modeling layer tools.
* Experience supporting ML training pipelines (S3 → high\-memory/GPU compute).
* Database administration familiarity (replication, uptime management, performance troubleshooting) — this role is not a DBA, but comfort interfacing with outsourced DBA resources is a plus.
* Familiarity with MySQL schema migration strategies.
* Interest in golf or sports data (not required).
**Benefits** 
* Competitive Compensation – We offer a market\-competitive salary structure designed to attract and retain top talent.
* Comprehensive Health Coverage – Access to competitively priced medical, dental and vision insurance through our nationwide Professional Employer Organization (PEO).
* 401(k) with Company Match – Plan for your future with our employer\-sponsored 401(k) program and company matching contributions.
* Flexible Time Off – Enjoy an unlimited PTO policy built on trust, accountability and performance.
* Golf Reimbursements – We support your passion for the game and the opportunity to utilize and test our unique product offerings.
* People and Culture – Join a highly engaged, passionate team that values collaboration, initiative, and a shared love for what we do.
 Arccos is an Equal Opportunity/Affirmative Action Employer. All qualified applicants will receive consideration for employment without regard to race, color, religion, sex, pregnancy, sexual orientation, gender identity, national origin, age, protected veteran status, or disability status.</t>
        </is>
      </c>
    </row>
    <row r="83">
      <c r="A83" t="inlineStr">
        <is>
          <t>li-4344499272</t>
        </is>
      </c>
      <c r="B83" t="inlineStr">
        <is>
          <t>Analytics Engineer 5 - Identity</t>
        </is>
      </c>
      <c r="C83" t="inlineStr">
        <is>
          <t>Netflix</t>
        </is>
      </c>
      <c r="D83" t="inlineStr">
        <is>
          <t>linkedin</t>
        </is>
      </c>
      <c r="E83">
        <f>HYPERLINK("https://www.linkedin.com/jobs/view/4344499272", "https://www.linkedin.com/jobs/view/4344499272")</f>
        <v/>
      </c>
      <c r="F83">
        <f>HYPERLINK("https://explore.jobs.netflix.net/careers/job/790313310792?utm_source=LinkedIn&amp;domain=netflix.com&amp;urlHash=YbyD", "https://explore.jobs.netflix.net/careers/job/790313310792?utm_source=LinkedIn&amp;domain=netflix.com&amp;urlHash=YbyD")</f>
        <v/>
      </c>
      <c r="G83" t="inlineStr"/>
      <c r="H83" t="inlineStr"/>
      <c r="I83"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Data is at the heart of our commerce strategy. Our Commerce Data Science and Engineering team works with a broad range of collaborators and stakeholders, including Product, Engineering, and Finance to inform commerce strategy and data\-informed decision\-making through analysis, metrics research, experimentation, causal inference, and modeling, but also through exceptional judgment, partnership, and business acumen.
 As part of our investment in next\-generation commerce and identity capabilities, the Identity team is responsible for building a unified, individual\-level identity platform that will serve as the core foundation for future product experiences. This cross\-functional, cross\-domain effort will transform our understanding of users and how identity signals are captured, connected, and utilized across the Netflix ecosystem. Our mission is to deliver a more consistent, accurate, and personalized experience for every individual who interacts with Netflix.
 We are hiring a founding Analytics Engineer to help define this space from the ground up and develop the analytical frameworks that will power new commerce experiences at a global scale. As an Analytics Engineer, you will join a team of other stunning Analytics Engineers, Data Scientists, Machine Learning Scientists, and Research Engineers. You will utilize data to identify opportunities and inform product decisions within the identity space. You will collaborate with the commerce team, data engineers, and analysts to provide insights and tooling to scale data\-driven decision\-making for Netflix.
**In This Role, You Will**
* Partner directly with our cross\-functional stakeholders on data, metrics \&amp; analytics initiatives
* Proactively identify and perform data exploration and deep dives to influence future product directions
* Develop and validate the appropriate metrics to measure success in the identity space
* Improve foundational data models while designing, owning, and implementing analytical layers and visualizations for scalable analytics
* Collaborate with the data engineering and data science teams to ensure data quality, integrity, and availability for analysis
* Contribute to the excellence of the Netflix analytics engineering community
* Live Netflix values while bringing a new perspective to continue improving our culture
**To Be Successful In This Role, You Have**
* 5\+ years of industry experience in a data analytics or data science function
* Expertise in SQL, programming skills (e.g., Python or R, Scala), and some exposure to ETL and data warehousing concepts
* A proven track record of data analysis, maintaining analytical layers, reporting, and visualization (e.g., Plotly Dash, Streamlit, Tableau)
* Exceptional communication, storytelling, and collaboration skills coupled with strong business curiosity and acumen
* Comfort with ambiguity; able to take ownership, and thrive with minimal oversight and process
* Experience managing expectations and relationships across a variety of stakeholders
* An interest in Netflix culture
* Familiarity with applied A/B testing experimentation fundamentals is a plus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$330,000\.00 \- $566,000\.00\.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84">
      <c r="A84" t="inlineStr">
        <is>
          <t>li-4317203984</t>
        </is>
      </c>
      <c r="B84" t="inlineStr">
        <is>
          <t>Data Engineer</t>
        </is>
      </c>
      <c r="C84" t="inlineStr">
        <is>
          <t>Carrot</t>
        </is>
      </c>
      <c r="D84" t="inlineStr">
        <is>
          <t>linkedin</t>
        </is>
      </c>
      <c r="E84">
        <f>HYPERLINK("https://www.linkedin.com/jobs/view/4317203984", "https://www.linkedin.com/jobs/view/4317203984")</f>
        <v/>
      </c>
      <c r="F84" t="inlineStr"/>
      <c r="G84" t="inlineStr"/>
      <c r="H84" t="inlineStr"/>
      <c r="I84"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Role overview
 The Data Engineer helps evolve the reliability and scalability of Carrot’s modern data platform across analytics, reporting, and business intelligence. They build and maintain robust, automated data pipelines and partner with cross\-functional stakeholders to deliver secure, compliant, high\-quality data solutions.
 This role is hands\-on across the data lifecycle—contributing to resilient ETL/ELT pipelines, real\-time and batch integrations, and workflow orchestration—while steadily improving automation, cost efficiency, and documentation quality.
 You will improve the reliability and scalability of Carrot’s data platform, reduce manual operational risk through automation, and enable stakeholders with secure, high\-quality data—while growing your scope toward deeper ownership and technical leadership over time.
 Key responsibilities
 * Data pipeline development and operations: Build, test, deploy, monitor, and iterate on scalable ETL/ELT pipelines using platforms such as dbt and Fivetran; contribute to standard workflows (e.g., member engagement, finance/billing reports) and support ad hoc reporting needs.
* Warehouse and lake stewardship: Contribute to the design and continuous improvement of Snowflake and related cloud data platforms (AWS/GCP), including source integrations, performance tuning, and cost optimizations.
* Workflow orchestration and integrations: Develop auditable orchestration flows with tools like Prefect or Airflow; integrate with services such as S3, SFTP, APIs, and Files.com: Next\-Generation MFT, SFTP \&amp; File Sharing ; implement robust alerting, retries, and monitoring.
* Infrastructure optimization: Identify opportunities to improve pipeline speed, reliability, and cost; help refactor legacy processes, reduce manual steps, and document changes for scale and reuse.
* Partner\- and stakeholder\-facing deliverables: Support automated data integrations and exports (e.g., eligibility feeds, payroll/tax/billing files) with finance, product, legal, and commercial teams; help enforce data specs and secure handling of sensitive information.
* Change management and auditability: Follow best practices for Git/GitHub, code reviews, testing, Jira workflows, audit\-trail documentation, and exception logging; uphold InfoSec and compliance standards across the data lifecycle.
* Analytics enablement: Help design modular, well\-documented data models and marts (dbt/Snowflake) that enable BI and data science use cases (e.g., segmentation, provider matching, engagement analytics).
* Incident participation and support: Participate in on\-call or escalation routines for high\-impact data incidents; assist with root\-cause analysis, remediation, and clear stakeholder communications.
* Process automation: Codify business rules and automate recurring cycles (e.g., monthly finance handoffs, audit logs) to reduce manual intervention and operational risk.
* Data security and governance: Implement privacy\-conscious practices such as masking and de\-identification; contribute to safe, compliant access across the stack and external data exchanges.
 Minimum qualifications
 * Proficiency with Snowflake, dbt, and Python for data modeling, transformations, and pipeline development in production environments.
* Strong SQL skills for complex querying and performance optimization across large datasets.
* Experience building and maintaining automated ETL/ELT pipelines using orchestration tools such as Prefect or Airflow, including alerting, dependency management, and retries.
* Hands\-on exposure to cloud data platforms (e.g., Snowflake, AWS S3/Redshift, Google Cloud) and integrating new data sources at scale.
* Understanding of secure external data flows via SFTP, Files.com: Next\-Generation MFT, SFTP \&amp; File Sharing, and APIs, with attention to reliability and compliance requirements.
* Comfort with Git/GitHub and Jira for version control, code reviews, and operational transparency in a team setting.
* Track record of automating manual workflows and creating reusable components that reduce operational overhead.
* Collaborative, dependable working style with adaptability in dynamic environments and clear communication with technical and non\-technical partners.
 Preferred qualifications
 * Experience in fast\-paced or growth environments delivering data solutions under shifting priorities and timelines.
* Background enabling BI and data science teams via scalable integrations, data marts, and documentation that supports multi\-tenant reporting or advanced analytics.
* Familiarity with batch and event\-driven paradigms, including near\-real\-time pipelines using Snowflake, dbt, and Python.
* Experience automating operational, financial, or compliance\-driven workflows in cloud data environments.
* Exposure to audit, privacy, and compliance frameworks (e.g., SOC, HIPAA, GDPR, ISO, SOX) and role\-based access controls in regulated or healthtech contexts.
**Compensation:** 
 Carrot offers a comprehensive Total Rewards package designed to support our employees in all aspects of their lives both inside and outside of work. This includes health and wellness benefits, retirement savings plans, short\- and long\-term incentives, parental leave, family\-forming assistance, and a competitive compensation package. The starting base salary for this position will range from $104,000\.00 to $130,000\.00\. Actual compensation may differ from the listed base salary based on your specific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85">
      <c r="A85" t="inlineStr">
        <is>
          <t>li-4374605190</t>
        </is>
      </c>
      <c r="B85" t="inlineStr">
        <is>
          <t>Data Engineer</t>
        </is>
      </c>
      <c r="C85" t="inlineStr">
        <is>
          <t>AARATECH</t>
        </is>
      </c>
      <c r="D85" t="inlineStr">
        <is>
          <t>linkedin</t>
        </is>
      </c>
      <c r="E85">
        <f>HYPERLINK("https://www.linkedin.com/jobs/view/4374605190", "https://www.linkedin.com/jobs/view/4374605190")</f>
        <v/>
      </c>
      <c r="F85" t="inlineStr"/>
      <c r="G85" t="inlineStr"/>
      <c r="H85" t="inlineStr"/>
      <c r="I85"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86">
      <c r="A86" t="inlineStr">
        <is>
          <t>li-4301890430</t>
        </is>
      </c>
      <c r="B86" t="inlineStr">
        <is>
          <t>Senior Data Platform Engineer</t>
        </is>
      </c>
      <c r="C86" t="inlineStr">
        <is>
          <t>Samsara</t>
        </is>
      </c>
      <c r="D86" t="inlineStr">
        <is>
          <t>linkedin</t>
        </is>
      </c>
      <c r="E86">
        <f>HYPERLINK("https://www.linkedin.com/jobs/view/4301890430", "https://www.linkedin.com/jobs/view/4301890430")</f>
        <v/>
      </c>
      <c r="F86" t="inlineStr"/>
      <c r="G86" t="inlineStr"/>
      <c r="H86" t="inlineStr"/>
      <c r="I86"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The Integrations, Data Engineering and AI (IDEA) team within Samsara’s Business Technology organization is looking for a Senior Data Platform Engineer to join our team. We enable various teams at Samsara to leverage GenAI and data to glean insights and make data\-driven decisions by delivering a reliable data platform and trustworthy data and analytics. We are a team that are passionate about leveraging quality data and AI to deliver a great customer experience. Our team promotes an agile, collaborative, supportive environment where diverse thinking, innovative design, and experimentation is welcomed and encouraged.
**This role is open to candidates residing in the US except San Francisco Bay Area and New York Metro City.**
**You should apply if:**
* You want to impact the industries that run our world: Your efforts will result in real\-world impact—helping to keep the lights on, get food into grocery stores, reduce emissions, and most importantly, ensure workers return home safely.
*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 You’re energized by our opportunity: The vision we have to digitize large sectors of the global economy requires your full focus and best efforts to bring forth creative, ambitious ideas for our customers.
* You want to be with the best: At Samsara, we win together, celebrate together and support each other. You will be surrounded by a high\-calibre team that will encourage you to do your best.
**In this role, you will:**
 Databricks
* Administer and monitor Databricks workspaces and underlying AWS Infra. Develop platform admin tools and capabilities to effectively administer, monitor, track and troubleshoot Databricks resources: clusters, catalogs, users, groups, databases, storage and security.
* Act as the primary Databricks SME, assisting and guiding teams on platform features and best practices.
* Collaborate with data engineers, analysts, and data scientists to operationalize and optimize workflows and data pipelines.
 Infrastructure \&amp; DevOps
* Oversee data\-engineering dev ecosystem, including dev\-tooling, CI/CD pipelines, and monitoring frameworks.
* Own implementation and management of IaaC (Terraform, CloudFormation) and CI/CD automation for Databricks and AWS resources.
* Ensure security, high availability, disaster recovery, and compliance across data services.
* Incorporate DevOps best practices including automated testing, deployment, observability, and monitoring.
 Cross\-Functional Collaboration \&amp; Enablement
* Engage directly with internal cross\-functional stakeholders to understand their data needs and design scalable solutions.
* Collaborate with engineers, managers, and vendor representatives in evaluating new features and solutions. Lead rapid prototyping and proof\-of\-concepts to evaluate for performance, cost, security, scalability, observability.
* Provide mentorship to junior team members, and provide technical guidance, training, and knowledge\-sharing across teams.
**Minimum requirements for this role:**
* Bachelor's or Master's degree in Computer Sciences, Software Engineering, Electrical Engineering, Computer Engineering, or related discipline
* 10\+ years experience in a Software Engineering, Platform Engineering, Data Engineering, DevOps/DataOps or similar technical role, including at least 2\+ years experience in data infrastructure or platform focused role.
* Experience building, delivery and administering large\-scale production\-grade data platforms and services to data engineering, business analyst and data\-science teams.
* Solid knowledge of Databricks features and administration, including Unity Catalog, cluster management, security, conducting troubleshooting and root\-cause analysis, and performance optimization.
* Experience and familiarity with AWS services and Cloud Infrastructure provisioning, management, monitoring, and security (e.g., S3, IAM, RDS, Lambda, API\-Gateway, VPC, EC2, ECS/EKS).
* Strong knowledge of SQL and Python, and hands\-on data\-engineering experience in designing and developing data pipelines and ETL routines from a variety of sources (SaaS corporate systems, APIs, RDBMS).
* Skilled with change\-data capture, incremental and batch loading techniques. Experienced in troubleshooting underlying issues and translating them into technical solutions.
* Excellent problem\-solving, communication, and stakeholder management skills.
**An ideal candidate also has:**
* Experience delivering and managing Databricks and AWS Infra for 100s of users
* Experience as a technical lead.
* Knowledge of DevOps tools and practices: GitHub/GitLab, CI/CD systems, Terraform, monitoring/logging tools (e.g., Datadog, CloudWatch).
* Experience implementing robust data governance and security measures to ensure data integrity and compliance.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$134,470—$180,800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87">
      <c r="A87" t="inlineStr">
        <is>
          <t>li-4315399398</t>
        </is>
      </c>
      <c r="B87" t="inlineStr">
        <is>
          <t>Analytics Engineer</t>
        </is>
      </c>
      <c r="C87" t="inlineStr">
        <is>
          <t>Pave</t>
        </is>
      </c>
      <c r="D87" t="inlineStr">
        <is>
          <t>linkedin</t>
        </is>
      </c>
      <c r="E87">
        <f>HYPERLINK("https://www.linkedin.com/jobs/view/4315399398", "https://www.linkedin.com/jobs/view/4315399398")</f>
        <v/>
      </c>
      <c r="F87" t="inlineStr"/>
      <c r="G87" t="inlineStr">
        <is>
          <t>New York, NY</t>
        </is>
      </c>
      <c r="H87" t="inlineStr"/>
      <c r="I87" t="inlineStr">
        <is>
          <t>**Who We Are**
 At Pave, we're building the industry’s leading compensation platform, combining the world's largest real\-time compensation dataset with deep expertise in AI and machine learning. Our platform is perfecting the art and science of pay to give 8,500\+ companies unparalleled confidence in every compensation decision.
 Top tier companies like OpenAI, McDonald’s, Instacart, Atlassian, Synopsys, Stripe, Databricks, and Waymo use Pave, transforming every pay decision into a competitive advantage. $190\+ billion in total compensation spend is managed in our workflows, and 70% of Forbes AI 50 use Pave to benchmark compensation.
 The future of pay is real\-time \&amp; predictive, and we’re making it happen right now. We’ve raised $160M in funding from leading investors like Andreessen Horowitz, Index Ventures, Y Combinator, Bessemer Venture Partners, and Craft Ventures.
 The Data Team @ Pave
 As part of the Data team at Pave, you will help us redefine how companies understand the labor market and determine compensation. Even the most innovative tech companies in the world often use spreadsheets full of flawed statistics to determine how to pay. At Pave we’ve built a system of real\-time integrations that allow us to bring best practices from machine learning, data science, software tooling, and AI to an industry that is built on data, but doesn’t have the tools it needs to fully leverage it.
**What You'll Do**
* Extend and maintain core data models that power Pave's compensation intelligence products
* Design scalable data pipelines that support production use cases across our product suite, with an emphasis on Market Data
* Own data observability by implementing monitoring, testing, and validation frameworks that maintain trust in our dataset as it scales
* Collaborate cross\-functionally with data scientists, product managers and software engineers to translate product needs into insights that supported our thousands of customers
* Help drive millions of dollars of revenue growth
**What You'll Bring**
* Product Mindset \- You want to be a core contributor in building and maintaining the data infrastructure for a product. You intuitively understand how decisions made within the data pipeline affect the user experience downstream.
* Scalability \- You design and implement systems that are robust and scalable, ensuring they can efficiently handle future growth and evolving use\-cases.
* Bias for Action \- You’re a catalyst and an accelerator. You’re constantly unblocking yourself and others while making strategic trade\-offs.
* Experience \- 4\+ years of experience in a Data/Analytics Engineering role, ideally in a product\-facing capacity. Proficiency with dbt and airflow, and familiarity with cloud data warehouses.
* Exposure to ML workflows \- you've collaborated with data scientists or machine learning engineers to transform features, create training data sets, and deploy and monitor models
* Track record of impact \- you've shipped data products or infrastructure that meaningfully improved business outcomes and end user experiences
**Compensation, It's What We Do.**
 Salary is just one component of Pave's total compensation package for employees. Your total rewards package at Pave will include equity, top\-notch medical, dental, and vision coverage, an unlimited PTO policy, and many other region\-specific benefits. Your level is based on our assessment of your interview performance and experience, which you can always ask the hiring manager about to understand in more detail. This salary range may include multiple levels.
 The targeted cash compensation for this position is (level depends on experience and performance in the interview process):
 P3: $174,250 \- $205,000
 P4: $205,700 \- $242,000
**Life @ Pave**
 Since being founded in 2019, Pave has established a robust global footprint. Headquartered in San Francisco's Financial District, we operate strategic regional hubs across New York City's Flatiron District, Salt Lake City, and the United Kingdom. We cultivate a vibrant, collaborative workplace culture through our hybrid model, bringing teams together in\-person on Mondays, Tuesdays, Thursdays, and Fridays to foster innovation and strengthen professional relationships
**Benefits** 
**@ Pave**
 At Pave, career advancement drives everything—roles expand, responsibilities deepen, and compensation rises alongside your professional growth.
**What We Provide**
* Complete Health Coverage: Comprehensive Medical, Dental and Vision coverage for you and your family, with plenty of options to suit your needs
* Time off \&amp; Flexibility: Flexible PTO and the ability to work from anywhere in the world for a month
* Meals \&amp; Snacks: Lunch \&amp; dinner stipends as well as fully stocked kitchens to fuel you
* Professional Development: Quarterly education stipend to continuously grow
* Family Support: Robust parental leave to bond with your new family
* Commuter Assistance: A commuter stipend to help you collaborate in person
**Vision** 
 \- Our vision is to unlock a labor market built on trust
**Mission** 
 \- Our team's mission is to build confidence in every compensation decision
**Are you ready to help our customers make smarter, more effective compensation decisions?**</t>
        </is>
      </c>
    </row>
    <row r="88">
      <c r="A88" t="inlineStr">
        <is>
          <t>li-4375672708</t>
        </is>
      </c>
      <c r="B88" t="inlineStr">
        <is>
          <t>Data Engineer</t>
        </is>
      </c>
      <c r="C88" t="inlineStr">
        <is>
          <t>Calyptus</t>
        </is>
      </c>
      <c r="D88" t="inlineStr">
        <is>
          <t>linkedin</t>
        </is>
      </c>
      <c r="E88">
        <f>HYPERLINK("https://www.linkedin.com/jobs/view/4375672708", "https://www.linkedin.com/jobs/view/4375672708")</f>
        <v/>
      </c>
      <c r="F88" t="inlineStr"/>
      <c r="G88" t="inlineStr">
        <is>
          <t>New York, United States</t>
        </is>
      </c>
      <c r="H88" t="inlineStr"/>
      <c r="I88"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Build reliable pipelines to ingest on\-chain data into ClickHouse (or similar OLAP systems)
* Interact with Solana full nodes or RPC infrastructure to extract raw blockchain data
* Design and maintain dashboards to visualize key metrics
* Maintain data accuracy, uptime, and performance of analytics services
* Extract and process validator performance metrics and staking rewards data
**Requirements** 
* Deep familiarity with ClickHouse, Grafana, or equivalent data/visualization stacks
* 3\+ years of experience with Python and shell scripting
* 2\+ years of experience with Rust
* Experience with blockchain indexers or off\-chain data APIs
* Bonus: Understanding of Solana's account model, transaction structure, and program architecture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89">
      <c r="A89" t="inlineStr">
        <is>
          <t>li-4374397232</t>
        </is>
      </c>
      <c r="B89" t="inlineStr">
        <is>
          <t>Data Engineer</t>
        </is>
      </c>
      <c r="C89" t="inlineStr">
        <is>
          <t>AARATECH</t>
        </is>
      </c>
      <c r="D89" t="inlineStr">
        <is>
          <t>linkedin</t>
        </is>
      </c>
      <c r="E89">
        <f>HYPERLINK("https://www.linkedin.com/jobs/view/4374397232", "https://www.linkedin.com/jobs/view/4374397232")</f>
        <v/>
      </c>
      <c r="F89" t="inlineStr"/>
      <c r="G89" t="inlineStr"/>
      <c r="H89" t="inlineStr"/>
      <c r="I89"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90">
      <c r="A90" t="inlineStr">
        <is>
          <t>li-4374613049</t>
        </is>
      </c>
      <c r="B90" t="inlineStr">
        <is>
          <t>Data Engineer</t>
        </is>
      </c>
      <c r="C90" t="inlineStr">
        <is>
          <t>AARATECH</t>
        </is>
      </c>
      <c r="D90" t="inlineStr">
        <is>
          <t>linkedin</t>
        </is>
      </c>
      <c r="E90">
        <f>HYPERLINK("https://www.linkedin.com/jobs/view/4374613049", "https://www.linkedin.com/jobs/view/4374613049")</f>
        <v/>
      </c>
      <c r="F90" t="inlineStr"/>
      <c r="G90" t="inlineStr"/>
      <c r="H90" t="inlineStr"/>
      <c r="I90"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91">
      <c r="A91" t="inlineStr">
        <is>
          <t>li-4347563800</t>
        </is>
      </c>
      <c r="B91" t="inlineStr">
        <is>
          <t>Data Engineer</t>
        </is>
      </c>
      <c r="C91" t="inlineStr">
        <is>
          <t>Suno</t>
        </is>
      </c>
      <c r="D91" t="inlineStr">
        <is>
          <t>linkedin</t>
        </is>
      </c>
      <c r="E91">
        <f>HYPERLINK("https://www.linkedin.com/jobs/view/4347563800", "https://www.linkedin.com/jobs/view/4347563800")</f>
        <v/>
      </c>
      <c r="F91" t="inlineStr"/>
      <c r="G91" t="inlineStr">
        <is>
          <t>New York, NY</t>
        </is>
      </c>
      <c r="H91" t="inlineStr"/>
      <c r="I91" t="inlineStr">
        <is>
          <t>**About Suno**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We’re seeking talented data engineers to join our founding team, working closely with key stakeholders and taking ownership of building and shaping Suno’s core data foundation.
 Check out our Suno version of the job here!
**What You’ll Do**
* Serve as a critical contributor to the Suno products team, providing insights and solutions that influence high\-level decisions and shape the product roadmap.
* Design, develop, and maintain complex data products, systems, platforms, and pipelines to build scalable, secure, and high\-quality big data solutions that seamlessly integrate diverse data sources, process high\-volume real\-time and batch data, and ensure data integrity, quality, and compliance.
* Collaborate with scientists, ML engineers, software developers, business leaders, and product teams to define data requirements, architect solutions, and implement data\-driven opportunities that enhance customer experiences.
* Leverage advanced analytics and data engineering practices to uncover actionable customer insights that drive the development of innovative and enhanced customer experiences for Suno.
* Implement and monitor data systems to ensure high availability, reliability, and scalability while advocating for and applying best practices in big data engineering and analytics.
**What You’ll Need**
* 5\+ years of experience in data engineering, with a strong grasp of Big Data engineering concepts, data architecture design, and performance optimization.
* Experience with data modeling, warehousing and building ETL pipelines.
* Experience with SQL and Python.
* Experience in scaling data pipelines from the ground up (0 to 1\)
* Familiarity with Airflow, DBT, and Snowflake is a strong advantage.
* Passionate about engineering excellence, rapid iteration, learning, and hard work.
* Technical leadership or management experience is a plus.
* A love of music (listening, exploring, making) is a huge plus.
* Bachelor's degree or equivalent required.
**Additional Notes:** 
 Applicants must be eligible to work in the US.
**Perks \&amp; Benefits For Full\-Time Employees**
* Company Equity Package
* 401(k) with 3% Employer Match \&amp; Roth 401(k)
* Medical, Dental, \&amp; Vision Insurance (PPO w/ HSA \&amp; FSA options)
* 11 Paid Holidays \+ Unlimited PTO \&amp; Sick Time
* 16 Weeks of Paid Parental Leave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92">
      <c r="A92" t="inlineStr">
        <is>
          <t>li-4374397203</t>
        </is>
      </c>
      <c r="B92" t="inlineStr">
        <is>
          <t>Data Engineer</t>
        </is>
      </c>
      <c r="C92" t="inlineStr">
        <is>
          <t>AARATECH</t>
        </is>
      </c>
      <c r="D92" t="inlineStr">
        <is>
          <t>linkedin</t>
        </is>
      </c>
      <c r="E92">
        <f>HYPERLINK("https://www.linkedin.com/jobs/view/4374397203", "https://www.linkedin.com/jobs/view/4374397203")</f>
        <v/>
      </c>
      <c r="F92" t="inlineStr"/>
      <c r="G92" t="inlineStr"/>
      <c r="H92" t="inlineStr"/>
      <c r="I92"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93">
      <c r="A93" t="inlineStr">
        <is>
          <t>li-4373470130</t>
        </is>
      </c>
      <c r="B93" t="inlineStr">
        <is>
          <t>Senior Data Engineer - AI - ETL - Multi Strategy Hedge Fund - NY - Up to $500k TC</t>
        </is>
      </c>
      <c r="C93" t="inlineStr">
        <is>
          <t>Mondrian Alpha</t>
        </is>
      </c>
      <c r="D93" t="inlineStr">
        <is>
          <t>linkedin</t>
        </is>
      </c>
      <c r="E93">
        <f>HYPERLINK("https://www.linkedin.com/jobs/view/4373470130", "https://www.linkedin.com/jobs/view/4373470130")</f>
        <v/>
      </c>
      <c r="F93" t="inlineStr"/>
      <c r="G93" t="inlineStr"/>
      <c r="H93" t="inlineStr"/>
      <c r="I93" t="inlineStr">
        <is>
          <t>**Senior Data Engineer \- AI \- ETL \- Multi Strategy Hedge Fund \- NY \- Up to $500k TC** 
*We’re working with a global investment firm managing over $30bn AUM, which has invested heavily in modernising its data stack and is continuing to grow. This is a chance to be a core Data Engineer in a small, high‑impact team, owning the pipelines and ETL workflows that power trading, research, risk and portfolio decisions end to end.* 
**The Opportunity** 
 You’ll be engineering the backbone of the firm’s data ecosystem: designing and scaling robust, production‑grade data pipelines that feed systematic strategies, risk engines and analytics. You’ll work closely with quants, traders, risk and technology leadership to turn messy, heterogeneous data into clean, trusted, well‑documented “golden sources” that the business can rely on. The firm has recently brought in senior talent from leading systematic platforms such as DRW and Millennium to help drive this build‑out and long‑term data strategy.
**What you’ll work on** 
* Design, build and optimise ETL/ELT pipelines across trading, alpha research, risk management, accounting and more.
* Create and own golden source datasets (security master, account master, price master) that everything else downstream relies on.
* Develop shared Python libraries for data APIs, logging and core data services, improving developer productivity across the firm.
* Ensure high data quality, observability and governance using modern tooling and best practices.
* Optimise large‑scale data processing workflows for performance, reliability and cost efficiency.
* Partner with technical and non‑technical stakeholders to understand requirements and ship pragmatic, well‑communicated solutions.
* Troubleshoot and support data pipelines, APIs and database performance issues in production.
**What we’re looking for** 
* 6\+ years of software development experience, including 2\+ years focused on data engineering.
* Strong Python and SQL, with extensive hands‑on ETL/ELT pipeline design and automation experience.
* Solid foundations in data structures, data modelling, query design and performance tuning in SQL databases (e.g. Postgres, MS SQL Server).
* Experience with containerisation and deployment (Docker, Kubernetes).
* Familiarity with modern data transformation and governance/observability tools.
* Excellent communication skills and the ability to collaborate across quant, trading, risk and engineering teams.
**Nice to have** 
* Experience with modern cloud data platforms (e.g. Snowflake, Databricks or similar).
* Financial markets literacy across asset classes (equities, fixed income, futures, options).
* Experience with data observability tools (e.g. OpenMetadata, Great Expectations).
* Dashboarding/BI experience and/or Python web APIs (e.g. FastAPI).
* Exposure to distributed processing frameworks such as Dask or Spark.
**Location \&amp; Working model** 
 This role is based in New York, operating on a hybrid model of four days per week in the office with one day remote. You’ll join a lean, senior team with an owner’s mindset, where smart risk‑taking, collaboration, humility and integrity are genuinely part of how decisions get made.
 If you’re a Data Engineer who enjoys owning mission‑critical pipelines, working close to the investment decision‑making process and shaping a modern data platform rather than just inheriting one, we’d like to hear from you. Apply here or reach out directly for a confidential conversation.</t>
        </is>
      </c>
    </row>
    <row r="94">
      <c r="A94" t="inlineStr">
        <is>
          <t>li-4375696590</t>
        </is>
      </c>
      <c r="B94" t="inlineStr">
        <is>
          <t>Data Engineer</t>
        </is>
      </c>
      <c r="C94" t="inlineStr">
        <is>
          <t>NeerInfo Solutions</t>
        </is>
      </c>
      <c r="D94" t="inlineStr">
        <is>
          <t>linkedin</t>
        </is>
      </c>
      <c r="E94">
        <f>HYPERLINK("https://www.linkedin.com/jobs/view/4375696590", "https://www.linkedin.com/jobs/view/4375696590")</f>
        <v/>
      </c>
      <c r="F94" t="inlineStr"/>
      <c r="G94" t="inlineStr">
        <is>
          <t>Richardson, TX</t>
        </is>
      </c>
      <c r="H94" t="inlineStr"/>
      <c r="I94" t="inlineStr">
        <is>
          <t>**Job Title: GCP data engineer** 
**Location: Richardson, TX / Jersey City, NJ (Onsite)** 
**Job type: full\-time** 
**Job Description** 
**We are seeking GCP data engineer** 
 . In this role, you will enable digital transformation for our clients in a global delivery model, research on technologies independently, recommend appropriate solutions and contribute to technology\-specific best practices and standards. You will be responsible to interface with key stakeholders and apply your technical proficiency across different stages of the Software Development Life Cycle. You will be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At least 4 years of Information Technology experience.
* Experience working with technologies like – GCP with data engineering – data flow / air flow, pub sub/ kafta, data proc/Hadoop, Big Query.
* ETL development experience with strong SQL background such as Python/R, Scala, Java, Hive, Spark, Kafka
* Strong knowledge on Python Program development to build reusable frameworks, enhance existing frameworks.
* Application build experience with core GCP Services like Dataproc, GKE, Composer,
**Preferred Qualifications:** 
* Good knowledge on Google Big Query, using advance SQL programing techniques to build Big Query Data sets in Ingestion and Transformation layer.
* Experience in Relational Modeling, Dimensional Modeling and Modeling of Unstructured Data
* Knowledge on Airflow Dag creation, execution, and monitoring.
* experience in Tera data
* Good understanding of Agile software development frameworks
* Ability to work in teams in a diverse, multi\-stakeholder environment comprising of Business and Technology teams.
* Experience and desire to work in a global delivery environment.</t>
        </is>
      </c>
    </row>
    <row r="95">
      <c r="A95" t="inlineStr">
        <is>
          <t>li-4329948151</t>
        </is>
      </c>
      <c r="B95" t="inlineStr">
        <is>
          <t>Data Engineer</t>
        </is>
      </c>
      <c r="C95" t="inlineStr">
        <is>
          <t>Solace</t>
        </is>
      </c>
      <c r="D95" t="inlineStr">
        <is>
          <t>linkedin</t>
        </is>
      </c>
      <c r="E95">
        <f>HYPERLINK("https://www.linkedin.com/jobs/view/4329948151", "https://www.linkedin.com/jobs/view/4329948151")</f>
        <v/>
      </c>
      <c r="F95" t="inlineStr"/>
      <c r="G95" t="inlineStr"/>
      <c r="H95" t="inlineStr"/>
      <c r="I95" t="inlineStr">
        <is>
          <t>**About Solace**
 Healthcare in the U.S. is fundamentally broken. The system is so complex that 88% of U.S. adults do not have the health literacy necessary to navigate it without help. Solace cuts through the red tape of healthcare by pairing patients with expert advocates and giving them the tools to make better decisions—and get better outcomes.
 We're a Series C startup, founded in 2022 and backed by Inspired Capital, Craft Ventures, Torch Capital, Menlo Ventures, Signalfire, and IVP. Our U.S. based team is lean, mission\-driven, and growing quickly.
 Solace isn't a place to coast. We're here to redefine healthcare—and that demands urgency, precision, and heart. If you're looking to stretch yourself, sharpen your edge, and do the best work of your life alongside a team that cares deeply, you're in the right place. We’re intense, and we like it that way.
***Read more in our Bloomberg funding announcement***
***here***
***.***
**About The Role**
 At Solace, we are building the data foundation that will power patient outcomes. We are a small but growing team where everyone wears many hats and moves fast. We are looking for a Data Engineer who loves solving hard problems with clean, maintainable code and thrives in this high\-growth startup environment.
 In this role, you will architect the infrastructure that allows us to scale. You will be a core builder of our data platform, establishing the frameworks, standards, and best practices that will define our engineering culture for years to come. From raw data ingestion to complex modeling, your work will ensure that our data is not just available, but trusted, reliable, and ready for action.
 What You’ll Do
* Architect Robust Pipelines: Design, build, and optimize scalable data pipelines using Airflow, Python, dbt, and Snowflake. You will replace brittle manual processes with resilient, automated workflows.
* Build Infrastructure as Code: Manage and evolve our cloud infrastructure (AWS/GCP) using Terraform, ensuring our platform is reproducible, secure, and scalable.
* Elevate Code Quality: Write clean, production\-grade code for complex data processing. You will champion engineering best practices, including code reviews, testing, and CI/CD.
* Optimize Data Models: Collaborate with analysts to design performant SQL transformations and data models in Snowflake (experience with dbt is a huge plus).
* Ensure Data Reliability: Implement observability and monitoring to catch issues before they impact stakeholders. You are the first line of defense for data quality.
* Partner Cross\-Functionally: Work closely with Data Analysts and Product Managers to understand their data needs and deliver high\-quality data products that empower decision\-making.
 What You Bring to the Table
* Strong Python Proficiency: You are comfortable writing modular, testable, and efficient Python code for data processing and automation.
* Advanced SQL \&amp; Snowflake: You have deep expertise in SQL and cloud data warehousing (Snowflake preferred), understanding how to optimize queries for performance and cost.
* Orchestration Mastery: Proven experience building and maintaining complex workflows using Airflow (or similar tools).
* Infrastructure Mindset: Familiarity with Terraform and cloud services (AWS or GCP). You understand how to provision and manage the resources your pipelines run on.
* Security \&amp; Stewardship: You understand the gravity of handling sensitive medical data. You are experienced in properly handling PHI and PII, implementing secure access controls (RBAC), and adhering to strict governance standards.
* Startup DNA: You are a self\-starter who is comfortable with ambiguity. You take ownership of problems and are willing to wear many hats to get the job done.
* Communication Skills: You can translate complex technical challenges into clear options for non\-technical stakeholders.
 Bonus Points
* dbt Expertise: Experience using dbt to manage transformations and implement testing/documentation standards.
* Healthcare Background: Experience working with healthcare data standards or strictly regulated environments (HIPAA) a plus.
* Containerization: Experience with Docker and Kubernetes for deploying data applications.
 Our Tech Stack
* Compute \&amp; Storage: Snowflake, Postgres
* Orchestration: Airflow
* Infrastructure: Terraform, AWS/GCP
* Transformation: dbt, SQL, Python
*Applicants must be based in the United States.*
**Up for the Challenge?**
 We look forward to meeting you.
**Fraudulent Recruitment Advisory:** 
 Solace Health will
 **NEVER** 
 request bank details or offer employment without an interview. All legitimate communications come from official solace.health emails only or ashbyhq.com. Report suspicious activity to recruiting@solace.health or advocate@solace.health.</t>
        </is>
      </c>
    </row>
    <row r="96">
      <c r="A96" t="inlineStr">
        <is>
          <t>li-4366863912</t>
        </is>
      </c>
      <c r="B96" t="inlineStr">
        <is>
          <t>Data Engineer (Streaming &amp; Analytics)</t>
        </is>
      </c>
      <c r="C96" t="inlineStr">
        <is>
          <t>CRG</t>
        </is>
      </c>
      <c r="D96" t="inlineStr">
        <is>
          <t>linkedin</t>
        </is>
      </c>
      <c r="E96">
        <f>HYPERLINK("https://www.linkedin.com/jobs/view/4366863912", "https://www.linkedin.com/jobs/view/4366863912")</f>
        <v/>
      </c>
      <c r="F96" t="inlineStr"/>
      <c r="G96" t="inlineStr">
        <is>
          <t>North Fort Myers, FL</t>
        </is>
      </c>
      <c r="H96" t="inlineStr"/>
      <c r="I96" t="inlineStr">
        <is>
          <t>Must sit onsite in Florida
 Monday – Friday / 8:00am \- 5:00pm
 Salary: $115,000\+
 No Sponsorship Available / No C2C
 The Data Engineer is responsible for building and maintaining data pipelines, streaming systems, and transformation layers that power our new Microsoft\-centered analytics ecosystem. This role is essential in modernizing our data platform that integrates Apache Kafka, Apache Spark, Python, MongoDB, SQL Server, Data Frames, Rapids, Microsoft Fabric, Power BI, Copilot, and Purview.
**Responsibilities** 
* Design, build, and maintain scalable batch and streaming data pipelines that support LCEC’s Microsoft Fabric–based analytics ecosystem.
* Develop reliable data ingestion and transformation processes across layered architectures (e.g., Bronze/Silver/Gold) to enable operational analytics, BI, and advanced use cases.
* Engineer high\-performance, fault\-tolerant solutions for both real\-time and batch data processing.
* Design and implement logical and physical data models that align with enterprise analytics, semantic layers, and Power BI consumption.
* Collaborate closely with BI analysts, data consumers, and platform teams to ensure data products are well\-modeled, discoverable, and trusted.
* Work in a managed data environment that maintains lineage, metadata, and thorough documentation.
* Apply engineering best practices, including code reviews, monitoring, optimization, and cost\-aware design.
* Contribute to emerging analytics capabilities, including AI\-assisted and Copilot\-enabled data experiences.
* Ensure smooth operations, productive communications, and effective understanding during all interpersonal contacts. Provide current and accurate information to all requesters, courteously and in a timely manner.
* Support Storm Restoration efforts when needed. Work in emergency storm situations (i.e. hurricanes) and work long hours (\&gt;12 hours per day) for many continuous days/weeks as needed.
**Requirements** 
* Bachelor’s degree in computer science, Engineering, or a related field.
* 6 years' professional experience in data engineering
* Apache Kafka, including producers, consumers, topic design, and retention concepts.
* Integrating data from MongoDB, SQL Server, APIs, and operational systems.
* Dimensional modeling, including star schemas, fact tables, and slowly changing dimensions.
* Apache Spark / PySpark for scalable batch and streaming workloads.
* Microsoft Fabric, including Lakehouse, Warehouse, OneLake, notebooks, and pipelines.
* Demonstrated experience with Power Platform tools, including Power Apps and Power Automate.
* Designing and operating ETL/ELT pipelines in production environment.
* Operating in governed environments using Microsoft Purview.
**Preferred Qualifications** 
* Experience integrating data pipelines with machine learning or MLOps workflows.
* Experience implementing real\-time monitoring, alerting, and observability.
* Experience optimizing data platforms for cost, performance, and scalability.
 Category Code: JN008</t>
        </is>
      </c>
    </row>
    <row r="97">
      <c r="A97" t="inlineStr">
        <is>
          <t>li-4374391829</t>
        </is>
      </c>
      <c r="B97" t="inlineStr">
        <is>
          <t>Data Engineer</t>
        </is>
      </c>
      <c r="C97" t="inlineStr">
        <is>
          <t>AARATECH</t>
        </is>
      </c>
      <c r="D97" t="inlineStr">
        <is>
          <t>linkedin</t>
        </is>
      </c>
      <c r="E97">
        <f>HYPERLINK("https://www.linkedin.com/jobs/view/4374391829", "https://www.linkedin.com/jobs/view/4374391829")</f>
        <v/>
      </c>
      <c r="F97" t="inlineStr"/>
      <c r="G97" t="inlineStr"/>
      <c r="H97" t="inlineStr"/>
      <c r="I97"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98">
      <c r="A98" t="inlineStr">
        <is>
          <t>li-4373436879</t>
        </is>
      </c>
      <c r="B98" t="inlineStr">
        <is>
          <t>Data Engineer</t>
        </is>
      </c>
      <c r="C98" t="inlineStr">
        <is>
          <t>Air Apps</t>
        </is>
      </c>
      <c r="D98" t="inlineStr">
        <is>
          <t>linkedin</t>
        </is>
      </c>
      <c r="E98">
        <f>HYPERLINK("https://www.linkedin.com/jobs/view/4373436879", "https://www.linkedin.com/jobs/view/4373436879")</f>
        <v/>
      </c>
      <c r="F98" t="inlineStr"/>
      <c r="G98" t="inlineStr">
        <is>
          <t>San Francisco, CA</t>
        </is>
      </c>
      <c r="H98" t="inlineStr"/>
      <c r="I98"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
 **Data Engineer** 
 at Air Apps, you will be responsible for
 **designing, building, and optimizing data pipelines, data warehouses, and data lakes** 
 to ensure efficient data processing and analytics. You will work closely with data analysts, scientists, and software engineers to create scalable and reliable data infrastructure that supports business intelligence and machine learning initiatives.
 This role requires
 **expertise in data architecture, ETL processes, and cloud\-based data solutions** 
 to handle large volumes of structured and unstructured data.
**Responsibilities**
* Design, build, and maintain scalable data pipelines and ETL workflows to support analytics and reporting.
* Develop and optimize data warehouses and data lakes using cloud platforms such as AWS, Google Cloud, or Azure.
* Implement real\-time and batch data processing solutions for various business needs.
* Work with structured and unstructured data, ensuring proper data modeling and storage strategies.
* Ensure data reliability, consistency, and scalability through best practices in architecture and engineering.
* Collaborate with data analysts, scientists, and software engineers to enable efficient data access and analysis.
* Automate data ingestion, transformation, and validation processes to improve data quality.
* Monitor and optimize query performance and data processing efficiency.
* Implement security, compliance, and governance standards for data storage and access control.
* Stay up to date with emerging data engineering trends, tools, and technologies.
**Requirements**
* Around 4\+ years of experience in data engineering, software engineering, or database management.
* Proficiency in SQL, Python, or Scala for data processing and automation.
* Hands\-on experience with cloud\-based data solutions (AWS Redshift, Google BigQuery, Azure Synapse, Snowflake).
* Experience building ETL pipelines with tools such as Apache Airflow, dbt, Talend, or Fivetran.
* Strong understanding of data modeling, schema design, and database optimization.
* Experience with big data frameworks (Apache Spark, Hadoop, Kafka, Flink) is a plus.
* Familiarity with orchestration tools, containerization (Docker, Kubernetes), and CI/CD workflows.
* Knowledge of data security, governance, and compliance (GDPR, CCPA, SOC 2\).
* Strong problem\-solving and debugging skills with the ability to handle large\-scale data challenges.
* Experience working in fast\-paced, data\-driven environments with cross\-functional teams.
**What benefits are we offering?**
* Apple hardware ecosystem for work.
* Annual Bonus.
* Medical Insurance (including vision \&amp; dental).
* Disability insurance \- short and long\-term.
* 401k up to 4% contribution.
* Air Conference – an opportunity to meet the team, collaborate, and grow together.
* Transportation budget
* Free meals at the hub
* Gym membership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t>
        </is>
      </c>
    </row>
    <row r="99">
      <c r="A99" t="inlineStr">
        <is>
          <t>li-4351649411</t>
        </is>
      </c>
      <c r="B99" t="inlineStr">
        <is>
          <t>Data Engineer, Analytics (Technical Leadership)</t>
        </is>
      </c>
      <c r="C99" t="inlineStr">
        <is>
          <t>Meta</t>
        </is>
      </c>
      <c r="D99" t="inlineStr">
        <is>
          <t>linkedin</t>
        </is>
      </c>
      <c r="E99">
        <f>HYPERLINK("https://www.linkedin.com/jobs/view/4351649411", "https://www.linkedin.com/jobs/view/4351649411")</f>
        <v/>
      </c>
      <c r="F99">
        <f>HYPERLINK("https://jsv3.recruitics.com/redirect?rx_cid=3239&amp;rx_jobId=a1KDp00000CZKlhMAH_1002&amp;rx_url=https%3A%2F%2Fwww.metacareers.com%2Fjobs%2F875077395010020%2F%3Frx_campaign%3DLinkedin1%26rx_ch%3Dconnector%26rx_group%3D126320%26rx_id%3D56f7adb4-f23b-11f0-a9fd-b1bb95aa5609%26rx_job%3Da1KDp00000CZKlhMAH_1002%26rx_medium%3Dpost%26rx_r%3Dnone%26rx_source%3DLinkedin%26rx_ts%3D20260220T121202Z%26rx_vp%3Dslots%26utm_campaign%3DJob%252Bboard%26utm_medium%3Djobs%26utm_source%3DLIpaid&amp;urlHash=A9vx", "https://jsv3.recruitics.com/redirect?rx_cid=3239&amp;rx_jobId=a1KDp00000CZKlhMAH_1002&amp;rx_url=https%3A%2F%2Fwww.metacareers.com%2Fjobs%2F875077395010020%2F%3Frx_campaign%3DLinkedin1%26rx_ch%3Dconnector%26rx_group%3D126320%26rx_id%3D56f7adb4-f23b-11f0-a9fd-b1bb95aa5609%26rx_job%3Da1KDp00000CZKlhMAH_1002%26rx_medium%3Dpost%26rx_r%3Dnone%26rx_source%3DLinkedin%26rx_ts%3D20260220T121202Z%26rx_vp%3Dslots%26utm_campaign%3DJob%252Bboard%26utm_medium%3Djobs%26utm_source%3DLIpaid&amp;urlHash=A9vx")</f>
        <v/>
      </c>
      <c r="G99" t="inlineStr">
        <is>
          <t>New York, NY</t>
        </is>
      </c>
      <c r="H99" t="inlineStr"/>
      <c r="I99" t="inlineStr">
        <is>
          <t>Every month, billions of people leverage Meta products to connect with friends and loved ones from across the world. On the Data Engineering Team, our mission is to support these products both internally and externally by delivering the best data foundation that drives impact through informed decision making. As a highly collaborative organization, our data engineers work cross\-functionally with software engineering, data science, and product management to optimize growth, strategy, and experience for our 3 billion plus users, as well as our internal employee community.We are looking for a technical leader in our Data Engineering team to work closely with Product Managers, Data Scientists and Software Engineers to support building out a great platform for the future of computing. In this role, you will view a direct correlation between your work, company growth, and user satisfaction. You’ll work with some of the best minds in the industry, work with one of the richest data sets in the world, use cutting edge technology, and see your efforts affect products and people on a regular basis.The ideal candidate will have demonstrated experience in data infrastructure and data architecture as well as areas such as governing company wide data marts, enabling security and privacy data solutions, and full stack experience with analytical technologies. Candidates should also have a proven track record of leading and scaling efforts related to end\-to\-end analytics systems, operational skills to drive efficiency and speed, project management leadership, and a vision for how data can proactively improve companies.As we continue to expand and create, we have a lot of exciting work ahead of us!
 Data Engineer, Analytics (Technical Leadership) Responsibilities:
* Proactively drive the vision for data foundation and analytics to accelerate building and improvement of cross platform components across Instagram, and define and execute on plan to achieve that vision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Build cross\-functional relationships with Data Scientists, Product Managers and Software Engineers to understand data needs and deliver on those needs
* Define and manage SLA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use cases across different products or domains
* Solve our most challenging data integrations problems, utilizing optimal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10\+ years experience in the data warehouse space
* 10\+ years experience in custom ETL design, implementation and maintenance
* 10\+ years experience with object\-oriented programming languages
* 10\+ years experience with schema design and dimensional data modeling
* 10\+ years experience in authoring SQL statements
* Experience analyzing data to identify deliverables, gaps and inconsistencies
* Experience managing and communicating data warehouse plans to internal clients
 Preferred Qualifications:
* BS/BA in Technical Field, Computer Science or Mathematics
* Experience working with either a MapReduce or an MPP system
* Knowledge and practical application of Python
* Experience working autonomously in global teams
* Experience influencing product decisions with data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$210,000/year to $281,000/year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0">
      <c r="A100" t="inlineStr">
        <is>
          <t>li-4324541103</t>
        </is>
      </c>
      <c r="B100" t="inlineStr">
        <is>
          <t>Data Engineer</t>
        </is>
      </c>
      <c r="C100" t="inlineStr">
        <is>
          <t>Chicago Trading Company</t>
        </is>
      </c>
      <c r="D100" t="inlineStr">
        <is>
          <t>linkedin</t>
        </is>
      </c>
      <c r="E100">
        <f>HYPERLINK("https://www.linkedin.com/jobs/view/4324541103", "https://www.linkedin.com/jobs/view/4324541103")</f>
        <v/>
      </c>
      <c r="F100" t="inlineStr"/>
      <c r="G100" t="inlineStr">
        <is>
          <t>Chicago, IL</t>
        </is>
      </c>
      <c r="H100" t="inlineStr"/>
      <c r="I100" t="inlineStr">
        <is>
          <t>CTC is a cutting\-edge proprietary trading firm with a long\-term vision and a clear focus on helping the world price and manage risk. Our fun and trusting culture inspires us to solve the industry’s most challenging problems and take calculated risks in a collaborative environment.
 We strive to be the most innovative firm in the industry today, tomorrow, and long into the future while upholding ethical excellence. We believe that CTC makes a positive impact on the markets, the lives of our employees, and all the communities to which we belong. Started in 1995 by a team of forward\-thinking Traders, we are proud to call ourselves an industry leader that keeps making markets and each other better.
**THE ROLE**
 As an engineer for Analytics products, you will build and maintain the core data assets that power our Sigma and Dash Dashboards, used by every desk at CTC, from junior traders to executives. Because of this broad user base, the product’s surface area is extensive. By ensuring timely feedback for traders, these products support data\-driven decision\-making, so it is important to understand the essential metrics traders use.
****WHAT YOU’LL DO****
* Be responsible for the quality, reliability, and overall health of our data pipelines.
* Work closely with Data Scientists, Traders and Quantitative Researchers (QTs) to understand their needs, and how they use our final data products.
* Detect source data quality issues that lead to incorrect downstream metrics, and partner with data owners to develop tools to proactively surface and resolve these issues.
* Assist colleagues in transitioning data pipelines and analytics tools to enterprise\-wide standards, and improve the process for future adoptions.
* Collaborate with the broader data organization to improve our overall platform offering and functionality.
* Map business workflows to ETL jobs to help own the end\-to\-end data pipelines.
* Own and continuously improve the Metrics UI and related dashboards.
****WHAT WE’RE LOOKING FOR****
* Proficiency in constructing and managing data\-processing pipelines.
* Strong proficiency in SQL and object\-oriented languages like Python.
* Strong interpersonal skills with the ability to work in a team environment
* Hands\-on experience with ETL tools (e.g. PySpark) and large\-scale, complex data transformations.
* Experience with lightweight UI or dashboarding frameworks like Dash is a plus.
****Compensation****
 The salary range for this role is listed below. This role is also eligible for an annual discretionary bonus. The discretionary bonus will be dependent upon the individual’s skills, experience, qualifications, and firm performance.
 Salary Range
 $175,000—$200,000 USD
 Most teams at CTC, with the exception of Trading, follow a hybrid workplace model, subject to change based on business need.
****Our Benefits****
 We strongly believe in the well\-being of our employees and their families so we offer outstanding benefits to support you both professionally and personally. These benefits include generous medical coverage, paid parental leave, free breakfast and lunch (plus healthy snacks, of course), wellness reimbursement, quarterly recharge days, and a variety of other benefits focused on providing the best employee experience.
*(Disclaimer: interns and contractors are not eligible for benefits at CTC)*
**Our Commitment to Diversity, Equity and Inclusion**
 At CTC, we aim to cultivate a workplace that celebrates diversity and each person feels included, engaged and empowered. Where each of us feels we belong. We are committed to having a diverse workforce and are proud to be an equal opportunity employer. CTC does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If you have a disability and believe you need a reasonable accommodation in order to search for a job opening or to apply for a position, please contact us at info@chicagotrading.com. Note that emails sent to this email account for non\-disability related issues, such as following up on an application, will not receive a response.
**Use of Artificial Intelligence (AI)**
 Information submitted by job applicants may be subject to review and analysis by automated systems, including Artificial Intelligence (AI), as part of the recruitment process. Such systems are utilized to enhance the efficiency and effectiveness of our hiring procedures. Applicants are advised that any information provided may be evaluated by AI tools to ensure an equitable and thorough assessment.
****Compensation****
 The salary range for this role is listed below. This role is also eligible for an annual discretionary bonus. The discretionary bonus will be dependent upon the individual’s skills, experience, qualifications, and firm performance.</t>
        </is>
      </c>
    </row>
    <row r="101">
      <c r="A101" t="inlineStr">
        <is>
          <t>li-4375681087</t>
        </is>
      </c>
      <c r="B101" t="inlineStr">
        <is>
          <t>Data Engineer, Sr.</t>
        </is>
      </c>
      <c r="C101" t="inlineStr">
        <is>
          <t>Wiraa</t>
        </is>
      </c>
      <c r="D101" t="inlineStr">
        <is>
          <t>linkedin</t>
        </is>
      </c>
      <c r="E101">
        <f>HYPERLINK("https://www.linkedin.com/jobs/view/4375681087", "https://www.linkedin.com/jobs/view/4375681087")</f>
        <v/>
      </c>
      <c r="F101">
        <f>HYPERLINK("https://www.wiraa.com/job-description/us64B893EEF18829AE1518DB3FA7E6A15D?source=Linkedin&amp;urlHash=Cped", "https://www.wiraa.com/job-description/us64B893EEF18829AE1518DB3FA7E6A15D?source=Linkedin&amp;urlHash=Cped")</f>
        <v/>
      </c>
      <c r="G101" t="inlineStr"/>
      <c r="H101" t="inlineStr"/>
      <c r="I101" t="inlineStr">
        <is>
          <t>**About The Company**
 Opala delivers robust, secure solutions to tackle the most complex data challenges faced by healthcare's payers and providers. As a startup originating from a major healthcare plan in the Northwest, we combine deep health\-tech expertise with top\-tier data and software engineering talent to create products that our customers find meaningful and valuable. These products empower payers and their partners to find timely insights and take action to intervene in areas like value\-based care analytics, interoperability compliance, and real\-time streaming of clinical data.
**About The Role**
 In this remote position, we are seeking a Senior Data Engineer with a strong background in various databases, processes, and tools to join our team. The successful candidate will be responsible for designing, developing, deploying, and maintaining our data\-hub and associated integrations. This role requires a highly skilled professional capable of building scalable data pipelines, optimizing data workflows, and supporting advanced analytics and machine learning initiatives. The Senior Data Engineer will collaborate closely with cross\-functional teams to ensure data quality, reliability, and security while supporting the company's mission to deliver innovative healthcare data solutions.
**Qualifications**
* Bachelor's degree in Computer Science, Data Science, Engineering, or related technical discipline (or equivalent experience)
* 7\+ years overall experience in data engineering or related fields
* 5\+ years building and managing data pipelines and workflows
* 5\+ years designing and managing relational and non\-relational data systems
* Experience with cloud platforms and distributed data environments
* Strong understanding of data modeling, performance optimization, and system reliability
* Experience supporting advanced analytics or machine learning workflows
* Familiarity with data integration from diverse sources, including healthcare systems and standards for data representation and communication
**Responsibilities**
* Build and optimize scalable end\-to\-end data pipelines for ingestion, transformation, and delivery
* Design and develop data models and warehouse structures to support analytics and reporting
* Operationalize data\-driven solutions, including advanced analytics and predictive models
* Create high\-quality datasets for business intelligence, machine learning, and experimentation
* Implement data quality, lineage, and observability best practices across data workflows
* Maintain and improve internal tools and automation frameworks for data operations
* Integrate new data sources, including clinical systems, healthcare standards, vendor feeds, and real\-time streams
* Contribute to CI/CD workflows, infrastructure automation, and cloud\-based data architecture
* Support all software development lifecycle activities following industry best practices
* Research and incorporate design strategies, specifications, and user requirements into data solutions
* Conduct complex investigations and testing for data systems and workflows
* Participate in special projects as needed
* Provide technical guidance to the data engineering team through reviews and infrastructure support
* Troubleshoot complex data and application issues, ensuring system reliability and performance
**Benefits**
* Competitive salary range of $163,000 to $192,000 annually, determined by role, level, and location
* Comprehensive health insurance including medical, dental, and vision coverage
* Life and AD\&amp;D insurance
* Employee Assistance Program (EAP)
* Short\-term and long\-term disability coverage
* Paid time off including 16 days PTO and 8 paid holidays
* Fully paid holiday closure
* Parental and family medical leave
* 401(k) retirement plan with company matching
* Stock options and annual performance\-based bonuses and salary increases
 Equal Opportunity
 Opala is an equal opportunity employer and makes employment decisions based on merit. We are committed to providing a workplace free from harassment and discrimination. We celebrate the unique differences of our employees because that is what drives curiosity, innovation, and the success of our business. We do not discriminate on the basis of race, religion, color, national origin, gender, sexual orientation, gender identity or expression, age, marital status, veteran status, disability status, pregnancy, parental status, genetic information, political affiliation, or any other protected status. Accommodations are available for applicants with disabilities.</t>
        </is>
      </c>
    </row>
    <row r="102">
      <c r="A102" t="inlineStr">
        <is>
          <t>li-4283433751</t>
        </is>
      </c>
      <c r="B102" t="inlineStr">
        <is>
          <t>Real-Time Data Engineer II</t>
        </is>
      </c>
      <c r="C102" t="inlineStr">
        <is>
          <t>AppFolio</t>
        </is>
      </c>
      <c r="D102" t="inlineStr">
        <is>
          <t>linkedin</t>
        </is>
      </c>
      <c r="E102">
        <f>HYPERLINK("https://www.linkedin.com/jobs/view/4283433751", "https://www.linkedin.com/jobs/view/4283433751")</f>
        <v/>
      </c>
      <c r="F102" t="inlineStr"/>
      <c r="G102" t="inlineStr">
        <is>
          <t>Atlanta, GA</t>
        </is>
      </c>
      <c r="H102" t="inlineStr"/>
      <c r="I102" t="inlineStr">
        <is>
          <t>**Description**
 What we’re looking for:
 As a member of the Data Platform Engineering team, the
 **Real\-Time** 
 Data Engineer II will work collaboratively to develop an infrastructure that ingests data from disparate sources, processes them real\-time and routes them to various target storages and applications, while providing access to high quality data to users, ranging from application developers interested in specific events to data analysts keen on business intelligence to data scientists training ML models.
 At AppFolio, we paddle as one. We ride and make waves together, with a relentless focus on building great products for the way our customers work and live today – and tomorrow. AppFolio is a destination organization where careers are made and accelerated. Here, innovation is a team sport.
 Your impact:
* Design, build and operate on next generation data pipeline infrastructure based on Apache Kafka and its ecosystem
* Improve data architecture, quality, discoverability and access policies to enable and enforce data governance
* Collaborate with engineers, data analysts and scientists to ensure that our data infrastructure meets the SLOs of our data\-intensive customers
* Develop techniques for monitoring the completeness, correctness and reliability of our data sets
* Leverage agile practices, encourage collaboration, prioritization, and urgency to develop at a rapid pace
* Research, share, and recommend new technologies and trends
**Qualifications**
* You have hands\-on experience with using Apache Kafka in production and have a passion for building a reliable, scalable and fault\-tolerant infrastructure.
* You have industry experience with working with real time transformation technologies such as Apache Flink
* You have worked with a variety of data sources, including change data capture systems, data streaming and event sourcing in production.
* You have hands\-on experience with data warehouse technology.
* You embrace the platform\-first approach to build standard solutions and self\-serve capabilities for engineering teams
* You want to work with a high degree of autonomy, while at the same time working on initiatives of high importance to the company.
* You care about work\-life balance and want your company to care about it too; you'll put in the extra hour when needed but won't let it become a habit.
 Must have
* 3\+ years of experience with Apache Kafka, Kafka Connect and its ecosystem
* 2\+ years of experience in streaming processing technologies, such as Apache Flink
* 2\+ years of experience with AWS primitives (IAM, VPC, S3, MSK, EKS, etc.)
* 3\+ years of experience working with programming languages like Python or Ruby
* Excellent SQL skills with working knowledge of query optimization
* 2\+ years of experience working with Infrastructure as Code, configuration management, and monitoring tools.
* Bachelors in Computer Science or other quantitative fields.
 Nice to have
* Experience with Debezium connectors
* Experience with large scale Data Lakes and Lake Houses, especially with Apache Iceberg is a plus
* Experience with distributed SQL query engines, such as Trino is a plus
* Experience with containers and container orchestration tools. Docker and Kubernetes experience is desirable.
* Data science skills for analyzing data and communicating with ML engineers are a plus.
**Compensation \&amp; Benefits**
 The base salary/hourly wage that we reasonably expect to pay for this role is: $104,000 to $130,000\.
 The actual base salary/hourly wage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103">
      <c r="A103" t="inlineStr">
        <is>
          <t>li-4369619971</t>
        </is>
      </c>
      <c r="B103" t="inlineStr">
        <is>
          <t>Data Engineer</t>
        </is>
      </c>
      <c r="C103" t="inlineStr">
        <is>
          <t>Integra Connect</t>
        </is>
      </c>
      <c r="D103" t="inlineStr">
        <is>
          <t>linkedin</t>
        </is>
      </c>
      <c r="E103">
        <f>HYPERLINK("https://www.linkedin.com/jobs/view/4369619971", "https://www.linkedin.com/jobs/view/4369619971")</f>
        <v/>
      </c>
      <c r="F103" t="inlineStr"/>
      <c r="G103" t="inlineStr"/>
      <c r="H103" t="inlineStr"/>
      <c r="I103" t="inlineStr">
        <is>
          <t>**Company Summary:** 
 We are a value\-based, precision medicine company specializing in Health IT, real\-world data, and digital health solutions for specialty providers, payers, and life sciences companies.Through the provision of technology products and technology\-enabled services, along with unmatched clinical expertise, we are able to close gaps in care, improve patient outcomes, generate real\-world evidence, and accelerate and augment customer commercial success across the healthcare value chain. We are looking for like\-minded individuals committed to making a difference in healthcare. Come join our growing team!
**Job Description:** 
 The Data Engineer is responsible for designing, building, and maintaining secure, scalable data pipelines and infrastructure that power Integra Connect’s healthcare analytics and product platforms. This role requires strong technical expertise in data engineering combined with an understanding of healthcare data standards and compliance frameworks. The ideal candidate will be skilled in transforming complex, heterogeneous healthcare data into clean, usable datasets that drive insights and innovation.
**Responsibilities:** 
* Design and implement robust data pipelines to ingest, transform, and deliver healthcare data from multiple sources, including EHRs, claims systems, labs, and registries.
* Develop and maintain data models and warehouses that support analytics, reporting, and real\-world evidence generation.
* Ensure compliance with HIPAA, HITECH, and other healthcare data privacy and security standards.
* Work with product managers, architects, and data scientists to translate business and clinical requirements into technical specifications.
* Implement best practices for data quality, lineage, and governance across all data assets.
* Develop and optimize SQL queries, stored procedures, and ETL/ELT workflows using tools such as Snowflake, dbt, and modern cloud platforms (AWS, Azure, or GCP).
* Participate in peer code and design reviews to ensure accuracy, scalability, and maintainability.
* Troubleshoot complex data issues, conduct root cause analyses, and implement long\-term solutions.
* Serve as a technical subject matter expert for healthcare data engineering and integration.
* Support internal and external stakeholders by addressing data\-related inquiries and production issues.
**Qualifications:** 
* Minimum 3 years of experience in data or software engineering.
* Strong SQL development experience, including stored procedures and performance optimization.
* Hands\-on experience with Snowflake, dbt, and cloud\-based data technologies.
* Solid understanding of ETL/ELT processes, data warehousing, and data modeling concepts.
* Working knowledge of healthcare data standards and formats (HL7, FHIR, X12, CCD, etc.).
* Familiarity with healthcare data types (clinical data, claims, pharmacy, lab, and patient registries).
* Bachelor’s degree in Computer Science, Engineering, or a related field—or equivalent professional experience.
* Proficiency in one or more modern programming languages (SQL preferred; Python or Java a plus).
* Experience working in agile development environments (Scrum, Kanban).
* Strong analytical, problem\-solving, and communication skills.
**Preferred Qualifications:** 
* Experience with data orchestration tools (e.g., Mage Ai (a plus), Airflow, Prefect)
* Exposure to healthcare analytics, population health management, or real\-world evidence generation.
* Advanced degree in Computer Science, Data Engineering, or a related field.
* Familiarity with healthcare interoperability frameworks and APIs.
**Benefits:** 
*Integra Connect, LLC provides a comprehensive benefits plan* 
* Medical/Dental/Vision Insurance beginning the 1st of the month following your date of hire
* Paid Time Off
* 401k with employer match
* Paid Holidays and Floating Holiday
*Equal Opportunity Employer* 
**Please note that the deadline for submitting applications is February 28, 2026\. All applications must be received by this date to be considered.**</t>
        </is>
      </c>
    </row>
    <row r="104">
      <c r="A104" t="inlineStr">
        <is>
          <t>li-4373471067</t>
        </is>
      </c>
      <c r="B104" t="inlineStr">
        <is>
          <t>Data Engineer</t>
        </is>
      </c>
      <c r="C104" t="inlineStr">
        <is>
          <t>Cititec</t>
        </is>
      </c>
      <c r="D104" t="inlineStr">
        <is>
          <t>linkedin</t>
        </is>
      </c>
      <c r="E104">
        <f>HYPERLINK("https://www.linkedin.com/jobs/view/4373471067", "https://www.linkedin.com/jobs/view/4373471067")</f>
        <v/>
      </c>
      <c r="F104" t="inlineStr"/>
      <c r="G104" t="inlineStr">
        <is>
          <t>Houston, TX</t>
        </is>
      </c>
      <c r="H104" t="inlineStr"/>
      <c r="I104" t="inlineStr">
        <is>
          <t>My client is a
 **successful commodities trading firm.** 
 They are hiring for a Data Engineer to work on their data management platform. This is a key area of the business, with
 **lots of greenfield projects and high visibility.** 
 4 Days in the Houston office
 Competitive base salary
**Average bonuses between 40% \- 50% (uncapped)** 
 Experience Required: \-
* Hands\-on experience developing data solutions in Python, Pandas, Numpy, etc.
* Experience with relational databases; Snowflake highly preferred.
* Data Engineering experience specializing in SQL programming, data architecture, and dimension modelling.
* Experience working on AWS platforms
**More information is available upon request**</t>
        </is>
      </c>
    </row>
    <row r="105">
      <c r="A105" t="inlineStr">
        <is>
          <t>li-4366872414</t>
        </is>
      </c>
      <c r="B105" t="inlineStr">
        <is>
          <t>Data Engineer</t>
        </is>
      </c>
      <c r="C105" t="inlineStr">
        <is>
          <t>Applied Systems</t>
        </is>
      </c>
      <c r="D105" t="inlineStr">
        <is>
          <t>linkedin</t>
        </is>
      </c>
      <c r="E105">
        <f>HYPERLINK("https://www.linkedin.com/jobs/view/4366872414", "https://www.linkedin.com/jobs/view/4366872414")</f>
        <v/>
      </c>
      <c r="F105">
        <f>HYPERLINK("https://careers-appliedsystems.icims.com/jobs/7240/data-engineer/job?hub=15&amp;in_iframe=1&amp;mode=job&amp;iis=LinkedIn&amp;urlHash=CMqB", "https://careers-appliedsystems.icims.com/jobs/7240/data-engineer/job?hub=15&amp;in_iframe=1&amp;mode=job&amp;iis=LinkedIn&amp;urlHash=CMqB")</f>
        <v/>
      </c>
      <c r="G105" t="inlineStr"/>
      <c r="H105" t="inlineStr"/>
      <c r="I105" t="inlineStr">
        <is>
          <t>**Job Description**
**Amazing Career Moments Happen Here**
 Transforming the insurance industry is ambitious, we know. That’s why at Applied, we’re building a team that shows up every day ready to learn, willing to try new things, and driven to deliver innovative software and services that make us indispensable to our customers – all within a culture built on values that make us indispensable to each other too. With 40\+ years of experience in the insurtech game, we’re not just redefining what’s achievable, we’re creating a place where amazing career moments are made possible.
**Position Overview**
 We're seeking a
 **Data Engineer** 
 to build and enhance data solutions and AI initiatives for the business of insurance. In this role, you will work closely with the Principal Data Architect, Data Scientists, and Software Engineers to build, model, and maintain data solutions as we optimize data architecture and accessibility of large\-scale datasets for our global teams.
**What You’ll Do**
* Code BigQuery procedures, functions, and other database objects by applying expert knowledge in BigQuery SQL and ANSI SQL
* Implement scalable and efficient data models within our data lake, with a focus on BigQuery
* Manage and optimize data storage, partitioning, and clustering strategies to ensure high performance and reliability of our data infrastructure
* Develop and implement features and enhancements in BigQuery, levering your expertise in SQL and cloud\-based data warehousing technologies
* Collaborate with cross\-functional teams to understand requirements and deliver solutions aligned with business objectives, security requirements, and guidelines for data governance
* Develop documentation for the team to support design discussions
* Ensure data integrity and quality by implementing robust data validation and error\-handling mechanisms. Maintain and advocate for these standards through code review
* Identify and implement improvements across the full lifecycle of data management, from ingestion to ETL processes and final reporting layers, to increase productivity on the team
* Continuously build knowledge of industry trends and advancements in data engineering and big data technologies
**We’re Excited To Learn More About You**
 We’re looking for someone who:
* Can work remotely or from an Applied office
 Your experience should include some or all of the following:
* 3\+ years focused on modeling, building, and maintaining data solutions
* Proven experience with BigQuery and cloud\-based data warehousing solutions
* Advanced knowledge of data modeling, data warehousing, and big data architecture
* Experience managing and optimizing BigQuery and Google Cloud Platform data services
* Proficiency in SQL and Python to manipulate, store, manage, or retrieve data assets
* Knowledge of Agile frameworks, ideally Scrum, and tools like Jira and Confluence
* Ability to communicate with global team members to clarify requirements, confirm priorities, and deliver solutions within committed timelines
* Advanced analytical and problem\-solving skills, with a detail\-oriented mindset
* Bachelor\-level degree in Computer Science, MIS, or CIS, or equivalent experience
+ We proudly support and encourage people with military experience, as well as military spouses, to apply
**When You Join Team Applied, You Can Expect:**
**A culture that values who you are** 
 and recognizes that you aren’t just an employee; you are a teammate, and you matter. We thrive on the benefits of our different experiences and celebrate the uniqueness our teammates bring to work with them every day.
**We flex our time together** 
 , collaborating remotely and in\-person to empower our teams to work in the ways that work best for them.
**A comprehensive benefits and compensation package** 
 that centers our teammates and helps them to bring their best to work every day:
* Medical, Dental, and Vision Coverage
* Holiday and Vacation Time
* Health \&amp; Wellness Days
* A Bonus Day for Your Birthday
 Learn more about the people behind our products at https://www1\.appliedsystems.com/en\-us/about\-us/jobs/
 Our targeted starting base salary in the United States for this position ranges from $60,000 \- $120,000\. To determine a new team member’s starting pay, we consider a variety of factors, including someone’s depth, breadth, and variety of experience, skills, and responsibilities. Depending on the role, team members may also be eligible to participate in additional compensation plans such as bonus and commission.
**Your Security Matters:**
 Our candidates’ personal information and online safety are top of mind for us. At Applied, we proactively protect your personal information and only communicate with candidates via a secure @appliedsystems.com email or through our official careers portal. Recruiters will never request payments, ask for financial account information or sensitive information like social security numbers.
**EEO Statement**
 Applied Systems is proud to be an Equal Employment Opportunity Employer. Diversity and Inclusion is a business imperative and is a part of building our brand and reputation. At Applied, we don’t discriminate, and we are committed to recruit, develop, retain , and promote regardless of race, religion, color, national origin, sexual orientation, gender identity, disability, age, veteran status, and other protected status as required by applicable law.</t>
        </is>
      </c>
    </row>
    <row r="106">
      <c r="A106" t="inlineStr">
        <is>
          <t>li-4344302519</t>
        </is>
      </c>
      <c r="B106" t="inlineStr">
        <is>
          <t>Data Engineer - GTM Team</t>
        </is>
      </c>
      <c r="C106" t="inlineStr">
        <is>
          <t>Rippling</t>
        </is>
      </c>
      <c r="D106" t="inlineStr">
        <is>
          <t>linkedin</t>
        </is>
      </c>
      <c r="E106">
        <f>HYPERLINK("https://www.linkedin.com/jobs/view/4344302519", "https://www.linkedin.com/jobs/view/4344302519")</f>
        <v/>
      </c>
      <c r="F106">
        <f>HYPERLINK("https://ats.rippling.com/rippling/jobs/d277ed11-cc54-4844-be84-22063425be6b?jobSite=LinkedIn&amp;urlHash=nwFM", "https://ats.rippling.com/rippling/jobs/d277ed11-cc54-4844-be84-22063425be6b?jobSite=LinkedIn&amp;urlHash=nwFM")</f>
        <v/>
      </c>
      <c r="G106" t="inlineStr">
        <is>
          <t>San Francisco, CA</t>
        </is>
      </c>
      <c r="H106" t="inlineStr"/>
      <c r="I106"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Team**
 The
 ****Revenue Operations****
 team is dedicated to aligning a company’s go\-to\-market (GTM) functions across Marketing, Sales, Customer Success, and related operations to power growth and optimize the revenue engine. The core remit of RevOps is to drive predictable and efficient growth by optimizing processes, data, systems, and insights that power the end\-to\-end customer lifecycle.
 The team partners very closely with the Sales, AI/ML, and Data Engineering teams to build solutions that amplify the effectiveness and efficiency of the Rippling Sales org – from
 ****recommendation models****
 and
 ****AI\-driven enrichment pipelines****
 to
 ****proprietary data funnels****
 .
 The broader team works on a modern Growth Services infrastructure built on
 ****FastAPI, Kubernetes, Databricks, Kafka, Snowflake, PostgreSQL, and OpenAI APIs****
 , enabling rapid experimentation and scalable delivery of AI\-powered systems.
**About The Role**
 We are looking to bring on a talented GTM minded
 ****Data Engineer****
 to join the team. The ideal candidate wants to work in an agile environment close to the business and is not tied down to one specific product, but rather is a catalyst of innovation serving various business needs and pains. You will design and implement backend services, AI integrations, and data pipelines that power Rippling’s sales automation stack – including
 ****account/lead enrichment, recommendation engines, AI\-powered workflows in CRM, and multi\-LLM orchestration frameworks****
 .
 You’ll work closely with AI/ML engineers, data scientists, and sales partners to bring production\-grade AI systems to life, while maintaining reliability, performance, and developer velocity.
**What You’ll Do**
* Design and implement scalable backend systems that power AI/ML\-driven recommendation, ranking, and personalization workflows.
* Build and maintain multi\-LLM applications using OpenAI, Claude, and custom Databricks models, integrating them into real\-time workflows.
* Develop and optimize data pipelines for model training, enrichment, and scoring using Databricks, Snowflake, and Kafka.
* Collaborate on AI/ML pipeline development, training and deploying models such as XGBoost, classification systems, and matrix factorization\-based recommenders.
* Design and maintain scalable data pipelines that unify data across CRM, product systems, marketing platforms, billing systems, and internal databases
* Build internal tools and APIs to support feature generation and GTM evaluation frameworks for AI models.
* Partner with Growth Engineering and GTM stakeholders to translate growth initiatives into scalable AI and data systems.
****Tech Stack You’ll Work With****
* Backend \&amp; APIs: Python, FastAPI, SQLAlchemy, Pydantic, PostgreSQL, Redis
* Frontend (if applicable): Next.js 14, React, TypeScript, Tailwind CSS, Radix UI
* Data \&amp; ML Infrastructure: Databricks, Delta Live Tables, Snowflake, Polars, PyArrow, Kafka, Debezium
* AI/ML Systems: OpenAI, Claude, LangChain, XGBoost, matrix factorization, recommendation systems
* Observability: Braintrust, LangSmith, DataDog, custom evaluation metrics
* Infrastructure: Docker, Kubernetes, AWS, automated CI/CD pipelines
**Qualifications**
* 3\+ years of professional software engineering experience (preferably in backend, data, or AI\-focused roles).
* Strong Python development and system design skills.
* Experience building production\-grade services or data\-intensive applications.
* Familiarity with AI/ML systems, including model training, inference APIs, or recommendation engines.
* Experience working with data platforms such as Databricks, Snowflake, or Kafka.
* Experience working with GTM teams (sales/marketing/RevOps/Sales Ops)
* Excellent communication skills and ability to collaborate cross\-functionally in a fast\-paced environment.
**What We Offer**
* Competitive salary, significant equity, and comprehensive benefits
* Opportunity to work on cutting\-edge AI/ML and data infrastructure
* Direct hands\-on exposure to high\-growth GTM businesses
* High ownership and autonomy in a fast\-growing team
* Collaborative environment focused on technical excellence and real business impact
**The pay range for this role is:**
 129,000 \- 225,750 USD per year(US Tier 1\)</t>
        </is>
      </c>
    </row>
    <row r="107">
      <c r="A107" t="inlineStr">
        <is>
          <t>li-4374379929</t>
        </is>
      </c>
      <c r="B107" t="inlineStr">
        <is>
          <t>Senior BI Data Engineer</t>
        </is>
      </c>
      <c r="C107" t="inlineStr">
        <is>
          <t>Qcells EPC</t>
        </is>
      </c>
      <c r="D107" t="inlineStr">
        <is>
          <t>linkedin</t>
        </is>
      </c>
      <c r="E107">
        <f>HYPERLINK("https://www.linkedin.com/jobs/view/4374379929", "https://www.linkedin.com/jobs/view/4374379929")</f>
        <v/>
      </c>
      <c r="F107" t="inlineStr"/>
      <c r="G107" t="inlineStr">
        <is>
          <t>Houston, TX</t>
        </is>
      </c>
      <c r="H107" t="inlineStr"/>
      <c r="I107" t="inlineStr">
        <is>
          <t>**Description**
 Title: Senior BI Data Engineer
 Department: Process Innovation Office
 Location: Houston, TX
 Supervisor: Senior Manager Business Process
 FLSA Status: Exempt
 Position Status: Permanent, Full Time
 Work Status (Remote/Hybrid/In\-Office):Hybrid
 SENIOR BI DATA ENGINEER
 Hanwha Qcells USA Corp (Qcells USA), headquartered in Irvine, CA, specializes in providing utility\-scale modules, solar photovoltaic (PV), and battery energy storage systems (BESS) project development, along with Engineering, Procurement, and Construction (EPC) services for solar and BESS projects nationwide. Qcells USA delivers comprehensive turnkey solutions encompassing the entire utility\-scale project lifecycle. By choosing Qcells USA for turnkey solutions, customers can reduce uncertainty and risk, leading to enhanced investment returns and contributing to a more sustainable future.
 Qcells USA’s complete turnkey solutions seamlessly integrate the expertise of our Development, Module, and EPC teams, while ensuring close coordination with other vital internal groups such as Project Finance, Systems Integration, and Legal. This collaborative approach ensures that Qcells USA projects deliver exceptional value and performance. With several multi\-billion\-dollar investments, Qcells is pioneering the establishment of the only complete module supply chain in the U.S., including the expansion of our Georgia module manufacturing facility, which stands as the largest in the Western Hemisphere.
 As an integral part of the global Qcells brand, Qcells USA benefits from a legacy of excellence in photovoltaic manufacturing. Qcells is renowned worldwide for its high\-performance, superior\-quality solar cells and modules. With dual headquarters in Seoul, South Korea (Global Executive HQ) and Thalheim, Germany (Technology \&amp; Innovation HQ), Qcells operates under the umbrella of Hanwha Group, a FORTUNE Global 500 company and one of the top 8 business conglomerates in South Korea.
**Summary**
 The Senior BI Data Engineer will provide data and reporting solutions to support construction project execution and commercial management. This position will work with business stakeholders and team members to facilitate data acquisition, processing, and analysis of data to support decision making. This position reports to the Senior Manager Business Process or another management personnel that the team lead may designate. This position is Hybrid based out of the Houston office three days per week. Working hours are Monday through Friday, from 8:00am to 5:00pm or 9:00am to 6:00pm local time. Overtime and weekend working hours will be required as needed. This position is expected to travel up to 10%.
 Applicants mustbe authorized towork for any employer in the United States.We are unable to sponsor or take over sponsorship of an employment visaat this time.
**Essential Job Function \&amp; Responsibilities**
* Build analytic models and Power BI visualizations to support organization leadership.
* Design and implement data integration and architecture to support analytics systems and self\-serve BI/analytics for advanced business users.
* Create andmaintainprocesses to generateaccurateandtimelyreports that help stakeholders understand and act on key data insights.
* Ensure accurate and timely data in analytic solutions.
* Assist in data system troubleshooting failures and inefficiencies, providing critical feedback to users and developers to minimize downtime.
* Author standard operating procedures and guidelines to facilitate end user training.
* Manage the support and ongoing development of existing applications, data integration platforms, and analytic solutions.
* Provide guidance and best practices to citizen analysts.
* Advise on developing and deploying new data technologies and capabilities in support of business strategies and needs.
* Possess expert knowledge of data modeling to ensure consistent and efficient application of technologies.
* Work closely with development teams in an advisory capacity to understand division requirements that add value to system design and implementation.
* Attend work regularly and punctually as scheduled, and comply with the Employee Handbook, Code of Conduct, and Company Policies \&amp; Procedures
* Regular attendance, in accordance with the company’s attendance policy and supervisory assignment, is an essential job duty requirement for this position.
* Perform other duties and special projects as assigned by Management.
**Required Qualificatons**
* Bachelor's degree in business, Engineering, IS/IT or equivalent field
* Five or more years of experience in business intelligence and data management, preferably Power BI, Databricks, and Azure.
* Strong skills in SQL, Python, DAX, or similar technology.
* Experience with data management, analytics, and deployment of system solutions.
* Fundamental understanding and experience with construction management platforms (SalesForce, P6, HCSS, Procore, and other construction project management applications) preferred.
* Ability to take user requirements, translate into technical deliverables, and to create illustrative narratives using data.
* Ability to simplify and summarize complex topics for non\-technical audiences and translate non\-technical stakeholder needs into technical solutions.
* Strong project management/stakeholder management skills, with the ability to manage change and priorities in a dynamic environment.
* Travel is up to 10% as needed.
 EXAMPLES OF PHYSICAL DEMANDS
* Stationary Position: frequently remains stationary up to 90% of the time and sitting up to 8 hours in a day
* Move/Traverse: infrequently bend, stand, stoop and/or walk
* Carry Weight: infrequently carry weight and/or lift objects (light to heavy) weighing up to 10 pounds
* Hearing and Speech: frequently communicates with the ability to hear and talk on a regular basis with employees, coworkers, and all personnel matters; must be able to exchange accurate information in these situations
* Sight: frequent use of sight to detect images on computer, office documents, and office objects near and far
* Climb: occasionally ascends/descends on stairway to get to office upper and lower floors
* Travel: up to 10% as needed
 EXAMPLES OF WORK ENVIRONMENT
* Regular professional, office business setting
* Noise level ranges from low to moderate (if in office setting)
* Noise level ranges from moderate to high (if on construction worksite)
* Under the Office Mobilization Plan (OMP) policy, the role may transition to an onsite or hybrid arrangement, asdeterminedby business needs and the Head of Department
 Hanwha Qcells is proud to be an at\-will Equal Opportunity Employer and prohibits discrimination against race, color, religion, sex, sexual orientation, gender perception or identity, national origin, age, marital status, pregnancy, citizenship, disability, protected veteran status and any other classification protected by applicable federal, state or local law. This policy applies to all terms and conditions of employment, including recruiting, hiring, placement, promotion, termination, layoff, recall, transfer, leaves of absence, compensation and training.
 We are committed to the full inclusion of all qualified individuals. As part of this commitment, Hanwha Qcells will provide reasonable accommodations to all qualified individuals with disabilities to participate in the job application or interview process, to perform essential job functions, and/or to receive other benefits and privileges of employment. Please contact us to request accommodations at hr\-usa@qcells.com.
 Nothing in this statement shall imply implicitly or explicitly a guarantee of employment outside our at\-will employment opportunity.</t>
        </is>
      </c>
    </row>
    <row r="108">
      <c r="A108" t="inlineStr">
        <is>
          <t>li-4374396267</t>
        </is>
      </c>
      <c r="B108" t="inlineStr">
        <is>
          <t>Senior Data Engineer</t>
        </is>
      </c>
      <c r="C108" t="inlineStr">
        <is>
          <t>Precision Technologies</t>
        </is>
      </c>
      <c r="D108" t="inlineStr">
        <is>
          <t>linkedin</t>
        </is>
      </c>
      <c r="E108">
        <f>HYPERLINK("https://www.linkedin.com/jobs/view/4374396267", "https://www.linkedin.com/jobs/view/4374396267")</f>
        <v/>
      </c>
      <c r="F108" t="inlineStr"/>
      <c r="G108" t="inlineStr"/>
      <c r="H108" t="inlineStr"/>
      <c r="I108" t="inlineStr">
        <is>
          <t>**Job title: Senior Data Engineer** 
**Experience:** 
**12\+ Years (Overall IT Experience)** 
**Employment Type:** 
**Full\-Time, Permanent (W2 Only)** 
**Location:** 
**Remote** 
**Position Overview:** 
 We are seeking a highly experienced and technically strong
 **Senior Data Engineer** 
 to lead the design, development, and optimization of large\-scale data platforms. The ideal candidate will possess deep expertise in cloud\-based data architectures, distributed data processing, and modern data engineering best practices.
 This role requires a strong hands\-on contributor with the ability to provide technical leadership and drive scalable, enterprise\-grade data solutions.
**Key Responsibilities** 
* Design, architect, and implement scalable batch and real\-time data pipelines
* Develop and maintain enterprise data warehouses and data lake architectures
* Lead large\-scale data transformation initiatives (ETL/ELT)
* Optimize performance, reliability, and scalability of data platforms
* Collaborate with Data Architects, Data Scientists, and Business stakeholders to translate requirements into technical solutions
* Establish data governance, security, and quality standards
* Provide technical mentorship and conduct code reviews
* Implement CI/CD and automation for data engineering workflows
* Troubleshoot and resolve complex production issues
**Required Qualifications** 
* 12\+ years of experience in Data Engineering or related field
* Strong proficiency in
 **Python and Advanced SQL**
* Extensive hands\-on experience with
 **Apache Spark and/or Databricks**
* Strong experience with cloud platforms (
 **AWS, Azure, or GCP** 
 )
* Experience with real\-time streaming platforms such as
 **Kafka**
* Deep understanding of data warehousing concepts (Snowflake, Redshift, BigQuery)
* Experience working with distributed systems and large\-scale datasets
* Strong understanding of DevOps practices, CI/CD pipelines, and version control (Git)
**Preferred Qualifications** 
* Experience designing enterprise data architecture frameworks
* Exposure to Microservices\-based architectures
* Experience with containerization technologies (Docker, Kubernetes)
* Prior experience leading technical teams or projects</t>
        </is>
      </c>
    </row>
    <row r="109">
      <c r="A109" t="inlineStr">
        <is>
          <t>li-4374372892</t>
        </is>
      </c>
      <c r="B109" t="inlineStr">
        <is>
          <t>Staff Data Engineer</t>
        </is>
      </c>
      <c r="C109" t="inlineStr">
        <is>
          <t>Velocity Tech</t>
        </is>
      </c>
      <c r="D109" t="inlineStr">
        <is>
          <t>linkedin</t>
        </is>
      </c>
      <c r="E109">
        <f>HYPERLINK("https://www.linkedin.com/jobs/view/4374372892", "https://www.linkedin.com/jobs/view/4374372892")</f>
        <v/>
      </c>
      <c r="F109" t="inlineStr"/>
      <c r="G109" t="inlineStr"/>
      <c r="H109" t="inlineStr"/>
      <c r="I109" t="inlineStr">
        <is>
          <t>Staff Data Engineer
**Fully Remote** 
 Velocity Tech has partnered with a high\-growth digital platform operating at national scale, enabling millions of users to securely access and act on their personal data through modern APIs and real\-time infrastructure.
 We’re hiring a
 **Staff Data Engineer** 
 to help evolve the data and AI foundations powering a highly integrated, consumer\-facing platform. This role sits at the intersection of distributed systems, cloud infrastructure, and large\-scale data engineering.
 You’ll play a key role in designing, building, and scaling secure, production\-grade data pipelines that support both analytical and operational workloads across the platform.
 The Role
 As a Staff Data Engineer, you will:
* Design and implement scalable solutions to complex, ambiguously defined data challenges
* Build and scale real\-time and batch data pipelines using tools such as Kafka, Spark, and modern query engines
* Contribute to event\-driven architectures and distributed data systems
* Develop backend services and APIs (Python/FastAPI, MongoDB, cloud\-native environments)
* Partner closely with product, ML, and platform teams to enable data\-driven features
* Implement observability, monitoring, and alerting across distributed systems
* Improve CI/CD workflows, deployment practices, and engineering standards
* Champion clean code, testing, and review practices within the team
* Mentor engineers and elevate technical standards through pairing and knowledge sharing
* Ensure security, compliance, and scalability are embedded into systems from day one
 What We’re Looking For
* 8\+ years of experience in software and data engineering
* 3\+ years working with distributed data systems
* Strong experience designing scalable systems across heterogeneous environments
* Proficiency in Python (Pandas, PySpark, FastAPI)
* Experience with Spark and modern data processing frameworks
* Familiarity with orchestration tools (Prefect, Airflow or similar)
* Experience with containerized environments (Docker, Kubernetes) and CI/CD pipelines
* Strong communication skills and ability to collaborate cross\-functionally
* Experience working in regulated or compliance\-driven environments (or ability to ramp quickly)
 Nice to Have
* Experience deploying or supporting ML models or LLM\-based systems
* Exposure to observability tooling (OpenTelemetry, Datadog, Prometheus)
* Background in regulated data environments
* Contributions to open\-source projects</t>
        </is>
      </c>
    </row>
    <row r="110">
      <c r="A110" t="inlineStr">
        <is>
          <t>li-4374386243</t>
        </is>
      </c>
      <c r="B110" t="inlineStr">
        <is>
          <t>Data Engineer</t>
        </is>
      </c>
      <c r="C110" t="inlineStr">
        <is>
          <t>Haystack</t>
        </is>
      </c>
      <c r="D110" t="inlineStr">
        <is>
          <t>linkedin</t>
        </is>
      </c>
      <c r="E110">
        <f>HYPERLINK("https://www.linkedin.com/jobs/view/4374386243", "https://www.linkedin.com/jobs/view/4374386243")</f>
        <v/>
      </c>
      <c r="F110" t="inlineStr"/>
      <c r="G110" t="inlineStr">
        <is>
          <t>Hawaii, United States</t>
        </is>
      </c>
      <c r="H110" t="inlineStr"/>
      <c r="I110" t="inlineStr">
        <is>
          <t>**Data Engineer \| Honolulu, HI \| Hybrid \| $77,600 \- $176,000** 
 We're working with a premier global defence and technology consultancy on this exciting opportunity to transform mission\-critical data into actionable intelligence. This is your chance to lead high\-stakes engineering projects in Hawaii, leveraging the full power of Palantir Foundry and AIP to build scalable applications that support national security.
 You will be at the forefront of the DoD’s digital evolution, using Python, TypeScript, and Pipeline Builder to architect robust data models. We are looking for a cleared engineer who thrives in Agile environments and wants to see their code drive real\-world impact across complex logistics and analytics ecosystems.
**The Role** 
 • Engineer and maintain high\-performance Palantir Foundry pipelines using Pipeline Builder to ingest and transform massive datasets.
 • Build modular, front\-end applications and custom workflows using TypeScript, Python, and Foundry AIP (Artificial Intelligence Platform).
 • Lead ontology mapping and data modeling efforts to ensure seamless integration across diverse mission\-critical data sources.
 • Drive the full software development lifecycle (SDLC), utilizing Git\-based repositories for version control and CI/CD best practices.
 • Collaborate directly with stakeholders in Agile sprints to translate mission requirements into technical reality.
**What You'll Need** 
 • 2\+ years of dedicated professional experience with Palantir Foundry and its application ecosystem.
 • Strong technical proficiency in Python or TypeScript for data engineering and software development.
 • Proven experience with Pipeline Builder, Foundry AIP, and Git\-based version control workflows.
 • Active Secret security clearance is essential for this mission\-critical role.
 • Bachelor’s degree in a technical field (or additional equivalent professional experience in data engineering).
 • Bonus points for experience with Maven Smart Systems, SharePoint, Power Platform, or DoD analytics environments.
**What's On Offer** 
 • Highly competitive salary range ($77,600 \- $176,000\) with a performance\-based recognition program.
 • Robust benefits suite including comprehensive health, dental, and vision insurance plus a 401(k) with company match.
 • Commitment to professional growth through tuition assistance, technical certifications, and dedicated work\-life programs.
 • The opportunity to work on the cutting edge of AI and big data in a stunning Honolulu\-based hybrid environment.
**Apply via Haystack today!**</t>
        </is>
      </c>
    </row>
    <row r="111">
      <c r="A111" t="inlineStr">
        <is>
          <t>li-4374376397</t>
        </is>
      </c>
      <c r="B111" t="inlineStr">
        <is>
          <t>Analytics Engineer</t>
        </is>
      </c>
      <c r="C111" t="inlineStr">
        <is>
          <t>RemoteHunter</t>
        </is>
      </c>
      <c r="D111" t="inlineStr">
        <is>
          <t>linkedin</t>
        </is>
      </c>
      <c r="E111">
        <f>HYPERLINK("https://www.linkedin.com/jobs/view/4374376397", "https://www.linkedin.com/jobs/view/4374376397")</f>
        <v/>
      </c>
      <c r="F111">
        <f>HYPERLINK("https://www.remotehunter.com/apply-with-ai/f35fe80a-a863-4845-b059-2914be940aef?utm_medium=job_posting&amp;utm_source=linkedin&amp;utm_campaign=analytics_engineer_remote&amp;utm_category=analytics_engineer&amp;utm_term=analytics_engineer&amp;urlHash=ZsRa", "https://www.remotehunter.com/apply-with-ai/f35fe80a-a863-4845-b059-2914be940aef?utm_medium=job_posting&amp;utm_source=linkedin&amp;utm_campaign=analytics_engineer_remote&amp;utm_category=analytics_engineer&amp;utm_term=analytics_engineer&amp;urlHash=ZsRa")</f>
        <v/>
      </c>
      <c r="G111" t="inlineStr"/>
      <c r="H111" t="inlineStr"/>
      <c r="I111"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2">
      <c r="A112" t="inlineStr">
        <is>
          <t>li-4374370966</t>
        </is>
      </c>
      <c r="B112" t="inlineStr">
        <is>
          <t>Lead data engineer</t>
        </is>
      </c>
      <c r="C112" t="inlineStr">
        <is>
          <t>Velocity Tech</t>
        </is>
      </c>
      <c r="D112" t="inlineStr">
        <is>
          <t>linkedin</t>
        </is>
      </c>
      <c r="E112">
        <f>HYPERLINK("https://www.linkedin.com/jobs/view/4374370966", "https://www.linkedin.com/jobs/view/4374370966")</f>
        <v/>
      </c>
      <c r="F112" t="inlineStr"/>
      <c r="G112" t="inlineStr"/>
      <c r="H112" t="inlineStr"/>
      <c r="I112" t="inlineStr">
        <is>
          <t>Lead Data Engineer – Interoperability
**Fully Remote** 
 Velocity Tech has partnered with a high\-growth digital health platform operating at national scale, enabling millions of users to securely access and manage their personal data through modern, API\-driven infrastructure.
 We’re looking for a
 **Lead Data Engineer** 
 to drive large\-scale interoperability and real\-time data exchange initiatives. This is a strategic leadership role focused on architecting and scaling secure, compliant data systems across a highly integrated ecosystem.
 You will lead the design and delivery of real\-time data pipelines and API infrastructure that connect thousands of external data sources into a unified platform.
 What You’ll Do
* Lead the design and implementation of large\-scale, real\-time interoperability solutions supporting millions of records
* Architect and oversee Patient Access APIs, Provider Directory APIs, and Bulk FHIR APIs aligned to regulatory standards
* Drive technical strategy around
 **FHIR (R4\)** 
 adoption and integration best practices
* Design scalable data pipelines to ingest, transform, and exchange structured and unstructured data from multiple external systems
* Establish architectural standards and engineering best practices across interoperability and data infrastructure
* Evaluate and implement integration tooling and vendor solutions
* Design and maintain real\-time pipeline infrastructure using Python, Spark, orchestration frameworks, Kubernetes, and modern AI\-enabled tooling
* Lead and mentor a team of data engineers, supporting delivery and technical growth
* Partner cross\-functionally with product, engineering, security, and business teams to define requirements and execution strategy
* Ensure security, privacy, and compliance standards are embedded across all systems
 Experience Required
* 8\+ years of hands\-on experience in interoperability, data integration, or health IT environments
* 5\+ years working with
 **FHIR (R4 required)**
* 3\+ years in a technical leadership role managing data or interoperability teams
* Proven experience delivering large\-scale, real\-time data exchange systems
* Experience integrating with multiple EMR platforms and national exchange frameworks
* Strong knowledge of US Core, USCDI, and regulatory interoperability requirements
* Experience with SMART on FHIR (OAuth 2\.0, OpenID Connect)
* Familiarity with HL7 v2\.x and structured document standards
* Strong API security knowledge (OAuth2, JWT, mTLS, etc.)
* Experience with distributed messaging systems (Kafka or equivalent)
 Technical Stack
* Strong programming experience in at least two of: Python, Java, JavaScript/TypeScript, Go, or C\#
* Experience with modern backend frameworks
* Strong SQL and NoSQL database experience
* Experience handling structured data formats (JSON, XML, FHIR, HL7\)
* Familiarity with schema validation and data quality tooling</t>
        </is>
      </c>
    </row>
    <row r="113">
      <c r="A113" t="inlineStr">
        <is>
          <t>li-4344150670</t>
        </is>
      </c>
      <c r="B113" t="inlineStr">
        <is>
          <t>Analytics Engineer</t>
        </is>
      </c>
      <c r="C113" t="inlineStr">
        <is>
          <t>DoorDash</t>
        </is>
      </c>
      <c r="D113" t="inlineStr">
        <is>
          <t>linkedin</t>
        </is>
      </c>
      <c r="E113">
        <f>HYPERLINK("https://www.linkedin.com/jobs/view/4344150670", "https://www.linkedin.com/jobs/view/4344150670")</f>
        <v/>
      </c>
      <c r="F113">
        <f>HYPERLINK("https://job-boards.greenhouse.io/doordashusa/jobs/7028089&amp;urlHash=qmP8", "https://job-boards.greenhouse.io/doordashusa/jobs/7028089&amp;urlHash=qmP8")</f>
        <v/>
      </c>
      <c r="G113" t="inlineStr">
        <is>
          <t>San Francisco, CA</t>
        </is>
      </c>
      <c r="H113" t="inlineStr"/>
      <c r="I113" t="inlineStr">
        <is>
          <t>**About The Team**
 The Analytics Engineering team at DoorDash is embedded within the Analytics and Data Engineering Orgs, and is responsible for building internal data products that scale decision\-making across business teams and drive efficiency in our operations. Data is fundamental to DoorDash’s success, and this team plays a critical role in enabling high\-impact, data\-driven solutions across Product, Operations, Finance, and more.
**About The Role**
 As an Analytics Engineer, you’ll play a key role in building and scaling the data foundations that enable fast, reliable, and actionable insights. You’ll work closely with partner teams to drive end\-to\-end analytics initiatives; working alongside Data Engineers, Data Scientists, Software Engineers, Product Managers, and Operators.
 This is a highly technical role where you'll be a driving force behind the analytics stack, delivering trusted data and metrics that support decision\-making at all levels of the company. If you're energized by solving technical problems with data and comfortable being deeply embedded across several domains, this role is for you!
**You’re Excited About This Opportunity Because You Will…**
* Collaborate with data scientists, data engineers, and business stakeholders to understand business needs, and translate that scope into data requirements
* Identify key business questions and problems to solve for, and generate insights by developing structured solutions to resolve them
* Lead the development of data products and self\-serve tools that enable analytics to scale across the company
* Build and maintain canonical datasets by developing high\-volume, reliable ETL/ELT pipelines using data lake and data warehousing concepts
* Design metrics and data visualizations with dashboarding tools like Tableau, Sigma, and Mode
* Be a cross\-functional champion at upholding high data integrity standards to increase reusability, readability and standardization
**We’re Excited About You Because…**
* 3\+ years of experience working in business intelligence, analytics engineering, data engineering or a similar role
* Strong proficiency in SQL for data transformation, comfort in at least one functional/OOP language such as Python or Scala
* Expertise in creating compelling reporting and data visualization solutions using dashboarding tools (e.g., Looker, Tableau, Sigma)
* Familiarity with database fundamentals (e.g. S3, Trino, Hive, Spark), and experience with SQL performance tuning
* Experience in writing data quality checks to validate data integrity (e.g., Pydeequ, Great Expectations)
* Excellent communication skills and experience working with technical and non\-technical teams
* Comfortable working in fast paced environment, self starter and self organizing
* Ability to think strategically, analyze and interpret market and consumer information
* Must be comfortable regularly exercising discretion and independent judgment in performing job duties, including evaluating options, making informed decisions, and determining appropriate courses of action within the scope of assigned responsibilities.
**Nice to Have**
* Experience with modern data warehousing platforms (e.g., Snowflake, Databricks, Redshift) and ability to optimize performance
* Experience building multi\-step ETL jobs coupled with orchestrating workflows (e.g. Airflow, Dagster, DBT)
* Familiarity with experimentation concepts like A/B testing and their data requirements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$117,500—$172,800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114">
      <c r="A114" t="inlineStr">
        <is>
          <t>li-4374378500</t>
        </is>
      </c>
      <c r="B114" t="inlineStr">
        <is>
          <t>Data Engineer III</t>
        </is>
      </c>
      <c r="C114" t="inlineStr">
        <is>
          <t>RemoteHunter</t>
        </is>
      </c>
      <c r="D114" t="inlineStr">
        <is>
          <t>linkedin</t>
        </is>
      </c>
      <c r="E114">
        <f>HYPERLINK("https://www.linkedin.com/jobs/view/4374378500", "https://www.linkedin.com/jobs/view/4374378500")</f>
        <v/>
      </c>
      <c r="F114" t="inlineStr"/>
      <c r="G114" t="inlineStr"/>
      <c r="H114" t="inlineStr"/>
      <c r="I114" t="inlineStr">
        <is>
          <t>About the Opportunity:
 The Data Engineer III is responsible for building and maintaining robust data pipelines and models, overseeing a broad scope of ETL infrastructure and databases. This role enables accurate and timely access to data across the organization by simplifying and centralizing a complex ecosystem, providing trustworthy, analytic\-ready resources for various business units. It involves deep collaboration with stakeholders in Engineering, Analytics, Operations, Finance, Marketing, and Customer Service to create a dependable data environment and drive measurable business impact through data.
 Responsibilities:
 • Design, implement, and maintain scalable and reliable data pipelines using Airflow, dbt, Rivery, Python, and SQL.
 • Collaborate with business teams to translate high\-level goals into data solutions supporting forecasting, performance tracking, and optimization.
 • Develop and maintain well\-documented data models in Snowflake and BigQuery that support analytics, reporting, and operational workflows.
 • Integrate data from internal and external sources, including Google Analytics and third\-party APIs, to ensure full\-funnel visibility.
 • Enable self\-service analytics by making data assets discoverable and usable through tools like Tableau, focusing on semantic layer design and performance tuning.
 • Develop monitoring and observability practices for data quality and pipeline health.
 • Participate in architecture and design decisions involving cloud infrastructure and containerization using AWS, Pulumi, and Docker.
 • Maintain thorough documentation and promote engineering standards for transparency, maintainability, and reusability of data systems.
 Requirements:
 • 7\+ years of experience in data engineering, analytics engineering, or related roles.
 • Advanced proficiency in SQL and Python, including efficient query writing and software engineering principles.
 • Hands\-on experience with Snowflake and/or BigQuery, including data modeling and performance optimization.
 • Proficiency with orchestration tools like Airflow and data integration tools such as dbt.
 • Experience with AWS cloud services for data storage, compute, and infrastructure management, including AWS Batch, ECR, and Lambda.
 • Familiarity with data analytics and visualization tools, particularly Tableau, and experience supporting dashboard development.
 • Experience working with marketing and product data sources, including Google Analytics.
 • Strong knowledge of ETL/ELT design and data warehousing solutions.
 • Familiarity with CI/CD pipelines and DevOps practices for data engineering.
 • Proficient in Microsoft Suite for documentation and collaboration.
 • Experience with API design and integration.
 • Familiarity with SCRUM methodologies and tools like Jira.
 Benefits \&amp; Perks:
 • Paid Time Off
 • Medical, Dental, Vision, and Prescription Insurance
 • 401(k) Retirement Plan with Company Match
 • Flexible Spending Account and Health Savings Account
 • Tuition Reimbursement
 • Employee Discount
 • Parental Leave
 • Life Insurance
 Compensation:
 • Annual base pay range: $147,000 \- $172,000, determined by experience and qualifications.
 • Final pay based on individual qualifications, market demands, and work location.
 • Salary range may be modified.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5">
      <c r="A115" t="inlineStr">
        <is>
          <t>li-4192952759</t>
        </is>
      </c>
      <c r="B115" t="inlineStr">
        <is>
          <t>Data Platform Engineer</t>
        </is>
      </c>
      <c r="C115" t="inlineStr">
        <is>
          <t>Radar</t>
        </is>
      </c>
      <c r="D115" t="inlineStr">
        <is>
          <t>linkedin</t>
        </is>
      </c>
      <c r="E115">
        <f>HYPERLINK("https://www.linkedin.com/jobs/view/4192952759", "https://www.linkedin.com/jobs/view/4192952759")</f>
        <v/>
      </c>
      <c r="F115" t="inlineStr"/>
      <c r="G115" t="inlineStr">
        <is>
          <t>New York, NY</t>
        </is>
      </c>
      <c r="H115" t="inlineStr"/>
      <c r="I115" t="inlineStr">
        <is>
          <t>**About Radar**
 Radar is the global leader in geolocation, with geofencing SDKs, maps APIs, and AI\-enabled solutions for marketing, fraud, and operations teams.
 Why is Radar the best place to work?
* We're trusted by some of the world's best companies, from high\-growth startups to the Fortune 500\.
* We have incredible scale: We're processing over 1 billion API calls per day from hundreds of millions of devices.
* We're well\-resourced, and we've raised $85\.5M from world\-class investors, including Accel and Insight Partners.
* We have a high\-performance culture, with ambitious and entrepreneurial teammates in every role.
* We recently moved into an amazing new office in Flatiron, Manhattan, NYC.
* We were recently named a top 10 best place to work in NYC by Crain's.
 Despite our growth and scale, we're still just getting started. That's where you come in.
**About The Role**
 We're looking for a Data Platform Engineer to build out the next generation of our data platform . The ideal candidate has been a data platform engineer on a large system and is energized by deeply understanding customer pain points and opportunities related to our data platform. To date this has been a shared responsibility on our engineering team, but as we've grown to over 1 billion API calls per day (with lots of data exhaust into our data lake), we're hiring a Data Platform Engineering team to modernize and level up our data stack. This role can be either in our NYC HQ or remote in the US.
**How We Work**
 Most of our engineering team are former technical co\-founders or former Radar interns from schools like Waterloo and CMU. Most engineers at Radar fit one of two molds, technically: either Staff level expertise in one stack, or "Multi\-Stack" at any level. We say "Multi\-Stack" because "Full\-Stack" has the connotation of "Frontend and Backend", but Radar Engineers might also work on Mobile or Data engineering. Not that you need to be an expert in all of those, but a desire to learn, jump around to different stacks, and get things done is the important part.
 We care a lot about shipping fast and talking to customers. We're committed to our product vision of full\-stack location infrastructure, but we also know that customer feedback is a treasure map to gold. Even though Slack is the brain of our company, working together in\-person in our NYC HQ is the fastest way for us to get things done. We meet on Mondays to plan out work for the week in small groups and use Linear for planning. All projects are run by an Engineering lead, an executive and a Go\-to\-Market lead. Engineers figure out what to build, talk to customers, talk to prospects, help close them, get them live and make them successful.
 One of our most important company values is "Walk a mile," as in walking a mile in the customer's shoes, but also as in literally walking a mile, getting up from your desk and developing a deep understanding of how location services behave in the real world. To us, a week is a long time, and we expect to ship big things every week.
**The Stack**
* Our data stack includes Kinesis, S3, Athena, Terraform, Airflow, Parquet, Metabase, Python, Redis, MongoDB, and Kubernetes.
* Our primary languages are TypeScript, Rust, and Python.
* Most engineers are in the on\-call rotation.
* We sponsor OpenStreetMaps, MapLibre, and OpenAddresses.
**How We Use AI**
* Engineers choose what AI tools they use, Claude and Cursor being the two most popular.
* All code changes are reviewed by an Engineer knowledgeable in that area. Cursor and CoPilot also review all PRs.
* There is a range of how much engineers use AI. Some use it heavily, others less so.
* We are excited about what AI can do, but we also recognize the risks and don't compromise our coding standards.
**The Hiring Process**
 After a call with our Technical Recruiter, you'll do several technical Zoom calls with members of our engineering team: code screen, coding round, and system design round. If those go well we'll invite you to our NYC HQ for a final round interview. You'll meet one of our co\-founders, someone from outside engineering, and meet more people from Radar. We'll go into more depth about how we work to see if there is a match.
**What You’ll Do**
* Work on core Radar data infrastructure built with Kinesis, S3, Athena, Terraform, Airflow, Parquet, Metabase, Python, Redis, and Mongo (some of these need to be replaced \- you'll help figure out what that looks like)
* Improve our current data platform via incremental improvements and deploying next generation infra to level up our stack.
* Talk to Radar customers and prospects, hear their feedback, incorporate it into your work and make them successful
**You Should**
* Have experience building data infrastructure
* Besides experience with some of our current data stack, have experience with several of Snowflake, Clickhouse, Databricks, Dynamo and dbt or similar tools
* Are interested in talking to customers or prospects and making them successful
* Are deeply curious about how things work, and have the tenacity to sit with hard problems and power through them
**Bonus Points If You**
* Are a former technical co\-founder
* Have experience building end\-to\-end customer facing analytics, real\-time streaming solutions, leveraging cold and hot storage to achieve product goals
**You’ll Work With**
* Tim Julien, CTO
* Our customers and prospects
* Our Customer Success, Sales Engineering, and Sales teams
**What We Offer**
* Competitive salary
* Meaningful stock options in a fast\-growing company
* 401(k) plan with 4% match
* New HQ in Flatiron, NYC
* Top\-notch equipment
* Catered lunches
* Unlimited PTO
* Health, dental, and vision insurance with 100% coverage for employees
* 12 weeks of paid parental leave
* Commuter and fitness benefits
**Compensation**
 For candidates based in the United States, the base salary range for this full\-time position is between $150,000 \- $250,000/year with an opportunity for performance bonuses and incentives.
 In addition to cash compensation, Radar offers full\-time employees stock option grants under its equity plan. This is a meaningful ownership stake in the company we provide to our employees as we build a category\-defining company.
*Our salary ranges are determined by role, level, and location. The range displayed on this job posting reflects the minimum and maximum target for new hire salaries for the position across all US locations. Your exact offer may vary based on market location, job\-related skills, experience, and relevant education or training.*
*We are committed to equal employment opportunity regardless of race, color, ancestry, religion, sex, national origin, sexual orientation, age, citizenship, marital status, disability, gender, gender identity or expression, or veteran status. We are proud to be an equal opportunity workplace.*
 Compensation Range: $150K \- $250K</t>
        </is>
      </c>
    </row>
    <row r="116">
      <c r="A116" t="inlineStr">
        <is>
          <t>li-4375812246</t>
        </is>
      </c>
      <c r="B116" t="inlineStr">
        <is>
          <t>Data Engineer</t>
        </is>
      </c>
      <c r="C116" t="inlineStr">
        <is>
          <t>Haystack</t>
        </is>
      </c>
      <c r="D116" t="inlineStr">
        <is>
          <t>linkedin</t>
        </is>
      </c>
      <c r="E116">
        <f>HYPERLINK("https://www.linkedin.com/jobs/view/4375812246", "https://www.linkedin.com/jobs/view/4375812246")</f>
        <v/>
      </c>
      <c r="F116" t="inlineStr"/>
      <c r="G116" t="inlineStr"/>
      <c r="H116" t="inlineStr"/>
      <c r="I116" t="inlineStr">
        <is>
          <t>**Splunk Data Engineer \| Reston, VA \| $99,000 \- $225,000**
 We're working with Booz Allen Hamilton on this exciting opportunity.
 Join a leading team as a Splunk Data Engineer, where you'll design, deploy, and manage cutting\-edge Splunk infrastructure. This is your chance to shine by integrating diverse data sources and crafting robust dashboards to monitor and troubleshoot complex systems. Leveraging your expertise in Splunk architecture and data pipelines, you'll play a pivotal role in ensuring comprehensive data ingestion and driving solutions across cross\-functional teams.
**The Role**
* Design, deploy, and manage Splunk infrastructure, developing and maintaining dashboards, queries, and alerts.
* Integrate Splunk with various data sources, ensuring comprehensive data ingestion and building robust data pipelines.
* Monitor and troubleshoot Splunk performance issues, implementing and enforcing best practices for data management.
* Collaborate with cross\-functional teams to gather requirements and deliver innovative Splunk solutions.
* Provide expert user training and support for all Splunk\-related activities.
**What You'll Need**
* 2\+ years of hands\-on experience managing and configuring Splunk, including architecture components like indexers and search heads.
* 2\+ years of experience building data pipelines to parse, normalize, and route data using Splunk configurations (props.conf, transforms.conf).
* Proven experience in Linux and Windows administration, coupled with 1\+ years of regex for field extraction and Splunk REST API for automation.
* An active TS/SCI clearance with willingness to undergo a polygraph exam, and DoD 8570 IAT Level II certification (Security\+, CCNA\-Security).
* Ability to obtain a DoD 8570 Cyber Security Service Provider \- Infrastructure Support certification within 60 days of start date.
**What's On Offer**
* Competitive salary range of $99,000 \- $225,000 with comprehensive health, life, and disability benefits.
* Excellent opportunities for professional development, tuition assistance, and a focus on work\-life balance.
* Recognition awards for exceptional performance and a supportive, people\-first culture with remote\-friendly work options.
* A dynamic environment where your contributions are valued, and you're empowered to grow your career.
**Apply via Haystack today!**</t>
        </is>
      </c>
    </row>
    <row r="117">
      <c r="A117" t="inlineStr">
        <is>
          <t>li-4344019961</t>
        </is>
      </c>
      <c r="B117" t="inlineStr">
        <is>
          <t>Analytics Engineer</t>
        </is>
      </c>
      <c r="C117" t="inlineStr">
        <is>
          <t>DoorDash</t>
        </is>
      </c>
      <c r="D117" t="inlineStr">
        <is>
          <t>linkedin</t>
        </is>
      </c>
      <c r="E117">
        <f>HYPERLINK("https://www.linkedin.com/jobs/view/4344019961", "https://www.linkedin.com/jobs/view/4344019961")</f>
        <v/>
      </c>
      <c r="F117">
        <f>HYPERLINK("https://job-boards.greenhouse.io/doordashusa/jobs/7028089&amp;urlHash=qmP8", "https://job-boards.greenhouse.io/doordashusa/jobs/7028089&amp;urlHash=qmP8")</f>
        <v/>
      </c>
      <c r="G117" t="inlineStr">
        <is>
          <t>Sunnyvale, CA</t>
        </is>
      </c>
      <c r="H117" t="inlineStr"/>
      <c r="I117" t="inlineStr">
        <is>
          <t>**About The Team**
 The Analytics Engineering team at DoorDash is embedded within the Analytics and Data Engineering Orgs, and is responsible for building internal data products that scale decision\-making across business teams and drive efficiency in our operations. Data is fundamental to DoorDash’s success, and this team plays a critical role in enabling high\-impact, data\-driven solutions across Product, Operations, Finance, and more.
**About The Role**
 As an Analytics Engineer, you’ll play a key role in building and scaling the data foundations that enable fast, reliable, and actionable insights. You’ll work closely with partner teams to drive end\-to\-end analytics initiatives; working alongside Data Engineers, Data Scientists, Software Engineers, Product Managers, and Operators.
 This is a highly technical role where you'll be a driving force behind the analytics stack, delivering trusted data and metrics that support decision\-making at all levels of the company. If you're energized by solving technical problems with data and comfortable being deeply embedded across several domains, this role is for you!
**You’re Excited About This Opportunity Because You Will…**
* Collaborate with data scientists, data engineers, and business stakeholders to understand business needs, and translate that scope into data requirements
* Identify key business questions and problems to solve for, and generate insights by developing structured solutions to resolve them
* Lead the development of data products and self\-serve tools that enable analytics to scale across the company
* Build and maintain canonical datasets by developing high\-volume, reliable ETL/ELT pipelines using data lake and data warehousing concepts
* Design metrics and data visualizations with dashboarding tools like Tableau, Sigma, and Mode
* Be a cross\-functional champion at upholding high data integrity standards to increase reusability, readability and standardization
**We’re Excited About You Because…**
* 3\+ years of experience working in business intelligence, analytics engineering, data engineering or a similar role
* Strong proficiency in SQL for data transformation, comfort in at least one functional/OOP language such as Python or Scala
* Expertise in creating compelling reporting and data visualization solutions using dashboarding tools (e.g., Looker, Tableau, Sigma)
* Familiarity with database fundamentals (e.g. S3, Trino, Hive, Spark), and experience with SQL performance tuning
* Experience in writing data quality checks to validate data integrity (e.g., Pydeequ, Great Expectations)
* Excellent communication skills and experience working with technical and non\-technical teams
* Comfortable working in fast paced environment, self starter and self organizing
* Ability to think strategically, analyze and interpret market and consumer information
* Must be comfortable regularly exercising discretion and independent judgment in performing job duties, including evaluating options, making informed decisions, and determining appropriate courses of action within the scope of assigned responsibilities.
**Nice to Have**
* Experience with modern data warehousing platforms (e.g., Snowflake, Databricks, Redshift) and ability to optimize performance
* Experience building multi\-step ETL jobs coupled with orchestrating workflows (e.g. Airflow, Dagster, DBT)
* Familiarity with experimentation concepts like A/B testing and their data requirements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$117,500—$172,800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118">
      <c r="A118" t="inlineStr">
        <is>
          <t>li-4367339264</t>
        </is>
      </c>
      <c r="B118" t="inlineStr">
        <is>
          <t>Sr. Data Engineer</t>
        </is>
      </c>
      <c r="C118" t="inlineStr">
        <is>
          <t>American Heart Association</t>
        </is>
      </c>
      <c r="D118" t="inlineStr">
        <is>
          <t>linkedin</t>
        </is>
      </c>
      <c r="E118">
        <f>HYPERLINK("https://www.linkedin.com/jobs/view/4367339264", "https://www.linkedin.com/jobs/view/4367339264")</f>
        <v/>
      </c>
      <c r="F118" t="inlineStr"/>
      <c r="G118" t="inlineStr">
        <is>
          <t>Dallas, TX</t>
        </is>
      </c>
      <c r="H118" t="inlineStr"/>
      <c r="I118" t="inlineStr">
        <is>
          <t>**Overview**
 Since our founding in 1924, we've cut cardiovascular disease deaths in half, but there is still so much more to do. To overcome today’s biggest health challenges and accelerate this progress, we need passionate individuals like you. Join our movement, be part of the progress, and help ensure a healthier future for all. You matter, and so does the impact you can make with us.
 The American Heart Association has an excellent opportunity for a
 **Sr. Data Engineer** 
 based at our National Center in Dallas, TX.
**(This is a Fixed Term position with funding through 3/31/2028\. Funding is likely to extend)**
 The Association offers many resources to help you maintain work\-life harmonization through your changing needs and life situations. To help you be successful, you will have access to Heart U, our award\-winning corporate university, as well as additional training and support, locally.
 \\\#TheAHALife is more than a company culture; it is our way of life. It embodies our commitment to work\-life harmonization and is guided by our core values where our employees can thrive both personally and professionally. Discover why you will Be Seen. Be Heard. Be Valued at the American Heart Association by following us on LinkedIn, Instagram, Facebook, X, and at heart.jobs.
**Responsibilities**
* Designs integration architectures, defines clinical data mappings from electronic health record data including imaging, develops data models, and consults with the infrastructure team on server and data storage services.
* Formulates and recommends standards for achieving maximum performance, compliance and efficiency of the database and delivery to researchers in the American Heart Association Precision Medicine Platform.
* Ensures accuracy and integrity of service\-oriented architecture through analysis, coding, writing clear documentation and problem resolution. Reviews issues and enhancements documented in the incident management and project management system for consideration of business needs.
* Maintains in\-depth current knowledge of standards, guidelines, and industry trends for Data Warehouse Architecture as it relates to reporting and operations. Attends and interacts with user groups and researches new software vendors in the market. Evaluates new data sources for adherence to the organization's quality standards and ease of integration.
* Fosters use of self\-service analytics, data governance and visual discovery while guiding changes and limited reliance on manual data processes. Builds proof of concept and tangible results by sharing testing data.
* Participates in the planning for retirement of systems programs, and migration of systems infrastructure by providing current state and future state architectural diagrams.
* Works closely with Chief of Data Science and business groups within American Heart Association to ensure prioritization of corporate and department objectives within the portfolio management system.
* Provides guidance on Data Governance as it applies to enterprise data architecture choices.
* Champions data quality, integrity, and reliability throughout the department by designing data flow models and promoting development best practices with best of breed automation tools, working cross\-functionally to ensure that data is made available timely and securely.
* Provides mentoring to Extract/Transform/Load (ETL) team members with technical expertise, complex systems, and/or programming knowledge. Provides on\-the\-job training for new or less experienced ETL team members.
* Provides technical training to external team members to encourage cross\-department connections including the development and maintenance of standard operating procedures.
* Provides a methodology for the ongoing assessment of database performance and the identification of problem areas by holding regularly scheduled reviews of code and monitoring software.
* Develops business cases, impacts evaluation and ROI for department to get buy\-in from senior management.
* Performs other duties as required or assigned which are reasonably within the scope and responsibility of the job level and family.
**Want to help get your resume to the top? Take a look at the experience we require:**
**Qualifications**
* Bachelor's Degree from a four\-year college or university or equivalent work experience.
* Minimum of eight (8\) years of experience (ten (10\) years of experience preferred) of Data Mapping and Extract/Transform/Load (ETL) design and development experience with clinical electronic health record data and images.
* Minimum of eight (8\) years of experience with:
* Data modeling with an emphasis on ODS and Star schema models.
* Integration architecture design and implementation with electronic health records and images.
* Experience with Data Virtualization tools.
* Comprehensive knowledge in software development lifecycles/methodologies, i.e. agile.
* Strong presentation and collaboration skills, and can communicate all aspects of the job requirements, including the creation of formal documentation.
* Fluent in relational database concepts and flat file processing concepts.
* Strong problem\-solving, time management, and organizational skills.
**Here are some of the preferred skills we are looking for:**
* Experience with Electronic health records and image mapping
* Experience with Python, R, SQL
* Experience with Cloud offerings.
* Experience with Amazon Web Services: S3, Glue, SageMaker, Lake Formation, Lambda, Athena, RedShift, EMR, etc.
* ETL Technology: AWS Glue, SSIS, DataStage, Informatica.
* Time series analysis, clustering, decision trees, and neural networks.
* Database/Data Virtualization Technology: Apache Spark, Databricks, Snowflake, Hadoop, Cloudera, SQL Server, Oracle, Alteryx, Denodo.
* Business Intelligence Technology: SSRS, Power BI, Tableau, MicroStrategy.
**Compensation \&amp; Benefits**
 The expected pay range will be $130,000 \- $140,000\. Pay is commensurate with experience; geographic differentials to the pay range may apply. The American Heart Association reserves the right to pay more or less than the posted range.
 The American Heart Association invests in its people. Here are the main components of our total rewards package. Visit Rewards \&amp; Benefits to see more details.
* Compensation – Our goal is to ensure you have a competitive base salary. That’s why we regularly review the market value of jobs and make adjustments, as needed.
* Performance and Recognition – You are rewarded for achieving success through annual salary planning and incentive programs; based on the type of position
* Benefits – We offer a wide array of benefits including medical, dental, vision, disability, and life insurance, along with a robust retirement program that includes an employer match and automatic contribution. As a mark of our commitment to employee well\-being, we also offer an employee assistance program, employee wellness program and telemedicine, and medical consultation.
* Professional Development – You can join one of our many Employee Resource Groups (ERG) or be a mentor/mentee in our professional mentoring program. Heart U is the Association’s national online university, with more than 100,000 resources designed to meet your needs and busy schedule.
* Work\-Life Harmonization – The Association offers Paid Time Off (PTO) at a minimum of 16 days per year for new employees. The number of days will increase based on seniority level. You will also have a total of 12 paid holidays off each year, which includes several days off at the end of the year.
* Tuition Assistance \- We support the career development of all employees. This program provides financial assistance to employees who wish to further their education and career in relation to their current duties and responsibilities, or for potential future positions in the organization.
 The American Heart Association’s 2028 Goal: Building on over 100 years of trusted leadership in cardiovascular and brain health, by 2028 the Association will drive breakthroughs and implement proven solutions in science, policy, and care for healthier people and communities. The greatest discoveries in health must reach everyone where they are.
**At American Heart Association \| American Stroke Association, our mission is to be a relentless force for a world of longer, healthier lives, regardless of race, ethnicity, gender, gender identity, religion, age, language, sexual orientation, national origin and physical or cognitive abilities.**
**This position not a match with your skills?** 
 Click here to see other opportunities.
 In accordance with local and state laws where applicable, qualified applicants with arrest or conviction records will be considered for employment.
 EOE/Protected Veterans/Persons with Disabilities
 \\
**Join our Talent Community!**
 Join our Talent Community to receive updates on new opportunities and future events.
**Default: Location : Location** 
*US\-TX\-Dallas*
**Posted Date** 
*3 weeks ago* 
*(1/29/2026 9:57 AM)*
***Requisition ID***
*2026\-17044*
***Job Category***
*Science \&amp; Research*
***Position Type***
*Full Time*</t>
        </is>
      </c>
    </row>
    <row r="119">
      <c r="A119" t="inlineStr">
        <is>
          <t>li-4348538897</t>
        </is>
      </c>
      <c r="B119" t="inlineStr">
        <is>
          <t>Analytics Engineer, GTM Data Infrastructure</t>
        </is>
      </c>
      <c r="C119" t="inlineStr">
        <is>
          <t>DoorDash</t>
        </is>
      </c>
      <c r="D119" t="inlineStr">
        <is>
          <t>linkedin</t>
        </is>
      </c>
      <c r="E119">
        <f>HYPERLINK("https://www.linkedin.com/jobs/view/4348538897", "https://www.linkedin.com/jobs/view/4348538897")</f>
        <v/>
      </c>
      <c r="F119" t="inlineStr"/>
      <c r="G119" t="inlineStr">
        <is>
          <t>Phoenix, AZ</t>
        </is>
      </c>
      <c r="H119" t="inlineStr"/>
      <c r="I119" t="inlineStr">
        <is>
          <t>**About The Team**
 The Go To Market Technology (GTMT) organization enables the growth and productivity for DoorDash Go\-To\-Market teams with reliable data, intelligent workflows, and frictionless experiences that move at the speed of DoorDash. We build systems that streamline business processes to be nimble and effective while serving the needs of our Merchants and Customers. We're looking for analysts to join our Go\-To\-Market Technology (GTMT) team, where you'll build elegant solutions that power
 DoorDash's rapid growth. Specifically, we are seeking proactive and driven individuals who are eager to dive deep into data, build scalable data platforms/tools, and translate insights into actions that drive our business forward.
**About The Role**
 We're looking for a business\-savvy data specialist who can think like an engineer and act like an analyst. You'll automate high\-impact GTM workflows, rapidly prototype new business processes, and own end\-to\-end data quality across critical systems. If you've built internal tools, scripted away manual reporting pain, or unified Salesforce data across platforms — we want to talk to you.
 You will be reporting to the Manager of the GTM \- Data team in our GTM product and engineering organization.
**Responsibilities**
* Partner with Product, Engineering, Data Science \&amp; Analytics, Operations, Finance, and other cross\-functional stakeholders to understand their needs and deliver data solutions to meet business objectives.
* Develop frameworks and scalable processes to streamline reporting, drive decision\-making, and build first class scalable data platforms/ tools to deliver data quickly, reliably, and accurately.
* Implement automation solutions, data products and explore/integrate AI capabilities into data tools and applications to enhance productivity and decision\-making.
* Be a strategic partner for the business: Identify opportunities and create solutions to automate and scale ad hoc requests.
* Build and maintain robust data pipelines and data models using tools like SQL, Python, Airflow, ensuring high data integrity and performance.
**You’re Excited About This Opportunity Because You Will**
* Drive Strategic Impact: Play a pivotal role in shaping business objectives through the implementation of innovative technological solutions.
* Own Problem Solving: Enjoy the autonomy to directly address and resolve challenges in collaboration with key business partners.
* Embrace Continuous Evolution: Thrive in a dynamic environment where you'll encounter new challenges and opportunities to expand your skillset.
* Develop Diverse Expertise: Continuously enhance both your business acumen and technical capabilities across a wide range of problem domains — including exploring and applying AI capabilities to automate workflows, improve decision\-making, and drive innovation in GTM operations
* Tackle Ambiguity: Embrace the challenge of solving large, complex problems using an iterative and data\-driven approach.
* Shape Data Infrastructure: Be at the forefront of transforming and managing data to make it insightful and accessible for critical business processes.
* Influence Decision Making: Define and monitor key metrics, build insightful dashboards, and present findings to senior leadership, directly influencing strategic decisions.
* Build Scalable Solutions: Develop robust data pipelines and scalable processes that streamline reporting and drive prioritization.
* Partner Cross\-Functionally: Collaborate closely with Product, Engineering, Data Science \&amp; Analytics, Operations, Finance, and other teams to deliver data solutions and meet business objectives.
* Innovate with Technology: Explore and implement automation solutions and AI capabilities to enhance data tools and applications.
**We're Excited About You Because You Have**
* 4\+ years of experience in analytics engineering in a high\-growth environment.
* Ability to translate unstructured business problems into clearly defined requirements with minimal oversight.
* Ability to build automation solutions, ETL pipelines and production facing data products to scale business processes.
* Proficient in SQL and Python and quantitative analysis; you can deep dive into large amounts of data, draw meaningful insights, dissect business issues, and draw actionable conclusions. You can automate business processes and integrate internal systems using python scripts and build unified sources of truths using ETL pipelines.
* Strong problem\-solving and analytical skills with the ability to transition between detailed data and high\-level business problems.
* Great communication (listening, written, and oral) skills with the ability to present findings \&amp; recommendations targeted to the audience in question.
* Strong interpersonal skills, with the ability to build relationships and trust across functions and work collaboratively.
* Strong attention to detail, structured thinking, and experience developing processes to reduce human error.
* Master’s degree in Mathematics, Statistics, Economics, Engineering, or a related technical field.
* Good understanding of development processes and best practices like engineering standards, code reviews, and testing.
**Nice To Have**
* Knowledge of CI/CD practices and infrastructure as code.
* Deploying, monitoring, and maintaining applications/services in AWS and DevOps skills.
* Experience building dashboards in Sigma/Tableau for performance analysis.
**Why You’ll Love Working at DoorDash**
* We are leaders: Leadership is not limited to our management team. It’s something everyone at DoorDash embraces and embodies.
* We are doers: We believe the only way to predict the future is to build it. Creating solutions that will lead our company and our industry is what we do \-\- on every project, every day.
* We are learners: We’re not afraid to dig in and uncover the truth, even if it’s scary or inconvenient. Everyone here is continually learning on the job, no matter if we’ve been in a role for one year or one minute.
* We are customer obsessed: Our mission is to grow and empower local economies. We are committed to our customers, merchants, and dashers and believe in connecting people with possibility.
* We are all DoorDash: The magic of DoorDash is our people, together making our inspiring goals attainable and driving us to greater heights.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$100,600—$148,000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120">
      <c r="A120" t="inlineStr">
        <is>
          <t>li-4374386321</t>
        </is>
      </c>
      <c r="B120" t="inlineStr">
        <is>
          <t>REMOTE DoW Mid/Senior Data Engineer (Database Engineer) - 26859</t>
        </is>
      </c>
      <c r="C120" t="inlineStr">
        <is>
          <t>RemoteHunter</t>
        </is>
      </c>
      <c r="D120" t="inlineStr">
        <is>
          <t>linkedin</t>
        </is>
      </c>
      <c r="E120">
        <f>HYPERLINK("https://www.linkedin.com/jobs/view/4374386321", "https://www.linkedin.com/jobs/view/4374386321")</f>
        <v/>
      </c>
      <c r="F120" t="inlineStr"/>
      <c r="G120" t="inlineStr"/>
      <c r="H120" t="inlineStr"/>
      <c r="I120" t="inlineStr">
        <is>
          <t>About the Opportunity:
 This role is within a business group focused on cyber and mission IT, electronic warfare, and C5ISR systems supporting national defense. The position supports Executive Order projects by enhancing a centralized data environment (CDE) that delivers auditable financial transaction data, improves transparency and accountability across the Department of the Workforce (DoW), and provides a common operating picture for senior leadership decision\-making. The role requires expertise in Python development and relational databases to translate strategic imperatives into actionable data solutions in a national security environment.
 Responsibilities:
 • Design, model, document, and govern logical and conceptual data architectures and schema evolutions for enterprise\-scale applications supporting tracking and accountability reforms
 • Analyze system requirements and develop technical, structural, and organizational specifications for auditable, transparent data flows
 • Establish and enforce data modeling standards, capacity planning, and performance optimization for high\-reliability DoW environments
 • Develop Python\-based scripts and ETL/ELT pipelines for secure data ingestion, transformation, and integration from diverse sources
 • Apply advanced SQL skills for querying, schema design, optimization, and data integrity assurance
 • Operate within Agile/SAFe frameworks to deliver iterative, high\-value increments aligned with business priorities and DoW policies
 • Provide technical guidance and mentorship to align development with strategic financial management system reform objectives including enhanced tracking, oversight, and reporting
 • Perform additional duties as assigned to advance mission goals
 Requirements:
 • Proven Python development experience including building scalable data pipelines and automation solutions
 • Strong relational database (SQL) skills with advanced querying and optimization
 • Ability to work independently and collaboratively in team settings
 • Self\-motivated with strong problem\-solving skills and a proactive mindset
 • Must possess and maintain an active Secret clearance at the time of consideration
 • Remote\-eligible position aligned with Eastern Time Zone core business hours
 Experience Levels:
 \- Database Engineer II: 2 years relevant experience with Bachelor’s degree; or 6 years relevant experience with High School Diploma or equivalent
 \- Database Engineer III: 5 years relevant experience with Bachelor’s degree; or 9 years relevant experience with High School Diploma or equivalent
 \- Database Engineer IV: 9 years relevant experience with Bachelor’s degree; or 13 years relevant experience with High School Diploma or equivalent
 Preferred Requirements:
 • Strong understanding of transactional data flows, financial management systems, and auditability requirements in DoW/security cooperation contexts
 • Direct experience with ADVANA
 • Experience in SAFe Agile environments, including PI planning, Scrum/Kanban ceremonies, and DevSecOps practices
 • Candidate residing in the East Coast region
 Benefits \&amp; Perks:
 • Medical, dental, and vision insurance plans
 • Wellness resources and employee assistance programs
 • Savings plan options (401(k))
 • Financial planning tools
 • Life insurance
 Compensation:
 • Anticipated salary range: $90,000\.00 to $145,000\.00 annually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1">
      <c r="A121" t="inlineStr">
        <is>
          <t>li-4356626847</t>
        </is>
      </c>
      <c r="B121" t="inlineStr">
        <is>
          <t>Data Engineer - Tourism Economics - Philadelphia</t>
        </is>
      </c>
      <c r="C121" t="inlineStr">
        <is>
          <t>Oxford Economics</t>
        </is>
      </c>
      <c r="D121" t="inlineStr">
        <is>
          <t>linkedin</t>
        </is>
      </c>
      <c r="E121">
        <f>HYPERLINK("https://www.linkedin.com/jobs/view/4356626847", "https://www.linkedin.com/jobs/view/4356626847")</f>
        <v/>
      </c>
      <c r="F121" t="inlineStr"/>
      <c r="G121" t="inlineStr">
        <is>
          <t>Philadelphia, PA</t>
        </is>
      </c>
      <c r="H121" t="inlineStr"/>
      <c r="I121" t="inlineStr">
        <is>
          <t>**Department:** 
 Tourism Economics US
**Location:** 
 Philadelphia, US
**Description**
 Tourism Economics, a subsidiary of Oxford Economics, is looking to hire a Data Engineer based in our Wayne, PA office. As a Data Engineer, you will design, build, and maintain the data infrastructure that supports analytics, reporting, product development, and machine learning initiatives across the organization. You will work closely with the Lead Engineer to develop scalable ingestion pipelines, improve reliability across environments, and ensure that data is delivered with consistency, accuracy, and performance. You will play a key role in shaping engineering standards and supporting the long\-term growth of the platform.
 Note: Oxford Economics does not offer visa sponsorship for this role, now or in the future. Candidates must be authorized to work in the U.S. on a permanent, ongoing basis without sponsorship.
**Key Responsibilities**
**Data Pipelines and Infrastructure**
* Design, build, and maintain scalable data pipelines using tools such as Python, SQL, DBT, Terraform, AWS services, MongoDB, and Snowflake.
* Automate recurring data processes and optimize existing pipelines to ensure efficient delivery into the reporting and analytics layer.
* Implement data quality monitoring and alerting frameworks across Prefect and Snowflake to ensure accuracy, completeness, and timeliness.
* Improve deployment pipelines, infrastructure reliability, and environment consistency in collaboration with the broader engineering team.
**Collaboration, Standards \&amp; Documentation**
* Partner with the Data Visualization and Product Teams to support new product development, feature rollouts, and data driven enhancements.
* Work closely with analytics and business teams to understand data requirements and ensure upstream pipelines meet downstream needs.
* Contribute to scalable engineering practices that ensure smooth coordination across data, product, and analytics functions.
* Establish and maintain documentation for pipelines, environments, data flows, and engineering standards.
* Help develop best practices around ingestion, transformation, quality checks, and release management.
**Skills, Knowledge \&amp; Expertise**
* Bachelor’s or Master’s degree in Computer Science, Data Engineering, Information Systems, or a related technical field.
* 3\-5 years of hands on experience in data engineering or a closely related field.
* Strong proficiency in Python and SQL with demonstrated experience building end to end data pipelines.
* Familiarity with workflow orchestration, pipeline monitoring, and automation tools.
* Solid understanding of data modeling, data warehousing concepts, and ETL design patterns including star and snowflake schema and dimensional modeling.
* Experience with cloud platforms for data storage, orchestration, and compute.
* Strong communication skills and proven ability to manage multiple priorities in fast moving environments.
**Preferred Qualifications**
* Experience with Snowflake, AWS services such as S3, ECR, and EC2, DBT, Prefect, Terraform, MongoDB, and Docker.
* Exposure to data visualization platforms such as Tableau or Tableau Server.
* Strong understanding of data governance, access control, and cost optimization in cloud or multi cloud environments.
**Equal Employment Opportunity (EEO)**
*Oxford Economics is an equal opportunity employer. We prohibit discrimination and harassment of any kind based on race, color, age, religion, sex, sexual orientation, national origin, disability, genetic information, pregnancy, or any other protected characteristic as outlined by federal, state, or local laws.*</t>
        </is>
      </c>
    </row>
    <row r="122">
      <c r="A122" t="inlineStr">
        <is>
          <t>li-4371887801</t>
        </is>
      </c>
      <c r="B122" t="inlineStr">
        <is>
          <t>Epic Certified Data Engineer</t>
        </is>
      </c>
      <c r="C122" t="inlineStr">
        <is>
          <t>Blue Bridge People</t>
        </is>
      </c>
      <c r="D122" t="inlineStr">
        <is>
          <t>linkedin</t>
        </is>
      </c>
      <c r="E122">
        <f>HYPERLINK("https://www.linkedin.com/jobs/view/4371887801", "https://www.linkedin.com/jobs/view/4371887801")</f>
        <v/>
      </c>
      <c r="F122" t="inlineStr"/>
      <c r="G122" t="inlineStr"/>
      <c r="H122" t="inlineStr"/>
      <c r="I122" t="inlineStr">
        <is>
          <t>This is
 *NOT* 
 a traditional Data Engineering role. Please only apply if you have the applicable
 **EPIC experience.** 
 The client is only accepting candidates who reside in OHIO, INDIANA and KENTUCKY. Travel to Cincinnati monthly will be required.
 Unfortunately, client can NOT sponsor or transfer visas (this also excludes Student and Dependent Visas)
**\*\*Please no C2C/3rd party candidates\*\*** 
**Senior Data Engineer** 
**(EpicCare Ambulatory – Healthy Planet / Population Health)** 
**Role Summary** 
 The Senior Data Engineer (EpicCare Ambulatory – Healthy Planet / Population Health) plays a critical role in designing, building, and optimizing enterprise\-scale data pipelines, datasets, and ETL/ELT processes across their full lifecycle. This role partners closely with a multidisciplinary Agile team to deliver well\-governed, high\-quality, and actionable data that supports population health, clinical analytics, and business intelligence initiatives.
 This position is responsible for assembling and integrating large, complex datasets—including
 **paired clinical and operational data from Epic Data repositories** 
 —and supporting
 **data migration initiatives to Epic Cloud** 
 to ensure seamless, secure, and performant access to analytics\-ready data across the enterprise.
**Job Overview** 
1. Design, build, and maintain scalable, reliable, and optimized data pipeline architectures with awareness of emerging technologies aligned to evolving business needs.
2. **Integrate paired data sets with Epic Data (including Healthy Planet / Population Health domains) and support data migration and synchronization to Epic Cloud environments** 
 , ensuring data accuracy, consistency, and governance.
3. Sync data across multiple internal and external systems to ensure data integrity and enable reliable insights across analytics and reporting platforms.
4. Partner closely with data science teams and business/data analysts to refine data requirements and ensure datasets are fit for advanced analytics, reporting, and consumption.
5. Provide technical leadership and mentorship to engineering team members by removing development roadblocks through collaboration, clear communication, and innovative solution design.
6. Identify, design, and implement process and infrastructure improvements, including scalability enhancements, data delivery optimization, and automation of manual workflows.
7. Collaborate with stakeholders across data, design, product, and executive teams to troubleshoot and resolve data\-related technical challenges.
8. Maintain required certifications and continuing education, including Epic and Python certifications, in alignment with organizational standards.
**Job Requirements** 
**Education \&amp; Certifications** 
* Bachelor’s degree in Information Systems, Computer Science, Statistics, Healthcare Information Management, Engineering, or a related field
* Equivalent relevant experience may be accepted in lieu of a degree
* **Epic Ambulatory Certification (expected within 1 year of hire)**
* **Epic Clinical Data Model Certification**
**Technical \&amp; Domain Experience** 
* Hands\-on experience with
 **Healthy Planet (Population Health)**
* Experience working with
 **Epic Data models and clinical datasets** 
 , including data integration and cloud migration initiatives
* Exposure to relational databases (e.g., SQL Server) and non\-relational databases
* Experience designing and supporting ETL/ELT pipelines, curated datasets, and BI/analytics solutions
* Proficiency in programming languages such as Python and/or C\#
* Exposure to Agile/Scrum development methodologies
**Experience Level** 
* 4–5 years of experience in technical roles within Information Systems, Computer Science, Healthcare IT, or related disciplines
* Up to 1 year of clinical healthcare experience preferred
**Job Responsibilities** 
* Actively participate in team meetings, design reviews, planning sessions, huddles, and operational roundings.
* Communicate professionally, respectfully, and inclusively with customers, clinicians, researchers, administrators, and cross\-functional team members.
* Facilitate business requirements discussions with a diverse user community to support population health, clinical, and operational analytics initiatives.
* *Measured by participation metrics and customer service feedback.*
* Adhere to departmental standard operating procedures (SOPs), coding standards, documentation requirements, and version control practices.
* *Measured by compliance with design, development, testing, and deployment standards.*
* Obtain and maintain required training and certifications as defined by the Analytics Center of Excellence (ACoE). Contribute to training plans and continuous improvement initiatives.
* *Measured by certification completion, ACoE contributions, and submitted improvement ideas.*
* Design, build, test, and deploy high\-quality queries, data pipelines, and curated datasets aligned to business requirements and emerging technology standards.
* **Integrate, synchronize, and migrate Epic\-related datasets (including paired data) across on\-prem and Epic Cloud platforms** 
 to support enterprise analytics needs.
* *Measured by the number of certified datasets delivered on time, adherence to data quality standards, and orchestration SLAs.*
* Performance measurements are reviewed regularly by management, incorporating peer input, analytics team feedback, and customer satisfaction metrics.</t>
        </is>
      </c>
    </row>
    <row r="123">
      <c r="A123" t="inlineStr">
        <is>
          <t>li-4344509566</t>
        </is>
      </c>
      <c r="B123" t="inlineStr">
        <is>
          <t>Senior Data Engineer, Data Governance</t>
        </is>
      </c>
      <c r="C123" t="inlineStr">
        <is>
          <t>CarGurus</t>
        </is>
      </c>
      <c r="D123" t="inlineStr">
        <is>
          <t>linkedin</t>
        </is>
      </c>
      <c r="E123">
        <f>HYPERLINK("https://www.linkedin.com/jobs/view/4344509566", "https://www.linkedin.com/jobs/view/4344509566")</f>
        <v/>
      </c>
      <c r="F123">
        <f>HYPERLINK("https://careers.cargurus.com/us/en/job/7082241?gh_jid=7082241&amp;gh_src=41a5a3df1&amp;urlHash=gpl7", "https://careers.cargurus.com/us/en/job/7082241?gh_jid=7082241&amp;gh_src=41a5a3df1&amp;urlHash=gpl7")</f>
        <v/>
      </c>
      <c r="G123" t="inlineStr">
        <is>
          <t>Boston, MA</t>
        </is>
      </c>
      <c r="H123" t="inlineStr"/>
      <c r="I123" t="inlineStr">
        <is>
          <t>**Who We Are**
 At CarGurus (NASDAQ: CARG), our mission is to give people the power to reach their destination. We started as a small team of developers determined to bring trust and transparency to car shopping. Since then, our history of innovation and go\-to\-market acceleration has driven industry\-leading growth. In fact, we’re the largest and fastest\-growing automotive marketplace, and we’ve been profitable for over 15 years.
**What We Do**
 The market is evolving, and we are too, moving the entire automotive journey online and guiding our customers through every step. That includes everything from the sale of an old car to the financing, purchase, and delivery of a new one. Today, tens of millions of consumers visit CarGurus.com each month, and \~30,000 dealerships use our products. But they're not the only ones who love CarGurus—our employees do, too. We have a people\-first culture that fosters kindness, collaboration, and innovation, and empowers our Gurus with tools to fuel their career growth. Disrupting a trillion\-dollar industry requires fresh and diverse perspectives. Come join us for the ride!
**Job Overview**
 The Senior Data Engineer, Data Governance will be responsible for architecting, operationalizing, and optimizing the enterprise data governance framework. This role involves the deployment and configuration of data governance tools, implementation of automated data quality validation workflows, integration of metadata management platforms (e.g., data catalogs, lineage tools), and enforcement of data stewardship policies via role\-based access controls and policy engines. You will collaborate closely with data architects, engineers, data analysts, and business teams to maintain high standards of data integrity, security, and accessibility.
**What You’ll Do**
* Data Governance Framework: Develop and implement a robust data governance framework aligned with industry best practices and company requirements.
* Data Quality Management: Build tools and/or APIs to automate data quality monitoring and reporting, ensuring that data is accurate, complete, and consistent across the organization.
* Data Stewardship: Act as a key advocate for data stewardship, working with business and technical teams to promote accountability for data quality and management.
* Metadata Management: Build tools and/or APIs to automate metadata management, ensuring the accurate capture and categorization of data assets.
* Compliance \&amp; Security: Ensure that data governance policies comply with relevant laws, regulations (e.g., GDPR, CCPA), and industry standards. Promote data privacy best practices and work with legal and compliance teams.
* Data Lineage: Develop and maintain data lineage models or build tools to automatically map how data flows through systems, ensuring transparency and traceability. Enhance out of the box lineage tools where necessary.
* Collaboration \&amp; Training: Work closely with stakeholders across departments to establish data governance policies, provide training on data standards, and promote awareness of governance tools and practices.
* Continuous Improvement: Continuously assess and enhance the data governance framework to adapt to new business needs, technologies, and regulatory requirements.
* Documentation \&amp; Reporting: Create and maintain comprehensive documentation for data governance processes, guidelines, and policies. Provide regular reports on governance activities and data health metrics to leadership.
**What You’ll Bring**
* Bachelor’s degree in Computer Science, Information Systems, Data Management, or a related field (or equivalent experience).
* 3\+ years of experience in data governance, data management, or a related field.
* Proficiency in Python or similar languages widely used in the data engineering community
* Experience with data quality management tools (e.g., Monte Carlo, Metaplane)
* Familiarity with data governance tools (e.g., Alation, Atlan, data.world, Secoda).
* Knowledge of data privacy regulations (GDPR, CCPA, etc.) and compliance best practices.
* Proficiency in data modeling, data lineage, and data classification and familiarity with Snowflake, dbt and Looker
* Experience with cloud platforms (AWS, Azure, GCP) and data integration tools (Fivetran, data pipelines).
* Strong problem\-solving skills and ability to collaborate with cross\-functional teams.
* Excellent communication skills, with the ability to present complex technical concepts to non\-technical stakeholders.
* Attention to detail and a passion for maintaining high\-quality data.
 The displayed range represents the expected annual base salary / On\-Target Earnings (OTE) for this position. On\-Target Earnings (OTE) is inclusive of base salary and on\-target commission earnings, which applies exclusively to sales roles.
 Individual pay within this range is determined by work location and other factors such as job\-related skills, experience, and relevant education or training.
 This annual base salary forms part of a comprehensive Total Rewards Package. In addition to benefits, this role may qualify for discretionary bonuses/incentives and Restricted Stock Units (RSUs).
 Position Pay Range
 $125,000—$157,000 USD
**Working at CarGurus**
 We reward our Gurus’ curiosity and passion with best\-in\-class benefits and compensation, including equity for all employees, both when they start and as they continue to grow with us. Our career development and corporate giving programs, as well as our employee resource groups (ERGs) and communities, help people build connections while making an impact in personally meaningful ways. A flexible hybrid model and robust time off policies encourage work\-life balance and individual well\-being. Thoughtful perks like daily free lunch, a new car discount, meditation and fitness apps, commuting cost coverage, and more help our people create space for what matters most in their personal and professional lives.
**We welcome all**
 CarGurus strives to be a place to which people can bring the ultimate expression of themselves and their potential—starting with our hiring process. We do not discriminate based on race, color, religion, national origin, age, sex, marital status, ancestry, physical or mental disability, veteran status, gender identity, or sexual orientation. We foster an inclusive environment that values people for their skills, experiences, and unique perspectives. That’s why we hope you’ll apply even if you don’t check every box listed in the job description. We also encourage you to tell your recruiter if you require accommodations to participate in our hiring process due to a disability so we can provide the appropriate support. We want to know what only you can bring to CarGurus.</t>
        </is>
      </c>
    </row>
    <row r="124">
      <c r="A124" t="inlineStr">
        <is>
          <t>li-4356455970</t>
        </is>
      </c>
      <c r="B124" t="inlineStr">
        <is>
          <t>Microsoft Data Engineer Senior H/F</t>
        </is>
      </c>
      <c r="C124" t="inlineStr">
        <is>
          <t>EY</t>
        </is>
      </c>
      <c r="D124" t="inlineStr">
        <is>
          <t>linkedin</t>
        </is>
      </c>
      <c r="E124">
        <f>HYPERLINK("https://www.linkedin.com/jobs/view/4356455970", "https://www.linkedin.com/jobs/view/4356455970")</f>
        <v/>
      </c>
      <c r="F124">
        <f>HYPERLINK("https://careers.ey.com/ey/job/Microsoft-Data-Engineer-Senior-HF/1288347701/?feedId=337401&amp;utm_source=LinkedInJobPostings&amp;utm_campaign=j2w_linkedin&amp;urlHash=wbkz", "https://careers.ey.com/ey/job/Microsoft-Data-Engineer-Senior-HF/1288347701/?feedId=337401&amp;utm_source=LinkedInJobPostings&amp;utm_campaign=j2w_linkedin&amp;urlHash=wbkz")</f>
        <v/>
      </c>
      <c r="G124" t="inlineStr">
        <is>
          <t>Nashville, TN</t>
        </is>
      </c>
      <c r="H124" t="inlineStr"/>
      <c r="I124" t="inlineStr">
        <is>
          <t>**À propos de nous**
 Chez EY, nous vous offrons l’opportunité de construire une carrière qui vous ressemble, au sein d’un environnement international, porté par une culture inclusive, un accompagnement de qualité et des solutions technologiques de pointe.
 EY rassemble aujourd'hui près de 340 000 associés et collaborateurs à travers le monde dans plus de 154 pays. Grâce à ce réseau, dont le niveau d'intégration et l'ampleur internationale sont gages d'une même excellence partout dans le monde, EY renforce sa position de leader mondial de l'Audit, du Conseil, des Transactions, de la Fiscalité et du Droit.
 Nous faisons grandir les talents afin qu'ensemble, ils accompagnent les organisations vers une croissance pérenne. Et notre engagement envers nos équipes commence avec cette promesse : quel que soit votre parcours avec nous, l'expérience EY dure toute une vie.
 Chez EY, chaque collaborateur est encouragé à exprimer son point de vue, à valoriser son expertise et à s’engager pour contribuer à bâtir un meilleur environnement de travail et de confiance.
**Contexte**
 Dans le cadre de nos activités Data \&amp; Analytics, nous accompagnons nos clients, notamment dans le secteur bancaire et financier, dans leur transformation Data Driven et l’optimisation de leurs dispositifs de pilotage.
 Nous recherchons un.e Consultant.e Senior Microsoft Data Engineer pour intervenir sur la Data Platform Finance et Risques, avec un rôle clé dans la maintenance des applications et Dataflows, le traitement des données et le développement de solutions intégrées pour les équipes métiers et fonctionnelles.
**Ce que nous recherchons**
* Minimum 3 à 5 ans d’expérience dans un rôle similaire en Data Engineering ou Data Platform.
* Maîtrise de Microsoft Dataverse, Power Platform et Dynamics 365\.
* Forte expérience avec Microsoft Fabric ou outils équivalents (Synapse, Azure Data Factory, etc.).
* Solide background en Big Data : ingestion, transformation, modélisation de données complexes.
* Bonne compréhension des architectures cloud (Azure est un plus).
* Maîtrise du SQL, Power Query, DAX, et des langages de scripting.
* Connaissance de l’écosystème financier : produits, reporting, contraintes réglementaires.
* Capacité à évoluer dans un environnement dynamique et exigeant, en mode Agile / itératif.
* Autonomie, sens de l’initiative et orientation solution.
* Excellentes compétences en communication et esprit d’équipe.
* Français courant et anglais professionnel (écrit et oral).
* Expérience préalable dans le secteur bancaire, assurance ou finance d’entreprise fortement appréciée.
**Votre rôle**
 Vous serez amené(e) à :
* Participer à l’analyse des besoins métiers en lien avec les équipes fonctionnelles.
* Développer des solutions intégrées via Microsoft Dataverse, Power Apps, Power Automate et Dynamics 365\.
* Exploiter Microsoft Fabric pour la gestion de pipelines/dataflows, le traitement des données et la visualisation.
* Concevoir et maintenir un modèle de données complexe orienté Big Data.
* Implémenter des connecteurs entre les systèmes source (API, CFT, OneLake…).
* Collaborer avec les équipes Data \&amp; BI pour assurer l’interopérabilité des systèmes.
* Appliquer les meilleures pratiques de sécurité, qualité et performance.
* Reporting opérationnel et hiérarchique au Responsable de l’équipe Data.
**Pourquoi nous rejoindre ?**
 Rejoindre notre équipe, c’est intégrer un environnement stimulant où la donnée est au cœur de la prise de décision. Vous aurez l’opportunité de travailler sur des projets à forte valeur ajoutée, en interaction directe avec des équipes métiers clés (Finance, Risques, IT).
 Nous offrons :
* Des projets Data stratégiques à fort impact, contribuant directement aux décisions de l’entreprise et bénéficiant d’une forte exposition.
* L’opportunité de rejoindre un Big Four de renommée internationale, au sein d’un environnement de travail stimulant, collaboratif et international.
* Un cadre favorisant le partage des connaissances, les bonnes pratiques et la collaboration transverse.
* Le développement de votre expertise sur Microsoft Data Platform, Power Platform et Microsoft Fabric.
* Une culture orientée qualité, innovation et amélioration continue.
* Un environnement valorisant l’autonomie, la responsabilisation, la créativité, ainsi que de réelles perspectives d’évolution et de développement professionnel.
**Engagement diversité**
 Dans le cadre de sa politique Diversity, Equity \&amp; Inclusiveness, EY étudie toutes les candidatures à compétences égales, y compris celles de personnes en situation de handicap. EY offre une diversité d’expériences, de secteurs et de parcours, favorisant des opportunités professionnelles enrichissantes et durables.</t>
        </is>
      </c>
    </row>
    <row r="125">
      <c r="A125" t="inlineStr">
        <is>
          <t>li-4333928340</t>
        </is>
      </c>
      <c r="B125" t="inlineStr">
        <is>
          <t>Senior Data Engineer</t>
        </is>
      </c>
      <c r="C125" t="inlineStr">
        <is>
          <t>HCA Healthcare</t>
        </is>
      </c>
      <c r="D125" t="inlineStr">
        <is>
          <t>linkedin</t>
        </is>
      </c>
      <c r="E125">
        <f>HYPERLINK("https://www.linkedin.com/jobs/view/4333928340", "https://www.linkedin.com/jobs/view/4333928340")</f>
        <v/>
      </c>
      <c r="F125">
        <f>HYPERLINK("https://careers.hcahealthcare.com/en/jobs/16991163-senior-security-data-architect?tm_job=1-INFOR-3939825&amp;tm_event=view&amp;tm_company=2537&amp;bid=370&amp;urlHash=Yy9R", "https://careers.hcahealthcare.com/en/jobs/16991163-senior-security-data-architect?tm_job=1-INFOR-3939825&amp;tm_event=view&amp;tm_company=2537&amp;bid=370&amp;urlHash=Yy9R")</f>
        <v/>
      </c>
      <c r="G125" t="inlineStr">
        <is>
          <t>Nashville, TN</t>
        </is>
      </c>
      <c r="H125" t="inlineStr"/>
      <c r="I125" t="inlineStr">
        <is>
          <t>Introduction
 Do you have the career opportunities as a(an) Senior Security Data Architect you want with your current employer? We have an exciting opportunity for you to join HCA Healthcare which is part of the nation's leading provider of healthcare services, HCA Healthcare.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a(an) Senior Security Data Architect where your passion for creating positive patient interactions is valued? If you are dedicated to caring for the well\-being of others, this could be your next opportunity. We want your knowledge and expertise!
**Job Summary And Qualifications**
**Recruiter to insert Job Summary and requirements here**
****Recruiter to check inserted requirements to ensure it included all credentials below. Then they should delete the credentials****
 What qualifications you will need:
 Occasional/ Intermittent Required
**5 Years Experience Required Years Of Experience**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Senior Security Data Architect opening. We promptly review all applications. Highly qualified candidates will be contacted for interviews.
 **Unlock the possibilities and apply today!**
 We are an equal opportunity employer. We do not discriminate on the basis of race, religion, color, national origin, gender, sexual orientation, age, marital status, veteran status, or disability status.</t>
        </is>
      </c>
    </row>
    <row r="126">
      <c r="A126" t="inlineStr">
        <is>
          <t>li-4347356825</t>
        </is>
      </c>
      <c r="B126" t="inlineStr">
        <is>
          <t>Senior Genomics Data Engineer</t>
        </is>
      </c>
      <c r="C126" t="inlineStr">
        <is>
          <t>Helix</t>
        </is>
      </c>
      <c r="D126" t="inlineStr">
        <is>
          <t>linkedin</t>
        </is>
      </c>
      <c r="E126">
        <f>HYPERLINK("https://www.linkedin.com/jobs/view/4347356825", "https://www.linkedin.com/jobs/view/4347356825")</f>
        <v/>
      </c>
      <c r="F126">
        <f>HYPERLINK("https://jobs.gem.com/helix/am9icG9zdDqm0K3q5-tEg1ofXExLTwaO?src=Linkedin&amp;urlHash=R-7t", "https://jobs.gem.com/helix/am9icG9zdDqm0K3q5-tEg1ofXExLTwaO?src=Linkedin&amp;urlHash=R-7t")</f>
        <v/>
      </c>
      <c r="G126" t="inlineStr">
        <is>
          <t>California, United States</t>
        </is>
      </c>
      <c r="H126" t="inlineStr"/>
      <c r="I126" t="inlineStr">
        <is>
          <t>**Who We Are \&amp; What We Do**
 At Helix, our mission is simple: to help everyone improve their lives through their DNA.
 Ready to make a real\-world impact with your skills? At Helix, we're transforming healthcare by making genomics a standard of care. We partner with health systems and life science companies to accelerate the integration of genomic data into clinical practice. Join us in building a future where healthcare is personalized, proactive, and powered by genomics.
**What is special about this role?**
 The Helix Clinicogenomic Data Engineering team plays a pivotal role in Helix’s efforts to provide a best\-in\-class clinico\-genomics research dataset for our partners to conduct and publish cutting\-edge genomic studies and operational insights back to health systems. Working closely with our Research, Bioinformatics, and Engineering teams, we are responsible for a RUO\-genomics dataset as well as developing various programmatic interfaces to facilitate easy access to enable our scientists and analysts. The patient is top of mind in everything we do, and your contributions here have the opportunity to improve the real world outcomes for everyone.
**As a Senior Genomics Data Engineer, You Will**
* Leverage your specialized knowledge to develop innovative solutions that simplify complex genomic data, effectively lowering the barrier to entry for non\-expert users.
* Design, build, and continuously optimize robust, scalable, and automated data pipelines for processing large\-scale genomic and clinical data.
* Build and maintain critical pipelines to prepare, de\-identify, and securely deliver massive\-scale genetic datasets to both internal research teams and external partners.
* Work cross\-functionally with world\-class Engineering, Research, AI, Data Science, Bioinformatics, Product, and Commercial teams to tackle complex data challenges and drive scientific discovery.
* Provide expert\-level support and create tooling to help internal and external data consumers effectively utilize our complex datasets and platforms.
* Implement and manage data infrastructure as code using tools like AWS CDK, ensuring our distributed compute environment is efficient and scalable.
**About You**
* Bachelor's/Master's degree in Computer Science, Bioinformatics, Engineering or a related field with 5\+ years of experience
* Deep domain knowledge in molecular biology, next\-generation sequencing, or genomics
* Demonstrated experience in processing a variety of large scale genetic data formats (exome/whole genome), including but not limited to VCF, CRAM, BAM, and PLINK.
* Strong experience using industry\-standard bioinformatics tools such as bcftools, htslib, and samtools.
* Experience with genomic data\-reduction techniques, such as PCA
* Expert\-level proficiency in Python
* Proven experience designing and building distributed systems on AWS, including expertise with services like Glue, EMR, S3, Lambda, and DynamoDB.
* Proficiency with infrastructure\-as\-code frameworks (e.g., AWS CDK, Terraform).
* Expertise with ETL pipeline automation and workflow management tools such as Airflow, AWS Glue, AWS Step Functions, and CI/CD
* Familiarity with database design, data manipulation, and data quality techniques
* Demonstrated ability to thrive in a fast\-paced, adaptable environment.
**Pluses**
* Background in the bioinformatics or healthcare industries, and familiarity with clinical data.
* Proficiency in Go, Java, C, C\+\+, or Scala
* Hands\-on skills with genomics\-specific data tools such as Hail or TileDB
* Track records of working in a regulated data environment (e.g., HIPAA)
* Hands\-on experience designing and building distributed systems on AWS, frameworks such as Spark, Dask, EMR, Databricks, or similar
**Expected Interview Process**
* Recruiter Screen 2\) Manager Screen/Tech Screen 3\) Onsite 4\) Offer
**Expected Pay For This Role**
 There are 3 distinct parts to your Helix offer: 1\) Base Salary 2\) Annual Bonus 3\) Equity
* Expected Helix Base: $145,000 \- $201,250
* Expected Helix Discretionary Annual Bonus: 10% of your annual salary
* Equity: We offer generous equity at Helix. If you receive a Helix offer your recruiter will book dedicated time with you to educate you on our equity model.
 Aside from working alongside brilliant, dedicated, passionate, down\-to\-earth, curious, warm, and thoughtful people, we also provide great benefits:
* Comprehensive Health Insurance with Date of Hire eligibility
+ Above average employer paid premium coverage
* 12 weeks Helix Paid Parental Leave option
* 401(k) with employer matching of up to 3% and 100% Vesting on the Date of Hire
* Comprehensive Well\-Being Benefits
* Flexible PTO
* Remote options for many roles and a home office stipend
**What To Expect During Your First 90 Days**
* First 30 days: you’ll spend time learning the Helix way, completing training and onboarding for your roles, and getting introduced to your team and relevant stakeholders. You’ll also gain a deeper understanding of our customers, our products, the impact we make in the lives of our communities, and how to thrive at Helix through participation in Helix U.
* Day 30 \- 60: you’ll spend time contributing to projects, deeply familiarizing yourself with team and company processes, and developing a deeper understanding of Helix’s products, services and capabilities.
* Day 60 \- 90: you’ll build your OKRs with your manager, start to take ownership of projects and initiatives on your team, and begin to demonstrate your impact on the Helix mission.
*Helix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**Compensation**
 The base pay range for this role is $145,000 – $201,250 per year.</t>
        </is>
      </c>
    </row>
    <row r="127">
      <c r="A127" t="inlineStr">
        <is>
          <t>li-4344215593</t>
        </is>
      </c>
      <c r="B127" t="inlineStr">
        <is>
          <t>Lead IT Data Engineer</t>
        </is>
      </c>
      <c r="C127" t="inlineStr">
        <is>
          <t>Blain's Farm &amp; Fleet (Blain Supply, Inc.)</t>
        </is>
      </c>
      <c r="D127" t="inlineStr">
        <is>
          <t>linkedin</t>
        </is>
      </c>
      <c r="E127">
        <f>HYPERLINK("https://www.linkedin.com/jobs/view/4344215593", "https://www.linkedin.com/jobs/view/4344215593")</f>
        <v/>
      </c>
      <c r="F127">
        <f>HYPERLINK("https://careers.farmandfleet.com/jobs/20247?lang=en-us&amp;iis=linkedin&amp;iisn=linkedin&amp;urlHash=05TZ", "https://careers.farmandfleet.com/jobs/20247?lang=en-us&amp;iis=linkedin&amp;iisn=linkedin&amp;urlHash=05TZ")</f>
        <v/>
      </c>
      <c r="G127" t="inlineStr">
        <is>
          <t>Janesville, WI</t>
        </is>
      </c>
      <c r="H127" t="inlineStr"/>
      <c r="I127" t="inlineStr">
        <is>
          <t>**Company \&amp; Benefits Information**
 At Blain’s Farm \&amp; Fleet we believe everyone deserves the opportunity to have a job they love, work in a great environment, grow their career \&amp; enjoy a positive balance.
 As a family\-owned retailer we take pride in offering a competitive benefit package designed to support you \&amp; your life. It is one of the reasons we have been named a
 **Forbes Best Employer** 
 for
 **seven consecutive years** 
 !
* Associates hired into a full\-time role will become eligible for the following benefits effective their 91st day of full\-time employment: Medical, Prescription, Dental, Vision, Short \&amp; Long Term Disability, Life Insurance, Ancillary Benefits, Identity Theft Protection, Pet Insurance, Etc.
* All major Holidays \&amp; Birthday off
* Advanced Leadership Training Programs: build the skills to grow your career
* Associate discount on name brands like Carhartt, Under Armour, STIHL, Milwaukee Tool, DeWalt \&amp; much more!
* Internal recognition programs that support an engaged workplace
* 401(K) with company match
**Compensation**
* Base pay starting between $118,000 to $156,000/yr
*The pay listed for this position may vary based on experience. Please note, compensation decisions are contingent on the facts and conditions for each job opening. We take into consideration the minimum requirements outlined in the job description, such as, training and experience, the position’s work location, required travel (if any), and external market conditions when determining the final salary for potential new hires.*
*Please note salary estimates published via alternate online job boards may not be a true representation of the actual pay range offered for this position. Please refer to the Blain’s Farm \&amp; Fleet position description for accurate pay range information.*
**Job Duties**
 This position plays a strategic role in shaping our enterprise data vision and roadmap. You will partner with business and IT stakeholders to lead data architecture and drive the implementation of scalable and modern data solutions that empower business innovation, analytics, and operational excellence. While not a people manager, this position will provide technical direction with all the data team, will collaborate across IT to identify opportunities, and will work with business stakeholders to provide technical validation and guidance on business initiatives. They design the integrations and create integration architectures.
* Design and implement scalable data architectures to support organizational data needs.
* Architect and develop data pipelines ensuring reliability, scalability and security.
* Drive data\-driven decision\-making by ensuring data quality, integrity and compliance with data governance, legal, regulatory and security standards.
* Lead data modeling initiatives driving data trust and self\-service.
* Collaborate with cross\-functional teams to optimize enterprise analytics.
* and integrity across the organization.
* Collaborate with IT and business leaders to develop data goals and architecture roadmap.
* Provide guidance to IT engineers, setting technical standards, and fostering a culture of continuous learning.
**Qualifications**
* 10\+ years’ data engineering experience
* Bachelor’s degree in computer science, Information Technology, or a related field
* Experience with data modeling, database design, and optimization
* Proficiency in Microsoft AIS, Snowflake and dbt.
* Experience with data modeling and semantic layer tools like AtScale.
* Familiarity with data governance and cataloging tools like Alation.
* Experience with cloud platforms and concepts like DataOps, CI/CD, Infrastructure as Code, Data Contracts, Data Observability.
* Experience with concepts like Data Mesh, APIs, Streaming Data, Real\-Time Analytics, etc.
 EEO Statement
*Blain Supply, Inc and Blain’s Farm and Fleet (collectively “Blain’s”) is proud to be an Equal Opportunity Employer. We recognize the importance of diversity and creating an inclusive culture in order to leverage the skills and talents of all people to the mutual advantage of each individual and the organization. Blain’s does not discriminate against applicants or employees on the basis of race, religion, color, sex (including pregnancy and sexual harassment), sexual orientation, gender identity, national origin, age, marital status, disability, military or veteran status, or any applicable legally protected status. Our goal is to continue to be recognized as an employer of choice and we have received Forbes Best Mid\-Sized company to work for an unprecedented 7 years in a row.*</t>
        </is>
      </c>
    </row>
    <row r="128">
      <c r="A128" t="inlineStr">
        <is>
          <t>li-4335558059</t>
        </is>
      </c>
      <c r="B128" t="inlineStr">
        <is>
          <t>Lead Data Engineer (P4031)</t>
        </is>
      </c>
      <c r="C128" t="inlineStr">
        <is>
          <t>84.51˚</t>
        </is>
      </c>
      <c r="D128" t="inlineStr">
        <is>
          <t>linkedin</t>
        </is>
      </c>
      <c r="E128">
        <f>HYPERLINK("https://www.linkedin.com/jobs/view/4335558059", "https://www.linkedin.com/jobs/view/4335558059")</f>
        <v/>
      </c>
      <c r="F128">
        <f>HYPERLINK("https://job-boards.greenhouse.io/8451/jobs/8272930002?gh_src=831e57872us&amp;urlHash=WBDL", "https://job-boards.greenhouse.io/8451/jobs/8272930002?gh_src=831e57872us&amp;urlHash=WBDL")</f>
        <v/>
      </c>
      <c r="G128" t="inlineStr">
        <is>
          <t>Chicago, IL</t>
        </is>
      </c>
      <c r="H128" t="inlineStr"/>
      <c r="I128"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*84\.51° follows a 5‑day in‑office work schedule to support collaboration, alignment, and team connection.*
 Join us at 84\.51°!
 \_\_\_\_\_\_\_\_\_\_\_\_\_\_\_\_\_\_\_\_\_\_\_\_\_\_\_\_\_\_\_\_\_\_\_\_\_\_\_\_\_\_\_\_\_\_\_\_\_\_\_\_\_\_\_\_\_\_
**Lead Data Engineer (P4031\)**
**Cincinnati / Chicago**
**Summary**
 The Lead Data Engineer serves as both a technical leader and an individual contributor within the data engineering team, embodying a player/coach role. This position is responsible for guiding and mentoring a team of data engineers while actively participating in data engineering projects to deliver results that support organizational objectives. As a technical lead, you will balance team leadership with hands\-on contributions to drive innovation and excellence in data engineering. You will cultivate strategies and solutions to ingest, store and distribute our big data. Our developers use Python (PySpark, FastAPI), Databricks, and Azure cloud services in 6 week long scrum cycles to develop the products, tools and features.
**RESPONSIBILITIES** 
**:** 
 Take ownership of features and drive them to completion through all phases of the entire 84\.51° SDLC. This includes external facing and internal applications as well as process improvement activities such as:
* Lead design and perform development of Python (PySpark, FastAPI) / Databricks / Azure based solutions
* Develop and execute unit and integration testing
* Collaborate with senior resources to ensure consistent development practices
* Provide mentoring to junior resources
* Bring new perspectives to problems and be driven to improve yourself and the way things are done
* Manage resourcing across key initiatives in support of domain roadmaps and initiatives
**Qualifications, Skills, And Experience**
* Bachelor’s degree typically in Computer Science, Management Information Systems, Mathematics, Business Analytics or another technically strong program.
* 5\+ years proven ability of professional data development experience
* Strong understanding of Agile Principles (Scrum)
* 5\+ years proven ability of developing Spark based solutions in a cloud environment
* Full understanding of ETL concepts and data warehousing concepts
* 3\+ year developing experience with Python
* Experience with Databricks, REST APIs, and Microsoft Azure cloud services
**Pay Transparency And Benefits**
* The stated salary range represents the entire span applicable across all geographic markets from lowest to highest. Actual salary offers will be determined by multiple factors including but not limited to geographic location, relevant experience, knowledge, skills, other job\-related qualifications, and alignment with market data and cost of labor. In addition to salary, this position is also eligible for variable compensation.
* Below is a list of some of the benefits we offer our associates:
+ Health: Medical: with competitive plan designs and support for self\-care, wellness and mental health. Dental: with in\-network and out\-of\-network benefit. Vision: with in\-network and out\-of\-network benefit.
+ Wealth: 401(k) with Roth option and matching contribution. Health Savings Account with matching contribution (requires participation in qualifying medical plan). AD\&amp;D and supplemental insurance options to help ensure additional protection for you.
+ Happiness: Paid time off with flexibility to meet your life needs, including 5 weeks of vacation time, 7 health and wellness days, 3 floating holidays, as well as 6 company\-paid holidays per year. Paid leave for maternity, paternity and family care instances.
 Pay Range
 $121,000—$201,250 USD</t>
        </is>
      </c>
    </row>
    <row r="129">
      <c r="A129" t="inlineStr">
        <is>
          <t>li-4347593095</t>
        </is>
      </c>
      <c r="B129" t="inlineStr">
        <is>
          <t>Software Engineer (L5) – Commerce Data Engineering, Foundations Team</t>
        </is>
      </c>
      <c r="C129" t="inlineStr">
        <is>
          <t>Netflix</t>
        </is>
      </c>
      <c r="D129" t="inlineStr">
        <is>
          <t>linkedin</t>
        </is>
      </c>
      <c r="E129">
        <f>HYPERLINK("https://www.linkedin.com/jobs/view/4347593095", "https://www.linkedin.com/jobs/view/4347593095")</f>
        <v/>
      </c>
      <c r="F129" t="inlineStr"/>
      <c r="G129" t="inlineStr"/>
      <c r="H129" t="inlineStr"/>
      <c r="I129"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**About The Commerce Data Engineering**
 The Commerce Data Engineering ensures the availability, reliability, and quality of the critical data that powers our product experiences, drives customer acquisition, and optimizes our signup journeys. The Foundations Team within the Commerce Data Engineering is dedicated to building frameworks, services, and tools that elevate the efficiency, reliability, and observability of data processing across the entire Commerce Data Engineering ecosystem.
**The Opportunity**
 As a Solution/Software Engineer in the Foundations Team, you will design and build scalable, forward\-looking systems that improve data processing efficiency, data health, and developer productivity. You will collaborate closely with other data engineers and platform teams to create solutions that are widely adopted across the Commerce Data Engineering team and the broader Netflix data platform.
 Your work will directly impact the quality and discoverability of our data, helping us deliver seamless, “in\-the\-moment” experiences to current and future Netflix members.
**What You’ll Do**
* Architect, build, and maintain distributed services and frameworks (gRPC/REST) that enhance the efficiency, reliability, and observability of data pipelines.
* Develop tools and automation that improve data health, processing efficiency, and the productivity of data engineers.
* Champion best practices in data quality, system health, and observability, ensuring our solutions are robust, reliable, and scalable.
* Partner with cross\-functional teams, including product management, data science, and engineering, to deeply understand business needs and deliver impactful solutions.
* Drive innovation by exploring and implementing new technologies and methodologies that keep Netflix at the forefront of data engineering.
* Own the systems you build, from design to deployment and ongoing operations, ensuring high availability and operational excellence.
**About You**
* You are proficient in at least one major language on the JVM stack (Java or Scala), and you write clean, maintainable, and elegant code.
* You have hands\-on experience building distributed services (gRPC/REST) and are well\-versed in building APIs, frameworks, and transport protocols.
* You have experience with batch and real\-time data processing technologies (e.g., Spark, Flink, Kafka, Iceberg).
* You have expertise in building data platforms and data frameworks
* You are passionate about data quality, system health, and observability, and you design systems with comprehensive monitoring, logging, and alerting.
* You have a product mindset, are curious about the business, and collaborate effectively with cross\-functional partners.
* You have a strong operational awareness and experience supporting 24x7, high\-scale, multi\-tenant systems.
* You thrive in agile environments, embrace ambiguity, and adapt quickly to change.
* You embody Netflix's culture of innovation, ownership, and candid feedback. You enjoy both independent work and collaborative problem solving.
* You are committed to continuous learning and take pride in delivering solutions that have a lasting impact.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2026-02-20T15:12:30Z</dcterms:created>
  <dcterms:modified xsi:type="dcterms:W3CDTF">2026-02-20T15:12:30Z</dcterms:modified>
</cp:coreProperties>
</file>