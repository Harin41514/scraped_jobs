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8"/>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in-0168cfaa9a8af7bd</t>
        </is>
      </c>
      <c r="B2" t="inlineStr">
        <is>
          <t>Applied Scientist II, Prime Video - Personalization and Discovery Science, Personalization and Discovery Science</t>
        </is>
      </c>
      <c r="C2" t="inlineStr">
        <is>
          <t>Amazon.com</t>
        </is>
      </c>
      <c r="D2" t="inlineStr">
        <is>
          <t>indeed</t>
        </is>
      </c>
      <c r="E2" t="inlineStr"/>
      <c r="F2" t="inlineStr"/>
      <c r="G2" t="inlineStr">
        <is>
          <t>Seattle, WA, US</t>
        </is>
      </c>
      <c r="H2" s="1" t="n">
        <v>45930</v>
      </c>
      <c r="I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in-c1cd2158b42cd29f</t>
        </is>
      </c>
      <c r="B3" t="inlineStr">
        <is>
          <t>Applied Scientist II, Prime Video - Personalization and Discovery Science, Personalization and Discovery Science</t>
        </is>
      </c>
      <c r="C3" t="inlineStr">
        <is>
          <t>Amazon.com</t>
        </is>
      </c>
      <c r="D3" t="inlineStr">
        <is>
          <t>indeed</t>
        </is>
      </c>
      <c r="E3" t="inlineStr"/>
      <c r="F3" t="inlineStr"/>
      <c r="G3" t="inlineStr">
        <is>
          <t>New York, NY, US</t>
        </is>
      </c>
      <c r="H3" s="1" t="n">
        <v>45930</v>
      </c>
      <c r="I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in-37ea2222cb0bffa4</t>
        </is>
      </c>
      <c r="B4" t="inlineStr">
        <is>
          <t>Applied Scientist II, Prime Video - Personalization and Discovery Science, Personalization and Discovery Science</t>
        </is>
      </c>
      <c r="C4" t="inlineStr">
        <is>
          <t>Amazon.com</t>
        </is>
      </c>
      <c r="D4" t="inlineStr">
        <is>
          <t>indeed</t>
        </is>
      </c>
      <c r="E4" t="inlineStr"/>
      <c r="F4" t="inlineStr"/>
      <c r="G4" t="inlineStr">
        <is>
          <t>Sunnyvale, CA, US</t>
        </is>
      </c>
      <c r="H4" s="1" t="n">
        <v>45930</v>
      </c>
      <c r="I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in-9f612e0ca7b75b44</t>
        </is>
      </c>
      <c r="B5" t="inlineStr">
        <is>
          <t>Sr. Applied Scientist, Prime Video - Personalization and Discovery Science</t>
        </is>
      </c>
      <c r="C5" t="inlineStr">
        <is>
          <t>Amazon.com</t>
        </is>
      </c>
      <c r="D5" t="inlineStr">
        <is>
          <t>indeed</t>
        </is>
      </c>
      <c r="E5" t="inlineStr"/>
      <c r="F5" t="inlineStr"/>
      <c r="G5" t="inlineStr">
        <is>
          <t>Seattle, WA, US</t>
        </is>
      </c>
      <c r="H5" s="1" t="n">
        <v>45881</v>
      </c>
      <c r="I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in-40ab7470db45ddf2</t>
        </is>
      </c>
      <c r="B6" t="inlineStr">
        <is>
          <t>Sr. Applied Scientist, Prime Video - Personalization and Discovery Science</t>
        </is>
      </c>
      <c r="C6" t="inlineStr">
        <is>
          <t>Amazon.com</t>
        </is>
      </c>
      <c r="D6" t="inlineStr">
        <is>
          <t>indeed</t>
        </is>
      </c>
      <c r="E6" t="inlineStr"/>
      <c r="F6" t="inlineStr"/>
      <c r="G6" t="inlineStr">
        <is>
          <t>Sunnyvale, CA, US</t>
        </is>
      </c>
      <c r="H6" s="1" t="n">
        <v>45881</v>
      </c>
      <c r="I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in-83023b4a66fa3281</t>
        </is>
      </c>
      <c r="B7" t="inlineStr">
        <is>
          <t>Applied Scientist II, Prime Video - Personalization and Discovery Science</t>
        </is>
      </c>
      <c r="C7" t="inlineStr">
        <is>
          <t>Amazon.com</t>
        </is>
      </c>
      <c r="D7" t="inlineStr">
        <is>
          <t>indeed</t>
        </is>
      </c>
      <c r="E7" t="inlineStr"/>
      <c r="F7" t="inlineStr"/>
      <c r="G7" t="inlineStr">
        <is>
          <t>New York, NY, US</t>
        </is>
      </c>
      <c r="H7" s="1" t="n">
        <v>45881</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in-feca6c5f6452f091</t>
        </is>
      </c>
      <c r="B8" t="inlineStr">
        <is>
          <t>Applied Scientist II, Prime Video - Personalization and Discovery Science</t>
        </is>
      </c>
      <c r="C8" t="inlineStr">
        <is>
          <t>Amazon.com</t>
        </is>
      </c>
      <c r="D8" t="inlineStr">
        <is>
          <t>indeed</t>
        </is>
      </c>
      <c r="E8" t="inlineStr"/>
      <c r="F8" t="inlineStr"/>
      <c r="G8" t="inlineStr">
        <is>
          <t>Seattle, WA, US</t>
        </is>
      </c>
      <c r="H8" s="1" t="n">
        <v>45881</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in-c9225d9aeb9555e0</t>
        </is>
      </c>
      <c r="B9" t="inlineStr">
        <is>
          <t>Applied Scientist II, Prime Video - Personalization and Discovery Science</t>
        </is>
      </c>
      <c r="C9" t="inlineStr">
        <is>
          <t>Amazon.com</t>
        </is>
      </c>
      <c r="D9" t="inlineStr">
        <is>
          <t>indeed</t>
        </is>
      </c>
      <c r="E9" t="inlineStr"/>
      <c r="F9" t="inlineStr"/>
      <c r="G9" t="inlineStr">
        <is>
          <t>Sunnyvale, CA, US</t>
        </is>
      </c>
      <c r="H9" s="1" t="n">
        <v>45881</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in-80690bdeb4b4aa19</t>
        </is>
      </c>
      <c r="B10" t="inlineStr">
        <is>
          <t>Sr. Applied Scientist, Prime Video - Personalization and Discovery Science</t>
        </is>
      </c>
      <c r="C10" t="inlineStr">
        <is>
          <t>Amazon.com</t>
        </is>
      </c>
      <c r="D10" t="inlineStr">
        <is>
          <t>indeed</t>
        </is>
      </c>
      <c r="E10" t="inlineStr"/>
      <c r="F10" t="inlineStr"/>
      <c r="G10" t="inlineStr">
        <is>
          <t>New York, NY, US</t>
        </is>
      </c>
      <c r="H10" s="1" t="n">
        <v>45881</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in-872cc2d28338965e</t>
        </is>
      </c>
      <c r="B11" t="inlineStr">
        <is>
          <t>Prinicipal AI Engineer</t>
        </is>
      </c>
      <c r="C11" t="inlineStr">
        <is>
          <t>Tata Consultancy Services (TCS)</t>
        </is>
      </c>
      <c r="D11" t="inlineStr">
        <is>
          <t>indeed</t>
        </is>
      </c>
      <c r="E11" t="inlineStr"/>
      <c r="F11" t="inlineStr"/>
      <c r="G11" t="inlineStr">
        <is>
          <t>Des Moines, IA, US</t>
        </is>
      </c>
      <c r="H11" s="1" t="n">
        <v>46072</v>
      </c>
      <c r="I11" t="inlineStr">
        <is>
          <t>Principal AI Engineer  
Must Have Technical/Functional Skills
Seeking a highly accomplished Principal AI Engineer to lead the design, architecture, and delivery of enterprise scale AI and Machine Learning solutions. This role requires deep technical expertise in AI/ML, strong architectural vision, hands\-on leadership, and the ability to drive AI strategy across the organization. The ideal candidate has extensive experience with advanced ML systems, GenAI/LLM solutions, and end to end AI platform development.
Key Responsibilities
AI Strategy \&amp; Technical Leadership
* Define and drive the organization’s AI roadmap, architecture, and long\-term technical vision.
* Lead and mentor AI/ML engineers, data scientists, and cross\-functional teams.
* Evaluate emerging technologies and guide adoption of GenAI, LLMs, MLOps frameworks, and AI platforms.
AI/ML Architecture \&amp; Innovation
* Architect scalable, high\-performance machine learning and GenAI solutions for NLP, CV, predictive analytics, and automation.
* Design and optimize LLM\-powered systems, including RAG pipelines, fine\-tuned models, and enterprise AI assistants.
* Develop reusable AI frameworks, components, and internal toolkits to accelerate organization\-wide AI development.
End\-to\-End AI System Development
* Oversee full lifecycle: data architecture, feature engineering, experimentation, training, validation, deployment, and monitoring.
* Build large\-scale, cloud\-native AI systems using Azure/AWS/GCP.
* Establish standards for model quality, reliability, interpretability, and governance.
MLOps \&amp; Platform Engineering
* Architect robust MLOps pipelines—CI/CD, model versioning, drift detection, automated retraining, monitoring.
* Lead the development of AI platforms supporting multiple business teams and workloads.
* Ensure production environments meet performance, scalability, and security requirements.
Cross Functional Collaboration
* Partner with executives, product teams, and business leaders to identify AI opportunities.
* Translate complex business problems into scalable AI solutions.
* Represent AI architecture in technical reviews and decision\-making processes.
* Databricks, SQL, and data processing frameworks.
Salary Range\- $85,000\-$105,000 a year
\#LI\-OJ1
**Location**
Des Moines, IA
**Job Function**
TECHNOLOGY
**Role**
Engineer
**Job Id**
397614
**Desired Skills**
Artificial Intelligence
**Salary Range**
$85,000\-$105,000 a year
Desired Candidate Profile
**Qualifications** : BACHELOR OF COMPUTER SCIENCE</t>
        </is>
      </c>
    </row>
    <row r="12">
      <c r="A12" t="inlineStr">
        <is>
          <t>in-0b1b3a9eb88f293f</t>
        </is>
      </c>
      <c r="B12" t="inlineStr">
        <is>
          <t>Sr. Applied Scientist - SLAM, Amazon Industrial Robotics</t>
        </is>
      </c>
      <c r="C12" t="inlineStr">
        <is>
          <t>Amazon.com</t>
        </is>
      </c>
      <c r="D12" t="inlineStr">
        <is>
          <t>indeed</t>
        </is>
      </c>
      <c r="E12" t="inlineStr"/>
      <c r="F12" t="inlineStr"/>
      <c r="G12" t="inlineStr">
        <is>
          <t>Reading, MA, US</t>
        </is>
      </c>
      <c r="H12" s="1" t="n">
        <v>46050</v>
      </c>
      <c r="I12"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3">
      <c r="A13" t="inlineStr">
        <is>
          <t>in-7a773ffc7526bc2f</t>
        </is>
      </c>
      <c r="B13" t="inlineStr">
        <is>
          <t>Sr. Applied Scientist - SLAM, Amazon Industrial Robotics</t>
        </is>
      </c>
      <c r="C13" t="inlineStr">
        <is>
          <t>Amazon.com</t>
        </is>
      </c>
      <c r="D13" t="inlineStr">
        <is>
          <t>indeed</t>
        </is>
      </c>
      <c r="E13" t="inlineStr"/>
      <c r="F13" t="inlineStr"/>
      <c r="G13" t="inlineStr">
        <is>
          <t>Reading, MA, US</t>
        </is>
      </c>
      <c r="H13" s="1" t="n">
        <v>46050</v>
      </c>
      <c r="I13"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4">
      <c r="A14" t="inlineStr">
        <is>
          <t>in-634e572c0f067831</t>
        </is>
      </c>
      <c r="B14" t="inlineStr">
        <is>
          <t>Sr. Applied Scientist, Sponsored Products Off-Search Sourcing</t>
        </is>
      </c>
      <c r="C14" t="inlineStr">
        <is>
          <t>Amazon.com</t>
        </is>
      </c>
      <c r="D14" t="inlineStr">
        <is>
          <t>indeed</t>
        </is>
      </c>
      <c r="E14" t="inlineStr"/>
      <c r="F14" t="inlineStr"/>
      <c r="G14" t="inlineStr">
        <is>
          <t>Palo Alto, CA, US</t>
        </is>
      </c>
      <c r="H14" s="1" t="n">
        <v>46049</v>
      </c>
      <c r="I14"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15">
      <c r="A15" t="inlineStr">
        <is>
          <t>in-dea938ee7e8e4cd5</t>
        </is>
      </c>
      <c r="B15" t="inlineStr">
        <is>
          <t>Sr. Applied Scientist, Sponsored Products Off-Search Sourcing</t>
        </is>
      </c>
      <c r="C15" t="inlineStr">
        <is>
          <t>Amazon.com</t>
        </is>
      </c>
      <c r="D15" t="inlineStr">
        <is>
          <t>indeed</t>
        </is>
      </c>
      <c r="E15" t="inlineStr"/>
      <c r="F15" t="inlineStr"/>
      <c r="G15" t="inlineStr">
        <is>
          <t>New York, NY, US</t>
        </is>
      </c>
      <c r="H15" s="1" t="n">
        <v>46049</v>
      </c>
      <c r="I15"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16">
      <c r="A16" t="inlineStr">
        <is>
          <t>in-8a412cbbf7ee507d</t>
        </is>
      </c>
      <c r="B16" t="inlineStr">
        <is>
          <t>Sr. Applied Scientist, Sponsored Products Off-Search Sourcing</t>
        </is>
      </c>
      <c r="C16" t="inlineStr">
        <is>
          <t>Amazon.com</t>
        </is>
      </c>
      <c r="D16" t="inlineStr">
        <is>
          <t>indeed</t>
        </is>
      </c>
      <c r="E16" t="inlineStr"/>
      <c r="F16" t="inlineStr"/>
      <c r="G16" t="inlineStr">
        <is>
          <t>Seattle, WA, US</t>
        </is>
      </c>
      <c r="H16" s="1" t="n">
        <v>46049</v>
      </c>
      <c r="I16"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17">
      <c r="A17" t="inlineStr">
        <is>
          <t>in-b9b5dd1ddadee9b0</t>
        </is>
      </c>
      <c r="B17" t="inlineStr">
        <is>
          <t>Principal Applied Scientist, AWS Science of Security</t>
        </is>
      </c>
      <c r="C17" t="inlineStr">
        <is>
          <t>Amazon.com</t>
        </is>
      </c>
      <c r="D17" t="inlineStr">
        <is>
          <t>indeed</t>
        </is>
      </c>
      <c r="E17" t="inlineStr"/>
      <c r="F17" t="inlineStr"/>
      <c r="G17" t="inlineStr">
        <is>
          <t>Arlington, VA, US</t>
        </is>
      </c>
      <c r="H17" s="1" t="n">
        <v>46049</v>
      </c>
      <c r="I17"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18">
      <c r="A18" t="inlineStr">
        <is>
          <t>in-0bbe610e16bc8dd7</t>
        </is>
      </c>
      <c r="B18" t="inlineStr">
        <is>
          <t>Principal Applied Scientist, AWS Science of Security</t>
        </is>
      </c>
      <c r="C18" t="inlineStr">
        <is>
          <t>Amazon.com</t>
        </is>
      </c>
      <c r="D18" t="inlineStr">
        <is>
          <t>indeed</t>
        </is>
      </c>
      <c r="E18" t="inlineStr"/>
      <c r="F18" t="inlineStr"/>
      <c r="G18" t="inlineStr">
        <is>
          <t>Seattle, WA, US</t>
        </is>
      </c>
      <c r="H18" s="1" t="n">
        <v>46049</v>
      </c>
      <c r="I18"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19">
      <c r="A19" t="inlineStr">
        <is>
          <t>in-3a48f66a5bdede83</t>
        </is>
      </c>
      <c r="B19" t="inlineStr">
        <is>
          <t>Principal Applied Scientist, AWS Science of Security</t>
        </is>
      </c>
      <c r="C19" t="inlineStr">
        <is>
          <t>Amazon.com</t>
        </is>
      </c>
      <c r="D19" t="inlineStr">
        <is>
          <t>indeed</t>
        </is>
      </c>
      <c r="E19" t="inlineStr"/>
      <c r="F19" t="inlineStr"/>
      <c r="G19" t="inlineStr">
        <is>
          <t>New York, NY, US</t>
        </is>
      </c>
      <c r="H19" s="1" t="n">
        <v>46049</v>
      </c>
      <c r="I19"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20">
      <c r="A20" t="inlineStr">
        <is>
          <t>in-82b7b9575d03b632</t>
        </is>
      </c>
      <c r="B20" t="inlineStr">
        <is>
          <t>Senior Applied Scientist, Amazon Industrial Robotics</t>
        </is>
      </c>
      <c r="C20" t="inlineStr">
        <is>
          <t>Amazon.com</t>
        </is>
      </c>
      <c r="D20" t="inlineStr">
        <is>
          <t>indeed</t>
        </is>
      </c>
      <c r="E20" t="inlineStr"/>
      <c r="F20" t="inlineStr"/>
      <c r="G20" t="inlineStr">
        <is>
          <t>Reading, MA, US</t>
        </is>
      </c>
      <c r="H20" s="1" t="n">
        <v>46048</v>
      </c>
      <c r="I20"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21">
      <c r="A21" t="inlineStr">
        <is>
          <t>in-c36246943cd2831e</t>
        </is>
      </c>
      <c r="B21" t="inlineStr">
        <is>
          <t>Senior Applied Scientist, Amazon Industrial Robotics</t>
        </is>
      </c>
      <c r="C21" t="inlineStr">
        <is>
          <t>Amazon.com</t>
        </is>
      </c>
      <c r="D21" t="inlineStr">
        <is>
          <t>indeed</t>
        </is>
      </c>
      <c r="E21" t="inlineStr"/>
      <c r="F21" t="inlineStr"/>
      <c r="G21" t="inlineStr">
        <is>
          <t>Reading, MA, US</t>
        </is>
      </c>
      <c r="H21" s="1" t="n">
        <v>46048</v>
      </c>
      <c r="I21"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22">
      <c r="A22" t="inlineStr">
        <is>
          <t>in-955f728c49fc7b2e</t>
        </is>
      </c>
      <c r="B22" t="inlineStr">
        <is>
          <t>Applied Scientist II, Prime Video Personalization and Discovery Science</t>
        </is>
      </c>
      <c r="C22" t="inlineStr">
        <is>
          <t>Amazon.com</t>
        </is>
      </c>
      <c r="D22" t="inlineStr">
        <is>
          <t>indeed</t>
        </is>
      </c>
      <c r="E22" t="inlineStr"/>
      <c r="F22" t="inlineStr"/>
      <c r="G22" t="inlineStr">
        <is>
          <t>New York, NY, US</t>
        </is>
      </c>
      <c r="H22" s="1" t="n">
        <v>46047</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3">
      <c r="A23" t="inlineStr">
        <is>
          <t>in-1a2907a2fdcc7f00</t>
        </is>
      </c>
      <c r="B23" t="inlineStr">
        <is>
          <t>Applied Scientist II, Prime Video Personalization and Discovery Science</t>
        </is>
      </c>
      <c r="C23" t="inlineStr">
        <is>
          <t>Amazon.com</t>
        </is>
      </c>
      <c r="D23" t="inlineStr">
        <is>
          <t>indeed</t>
        </is>
      </c>
      <c r="E23" t="inlineStr"/>
      <c r="F23" t="inlineStr"/>
      <c r="G23" t="inlineStr">
        <is>
          <t>Seattle, WA, US</t>
        </is>
      </c>
      <c r="H23" s="1" t="n">
        <v>46047</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4">
      <c r="A24" t="inlineStr">
        <is>
          <t>in-074e7ce57b2da627</t>
        </is>
      </c>
      <c r="B24" t="inlineStr">
        <is>
          <t>Applied Scientist II, Prime Video Personalization and Discovery Science</t>
        </is>
      </c>
      <c r="C24" t="inlineStr">
        <is>
          <t>Amazon.com</t>
        </is>
      </c>
      <c r="D24" t="inlineStr">
        <is>
          <t>indeed</t>
        </is>
      </c>
      <c r="E24" t="inlineStr"/>
      <c r="F24" t="inlineStr"/>
      <c r="G24" t="inlineStr">
        <is>
          <t>Sunnyvale, CA, US</t>
        </is>
      </c>
      <c r="H24" s="1" t="n">
        <v>46047</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5">
      <c r="A25" t="inlineStr">
        <is>
          <t>in-c0349921d6db15b4</t>
        </is>
      </c>
      <c r="B25" t="inlineStr">
        <is>
          <t>Applied Scientist, Amazon Connect</t>
        </is>
      </c>
      <c r="C25" t="inlineStr">
        <is>
          <t>Amazon Web Services</t>
        </is>
      </c>
      <c r="D25" t="inlineStr">
        <is>
          <t>indeed</t>
        </is>
      </c>
      <c r="E25" t="inlineStr"/>
      <c r="F25" t="inlineStr"/>
      <c r="G25" t="inlineStr">
        <is>
          <t>Seattle, WA, US</t>
        </is>
      </c>
      <c r="H25" s="1" t="n">
        <v>46047</v>
      </c>
      <c r="I25"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6">
      <c r="A26" t="inlineStr">
        <is>
          <t>in-8348716452feee2e</t>
        </is>
      </c>
      <c r="B26" t="inlineStr">
        <is>
          <t>Applied Scientist, Amazon Connect</t>
        </is>
      </c>
      <c r="C26" t="inlineStr">
        <is>
          <t>Amazon Web Services</t>
        </is>
      </c>
      <c r="D26" t="inlineStr">
        <is>
          <t>indeed</t>
        </is>
      </c>
      <c r="E26" t="inlineStr"/>
      <c r="F26" t="inlineStr"/>
      <c r="G26" t="inlineStr">
        <is>
          <t>New York, NY, US</t>
        </is>
      </c>
      <c r="H26" s="1" t="n">
        <v>46047</v>
      </c>
      <c r="I26"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7">
      <c r="A27" t="inlineStr">
        <is>
          <t>in-194761d4307490a4</t>
        </is>
      </c>
      <c r="B27" t="inlineStr">
        <is>
          <t>Applied Scientist, Safety ML</t>
        </is>
      </c>
      <c r="C27" t="inlineStr">
        <is>
          <t>Amazon.com</t>
        </is>
      </c>
      <c r="D27" t="inlineStr">
        <is>
          <t>indeed</t>
        </is>
      </c>
      <c r="E27" t="inlineStr"/>
      <c r="F27" t="inlineStr"/>
      <c r="G27" t="inlineStr">
        <is>
          <t>San Francisco, CA, US</t>
        </is>
      </c>
      <c r="H27" s="1" t="n">
        <v>46037</v>
      </c>
      <c r="I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8">
      <c r="A28" t="inlineStr">
        <is>
          <t>in-25b32ee20a0810c1</t>
        </is>
      </c>
      <c r="B28" t="inlineStr">
        <is>
          <t>Applied Scientist, Safety ML</t>
        </is>
      </c>
      <c r="C28" t="inlineStr">
        <is>
          <t>Amazon.com</t>
        </is>
      </c>
      <c r="D28" t="inlineStr">
        <is>
          <t>indeed</t>
        </is>
      </c>
      <c r="E28" t="inlineStr"/>
      <c r="F28" t="inlineStr"/>
      <c r="G28" t="inlineStr">
        <is>
          <t>Seattle, WA, US</t>
        </is>
      </c>
      <c r="H28" s="1" t="n">
        <v>46037</v>
      </c>
      <c r="I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9">
      <c r="A29" t="inlineStr">
        <is>
          <t>in-200c05591afd305c</t>
        </is>
      </c>
      <c r="B29" t="inlineStr">
        <is>
          <t>Applied Scientist, LLM Code Agents, Kiro Science</t>
        </is>
      </c>
      <c r="C29" t="inlineStr">
        <is>
          <t>Amazon.com</t>
        </is>
      </c>
      <c r="D29" t="inlineStr">
        <is>
          <t>indeed</t>
        </is>
      </c>
      <c r="E29" t="inlineStr"/>
      <c r="F29" t="inlineStr"/>
      <c r="G29" t="inlineStr">
        <is>
          <t>Santa Clara, CA, US</t>
        </is>
      </c>
      <c r="H29" s="1" t="n">
        <v>46035</v>
      </c>
      <c r="I29"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30">
      <c r="A30" t="inlineStr">
        <is>
          <t>in-dc1474fae6a330cc</t>
        </is>
      </c>
      <c r="B30" t="inlineStr">
        <is>
          <t>Applied Scientist, LLM Code Agents, Kiro Science</t>
        </is>
      </c>
      <c r="C30" t="inlineStr">
        <is>
          <t>Amazon.com</t>
        </is>
      </c>
      <c r="D30" t="inlineStr">
        <is>
          <t>indeed</t>
        </is>
      </c>
      <c r="E30" t="inlineStr"/>
      <c r="F30" t="inlineStr"/>
      <c r="G30" t="inlineStr">
        <is>
          <t>Seattle, WA, US</t>
        </is>
      </c>
      <c r="H30" s="1" t="n">
        <v>46035</v>
      </c>
      <c r="I30"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31">
      <c r="A31" t="inlineStr">
        <is>
          <t>in-e905f29960445219</t>
        </is>
      </c>
      <c r="B31" t="inlineStr">
        <is>
          <t>Applied Scientist II, Prime Video Personalization and Discovery Science</t>
        </is>
      </c>
      <c r="C31" t="inlineStr">
        <is>
          <t>Amazon.com</t>
        </is>
      </c>
      <c r="D31" t="inlineStr">
        <is>
          <t>indeed</t>
        </is>
      </c>
      <c r="E31" t="inlineStr"/>
      <c r="F31" t="inlineStr"/>
      <c r="G31" t="inlineStr">
        <is>
          <t>Seattle, WA, US</t>
        </is>
      </c>
      <c r="H31" s="1" t="n">
        <v>46034</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2">
      <c r="A32" t="inlineStr">
        <is>
          <t>in-601e67f4fb5fdade</t>
        </is>
      </c>
      <c r="B32" t="inlineStr">
        <is>
          <t>Applied Scientist II, Prime Video Personalization and Discovery Science</t>
        </is>
      </c>
      <c r="C32" t="inlineStr">
        <is>
          <t>Amazon.com</t>
        </is>
      </c>
      <c r="D32" t="inlineStr">
        <is>
          <t>indeed</t>
        </is>
      </c>
      <c r="E32" t="inlineStr"/>
      <c r="F32" t="inlineStr"/>
      <c r="G32" t="inlineStr">
        <is>
          <t>Sunnyvale, CA, US</t>
        </is>
      </c>
      <c r="H32" s="1" t="n">
        <v>46034</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3">
      <c r="A33" t="inlineStr">
        <is>
          <t>in-75df42510c01cc6c</t>
        </is>
      </c>
      <c r="B33" t="inlineStr">
        <is>
          <t>Applied Scientist, Alexa Smart Home</t>
        </is>
      </c>
      <c r="C33" t="inlineStr">
        <is>
          <t>Amazon.com</t>
        </is>
      </c>
      <c r="D33" t="inlineStr">
        <is>
          <t>indeed</t>
        </is>
      </c>
      <c r="E33" t="inlineStr"/>
      <c r="F33" t="inlineStr"/>
      <c r="G33" t="inlineStr">
        <is>
          <t>Seattle, WA, US</t>
        </is>
      </c>
      <c r="H33" s="1" t="n">
        <v>46033</v>
      </c>
      <c r="I33"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4">
      <c r="A34" t="inlineStr">
        <is>
          <t>in-caaf8b1d35edb5f4</t>
        </is>
      </c>
      <c r="B34" t="inlineStr">
        <is>
          <t>Applied Scientist, Alexa Smart Home</t>
        </is>
      </c>
      <c r="C34" t="inlineStr">
        <is>
          <t>Amazon.com</t>
        </is>
      </c>
      <c r="D34" t="inlineStr">
        <is>
          <t>indeed</t>
        </is>
      </c>
      <c r="E34" t="inlineStr"/>
      <c r="F34" t="inlineStr"/>
      <c r="G34" t="inlineStr">
        <is>
          <t>Sunnyvale, CA, US</t>
        </is>
      </c>
      <c r="H34" s="1" t="n">
        <v>46033</v>
      </c>
      <c r="I34"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5">
      <c r="A35" t="inlineStr">
        <is>
          <t>in-b0e3ca984e423ba6</t>
        </is>
      </c>
      <c r="B35" t="inlineStr">
        <is>
          <t>Applied Scientist, AWS Applied AI Solutions</t>
        </is>
      </c>
      <c r="C35" t="inlineStr">
        <is>
          <t>Amazon Web Services</t>
        </is>
      </c>
      <c r="D35" t="inlineStr">
        <is>
          <t>indeed</t>
        </is>
      </c>
      <c r="E35" t="inlineStr"/>
      <c r="F35" t="inlineStr"/>
      <c r="G35" t="inlineStr">
        <is>
          <t>New York, NY, US</t>
        </is>
      </c>
      <c r="H35" s="1" t="n">
        <v>46030</v>
      </c>
      <c r="I35"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6">
      <c r="A36" t="inlineStr">
        <is>
          <t>in-b280d3d9ef2c9333</t>
        </is>
      </c>
      <c r="B36" t="inlineStr">
        <is>
          <t>Applied Scientist, AWS Applied AI Solutions</t>
        </is>
      </c>
      <c r="C36" t="inlineStr">
        <is>
          <t>Amazon Web Services</t>
        </is>
      </c>
      <c r="D36" t="inlineStr">
        <is>
          <t>indeed</t>
        </is>
      </c>
      <c r="E36" t="inlineStr"/>
      <c r="F36" t="inlineStr"/>
      <c r="G36" t="inlineStr">
        <is>
          <t>Seattle, WA, US</t>
        </is>
      </c>
      <c r="H36" s="1" t="n">
        <v>46030</v>
      </c>
      <c r="I36"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7">
      <c r="A37" t="inlineStr">
        <is>
          <t>in-d77a7d08285b7f89</t>
        </is>
      </c>
      <c r="B37" t="inlineStr">
        <is>
          <t>Applied Scientist II, Prime Video Personalization and Discovery Science</t>
        </is>
      </c>
      <c r="C37" t="inlineStr">
        <is>
          <t>Amazon.com</t>
        </is>
      </c>
      <c r="D37" t="inlineStr">
        <is>
          <t>indeed</t>
        </is>
      </c>
      <c r="E37" t="inlineStr"/>
      <c r="F37" t="inlineStr"/>
      <c r="G37" t="inlineStr">
        <is>
          <t>Sunnyvale, CA, US</t>
        </is>
      </c>
      <c r="H37" s="1" t="n">
        <v>46028</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8">
      <c r="A38" t="inlineStr">
        <is>
          <t>in-d891ed4dc1a7a976</t>
        </is>
      </c>
      <c r="B38" t="inlineStr">
        <is>
          <t>Applied Scientist II, Prime Video Personalization and Discovery Science</t>
        </is>
      </c>
      <c r="C38" t="inlineStr">
        <is>
          <t>Amazon.com</t>
        </is>
      </c>
      <c r="D38" t="inlineStr">
        <is>
          <t>indeed</t>
        </is>
      </c>
      <c r="E38" t="inlineStr"/>
      <c r="F38" t="inlineStr"/>
      <c r="G38" t="inlineStr">
        <is>
          <t>New York, NY, US</t>
        </is>
      </c>
      <c r="H38" s="1" t="n">
        <v>46028</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9">
      <c r="A39" t="inlineStr">
        <is>
          <t>in-b0c4d0443d4bbfdf</t>
        </is>
      </c>
      <c r="B39" t="inlineStr">
        <is>
          <t>Applied Scientist II, Prime Video Personalization and Discovery Science</t>
        </is>
      </c>
      <c r="C39" t="inlineStr">
        <is>
          <t>Amazon.com</t>
        </is>
      </c>
      <c r="D39" t="inlineStr">
        <is>
          <t>indeed</t>
        </is>
      </c>
      <c r="E39" t="inlineStr"/>
      <c r="F39" t="inlineStr"/>
      <c r="G39" t="inlineStr">
        <is>
          <t>Seattle, WA, US</t>
        </is>
      </c>
      <c r="H39" s="1" t="n">
        <v>46028</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0">
      <c r="A40" t="inlineStr">
        <is>
          <t>in-c7cc3424a4414ceb</t>
        </is>
      </c>
      <c r="B40" t="inlineStr">
        <is>
          <t>Applied Scientist, Last Mile Delivery Automation</t>
        </is>
      </c>
      <c r="C40" t="inlineStr">
        <is>
          <t>Amazon.com</t>
        </is>
      </c>
      <c r="D40" t="inlineStr">
        <is>
          <t>indeed</t>
        </is>
      </c>
      <c r="E40" t="inlineStr"/>
      <c r="F40" t="inlineStr"/>
      <c r="G40" t="inlineStr">
        <is>
          <t>Santa Clara, CA, US</t>
        </is>
      </c>
      <c r="H40" s="1" t="n">
        <v>46026</v>
      </c>
      <c r="I40"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in-9a1d10fffc689578</t>
        </is>
      </c>
      <c r="B41" t="inlineStr">
        <is>
          <t>Applied Scientist, Last Mile Delivery Automation</t>
        </is>
      </c>
      <c r="C41" t="inlineStr">
        <is>
          <t>Amazon.com</t>
        </is>
      </c>
      <c r="D41" t="inlineStr">
        <is>
          <t>indeed</t>
        </is>
      </c>
      <c r="E41" t="inlineStr"/>
      <c r="F41" t="inlineStr"/>
      <c r="G41" t="inlineStr">
        <is>
          <t>Bellevue, WA, US</t>
        </is>
      </c>
      <c r="H41" s="1" t="n">
        <v>46026</v>
      </c>
      <c r="I41"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in-b84e37a980ded64e</t>
        </is>
      </c>
      <c r="B42" t="inlineStr">
        <is>
          <t>Senior Applied Scientist, Sponsored Products and Brands, Off-Search</t>
        </is>
      </c>
      <c r="C42" t="inlineStr">
        <is>
          <t>Amazon.com</t>
        </is>
      </c>
      <c r="D42" t="inlineStr">
        <is>
          <t>indeed</t>
        </is>
      </c>
      <c r="E42" t="inlineStr"/>
      <c r="F42" t="inlineStr"/>
      <c r="G42" t="inlineStr">
        <is>
          <t>Palo Alto, CA, US</t>
        </is>
      </c>
      <c r="H42" s="1" t="n">
        <v>46017</v>
      </c>
      <c r="I42"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in-1856719892e71ceb</t>
        </is>
      </c>
      <c r="B43" t="inlineStr">
        <is>
          <t>Senior Applied Scientist, Sponsored Products and Brands, Off-Search</t>
        </is>
      </c>
      <c r="C43" t="inlineStr">
        <is>
          <t>Amazon.com</t>
        </is>
      </c>
      <c r="D43" t="inlineStr">
        <is>
          <t>indeed</t>
        </is>
      </c>
      <c r="E43" t="inlineStr"/>
      <c r="F43" t="inlineStr"/>
      <c r="G43" t="inlineStr">
        <is>
          <t>New York, NY, US</t>
        </is>
      </c>
      <c r="H43" s="1" t="n">
        <v>46017</v>
      </c>
      <c r="I43"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in-5780f68dd9258023</t>
        </is>
      </c>
      <c r="B44" t="inlineStr">
        <is>
          <t>Senior Applied Scientist, Sponsored Products and Brands, Off-Search</t>
        </is>
      </c>
      <c r="C44" t="inlineStr">
        <is>
          <t>Amazon.com</t>
        </is>
      </c>
      <c r="D44" t="inlineStr">
        <is>
          <t>indeed</t>
        </is>
      </c>
      <c r="E44" t="inlineStr"/>
      <c r="F44" t="inlineStr"/>
      <c r="G44" t="inlineStr">
        <is>
          <t>Seattle, WA, US</t>
        </is>
      </c>
      <c r="H44" s="1" t="n">
        <v>46017</v>
      </c>
      <c r="I44"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in-3da02aea1ddff161</t>
        </is>
      </c>
      <c r="B45" t="inlineStr">
        <is>
          <t>Applied Scientist II, Prime Video - Personalization and Discovery Science</t>
        </is>
      </c>
      <c r="C45" t="inlineStr">
        <is>
          <t>Amazon.com</t>
        </is>
      </c>
      <c r="D45" t="inlineStr">
        <is>
          <t>indeed</t>
        </is>
      </c>
      <c r="E45" t="inlineStr"/>
      <c r="F45" t="inlineStr"/>
      <c r="G45" t="inlineStr">
        <is>
          <t>Seattle, WA, US</t>
        </is>
      </c>
      <c r="H45" s="1" t="n">
        <v>46012</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46">
      <c r="A46" t="inlineStr">
        <is>
          <t>in-c83dcc9c60201db2</t>
        </is>
      </c>
      <c r="B46" t="inlineStr">
        <is>
          <t>Applied Scientist II, Prime Video - Personalization and Discovery Science</t>
        </is>
      </c>
      <c r="C46" t="inlineStr">
        <is>
          <t>Amazon.com</t>
        </is>
      </c>
      <c r="D46" t="inlineStr">
        <is>
          <t>indeed</t>
        </is>
      </c>
      <c r="E46" t="inlineStr"/>
      <c r="F46" t="inlineStr"/>
      <c r="G46" t="inlineStr">
        <is>
          <t>Sunnyvale, CA, US</t>
        </is>
      </c>
      <c r="H46" s="1" t="n">
        <v>46012</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47">
      <c r="A47" t="inlineStr">
        <is>
          <t>in-79a95b0b84545547</t>
        </is>
      </c>
      <c r="B47" t="inlineStr">
        <is>
          <t>Applied Scientist, Delivery Foundation Model</t>
        </is>
      </c>
      <c r="C47" t="inlineStr">
        <is>
          <t>Amazon.com</t>
        </is>
      </c>
      <c r="D47" t="inlineStr">
        <is>
          <t>indeed</t>
        </is>
      </c>
      <c r="E47" t="inlineStr"/>
      <c r="F47" t="inlineStr"/>
      <c r="G47" t="inlineStr">
        <is>
          <t>Bellevue, WA, US</t>
        </is>
      </c>
      <c r="H47" s="1" t="n">
        <v>46009</v>
      </c>
      <c r="I4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48">
      <c r="A48" t="inlineStr">
        <is>
          <t>in-824a04ac002e7cb7</t>
        </is>
      </c>
      <c r="B48" t="inlineStr">
        <is>
          <t>Applied Scientist, Delivery Foundation Model</t>
        </is>
      </c>
      <c r="C48" t="inlineStr">
        <is>
          <t>Amazon.com</t>
        </is>
      </c>
      <c r="D48" t="inlineStr">
        <is>
          <t>indeed</t>
        </is>
      </c>
      <c r="E48" t="inlineStr"/>
      <c r="F48" t="inlineStr"/>
      <c r="G48" t="inlineStr">
        <is>
          <t>Santa Clara, CA, US</t>
        </is>
      </c>
      <c r="H48" s="1" t="n">
        <v>46009</v>
      </c>
      <c r="I4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49">
      <c r="A49" t="inlineStr">
        <is>
          <t>in-d88df9371a1d0ff5</t>
        </is>
      </c>
      <c r="B49" t="inlineStr">
        <is>
          <t>Principal Applied Scientist, Kiro Science</t>
        </is>
      </c>
      <c r="C49" t="inlineStr">
        <is>
          <t>Amazon Web Services</t>
        </is>
      </c>
      <c r="D49" t="inlineStr">
        <is>
          <t>indeed</t>
        </is>
      </c>
      <c r="E49" t="inlineStr"/>
      <c r="F49" t="inlineStr"/>
      <c r="G49" t="inlineStr">
        <is>
          <t>New York, NY, US</t>
        </is>
      </c>
      <c r="H49" s="1" t="n">
        <v>45999</v>
      </c>
      <c r="I49"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50">
      <c r="A50" t="inlineStr">
        <is>
          <t>in-2b01e6dc618b284e</t>
        </is>
      </c>
      <c r="B50" t="inlineStr">
        <is>
          <t>Principal Applied Scientist, Kiro Science</t>
        </is>
      </c>
      <c r="C50" t="inlineStr">
        <is>
          <t>Amazon Web Services</t>
        </is>
      </c>
      <c r="D50" t="inlineStr">
        <is>
          <t>indeed</t>
        </is>
      </c>
      <c r="E50" t="inlineStr"/>
      <c r="F50" t="inlineStr"/>
      <c r="G50" t="inlineStr">
        <is>
          <t>Santa Clara, CA, US</t>
        </is>
      </c>
      <c r="H50" s="1" t="n">
        <v>45999</v>
      </c>
      <c r="I50"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51">
      <c r="A51" t="inlineStr">
        <is>
          <t>in-c1147deaac6705a7</t>
        </is>
      </c>
      <c r="B51" t="inlineStr">
        <is>
          <t>Sr. Applied Scientist, Amazon Ads</t>
        </is>
      </c>
      <c r="C51" t="inlineStr">
        <is>
          <t>Amazon.com</t>
        </is>
      </c>
      <c r="D51" t="inlineStr">
        <is>
          <t>indeed</t>
        </is>
      </c>
      <c r="E51" t="inlineStr"/>
      <c r="F51" t="inlineStr"/>
      <c r="G51" t="inlineStr">
        <is>
          <t>New York, NY, US</t>
        </is>
      </c>
      <c r="H51" s="1" t="n">
        <v>45998</v>
      </c>
      <c r="I5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2">
      <c r="A52" t="inlineStr">
        <is>
          <t>in-df890a904dd07d24</t>
        </is>
      </c>
      <c r="B52" t="inlineStr">
        <is>
          <t>Sr. Applied Scientist, Amazon Ads</t>
        </is>
      </c>
      <c r="C52" t="inlineStr">
        <is>
          <t>Amazon.com</t>
        </is>
      </c>
      <c r="D52" t="inlineStr">
        <is>
          <t>indeed</t>
        </is>
      </c>
      <c r="E52" t="inlineStr"/>
      <c r="F52" t="inlineStr"/>
      <c r="G52" t="inlineStr">
        <is>
          <t>Tukwila, WA, US</t>
        </is>
      </c>
      <c r="H52" s="1" t="n">
        <v>45998</v>
      </c>
      <c r="I5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3">
      <c r="A53" t="inlineStr">
        <is>
          <t>in-ad5a67128b876154</t>
        </is>
      </c>
      <c r="B53" t="inlineStr">
        <is>
          <t>Sr. Applied Scientist, Amazon Ads</t>
        </is>
      </c>
      <c r="C53" t="inlineStr">
        <is>
          <t>Amazon.com</t>
        </is>
      </c>
      <c r="D53" t="inlineStr">
        <is>
          <t>indeed</t>
        </is>
      </c>
      <c r="E53" t="inlineStr"/>
      <c r="F53" t="inlineStr"/>
      <c r="G53" t="inlineStr">
        <is>
          <t>Santa Monica, CA, US</t>
        </is>
      </c>
      <c r="H53" s="1" t="n">
        <v>45998</v>
      </c>
      <c r="I5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4">
      <c r="A54" t="inlineStr">
        <is>
          <t>in-b8743501a3b78078</t>
        </is>
      </c>
      <c r="B54" t="inlineStr">
        <is>
          <t>Sr. Applied Scientist, Amazon Ads</t>
        </is>
      </c>
      <c r="C54" t="inlineStr">
        <is>
          <t>Amazon.com</t>
        </is>
      </c>
      <c r="D54" t="inlineStr">
        <is>
          <t>indeed</t>
        </is>
      </c>
      <c r="E54" t="inlineStr"/>
      <c r="F54" t="inlineStr"/>
      <c r="G54" t="inlineStr">
        <is>
          <t>Palo Alto, CA, US</t>
        </is>
      </c>
      <c r="H54" s="1" t="n">
        <v>45998</v>
      </c>
      <c r="I5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5">
      <c r="A55" t="inlineStr">
        <is>
          <t>in-33c6466633d01a10</t>
        </is>
      </c>
      <c r="B55" t="inlineStr">
        <is>
          <t>Sr. Applied Scientist, Amazon Ads</t>
        </is>
      </c>
      <c r="C55" t="inlineStr">
        <is>
          <t>Amazon.com</t>
        </is>
      </c>
      <c r="D55" t="inlineStr">
        <is>
          <t>indeed</t>
        </is>
      </c>
      <c r="E55" t="inlineStr"/>
      <c r="F55" t="inlineStr"/>
      <c r="G55" t="inlineStr">
        <is>
          <t>Sunnyvale, CA, US</t>
        </is>
      </c>
      <c r="H55" s="1" t="n">
        <v>45998</v>
      </c>
      <c r="I5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6">
      <c r="A56" t="inlineStr">
        <is>
          <t>in-c615b4ce874b1ed1</t>
        </is>
      </c>
      <c r="B56" t="inlineStr">
        <is>
          <t>Sr. Applied Scientist, Amazon Ads</t>
        </is>
      </c>
      <c r="C56" t="inlineStr">
        <is>
          <t>Amazon.com</t>
        </is>
      </c>
      <c r="D56" t="inlineStr">
        <is>
          <t>indeed</t>
        </is>
      </c>
      <c r="E56" t="inlineStr"/>
      <c r="F56" t="inlineStr"/>
      <c r="G56" t="inlineStr">
        <is>
          <t>Brooklyn, NY, US</t>
        </is>
      </c>
      <c r="H56" s="1" t="n">
        <v>45998</v>
      </c>
      <c r="I5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7">
      <c r="A57" t="inlineStr">
        <is>
          <t>in-d824638e4ef6b18f</t>
        </is>
      </c>
      <c r="B57" t="inlineStr">
        <is>
          <t>Sr. Applied Scientist, Amazon Ads</t>
        </is>
      </c>
      <c r="C57" t="inlineStr">
        <is>
          <t>Amazon.com</t>
        </is>
      </c>
      <c r="D57" t="inlineStr">
        <is>
          <t>indeed</t>
        </is>
      </c>
      <c r="E57" t="inlineStr"/>
      <c r="F57" t="inlineStr"/>
      <c r="G57" t="inlineStr">
        <is>
          <t>Boulder, CO, US</t>
        </is>
      </c>
      <c r="H57" s="1" t="n">
        <v>45998</v>
      </c>
      <c r="I5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8">
      <c r="A58" t="inlineStr">
        <is>
          <t>in-7731500dd25a9bb6</t>
        </is>
      </c>
      <c r="B58" t="inlineStr">
        <is>
          <t>Sr. Applied Scientist, Amazon Ads</t>
        </is>
      </c>
      <c r="C58" t="inlineStr">
        <is>
          <t>Amazon.com</t>
        </is>
      </c>
      <c r="D58" t="inlineStr">
        <is>
          <t>indeed</t>
        </is>
      </c>
      <c r="E58" t="inlineStr"/>
      <c r="F58" t="inlineStr"/>
      <c r="G58" t="inlineStr">
        <is>
          <t>Seattle, WA, US</t>
        </is>
      </c>
      <c r="H58" s="1" t="n">
        <v>45998</v>
      </c>
      <c r="I5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9">
      <c r="A59" t="inlineStr">
        <is>
          <t>in-fab83fe93c502ea2</t>
        </is>
      </c>
      <c r="B59" t="inlineStr">
        <is>
          <t>Sr. Applied Scientist, Amazon Ads</t>
        </is>
      </c>
      <c r="C59" t="inlineStr">
        <is>
          <t>Amazon.com</t>
        </is>
      </c>
      <c r="D59" t="inlineStr">
        <is>
          <t>indeed</t>
        </is>
      </c>
      <c r="E59" t="inlineStr"/>
      <c r="F59" t="inlineStr"/>
      <c r="G59" t="inlineStr">
        <is>
          <t>Corvallis, OR, US</t>
        </is>
      </c>
      <c r="H59" s="1" t="n">
        <v>45998</v>
      </c>
      <c r="I5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0">
      <c r="A60" t="inlineStr">
        <is>
          <t>in-fabb4d8936d80d89</t>
        </is>
      </c>
      <c r="B60" t="inlineStr">
        <is>
          <t>Sr. Applied Scientist, Amazon Ads</t>
        </is>
      </c>
      <c r="C60" t="inlineStr">
        <is>
          <t>Amazon.com</t>
        </is>
      </c>
      <c r="D60" t="inlineStr">
        <is>
          <t>indeed</t>
        </is>
      </c>
      <c r="E60" t="inlineStr"/>
      <c r="F60" t="inlineStr"/>
      <c r="G60" t="inlineStr">
        <is>
          <t>Boston, MA, US</t>
        </is>
      </c>
      <c r="H60" s="1" t="n">
        <v>45998</v>
      </c>
      <c r="I6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1">
      <c r="A61" t="inlineStr">
        <is>
          <t>in-6868a9096128d315</t>
        </is>
      </c>
      <c r="B61" t="inlineStr">
        <is>
          <t>Principal Applied Scientist, Sponsored Products and Brands</t>
        </is>
      </c>
      <c r="C61" t="inlineStr">
        <is>
          <t>Amazon.com</t>
        </is>
      </c>
      <c r="D61" t="inlineStr">
        <is>
          <t>indeed</t>
        </is>
      </c>
      <c r="E61" t="inlineStr"/>
      <c r="F61" t="inlineStr"/>
      <c r="G61" t="inlineStr">
        <is>
          <t>New York, NY, US</t>
        </is>
      </c>
      <c r="H61" s="1" t="n">
        <v>45979</v>
      </c>
      <c r="I6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in-6cd1b51ee6f3a229</t>
        </is>
      </c>
      <c r="B62" t="inlineStr">
        <is>
          <t>Principal Applied Scientist, Sponsored Products and Brands</t>
        </is>
      </c>
      <c r="C62" t="inlineStr">
        <is>
          <t>Amazon.com</t>
        </is>
      </c>
      <c r="D62" t="inlineStr">
        <is>
          <t>indeed</t>
        </is>
      </c>
      <c r="E62" t="inlineStr"/>
      <c r="F62" t="inlineStr"/>
      <c r="G62" t="inlineStr">
        <is>
          <t>Seattle, WA, US</t>
        </is>
      </c>
      <c r="H62" s="1" t="n">
        <v>45979</v>
      </c>
      <c r="I6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in-d0d967e330894afc</t>
        </is>
      </c>
      <c r="B63" t="inlineStr">
        <is>
          <t>Applied Scientist, Personalization, DTx Science</t>
        </is>
      </c>
      <c r="C63" t="inlineStr">
        <is>
          <t>Amazon.com</t>
        </is>
      </c>
      <c r="D63" t="inlineStr">
        <is>
          <t>indeed</t>
        </is>
      </c>
      <c r="E63" t="inlineStr"/>
      <c r="F63" t="inlineStr"/>
      <c r="G63" t="inlineStr">
        <is>
          <t>New York, NY, US</t>
        </is>
      </c>
      <c r="H63" s="1" t="n">
        <v>45979</v>
      </c>
      <c r="I63"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4">
      <c r="A64" t="inlineStr">
        <is>
          <t>in-b66a51101ce6899c</t>
        </is>
      </c>
      <c r="B64" t="inlineStr">
        <is>
          <t>Applied Scientist, Personalization, DTx Science</t>
        </is>
      </c>
      <c r="C64" t="inlineStr">
        <is>
          <t>Amazon.com</t>
        </is>
      </c>
      <c r="D64" t="inlineStr">
        <is>
          <t>indeed</t>
        </is>
      </c>
      <c r="E64" t="inlineStr"/>
      <c r="F64" t="inlineStr"/>
      <c r="G64" t="inlineStr">
        <is>
          <t>Seattle, WA, US</t>
        </is>
      </c>
      <c r="H64" s="1" t="n">
        <v>45979</v>
      </c>
      <c r="I64"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5">
      <c r="A65" t="inlineStr">
        <is>
          <t>in-053a247d22c1c821</t>
        </is>
      </c>
      <c r="B65" t="inlineStr">
        <is>
          <t>Senior Applied Scientist, Sponsored Products and Brands</t>
        </is>
      </c>
      <c r="C65" t="inlineStr">
        <is>
          <t>Amazon.com</t>
        </is>
      </c>
      <c r="D65" t="inlineStr">
        <is>
          <t>indeed</t>
        </is>
      </c>
      <c r="E65" t="inlineStr"/>
      <c r="F65" t="inlineStr"/>
      <c r="G65" t="inlineStr">
        <is>
          <t>Seattle, WA, US</t>
        </is>
      </c>
      <c r="H65" s="1" t="n">
        <v>45979</v>
      </c>
      <c r="I6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66">
      <c r="A66" t="inlineStr">
        <is>
          <t>in-0cf90ae9ba6823b5</t>
        </is>
      </c>
      <c r="B66" t="inlineStr">
        <is>
          <t>Senior Applied Scientist, Sponsored Products and Brands</t>
        </is>
      </c>
      <c r="C66" t="inlineStr">
        <is>
          <t>Amazon.com</t>
        </is>
      </c>
      <c r="D66" t="inlineStr">
        <is>
          <t>indeed</t>
        </is>
      </c>
      <c r="E66" t="inlineStr"/>
      <c r="F66" t="inlineStr"/>
      <c r="G66" t="inlineStr">
        <is>
          <t>New York, NY, US</t>
        </is>
      </c>
      <c r="H66" s="1" t="n">
        <v>45979</v>
      </c>
      <c r="I6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67">
      <c r="A67" t="inlineStr">
        <is>
          <t>in-eeb683af0231a354</t>
        </is>
      </c>
      <c r="B67" t="inlineStr">
        <is>
          <t>Sr. Applied Scientist, Sponsored Products</t>
        </is>
      </c>
      <c r="C67" t="inlineStr">
        <is>
          <t>Amazon.com</t>
        </is>
      </c>
      <c r="D67" t="inlineStr">
        <is>
          <t>indeed</t>
        </is>
      </c>
      <c r="E67" t="inlineStr"/>
      <c r="F67" t="inlineStr"/>
      <c r="G67" t="inlineStr">
        <is>
          <t>Seattle, WA, US</t>
        </is>
      </c>
      <c r="H67" s="1" t="n">
        <v>45976</v>
      </c>
      <c r="I67"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68">
      <c r="A68" t="inlineStr">
        <is>
          <t>in-b1e30db5ac220e88</t>
        </is>
      </c>
      <c r="B68" t="inlineStr">
        <is>
          <t>Sr. Applied Scientist, Sponsored Products</t>
        </is>
      </c>
      <c r="C68" t="inlineStr">
        <is>
          <t>Amazon.com</t>
        </is>
      </c>
      <c r="D68" t="inlineStr">
        <is>
          <t>indeed</t>
        </is>
      </c>
      <c r="E68" t="inlineStr"/>
      <c r="F68" t="inlineStr"/>
      <c r="G68" t="inlineStr">
        <is>
          <t>New York, NY, US</t>
        </is>
      </c>
      <c r="H68" s="1" t="n">
        <v>45976</v>
      </c>
      <c r="I68"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69">
      <c r="A69" t="inlineStr">
        <is>
          <t>in-3557ef51812ce253</t>
        </is>
      </c>
      <c r="B69" t="inlineStr">
        <is>
          <t>Sr. Applied Scientist, Sponsored Products</t>
        </is>
      </c>
      <c r="C69" t="inlineStr">
        <is>
          <t>Amazon.com</t>
        </is>
      </c>
      <c r="D69" t="inlineStr">
        <is>
          <t>indeed</t>
        </is>
      </c>
      <c r="E69" t="inlineStr"/>
      <c r="F69" t="inlineStr"/>
      <c r="G69" t="inlineStr">
        <is>
          <t>Arlington, VA, US</t>
        </is>
      </c>
      <c r="H69" s="1" t="n">
        <v>45976</v>
      </c>
      <c r="I69"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70">
      <c r="A70" t="inlineStr">
        <is>
          <t>in-5c399d750065326e</t>
        </is>
      </c>
      <c r="B70" t="inlineStr">
        <is>
          <t>Applied Scientist, Sponsored Products and Brands</t>
        </is>
      </c>
      <c r="C70" t="inlineStr">
        <is>
          <t>Amazon.com</t>
        </is>
      </c>
      <c r="D70" t="inlineStr">
        <is>
          <t>indeed</t>
        </is>
      </c>
      <c r="E70" t="inlineStr"/>
      <c r="F70" t="inlineStr"/>
      <c r="G70" t="inlineStr">
        <is>
          <t>Seattle, WA, US</t>
        </is>
      </c>
      <c r="H70" s="1" t="n">
        <v>45965</v>
      </c>
      <c r="I7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1">
      <c r="A71" t="inlineStr">
        <is>
          <t>in-284cd702c1ccf178</t>
        </is>
      </c>
      <c r="B71" t="inlineStr">
        <is>
          <t>Applied Scientist, Sponsored Products and Brands</t>
        </is>
      </c>
      <c r="C71" t="inlineStr">
        <is>
          <t>Amazon.com</t>
        </is>
      </c>
      <c r="D71" t="inlineStr">
        <is>
          <t>indeed</t>
        </is>
      </c>
      <c r="E71" t="inlineStr"/>
      <c r="F71" t="inlineStr"/>
      <c r="G71" t="inlineStr">
        <is>
          <t>New York, NY, US</t>
        </is>
      </c>
      <c r="H71" s="1" t="n">
        <v>45965</v>
      </c>
      <c r="I7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2">
      <c r="A72" t="inlineStr">
        <is>
          <t>in-3a1be1b3acd27d52</t>
        </is>
      </c>
      <c r="B72" t="inlineStr">
        <is>
          <t>Applied Scientist, AWS Agentic AI</t>
        </is>
      </c>
      <c r="C72" t="inlineStr">
        <is>
          <t>Amazon Web Services</t>
        </is>
      </c>
      <c r="D72" t="inlineStr">
        <is>
          <t>indeed</t>
        </is>
      </c>
      <c r="E72" t="inlineStr"/>
      <c r="F72" t="inlineStr"/>
      <c r="G72" t="inlineStr">
        <is>
          <t>New York, NY, US</t>
        </is>
      </c>
      <c r="H72" s="1" t="n">
        <v>45962</v>
      </c>
      <c r="I7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in-54807607a217fe21</t>
        </is>
      </c>
      <c r="B73" t="inlineStr">
        <is>
          <t>Applied Scientist, AWS Agentic AI</t>
        </is>
      </c>
      <c r="C73" t="inlineStr">
        <is>
          <t>Amazon Web Services</t>
        </is>
      </c>
      <c r="D73" t="inlineStr">
        <is>
          <t>indeed</t>
        </is>
      </c>
      <c r="E73" t="inlineStr"/>
      <c r="F73" t="inlineStr"/>
      <c r="G73" t="inlineStr">
        <is>
          <t>Santa Clara, CA, US</t>
        </is>
      </c>
      <c r="H73" s="1" t="n">
        <v>45962</v>
      </c>
      <c r="I7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in-1c142007e6d162d5</t>
        </is>
      </c>
      <c r="B74" t="inlineStr">
        <is>
          <t>Applied Scientist, AWS Agentic AI</t>
        </is>
      </c>
      <c r="C74" t="inlineStr">
        <is>
          <t>Amazon Web Services</t>
        </is>
      </c>
      <c r="D74" t="inlineStr">
        <is>
          <t>indeed</t>
        </is>
      </c>
      <c r="E74" t="inlineStr"/>
      <c r="F74" t="inlineStr"/>
      <c r="G74" t="inlineStr">
        <is>
          <t>Seattle, WA, US</t>
        </is>
      </c>
      <c r="H74" s="1" t="n">
        <v>45962</v>
      </c>
      <c r="I7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in-02d84669f6b7d9ae</t>
        </is>
      </c>
      <c r="B75" t="inlineStr">
        <is>
          <t>Sr. Applied Scientist, Prime Video - Personalization and Discovery Science</t>
        </is>
      </c>
      <c r="C75" t="inlineStr">
        <is>
          <t>Amazon.com</t>
        </is>
      </c>
      <c r="D75" t="inlineStr">
        <is>
          <t>indeed</t>
        </is>
      </c>
      <c r="E75" t="inlineStr"/>
      <c r="F75" t="inlineStr"/>
      <c r="G75" t="inlineStr">
        <is>
          <t>Sunnyvale, CA, US</t>
        </is>
      </c>
      <c r="H75" s="1" t="n">
        <v>45959</v>
      </c>
      <c r="I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76">
      <c r="A76" t="inlineStr">
        <is>
          <t>in-0cdaaadae854c675</t>
        </is>
      </c>
      <c r="B76" t="inlineStr">
        <is>
          <t>Sr. Applied Scientist, Prime Video - Personalization and Discovery Science</t>
        </is>
      </c>
      <c r="C76" t="inlineStr">
        <is>
          <t>Amazon.com</t>
        </is>
      </c>
      <c r="D76" t="inlineStr">
        <is>
          <t>indeed</t>
        </is>
      </c>
      <c r="E76" t="inlineStr"/>
      <c r="F76" t="inlineStr"/>
      <c r="G76" t="inlineStr">
        <is>
          <t>Seattle, WA, US</t>
        </is>
      </c>
      <c r="H76" s="1" t="n">
        <v>45959</v>
      </c>
      <c r="I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77">
      <c r="A77" t="inlineStr">
        <is>
          <t>in-7a185df959c50e0b</t>
        </is>
      </c>
      <c r="B77" t="inlineStr">
        <is>
          <t>Sr. Applied Scientist, Prime Video - Personalization and Discovery Science</t>
        </is>
      </c>
      <c r="C77" t="inlineStr">
        <is>
          <t>Amazon.com</t>
        </is>
      </c>
      <c r="D77" t="inlineStr">
        <is>
          <t>indeed</t>
        </is>
      </c>
      <c r="E77" t="inlineStr"/>
      <c r="F77" t="inlineStr"/>
      <c r="G77" t="inlineStr">
        <is>
          <t>New York, NY, US</t>
        </is>
      </c>
      <c r="H77" s="1" t="n">
        <v>45959</v>
      </c>
      <c r="I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78">
      <c r="A78" t="inlineStr">
        <is>
          <t>in-198d10c27f1f1eae</t>
        </is>
      </c>
      <c r="B78" t="inlineStr">
        <is>
          <t>Principal Applied Scientist, Advertiser Growth, Amazon Sponsored Products &amp; Brands</t>
        </is>
      </c>
      <c r="C78" t="inlineStr">
        <is>
          <t>Amazon.com</t>
        </is>
      </c>
      <c r="D78" t="inlineStr">
        <is>
          <t>indeed</t>
        </is>
      </c>
      <c r="E78" t="inlineStr"/>
      <c r="F78" t="inlineStr"/>
      <c r="G78" t="inlineStr">
        <is>
          <t>Seattle, WA, US</t>
        </is>
      </c>
      <c r="H78" s="1" t="n">
        <v>45942</v>
      </c>
      <c r="I7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in-ed91e03396be8038</t>
        </is>
      </c>
      <c r="B79" t="inlineStr">
        <is>
          <t>Principal Applied Scientist, Advertiser Growth, Amazon Sponsored Products &amp; Brands</t>
        </is>
      </c>
      <c r="C79" t="inlineStr">
        <is>
          <t>Amazon.com</t>
        </is>
      </c>
      <c r="D79" t="inlineStr">
        <is>
          <t>indeed</t>
        </is>
      </c>
      <c r="E79" t="inlineStr"/>
      <c r="F79" t="inlineStr"/>
      <c r="G79" t="inlineStr">
        <is>
          <t>New York, NY, US</t>
        </is>
      </c>
      <c r="H79" s="1" t="n">
        <v>45942</v>
      </c>
      <c r="I7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in-3efa99355b47ecc0</t>
        </is>
      </c>
      <c r="B80" t="inlineStr">
        <is>
          <t>Principal Applied Scientist, Advertiser Growth, Amazon Sponsored Products &amp; Brands</t>
        </is>
      </c>
      <c r="C80" t="inlineStr">
        <is>
          <t>Amazon.com</t>
        </is>
      </c>
      <c r="D80" t="inlineStr">
        <is>
          <t>indeed</t>
        </is>
      </c>
      <c r="E80" t="inlineStr"/>
      <c r="F80" t="inlineStr"/>
      <c r="G80" t="inlineStr">
        <is>
          <t>Palo Alto, CA, US</t>
        </is>
      </c>
      <c r="H80" s="1" t="n">
        <v>45942</v>
      </c>
      <c r="I8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in-9387b849297fd9d5</t>
        </is>
      </c>
      <c r="B81" t="inlineStr">
        <is>
          <t>Applied Scientist, Workplace Health &amp; Safety</t>
        </is>
      </c>
      <c r="C81" t="inlineStr">
        <is>
          <t>Amazon.com</t>
        </is>
      </c>
      <c r="D81" t="inlineStr">
        <is>
          <t>indeed</t>
        </is>
      </c>
      <c r="E81" t="inlineStr"/>
      <c r="F81" t="inlineStr"/>
      <c r="G81" t="inlineStr">
        <is>
          <t>Nashville, TN, US</t>
        </is>
      </c>
      <c r="H81" s="1" t="n">
        <v>45917</v>
      </c>
      <c r="I81"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in-d05f7ce8d6f0a592</t>
        </is>
      </c>
      <c r="B82" t="inlineStr">
        <is>
          <t>Applied Scientist, Workplace Health &amp; Safety</t>
        </is>
      </c>
      <c r="C82" t="inlineStr">
        <is>
          <t>Amazon.com</t>
        </is>
      </c>
      <c r="D82" t="inlineStr">
        <is>
          <t>indeed</t>
        </is>
      </c>
      <c r="E82" t="inlineStr"/>
      <c r="F82" t="inlineStr"/>
      <c r="G82" t="inlineStr">
        <is>
          <t>Bellevue, WA, US</t>
        </is>
      </c>
      <c r="H82" s="1" t="n">
        <v>45917</v>
      </c>
      <c r="I82"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in-9ed0c94ab4376f46</t>
        </is>
      </c>
      <c r="B83" t="inlineStr">
        <is>
          <t>Senior Applied Scientist, AWS Marketplace &amp; Partner Services</t>
        </is>
      </c>
      <c r="C83" t="inlineStr">
        <is>
          <t>Amazon Web Services</t>
        </is>
      </c>
      <c r="D83" t="inlineStr">
        <is>
          <t>indeed</t>
        </is>
      </c>
      <c r="E83" t="inlineStr"/>
      <c r="F83" t="inlineStr"/>
      <c r="G83" t="inlineStr">
        <is>
          <t>Seattle, WA, US</t>
        </is>
      </c>
      <c r="H83" s="1" t="n">
        <v>45902</v>
      </c>
      <c r="I83" t="inlineStr">
        <is>
          <t>**DESCRIPTION**
---------------
The AWS Marketplace \&amp; Partner Services Science team seeks an experienced Applied Scientist to drive innovation across multiple AI domains, including Context Engineering in Agent\-based Systems, Agent Evaluation Frameworks, and Next\-generation Software Recommendations. This role will be instrumental in revolutionizing how customers discover software solutions for cloud migrations and modernization initiatives.  
The ideal candidate thrives in an environment of scientific rigor and practical application, demonstrating both technical excellence and business acumen. They should be passionate about mentoring others and contributing to a culture of continuous learning and innovation. This role directly influences how thousands of AWS customers discover and implement software solutions, making it crucial for AWS Marketplace's growth and customer success. The position offers the opportunity to shape the future of AI\-driven software recommendations while working with innovative technologies at AWS scale.  
Key job responsibilities  
* Design and optimize context engineering solutions for large language models and agent\-based systems
* Establish evaluation frameworks and metrics for measuring agent performance and effectiveness
* Collaborate with cross\-functional teams, such as Product and Engineering leaders, to translate scientific innovations into customer value
* Mentor Scientists and influence scientific approach across the organization
About the team  
The AWS Marketplace \&amp; Partner Services Science team is at the forefront of developing and deploying AI/ML systems that serve multiple critical stakeholders:  
* AWS Customers: Through the AWS Marketplace, we support Discovery tools that streamline cloud adoption and innovation.
* AWS Partners: Via Partner Central, we offer advanced tools and insights to enhance collaboration and drive mutual growth.
* Internal AWS Sellers: We equip our sales force with data\-driven recommendations to better serve our customers and partners.
Our primary objective is to accelerate cloud migrations and modernizations, fostering innovation for AWS customers while simultaneously supporting the growth and success of our extensive partner network.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building machine learning models or developing algorithms for business application experience
* Experience programming in Java, C\+\+, Python or related language
**PREFERRED QUALIFICATIONS**
----------------------------
\- \- Deep expertise in state\-of\-the\-art AI approaches, particularly in recommendation systems and agent\-based architectures  
\- \- Demonstrated experience in prompt engineering and context optimization for large language models  
\- \- Track record of delivering production\-scale AI solutions  
\- \- Excellent ability to evaluate technical feasibility and communicate complex concepts to business stakeholders  
\- \- Proven experience in mentoring technical teams and driving collaborative research initiatives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in-dcd6751ea8f6d5ea</t>
        </is>
      </c>
      <c r="B84" t="inlineStr">
        <is>
          <t>Senior Applied Scientist, AWS Marketplace &amp; Partner Services</t>
        </is>
      </c>
      <c r="C84" t="inlineStr">
        <is>
          <t>Amazon Web Services</t>
        </is>
      </c>
      <c r="D84" t="inlineStr">
        <is>
          <t>indeed</t>
        </is>
      </c>
      <c r="E84" t="inlineStr"/>
      <c r="F84" t="inlineStr"/>
      <c r="G84" t="inlineStr">
        <is>
          <t>Austin, TX, US</t>
        </is>
      </c>
      <c r="H84" s="1" t="n">
        <v>45902</v>
      </c>
      <c r="I84" t="inlineStr">
        <is>
          <t>**DESCRIPTION**
---------------
The AWS Marketplace \&amp; Partner Services Science team seeks an experienced Applied Scientist to drive innovation across multiple AI domains, including Context Engineering in Agent\-based Systems, Agent Evaluation Frameworks, and Next\-generation Software Recommendations. This role will be instrumental in revolutionizing how customers discover software solutions for cloud migrations and modernization initiatives.  
The ideal candidate thrives in an environment of scientific rigor and practical application, demonstrating both technical excellence and business acumen. They should be passionate about mentoring others and contributing to a culture of continuous learning and innovation. This role directly influences how thousands of AWS customers discover and implement software solutions, making it crucial for AWS Marketplace's growth and customer success. The position offers the opportunity to shape the future of AI\-driven software recommendations while working with innovative technologies at AWS scale.  
Key job responsibilities  
* Design and optimize context engineering solutions for large language models and agent\-based systems
* Establish evaluation frameworks and metrics for measuring agent performance and effectiveness
* Collaborate with cross\-functional teams, such as Product and Engineering leaders, to translate scientific innovations into customer value
* Mentor Scientists and influence scientific approach across the organization
About the team  
The AWS Marketplace \&amp; Partner Services Science team is at the forefront of developing and deploying AI/ML systems that serve multiple critical stakeholders:  
* AWS Customers: Through the AWS Marketplace, we support Discovery tools that streamline cloud adoption and innovation.
* AWS Partners: Via Partner Central, we offer advanced tools and insights to enhance collaboration and drive mutual growth.
* Internal AWS Sellers: We equip our sales force with data\-driven recommendations to better serve our customers and partners.
Our primary objective is to accelerate cloud migrations and modernizations, fostering innovation for AWS customers while simultaneously supporting the growth and success of our extensive partner network.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building machine learning models or developing algorithms for business application experience
* Experience programming in Java, C\+\+, Python or related language
**PREFERRED QUALIFICATIONS**
----------------------------
\- \- Deep expertise in state\-of\-the\-art AI approaches, particularly in recommendation systems and agent\-based architectures  
\- \- Demonstrated experience in prompt engineering and context optimization for large language models  
\- \- Track record of delivering production\-scale AI solutions  
\- \- Excellent ability to evaluate technical feasibility and communicate complex concepts to business stakeholders  
\- \- Proven experience in mentoring technical teams and driving collaborative research initiatives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in-d47e30acb150c47d</t>
        </is>
      </c>
      <c r="B85" t="inlineStr">
        <is>
          <t>Sr. Applied Scientist, Prime Video - Personalization and Discovery Science</t>
        </is>
      </c>
      <c r="C85" t="inlineStr">
        <is>
          <t>Amazon.com</t>
        </is>
      </c>
      <c r="D85" t="inlineStr">
        <is>
          <t>indeed</t>
        </is>
      </c>
      <c r="E85" t="inlineStr"/>
      <c r="F85" t="inlineStr"/>
      <c r="G85" t="inlineStr">
        <is>
          <t>Seattle, WA, US</t>
        </is>
      </c>
      <c r="H85" s="1" t="n">
        <v>45896</v>
      </c>
      <c r="I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86">
      <c r="A86" t="inlineStr">
        <is>
          <t>in-41bb48ee586cca65</t>
        </is>
      </c>
      <c r="B86" t="inlineStr">
        <is>
          <t>Sr. Applied Scientist, Prime Video - Personalization and Discovery Science</t>
        </is>
      </c>
      <c r="C86" t="inlineStr">
        <is>
          <t>Amazon.com</t>
        </is>
      </c>
      <c r="D86" t="inlineStr">
        <is>
          <t>indeed</t>
        </is>
      </c>
      <c r="E86" t="inlineStr"/>
      <c r="F86" t="inlineStr"/>
      <c r="G86" t="inlineStr">
        <is>
          <t>Sunnyvale, CA, US</t>
        </is>
      </c>
      <c r="H86" s="1" t="n">
        <v>45896</v>
      </c>
      <c r="I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87">
      <c r="A87" t="inlineStr">
        <is>
          <t>in-7a890e6c2bf60296</t>
        </is>
      </c>
      <c r="B87" t="inlineStr">
        <is>
          <t>Sr. Applied Scientist, Prime Video - Personalization and Discovery Science</t>
        </is>
      </c>
      <c r="C87" t="inlineStr">
        <is>
          <t>Amazon.com</t>
        </is>
      </c>
      <c r="D87" t="inlineStr">
        <is>
          <t>indeed</t>
        </is>
      </c>
      <c r="E87" t="inlineStr"/>
      <c r="F87" t="inlineStr"/>
      <c r="G87" t="inlineStr">
        <is>
          <t>New York, NY, US</t>
        </is>
      </c>
      <c r="H87" s="1" t="n">
        <v>45896</v>
      </c>
      <c r="I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88">
      <c r="A88" t="inlineStr">
        <is>
          <t>in-a04c2b73f1d36af6</t>
        </is>
      </c>
      <c r="B88" t="inlineStr">
        <is>
          <t>Applied Scientist II, Prime Video , Personalization and Discovery Science</t>
        </is>
      </c>
      <c r="C88" t="inlineStr">
        <is>
          <t>Amazon.com</t>
        </is>
      </c>
      <c r="D88" t="inlineStr">
        <is>
          <t>indeed</t>
        </is>
      </c>
      <c r="E88" t="inlineStr"/>
      <c r="F88" t="inlineStr"/>
      <c r="G88" t="inlineStr">
        <is>
          <t>Seattle, WA, US</t>
        </is>
      </c>
      <c r="H88" s="1" t="n">
        <v>45886</v>
      </c>
      <c r="I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89">
      <c r="A89" t="inlineStr">
        <is>
          <t>in-c7a68be5d9c3f03f</t>
        </is>
      </c>
      <c r="B89" t="inlineStr">
        <is>
          <t>Applied Scientist II, Prime Video , Personalization and Discovery Science</t>
        </is>
      </c>
      <c r="C89" t="inlineStr">
        <is>
          <t>Amazon.com</t>
        </is>
      </c>
      <c r="D89" t="inlineStr">
        <is>
          <t>indeed</t>
        </is>
      </c>
      <c r="E89" t="inlineStr"/>
      <c r="F89" t="inlineStr"/>
      <c r="G89" t="inlineStr">
        <is>
          <t>Sunnyvale, CA, US</t>
        </is>
      </c>
      <c r="H89" s="1" t="n">
        <v>45886</v>
      </c>
      <c r="I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90">
      <c r="A90" t="inlineStr">
        <is>
          <t>in-3305ffcfd1235ee7</t>
        </is>
      </c>
      <c r="B90" t="inlineStr">
        <is>
          <t>Applied Scientist II, Prime Video , Personalization and Discovery Science</t>
        </is>
      </c>
      <c r="C90" t="inlineStr">
        <is>
          <t>Amazon.com</t>
        </is>
      </c>
      <c r="D90" t="inlineStr">
        <is>
          <t>indeed</t>
        </is>
      </c>
      <c r="E90" t="inlineStr"/>
      <c r="F90" t="inlineStr"/>
      <c r="G90" t="inlineStr">
        <is>
          <t>New York, NY, US</t>
        </is>
      </c>
      <c r="H90" s="1" t="n">
        <v>45886</v>
      </c>
      <c r="I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91">
      <c r="A91" t="inlineStr">
        <is>
          <t>in-d7005dfca0ec3b1b</t>
        </is>
      </c>
      <c r="B91" t="inlineStr">
        <is>
          <t>Sr. Applied Scientist, Prime Video - Personalization and Discovery Science</t>
        </is>
      </c>
      <c r="C91" t="inlineStr">
        <is>
          <t>Amazon.com</t>
        </is>
      </c>
      <c r="D91" t="inlineStr">
        <is>
          <t>indeed</t>
        </is>
      </c>
      <c r="E91" t="inlineStr"/>
      <c r="F91" t="inlineStr"/>
      <c r="G91" t="inlineStr">
        <is>
          <t>Seattle, WA, US</t>
        </is>
      </c>
      <c r="H91" s="1" t="n">
        <v>45886</v>
      </c>
      <c r="I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in-d59cab46cc9fe387</t>
        </is>
      </c>
      <c r="B92" t="inlineStr">
        <is>
          <t>Sr. Applied Scientist, Prime Video - Personalization and Discovery Science</t>
        </is>
      </c>
      <c r="C92" t="inlineStr">
        <is>
          <t>Amazon.com</t>
        </is>
      </c>
      <c r="D92" t="inlineStr">
        <is>
          <t>indeed</t>
        </is>
      </c>
      <c r="E92" t="inlineStr"/>
      <c r="F92" t="inlineStr"/>
      <c r="G92" t="inlineStr">
        <is>
          <t>Sunnyvale, CA, US</t>
        </is>
      </c>
      <c r="H92" s="1" t="n">
        <v>45886</v>
      </c>
      <c r="I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in-ca5e3383aa929c87</t>
        </is>
      </c>
      <c r="B93" t="inlineStr">
        <is>
          <t>Sr. Applied Scientist, Prime Video - Personalization and Discovery Science</t>
        </is>
      </c>
      <c r="C93" t="inlineStr">
        <is>
          <t>Amazon.com</t>
        </is>
      </c>
      <c r="D93" t="inlineStr">
        <is>
          <t>indeed</t>
        </is>
      </c>
      <c r="E93" t="inlineStr"/>
      <c r="F93" t="inlineStr"/>
      <c r="G93" t="inlineStr">
        <is>
          <t>New York, NY, US</t>
        </is>
      </c>
      <c r="H93" s="1" t="n">
        <v>45886</v>
      </c>
      <c r="I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in-494a76b34c596a56</t>
        </is>
      </c>
      <c r="B94" t="inlineStr">
        <is>
          <t>Applied Scientist III, StoreGen</t>
        </is>
      </c>
      <c r="C94" t="inlineStr">
        <is>
          <t>Amazon.com</t>
        </is>
      </c>
      <c r="D94" t="inlineStr">
        <is>
          <t>indeed</t>
        </is>
      </c>
      <c r="E94" t="inlineStr"/>
      <c r="F94" t="inlineStr"/>
      <c r="G94" t="inlineStr">
        <is>
          <t>Seattle, WA, US</t>
        </is>
      </c>
      <c r="H94" s="1" t="n">
        <v>45868</v>
      </c>
      <c r="I94"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in-8cfcc005f2102129</t>
        </is>
      </c>
      <c r="B95" t="inlineStr">
        <is>
          <t>Applied Scientist III, StoreGen</t>
        </is>
      </c>
      <c r="C95" t="inlineStr">
        <is>
          <t>Amazon.com</t>
        </is>
      </c>
      <c r="D95" t="inlineStr">
        <is>
          <t>indeed</t>
        </is>
      </c>
      <c r="E95" t="inlineStr"/>
      <c r="F95" t="inlineStr"/>
      <c r="G95" t="inlineStr">
        <is>
          <t>Sunnyvale, CA, US</t>
        </is>
      </c>
      <c r="H95" s="1" t="n">
        <v>45868</v>
      </c>
      <c r="I95"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in-6c1c5d25be359326</t>
        </is>
      </c>
      <c r="B96" t="inlineStr">
        <is>
          <t>Sr. Applied Scientist, Amazon Advertising</t>
        </is>
      </c>
      <c r="C96" t="inlineStr">
        <is>
          <t>Amazon.com</t>
        </is>
      </c>
      <c r="D96" t="inlineStr">
        <is>
          <t>indeed</t>
        </is>
      </c>
      <c r="E96" t="inlineStr"/>
      <c r="F96" t="inlineStr"/>
      <c r="G96" t="inlineStr">
        <is>
          <t>New York, NY, US</t>
        </is>
      </c>
      <c r="H96" s="1" t="n">
        <v>45851</v>
      </c>
      <c r="I9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in-13c0d996f2f77cf2</t>
        </is>
      </c>
      <c r="B97" t="inlineStr">
        <is>
          <t>Sr. Applied Scientist, Amazon Advertising</t>
        </is>
      </c>
      <c r="C97" t="inlineStr">
        <is>
          <t>Amazon.com</t>
        </is>
      </c>
      <c r="D97" t="inlineStr">
        <is>
          <t>indeed</t>
        </is>
      </c>
      <c r="E97" t="inlineStr"/>
      <c r="F97" t="inlineStr"/>
      <c r="G97" t="inlineStr">
        <is>
          <t>Los Angeles, CA, US</t>
        </is>
      </c>
      <c r="H97" s="1" t="n">
        <v>45851</v>
      </c>
      <c r="I9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in-af8e19e639171da2</t>
        </is>
      </c>
      <c r="B98" t="inlineStr">
        <is>
          <t>Sr. Applied Scientist, Amazon Advertising</t>
        </is>
      </c>
      <c r="C98" t="inlineStr">
        <is>
          <t>Amazon.com</t>
        </is>
      </c>
      <c r="D98" t="inlineStr">
        <is>
          <t>indeed</t>
        </is>
      </c>
      <c r="E98" t="inlineStr"/>
      <c r="F98" t="inlineStr"/>
      <c r="G98" t="inlineStr">
        <is>
          <t>West Hollywood, CA, US</t>
        </is>
      </c>
      <c r="H98" s="1" t="n">
        <v>45851</v>
      </c>
      <c r="I9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in-f0f8bc4744c01326</t>
        </is>
      </c>
      <c r="B99" t="inlineStr">
        <is>
          <t>Sr. Applied Scientist, Amazon Advertising</t>
        </is>
      </c>
      <c r="C99" t="inlineStr">
        <is>
          <t>Amazon.com</t>
        </is>
      </c>
      <c r="D99" t="inlineStr">
        <is>
          <t>indeed</t>
        </is>
      </c>
      <c r="E99" t="inlineStr"/>
      <c r="F99" t="inlineStr"/>
      <c r="G99" t="inlineStr">
        <is>
          <t>Palo Alto, CA, US</t>
        </is>
      </c>
      <c r="H99" s="1" t="n">
        <v>45851</v>
      </c>
      <c r="I9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in-cc4f73e85ba337a9</t>
        </is>
      </c>
      <c r="B100" t="inlineStr">
        <is>
          <t>Sr. Applied Scientist, Amazon Advertising</t>
        </is>
      </c>
      <c r="C100" t="inlineStr">
        <is>
          <t>Amazon.com</t>
        </is>
      </c>
      <c r="D100" t="inlineStr">
        <is>
          <t>indeed</t>
        </is>
      </c>
      <c r="E100" t="inlineStr"/>
      <c r="F100" t="inlineStr"/>
      <c r="G100" t="inlineStr">
        <is>
          <t>Simi Valley, CA, US</t>
        </is>
      </c>
      <c r="H100" s="1" t="n">
        <v>45851</v>
      </c>
      <c r="I10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in-22995b06bd59da50</t>
        </is>
      </c>
      <c r="B101" t="inlineStr">
        <is>
          <t>Sr. Applied Scientist, Amazon Advertising</t>
        </is>
      </c>
      <c r="C101" t="inlineStr">
        <is>
          <t>Amazon.com</t>
        </is>
      </c>
      <c r="D101" t="inlineStr">
        <is>
          <t>indeed</t>
        </is>
      </c>
      <c r="E101" t="inlineStr"/>
      <c r="F101" t="inlineStr"/>
      <c r="G101" t="inlineStr">
        <is>
          <t>Arlington, VA, US</t>
        </is>
      </c>
      <c r="H101" s="1" t="n">
        <v>45851</v>
      </c>
      <c r="I10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in-c03ada66636a3175</t>
        </is>
      </c>
      <c r="B102" t="inlineStr">
        <is>
          <t>Sr. Applied Scientist, Amazon Advertising</t>
        </is>
      </c>
      <c r="C102" t="inlineStr">
        <is>
          <t>Amazon.com</t>
        </is>
      </c>
      <c r="D102" t="inlineStr">
        <is>
          <t>indeed</t>
        </is>
      </c>
      <c r="E102" t="inlineStr"/>
      <c r="F102" t="inlineStr"/>
      <c r="G102" t="inlineStr">
        <is>
          <t>Austin, TX, US</t>
        </is>
      </c>
      <c r="H102" s="1" t="n">
        <v>45851</v>
      </c>
      <c r="I10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in-d4e3aff818250c48</t>
        </is>
      </c>
      <c r="B103" t="inlineStr">
        <is>
          <t>Sr. Applied Scientist, Amazon Advertising</t>
        </is>
      </c>
      <c r="C103" t="inlineStr">
        <is>
          <t>Amazon.com</t>
        </is>
      </c>
      <c r="D103" t="inlineStr">
        <is>
          <t>indeed</t>
        </is>
      </c>
      <c r="E103" t="inlineStr"/>
      <c r="F103" t="inlineStr"/>
      <c r="G103" t="inlineStr">
        <is>
          <t>Seattle, WA, US</t>
        </is>
      </c>
      <c r="H103" s="1" t="n">
        <v>45851</v>
      </c>
      <c r="I10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in-d8e8766420369181</t>
        </is>
      </c>
      <c r="B104" t="inlineStr">
        <is>
          <t>Sr. Applied Scientist, Sales AI</t>
        </is>
      </c>
      <c r="C104" t="inlineStr">
        <is>
          <t>Amazon.com</t>
        </is>
      </c>
      <c r="D104" t="inlineStr">
        <is>
          <t>indeed</t>
        </is>
      </c>
      <c r="E104" t="inlineStr"/>
      <c r="F104" t="inlineStr"/>
      <c r="G104" t="inlineStr">
        <is>
          <t>New York, NY, US</t>
        </is>
      </c>
      <c r="H104" s="1" t="n">
        <v>45830</v>
      </c>
      <c r="I10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in-c531a68aab4a2125</t>
        </is>
      </c>
      <c r="B105" t="inlineStr">
        <is>
          <t>Sr. Applied Scientist, Sales AI</t>
        </is>
      </c>
      <c r="C105" t="inlineStr">
        <is>
          <t>Amazon.com</t>
        </is>
      </c>
      <c r="D105" t="inlineStr">
        <is>
          <t>indeed</t>
        </is>
      </c>
      <c r="E105" t="inlineStr"/>
      <c r="F105" t="inlineStr"/>
      <c r="G105" t="inlineStr">
        <is>
          <t>Sunnyvale, CA, US</t>
        </is>
      </c>
      <c r="H105" s="1" t="n">
        <v>45830</v>
      </c>
      <c r="I10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in-5748171b17980071</t>
        </is>
      </c>
      <c r="B106" t="inlineStr">
        <is>
          <t>Sr. Applied Scientist, Sales AI</t>
        </is>
      </c>
      <c r="C106" t="inlineStr">
        <is>
          <t>Amazon.com</t>
        </is>
      </c>
      <c r="D106" t="inlineStr">
        <is>
          <t>indeed</t>
        </is>
      </c>
      <c r="E106" t="inlineStr"/>
      <c r="F106" t="inlineStr"/>
      <c r="G106" t="inlineStr">
        <is>
          <t>Seattle, WA, US</t>
        </is>
      </c>
      <c r="H106" s="1" t="n">
        <v>45830</v>
      </c>
      <c r="I10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in-2cae2003074279eb</t>
        </is>
      </c>
      <c r="B107" t="inlineStr">
        <is>
          <t>Senior Applied Scientist, Delivery Foundation Model</t>
        </is>
      </c>
      <c r="C107" t="inlineStr">
        <is>
          <t>Amazon.com</t>
        </is>
      </c>
      <c r="D107" t="inlineStr">
        <is>
          <t>indeed</t>
        </is>
      </c>
      <c r="E107" t="inlineStr"/>
      <c r="F107" t="inlineStr"/>
      <c r="G107" t="inlineStr">
        <is>
          <t>New York, NY, US</t>
        </is>
      </c>
      <c r="H107" s="1" t="n">
        <v>45806</v>
      </c>
      <c r="I10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in-d80ec09f757c19a0</t>
        </is>
      </c>
      <c r="B108" t="inlineStr">
        <is>
          <t>Senior Applied Scientist, Delivery Foundation Model</t>
        </is>
      </c>
      <c r="C108" t="inlineStr">
        <is>
          <t>Amazon.com</t>
        </is>
      </c>
      <c r="D108" t="inlineStr">
        <is>
          <t>indeed</t>
        </is>
      </c>
      <c r="E108" t="inlineStr"/>
      <c r="F108" t="inlineStr"/>
      <c r="G108" t="inlineStr">
        <is>
          <t>Bellevue, WA, US</t>
        </is>
      </c>
      <c r="H108" s="1" t="n">
        <v>45806</v>
      </c>
      <c r="I10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in-77a6fc65260376bd</t>
        </is>
      </c>
      <c r="B109" t="inlineStr">
        <is>
          <t>Senior Applied Scientist, Delivery Foundation Model</t>
        </is>
      </c>
      <c r="C109" t="inlineStr">
        <is>
          <t>Amazon.com</t>
        </is>
      </c>
      <c r="D109" t="inlineStr">
        <is>
          <t>indeed</t>
        </is>
      </c>
      <c r="E109" t="inlineStr"/>
      <c r="F109" t="inlineStr"/>
      <c r="G109" t="inlineStr">
        <is>
          <t>Santa Clara, CA, US</t>
        </is>
      </c>
      <c r="H109" s="1" t="n">
        <v>45806</v>
      </c>
      <c r="I10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in-19d05901b76556d8</t>
        </is>
      </c>
      <c r="B110" t="inlineStr">
        <is>
          <t>Sr. Applied Scientist - Privacy, Privacy Engineering</t>
        </is>
      </c>
      <c r="C110" t="inlineStr">
        <is>
          <t>Amazon.com</t>
        </is>
      </c>
      <c r="D110" t="inlineStr">
        <is>
          <t>indeed</t>
        </is>
      </c>
      <c r="E110" t="inlineStr"/>
      <c r="F110" t="inlineStr"/>
      <c r="G110" t="inlineStr">
        <is>
          <t>Seattle, WA, US</t>
        </is>
      </c>
      <c r="H110" s="1" t="n">
        <v>45787</v>
      </c>
      <c r="I110"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in-d7b1dd0195062d3b</t>
        </is>
      </c>
      <c r="B111" t="inlineStr">
        <is>
          <t>Sr. Applied Scientist - Privacy, Privacy Engineering</t>
        </is>
      </c>
      <c r="C111" t="inlineStr">
        <is>
          <t>Amazon.com</t>
        </is>
      </c>
      <c r="D111" t="inlineStr">
        <is>
          <t>indeed</t>
        </is>
      </c>
      <c r="E111" t="inlineStr"/>
      <c r="F111" t="inlineStr"/>
      <c r="G111" t="inlineStr">
        <is>
          <t>Sunnyvale, CA, US</t>
        </is>
      </c>
      <c r="H111" s="1" t="n">
        <v>45787</v>
      </c>
      <c r="I111"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in-5904db519eea7a86</t>
        </is>
      </c>
      <c r="B112" t="inlineStr">
        <is>
          <t>Sr. Applied Scientist - Privacy, Privacy Engineering</t>
        </is>
      </c>
      <c r="C112" t="inlineStr">
        <is>
          <t>Amazon.com</t>
        </is>
      </c>
      <c r="D112" t="inlineStr">
        <is>
          <t>indeed</t>
        </is>
      </c>
      <c r="E112" t="inlineStr"/>
      <c r="F112" t="inlineStr"/>
      <c r="G112" t="inlineStr">
        <is>
          <t>San Francisco, CA, US</t>
        </is>
      </c>
      <c r="H112" s="1" t="n">
        <v>45787</v>
      </c>
      <c r="I112"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in-8799bbe9ec2f1ce5</t>
        </is>
      </c>
      <c r="B113" t="inlineStr">
        <is>
          <t>Sr. Applied Scientist - Privacy, Privacy Engineering</t>
        </is>
      </c>
      <c r="C113" t="inlineStr">
        <is>
          <t>Amazon.com</t>
        </is>
      </c>
      <c r="D113" t="inlineStr">
        <is>
          <t>indeed</t>
        </is>
      </c>
      <c r="E113" t="inlineStr"/>
      <c r="F113" t="inlineStr"/>
      <c r="G113" t="inlineStr">
        <is>
          <t>Santa Clara, CA, US</t>
        </is>
      </c>
      <c r="H113" s="1" t="n">
        <v>45787</v>
      </c>
      <c r="I113"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in-4735aa9ed6a5c4c8</t>
        </is>
      </c>
      <c r="B114" t="inlineStr">
        <is>
          <t>AI Engineer</t>
        </is>
      </c>
      <c r="C114" t="inlineStr">
        <is>
          <t>Tata Consultancy Services (TCS)</t>
        </is>
      </c>
      <c r="D114" t="inlineStr">
        <is>
          <t>indeed</t>
        </is>
      </c>
      <c r="E114" t="inlineStr"/>
      <c r="F114" t="inlineStr"/>
      <c r="G114" t="inlineStr">
        <is>
          <t>Des Moines, IA, US</t>
        </is>
      </c>
      <c r="H114" s="1" t="n">
        <v>46072</v>
      </c>
      <c r="I114" t="inlineStr">
        <is>
          <t>AI Engineer  
Must Have Technical/Functional Skills
Looking for an experienced AI Engineer (6–8 years) to design, develop, and deploy cutting\-edge AI/ML solutions. The ideal candidate will have strong experience in machine learning, deep learning, data engineering, and building scalable AI systems for real\-world applications.
Responsibilities:
* Build and optimize ML/Deep Learning models for NLP, CV, and predictive analytics.
* Develop end to end AI pipelines including training, deployment, and monitoring.
* Deploy models using Docker/Kubernetes and cloud platforms (Azure/AWS/GCP).
* Work with large datasets and build data pipelines using Python, SQL, and Spark/Databricks.
* Implement MLOps practices (CI/CD, model tracking, monitoring).
* Collaborate with cross functional teams to translate business needs into AI solutions.
Technical Skills
* Programming Languages: Python (strong expertise), SQL
* ML/DL Frameworks: TensorFlow, PyTorch, Scikit\-learn
* NLP/LLM Tools: Transformers, LangChain, OpenAI APIs
* Cloud Platforms: Azure/AWS/GCP (at least one required)
* MLOps: MLflow, Kubernetes, Docker, Git
* Big Data Tools: Spark, Hive, Databricks (preferred)
Experience
* 4–6 years of experience in AI/ML engineering roles.
* End\-to\-end experience from data preparation to model deployment.
* Building scalable production grade AI solutions.
Salary Range\- $85,000\-$105,000 a year
\#LI\-OJ1
**Location**
Des Moines, IA
**Job Function**
TECHNOLOGY
**Role**
Engineer
**Job Id**
397610
**Desired Skills**
Artificial Intelligence
**Salary Range**
$85,000\-$105,000 a year
Desired Candidate Profile
**Qualifications** : BACHELOR OF COMPUTER SCIENCE</t>
        </is>
      </c>
    </row>
    <row r="115">
      <c r="A115" t="inlineStr">
        <is>
          <t>in-382735903cc8b1a1</t>
        </is>
      </c>
      <c r="B115" t="inlineStr">
        <is>
          <t>Senior AI Engineer</t>
        </is>
      </c>
      <c r="C115" t="inlineStr">
        <is>
          <t>SlickDevs.com</t>
        </is>
      </c>
      <c r="D115" t="inlineStr">
        <is>
          <t>indeed</t>
        </is>
      </c>
      <c r="E115" t="inlineStr"/>
      <c r="F115" t="inlineStr"/>
      <c r="G115" t="inlineStr">
        <is>
          <t>US</t>
        </is>
      </c>
      <c r="H115" s="1" t="n">
        <v>46072</v>
      </c>
      <c r="I115" t="inlineStr">
        <is>
          <t>**Summary**
We’re looking for an experienced AI engineer to help us extract, structure, and compare quantities directly from construction drawings using modern AI techniques.
This role is focused on AI\-powered takeoffs — not generic document search. You’ll help design systems that understand drawings, revisions, and scopes, and turn them into reliable, reviewable quantities for estimators.
**What you’ll work on**
AI\-assisted takeoffs from construction drawings (PDF plans, plan sets, revisions)
Using embeddings and vector search to understand and relate drawing content, notes, and symbols
Comparing drawings across revisions to identify quantity and scope changes
Helping structure unstructured plan data into estimating\-ready outputs
Designing AI workflows that assist estimators rather than replace them
Improving accuracy, traceability, and confidence in takeoff results
**What we’re looking for**
Strong experience with LLMs and embeddings
Hands\-on experience with vector databases (pgvector, Pinecone, Weaviate, FAISS, etc.)
Experience working with PDFs, technical drawings, or large unstructured documents
Backend engineering skills (Python preferred; JS/TS acceptable)
Ability to reason about ambiguity, edge cases, and estimator trust
Bonus: experience in construction estimating, preconstruction, CAD/BIM, or plan takeoffs
Nice to have (but not required)
Computer vision or layout analysis (plans, symbols, scale)
OCR pipelines for construction drawings
Experience with revision control or plan comparison
Familiarity with CSI divisions or construction cost data
Job Types: Full\-time, Part\-time, Contract
Pay: $107,578\.34 \- $129,556\.72 per year
Expected hours: 20 – 40 per week
Work Location: Remote</t>
        </is>
      </c>
    </row>
    <row r="116">
      <c r="A116" t="inlineStr">
        <is>
          <t>in-294009ae16f6a5e1</t>
        </is>
      </c>
      <c r="B116" t="inlineStr">
        <is>
          <t>ML Engineer, GO-AI Technology &amp; Development Team</t>
        </is>
      </c>
      <c r="C116" t="inlineStr">
        <is>
          <t>Amazon.com</t>
        </is>
      </c>
      <c r="D116" t="inlineStr">
        <is>
          <t>indeed</t>
        </is>
      </c>
      <c r="E116" t="inlineStr"/>
      <c r="F116" t="inlineStr"/>
      <c r="G116" t="inlineStr">
        <is>
          <t>Westborough, MA, US</t>
        </is>
      </c>
      <c r="H116" s="1" t="n">
        <v>45998</v>
      </c>
      <c r="I116"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17">
      <c r="A117" t="inlineStr">
        <is>
          <t>in-c7f1a5276e63acf0</t>
        </is>
      </c>
      <c r="B117" t="inlineStr">
        <is>
          <t>ML Engineer, GO-AI Technology &amp; Development Team</t>
        </is>
      </c>
      <c r="C117" t="inlineStr">
        <is>
          <t>Amazon.com</t>
        </is>
      </c>
      <c r="D117" t="inlineStr">
        <is>
          <t>indeed</t>
        </is>
      </c>
      <c r="E117" t="inlineStr"/>
      <c r="F117" t="inlineStr"/>
      <c r="G117" t="inlineStr">
        <is>
          <t>Seattle, WA, US</t>
        </is>
      </c>
      <c r="H117" s="1" t="n">
        <v>45998</v>
      </c>
      <c r="I117"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18">
      <c r="A118" t="inlineStr">
        <is>
          <t>in-d774021c907923ed</t>
        </is>
      </c>
      <c r="B118" t="inlineStr">
        <is>
          <t>ML Engineer, GO-AI Technology &amp; Development Team</t>
        </is>
      </c>
      <c r="C118" t="inlineStr">
        <is>
          <t>Amazon.com</t>
        </is>
      </c>
      <c r="D118" t="inlineStr">
        <is>
          <t>indeed</t>
        </is>
      </c>
      <c r="E118" t="inlineStr"/>
      <c r="F118" t="inlineStr"/>
      <c r="G118" t="inlineStr">
        <is>
          <t>Reading, MA, US</t>
        </is>
      </c>
      <c r="H118" s="1" t="n">
        <v>45998</v>
      </c>
      <c r="I118"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19">
      <c r="A119" t="inlineStr">
        <is>
          <t>in-928d75e1d30dc96d</t>
        </is>
      </c>
      <c r="B119" t="inlineStr">
        <is>
          <t>ML Engineer, GO-AI Technology &amp; Development Team</t>
        </is>
      </c>
      <c r="C119" t="inlineStr">
        <is>
          <t>Amazon.com</t>
        </is>
      </c>
      <c r="D119" t="inlineStr">
        <is>
          <t>indeed</t>
        </is>
      </c>
      <c r="E119" t="inlineStr"/>
      <c r="F119" t="inlineStr"/>
      <c r="G119" t="inlineStr">
        <is>
          <t>Boston, MA, US</t>
        </is>
      </c>
      <c r="H119" s="1" t="n">
        <v>45998</v>
      </c>
      <c r="I119"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20">
      <c r="A120" t="inlineStr">
        <is>
          <t>in-ecd65ee8e23a06be</t>
        </is>
      </c>
      <c r="B120" t="inlineStr">
        <is>
          <t>AI/ML Engineer (Mid-Level)</t>
        </is>
      </c>
      <c r="C120" t="inlineStr">
        <is>
          <t>OnPoint Consulting, Inc</t>
        </is>
      </c>
      <c r="D120" t="inlineStr">
        <is>
          <t>indeed</t>
        </is>
      </c>
      <c r="E120" t="inlineStr"/>
      <c r="F120" t="inlineStr"/>
      <c r="G120" t="inlineStr">
        <is>
          <t>Bethesda, MD, US</t>
        </is>
      </c>
      <c r="H120" s="1" t="n">
        <v>46073</v>
      </c>
      <c r="I120" t="inlineStr">
        <is>
          <t>**Role: AI/ML Engineer (Mid\-Level)**
**Reports to:**  **Program Manager**
**Work Hours**: 40 hour week
**OnPoint**, a wholly\-owned subsidiary of Sapient Government Services, is a vibrant, energetic, and growing ISO\-certified technology and management consulting partner that provides critical thinking, strategic analysis, and thought leadership in a collaborative environment in an enduring effort to improve performance, lower costs, and achieve results for clients. We are guided by our principles: Clarity. Action. Results—for each client engagement we work to gain clarity, move into action, and achieve results. OnPoint specializes in delivering solutions in Cybersecurity, Enterprise Systems \&amp; Implementation Management, Cloud Architecture \&amp; Infrastructure Services, and Digital Communications \&amp; Strategic Marketing.
**JOB DESCRIPTION**
**Summary/Objective**
The mid\-level AI/ML Engineer will support the design, deployment, and operation of production\-grade AI systems that power CPSC’s Sentinel model \- protecting more consumers, faster, from more hazards by using analytics to shorten time to intervention. This role supports end to end model lifecycle engineering on Azure, advance MLOps best practices, and build AI agents (Copilot Studio \+ Python frameworks) that translate signals into timely, actionable decisions
**Essential Functions**
**Key Responsibilities**
* Build \&amp; Ship Production Models
* Implement and productionize ML solutions (supervised/unsupervised, NLP, deep learning) with robust data preprocessing, feature engineering, and evaluation pipelines.
* Support model selection, training, validation, optimization, and calibration, ensuring reliability, fairness, and performance at scale.
* Own the MLOps Lifecycle (Azure)
* Establish MLOps workflows (CI/CD for ML, experiment tracking, model registry, reproducible builds and deployments).
* Implement model monitoring (drift, data/feature quality, bias, and business KPIs), alerting, and automated rollback to keep systems safe and responsive.
* Data Engineering for ML
* Design high\-quality data pipelines (ingest, transform, validate) across structured and unstructured sources; enforce data contracts and lineage.
* Partner with analytics teams to make datasets discoverable, documented, and performant for iterative model development.
* AI Agents \&amp; Copilot Integration
* Build AI agents that operationalize safety analytics (Copilot Studio, Python agents, retrieval pipelines) to accelerate triage and decision flow.
* Integrate agents with APIs, event streams, dashboards, and case management systems to reduce cycle time from signal to action.
* Engineering Excellence \&amp; Governance
* Champion secure\-by\-design practices, reproducibility, and auditability (model cards, data sheets, deployment records).
* Contribute to coding standards, code reviews, and knowledge sharing; mentor engineers and data scientists.
* Agile Collaboration \&amp; Impact
* Work in Agile teams; drive iterative delivery, joint problem\-solving, and continuous improvement.
* Translate mission goals into technical roadmaps and measurable outcomes tied to Sentinel time\-to\-intervention targets.
**Required Qualifications**
* Experience: 3\+ years hands\-on developing and deploying AI/ML models in production environments.
* Programming: Proficient in Python (including packaging, testing, performance optimization).
* ML Expertise: Understanding of algorithms, model selection, training/validation/optimization, and evaluation at scale.
* Data Skills: Proficient in data preprocessing, feature engineering, and data visualization for decision support.
* Deep Learning \&amp; MLOps: Proficient with PyTorch/TensorFlow, and modern MLOps (deployment, monitoring, scaling, CI/CD, experiment tracking, model registry).
* Cloud: Experience with Azure for AI/ML workloads (e.g., Azure ML, Azure Synapse, Azure Data Lake).
* AI Agents: Experience developing AI agents in Copilot Studio and via Python frameworks (tooling, orchestration, retrieval, connectors).
* Bachelor’s degree, or equivalent experience in Computer Science, Data Science, Mathematics, Statistics, Engineering, related field, OR equivalent professional experience.
**Preferred Qualifications**
* Experience with streaming/event\-driven architectures (Event Hubs), feature stores, and vector databases (for retrieval augmented generation).
* Hands\-on with responsible AI (fairness, explainability, privacy), model governance (model cards, audits), and security in cloud ML.
* Familiarity with domain\-specific risk analytics and public sector/regulated environments.
* Certifications in Azure AI/ML and/or MLOps advantageous.
**Other**
· Federal and/or Commercial experience
· Technical troubleshooting support
\- Hybrid or remote work environment
**Competencies**
· Self\-motivated
· Ability to maintain an extreme sense of urgency in all interactions with the customer
· Exceptional email management and written communication skills
· Solution\-oriented
· Ability to research, analyze, and create viable solutions
· Strong technical attitude and ability to quickly learn and apply technical knowledge
· Excellent troubleshooting and problem\-solving skills
· Ability to multi\-task
**Supervisory Responsibility**  
This position has no supervisory responsibilities.
**Work Environment**  
On\-Site/Remote/hybrid work environment.
**Physical Demands**  
While performing the duties of this job, the employee may be required to move physical IT equipment.
**Position Type/Expected Hours of Work**  
40 hour work week
**Travel**
Occasional travel to a client site may be required.
**Additional Eligibility Qualifications**  
None
**Work Authorization**  
Required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**AAP/EEO Statement**
*As part of our dedication to an inclusive and diverse workforce, OnPoint is committed to Equal Employment Opportunity without regard for race, color, national origin, ethnicity, gender, protected veteran status, disability, sexual orientation, gender identity, or religion. We are also committed to providing reasonable accommodations for qualified individuals with disabilities and disabled veterans in our job application procedures. If you need assistance or an accommodation due to a disability, you may contact us at peoplesuccess@onpointcorp.com or you may call us at 703\-841\-5500\.*
Job Type: Full\-time
Pay: $125,000\.00 \- $150,000\.00 per year
Benefits:
* 401(k)
* 401(k) matching
* Dental insurance
* Flexible schedule
* Flexible spending account
* Health insurance
* Health savings account
* Life insurance
* Paid time off
* Parental leave
* Tuition reimbursement
* Vision insurance
Experience:
* AI models: 3 years (Required)
Work Location: Hybrid remote in Bethesda, MD 20814</t>
        </is>
      </c>
    </row>
    <row r="121">
      <c r="A121" t="inlineStr">
        <is>
          <t>in-0eb40eab8f46fb19</t>
        </is>
      </c>
      <c r="B121" t="inlineStr">
        <is>
          <t>AI/ML Engineer (Senior)</t>
        </is>
      </c>
      <c r="C121" t="inlineStr">
        <is>
          <t>OnPoint Consulting, Inc</t>
        </is>
      </c>
      <c r="D121" t="inlineStr">
        <is>
          <t>indeed</t>
        </is>
      </c>
      <c r="E121" t="inlineStr"/>
      <c r="F121" t="inlineStr"/>
      <c r="G121" t="inlineStr">
        <is>
          <t>Bethesda, MD, US</t>
        </is>
      </c>
      <c r="H121" s="1" t="n">
        <v>46073</v>
      </c>
      <c r="I121" t="inlineStr">
        <is>
          <t>Job description
**Role: AI/ML Engineer (Senior)**
**Reports to:**  Program Manager
**Work Hours**: 40 hour week with core hours of 9\-5pm
**OnPoint**, a wholly\-owned subsidiary of Sapient Government Services, is a vibrant, energetic, and growing ISO\-certified technology and management consulting partner that provides critical thinking, strategic analysis, and thought leadership in a collaborative environment in an enduring effort to improve performance, lower costs, and achieve results for clients. We are guided by our principles: Clarity. Action. Results—for each client engagement we work to gain clarity, move into action, and achieve results. OnPoint specializes in delivering solutions in Cybersecurity, Strategic Communications, Information Assurance, Network Operations, Project Management and Systems Development.
**JOB DESCRIPTION**
**Summary/Objective**
The Senior AI/ML Engineer will lead the design, deployment, and operation of production\-grade AI systems that power Consumer Product Safety Commission's (CPSC) Sentinel model \- protecting more consumers, faster, from more hazards by using analytics to shorten time to intervention. This role will own endtoend model lifecycle engineering on Azure, advance MLOps best practices, and build AI agents (Copilot Studio \+ Python frameworks) that translate signals into timely, actionable decisions.
**Essential Functions**
* Build \&amp; Ship Production Models
* Architect, implement, and productionize ML solutions (supervised/unsupervised, NLP, deep learning) with robust data preprocessing, feature engineering, and evaluation pipelines.
* Lead model selection, training, validation, optimization, and calibration, ensuring reliability, fairness, and performance at scale.
* Own the MLOps Lifecycle (Azure)
* Establish MLOps workflows (CI/CD for ML, experiment tracking, model registry, reproducible builds and deployments).
* Implement model monitoring (drift, data/feature quality, bias, and business KPIs), alerting, and automated rollback to keep systems safe and responsive.
* Data Engineering for ML
* Design high\-quality data pipelines (ingest, transform, validate) across structured and unstructured sources; enforce data contracts and lineage.
* Partner with analytics teams to make datasets discoverable, documented, and performant for iterative model development.
* AI Agents \&amp; Copilot Integration
* Build AI agents that operationalize safety analytics (Copilot Studio, Python agents, retrieval pipelines) to accelerate triage and decision flow.
* Integrate agents with APIs, event streams, dashboards, and case management systems to reduce cycle time from signal to action.
* Engineering Excellence \&amp; Governance
* Champion secure\-by\-design practices, reproducibility, and auditability (model cards, data sheets, deployment records).
* Contribute to coding standards, code reviews, and knowledge sharing; mentor engineers and data scientists.
* Agile Collaboration \&amp; Impact
* Work in Agile teams; drive iterative delivery, joint problem\-solving, and continuous improvement.
* Translate mission goals into technical roadmaps and measurable outcomes tied to Sentinel time\-to\-intervention targets.
**Required Competencies**
* Experience: 5\+ years hands\-on developing and deploying AI/ML models in production environments.
* Programming: Expert in Python (including packaging, testing, performance optimization).
* ML Expertise: Deep understanding of algorithms, model selection, training/validation/optimization, and evaluation at scale.
* Data Skills: Expert in data preprocessing, feature engineering, and data visualization for decision support
* Deep Learning \&amp; MLOps: Expert with PyTorch/TensorFlow, and modern MLOps (deployment, monitoring, scaling, CI/CD, experiment tracking, model registry).
* Cloud: Proven experience with Azure for AI/ML workloads (e.g., Azure ML, Azure Synapse, Azure Data Lake).
* AI Agents: Experience developing AI agents in Copilot Studio and via Python frameworks (tooling, orchestration, retrieval, connectors)
**Preferred Qualifications**
* Experience with streaming/event\-driven architectures (Event Hubs), feature stores, and vector databases (for retrieval augmented generation).
* Hands\-on with responsible AI (fairness, explainability, privacy), model governance (model cards, audits), and security in cloud ML.
* Familiarity with domain\-specific risk analytics and public sector/regulated environments.
* Certifications in Azure AI/ML and/or MLOps advantageous.
**Supervisory Responsibility**  
This position has no supervisory responsibilities.
**Work Environment**  
OnPoint offers a hybrid work environment, meaning that most work can be done remotely, while some work needs to be completed on\-premise.
**Physical Demands**  
While performing the duties of this job, the employee is occasionally required to move physical IT equipment.
**Position Type/Expected Hours of Work**  
40 hour work week
**Travel**
Occasional travel to a client site or event/conference will be required.
**Desired Education and Experience**
* PhD, Master’s degree, or equivalent experience in Computer Science, Data Science, Mathematics, Statistics, Engineering, related field, OR equivalent professional experience.
· Minimum of 5 years of professional experience
· Experience in the Government contracting industry
**Additional Eligibility Qualifications**  
**N/A**
**Work Authorization/Security Clearance**  
None required.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**AAP/EEO Statement**
*As part of our dedication to an inclusive and diverse workforce, OnPoint is committed to Equal Employment Opportunity without regard for race, color, national origin, ethnicity, gender, protected veteran status, disability, sexual orientation, gender identity, or religion. We are also committed to providing reasonable accommodations for qualified individuals with disabilities and disabled veterans in our job application procedures. If you need assistance or an accommodation due to a disability, you may contact us at hr@onpointcorp.com* *or you may call us at 703\-841\-5500\.*
Job Type: Full\-time
Pay: $150,000\.00 \- $175,000\.00 per year
Benefits:
* 401(k)
* 401(k) matching
* Dental insurance
* Employee assistance program
* Flexible schedule
* Flexible spending account
* Health insurance
* Health savings account
* Life insurance
* Paid time off
* Parental leave
* Referral program
* Relocation assistance
* Tuition reimbursement
* Vision insurance
Schedule:
* 8 hour shift
Supplemental Pay:
* Bonus opportunities
Experience:
* AI models: 5 years (Required)
Work Location: Hybrid remote in Bethesda, MD 20814</t>
        </is>
      </c>
    </row>
    <row r="122">
      <c r="A122" t="inlineStr">
        <is>
          <t>in-66d9681dc8bde6de</t>
        </is>
      </c>
      <c r="B122" t="inlineStr">
        <is>
          <t>Senior Lead AI Engineer (Gen AI Platform Services)</t>
        </is>
      </c>
      <c r="C122" t="inlineStr">
        <is>
          <t>Capital One</t>
        </is>
      </c>
      <c r="D122" t="inlineStr">
        <is>
          <t>indeed</t>
        </is>
      </c>
      <c r="E122" t="inlineStr"/>
      <c r="F122" t="inlineStr"/>
      <c r="G122" t="inlineStr">
        <is>
          <t>San Jose, CA, US</t>
        </is>
      </c>
      <c r="H122" s="1" t="n">
        <v>46071</v>
      </c>
      <c r="I122" t="inlineStr">
        <is>
          <t>Senior Lead AI Engineer (Gen AI Platform Services)**Overview:**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AI Engineer  
San Francisco, CA: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3">
      <c r="A123" t="inlineStr">
        <is>
          <t>in-82a195bc3aa2cfb8</t>
        </is>
      </c>
      <c r="B123" t="inlineStr">
        <is>
          <t>AI Engineering Manager - GenAI Platform , Infra &amp; AIOps</t>
        </is>
      </c>
      <c r="C123" t="inlineStr">
        <is>
          <t>Apple</t>
        </is>
      </c>
      <c r="D123" t="inlineStr">
        <is>
          <t>indeed</t>
        </is>
      </c>
      <c r="E123" t="inlineStr"/>
      <c r="F123" t="inlineStr"/>
      <c r="G123" t="inlineStr">
        <is>
          <t>Cupertino, CA, US</t>
        </is>
      </c>
      <c r="H123" s="1" t="n">
        <v>46072</v>
      </c>
      <c r="I123" t="inlineStr">
        <is>
          <t>Imagine what you could do here. At Apple, great ideas have a way of becoming outstanding products, services and customer experiences very quickly. We believe that if you bring passion and dedication to your job, there's no telling what you could accomplish! Every new product, service, or feature we invent is the result of people working together to make each other's ideas stronger. That happens here because every one of us strives toward a common goal \- crafting the best customer experiences.  
**Description**  
We are looking for a highly skilled and experienced AI Engineering Manager to lead the planning and execution for our next generation AIML Platforms, Infrastructure and AIOps for Channel Sales at scale from 0\-1n. In this role, you will be at the forefront of shaping the future of this transformative technology, drive the vision, roadmap, and execution of innovative AI solutions that leverage generative models to create captivating user experiences across our product lines.  
You will collaborate with cross\-functional teams of business SMEs, engineers, data scientists, designers, and researchers to develop breakthrough products that push the boundaries of AI and deliver real value to our internal and external users.","responsibilities":"Lead and mentor a global team of Machine Learning Engineers, providing guidance, support and professional development opportunities  
Foster a culture of collaboration, innovation and continuous learning within the team to break glass ceilings  
Build streamlined processes, onboard new tools, effective resource planning to enable team members to do their best work  
Proactively identify issues, manage risks, identify mitigations, marshal resources, and re\-plan as needed  
Stay abreast of the latest advancements in the field and identify relevant technologies for implementation  
Collaborate effectively with Machine Learning and Software Development Engineers to see around the corner and build future proof products  
Set clear engineering goals and priorities for the Channel Sales AIML Platform, Infra and AIOps to ensure scalability and reliability  
Create compelling product documentation and presentations for internal and external stakeholders  
Identify and resolve conflicts, inter\-dependencies, and alignment issues quickly and effectively  
Build relationships and collaboration opportunities within Channel Sales and with other orgs i.e AIML, SWE etc  
Define key performance indicators (KPIs) and metrics to measure performance of AI Powered products  
Monitor and analyze performance data, providing key insights and recommendations for continuous improvement  
Advocate for data\-driven decision making across the organization  
**Preferred Qualifications**  
Experience building new relationships and driving cross\-functional collaboration, with ability to influence without authority  
Experience setting up new process, tools and KPIs from the ground up  
Analytical and strategic mindset with ability to solve complex problems  
Team player and willingness to mentor team members  
**Minimum Qualifications**  
10\+ years of experience in Machine Learning and Software Engineering with successful launch of large scale consumer facing Commerce products worldwide  
5\+ years leading Machine Learning, Infra and AIOps teams and managing direct reports  
Successful track record of working closely with design and engineering teams during the full GenAI/LLM product lifecycle, including research, planning, implementation and launch  
Experience positioning and launching of new AI powered products  
Extraordinary verbal and written communication skills  
Ability to filter and distill relevant information for the right audience  
Demonstrated ability to develop compelling talking points and stories about new AI powered product and technologies for a broad audience including internal/external stakeholders, leaderships, users etc  
Strong experience leading cross\-functional initiatives with a clear impact on the direction of products  
Strong organizational skills, able to handle ambiguity with experience in thriving in a startup environment within a large organization  
Strong python and software development coding experience  
Proven customer focus and curiosity  
Demonstrates attention to detail and enjoys both hands\-on work and high\-level strategic thinking  
Master’s degree in Computer Science, AI, Machine Learning or a related technical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$228,100 and $342,800,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24">
      <c r="A124" t="inlineStr">
        <is>
          <t>in-a7246e0a75c95127</t>
        </is>
      </c>
      <c r="B124" t="inlineStr">
        <is>
          <t>AI/ML Engineer (The Builder — Infrastructure &amp; Systems)</t>
        </is>
      </c>
      <c r="C124" t="inlineStr">
        <is>
          <t>Callagy Law</t>
        </is>
      </c>
      <c r="D124" t="inlineStr">
        <is>
          <t>indeed</t>
        </is>
      </c>
      <c r="E124" t="inlineStr"/>
      <c r="F124" t="inlineStr"/>
      <c r="G124" t="inlineStr">
        <is>
          <t>Paramus, NJ, US</t>
        </is>
      </c>
      <c r="H124" s="1" t="n">
        <v>46073</v>
      </c>
      <c r="I124" t="inlineStr">
        <is>
          <t>**About ACTi** 
Actualized Intelligence (ACTi) is building the next generation of AI\-powered agents that create real behavioral transformation. Our "yes\-causing" technology and Heroic Unique Identity (HUI) extraction systems push the boundaries of what conversational AI can achieve. We're looking for a talented AI/ML Engineer to build and maintain the core technical infrastructure that powers our growing fleet of intelligent agents.
**Role Overview**
As our AI/ML Engineer, you are the architect behind the curtain. You'll build and maintain the backend systems, data pipelines, and integrations that make our AI agents run. From vector databases to workflow orchestration, you own the plumbing that turns prompt strategy into live, working agents. You'll collaborate closely with our Prompt Architect to bring agent designs to life at a technical level.
**Key Responsibilities**
\-Design, build, and maintain backend infrastructure for AI agent deployment including API integrations, data pipelines, and orchestration workflows
\-Manage and optimize Retrieval\-Augmented Generation (RAG) systems using Pinecone vector databases, including embedding pipelines and knowledge base architecture
\-Build and maintain n8n automation workflows that power agent orchestration, data flow, and cross\-platform integrations
\- Integrate LLM APIs (Claude, GPT) with production systems, handling authentication, error handling, rate limiting, and fallback logic
\-Develop and maintain integrations with voice platforms (ElevenLabs), CRMs, communication tools, and third\-party services
\-Build the technical foundation for the Builder Agent system — an autonomous agent\-creation pipeline
\-Implement fine\-tuning workflows, embedding model management, and model evaluation frameworks as needed
\-Optimize system performance, latency, and cost efficiency across all AI infrastructure
\-Collaborate with the Prompt Architect to translate system prompt designs into robust, production\-ready technical implementations
**Required Qualifications**
\-3\+ years of experience in software engineering with a focus on AI/ML infrastructure or backend systems
\-Strong proficiency in Python and experience with AI/ML frameworks and libraries
\-Hands\-on experience with vector databases (Pinecone, Weaviate, Qdrant, or similar)
\-Experience building and consuming RESTful APIs and working with LLM provider APIs (Anthropic, OpenAI)
\-Familiarity with workflow automation tools (n8n, LangChain, or similar orchestration platforms)
\-Experience with cloud platforms (AWS, GCP, or Azure) and containerization (Docker)
\-Strong understanding of RAG architectures, embedding models, and knowledge retrieval systems
**Preferred Qualifications**
\-Experience with voice AI platforms (ElevenLabs, Deepgram, or similar)
\-Background in building multi\-agent systems or agent orchestration frameworks
\-Experience with fine\-tuning LLMs or training custom models
\-Familiarity with CI/CD pipelines for AI/ML deployments
\-Experience with real\-time data processing and streaming architectures
**What Success Looks Like**
\-Within 30 days: Fully onboarded on ACTi's current tech stack; able to independently deploy and troubleshoot agent infrastructure
\-Within 60 days: Optimized existing RAG and n8n pipelines; reduced latency and improved reliability across live agents
\-Within 90 days: Delivered first iteration of the Builder Agent infrastructure; established scalable patterns for rapid agent deployment
Job Type: Full\-time
Pay: $70,000\.00 \- $80,000\.00 per year
Benefits:
* 401(k)
* Dental insurance
* Health insurance
* Paid time off
* Vision insurance
Application Question(s):
* Why are you interested/why do you think you would be a good fit?
Work Location: Hybrid remote in Paramus, NJ 07652</t>
        </is>
      </c>
    </row>
    <row r="125">
      <c r="A125" t="inlineStr">
        <is>
          <t>in-9a90d7056c3f9b16</t>
        </is>
      </c>
      <c r="B125" t="inlineStr">
        <is>
          <t>Machine Learning Engineer - News, Books, &amp; Stocks Team</t>
        </is>
      </c>
      <c r="C125" t="inlineStr">
        <is>
          <t>Apple</t>
        </is>
      </c>
      <c r="D125" t="inlineStr">
        <is>
          <t>indeed</t>
        </is>
      </c>
      <c r="E125" t="inlineStr"/>
      <c r="F125" t="inlineStr"/>
      <c r="G125" t="inlineStr">
        <is>
          <t>Cupertino, CA, US</t>
        </is>
      </c>
      <c r="H125" s="1" t="n">
        <v>46072</v>
      </c>
      <c r="I125" t="inlineStr">
        <is>
          <t>In a time where the news and book media landscapes are changing by the day, Apple News and  
Apple Books stand as champions of quality content, expert curation, user privacy, and the  
judicious use of machine learning.  
Our lively and brilliant team consists of client and machine learning engineers who embody  
Apple's values. We inspire, teach, and otherwise enable each other to do the best work of our  
careers.  
Our team's outstanding retention rate speaks to our strong culture of respect for our teammates  
as both engineers and people.  
Would you like to work on such a team, solving hard problems in machine learning? Terrific!  
Please join us for the next generation of these apps!  
**Description**  
Our team is seeking a high\-energy and self\-driven machine learning engineer who will play a  
central role in the delivery of scalable services. The team uses machine learning to tackle  
difficult and complicated problems in the news, books, and stocks domains, including text  
extraction, named entity recognition, duplicate detection, search, ranking, and much more! As a  
member of our dynamic group, you’ll have the rare and rewarding opportunity to craft upcoming  
products that will delight and encourage millions of Apple’s customers every day!","responsibilities":"Design and implement state\-of\-the\-art AI/ML that processes news, stocks, and books data  
to drive recommendations, power advanced search, and enable next\-generation AI features.  
Develop datasets, design model architecture, and prompt, train, or fine\-tune models.  
Partner with cross\-functional teams at the intersection of technology and liberal arts to design and implement end\-to\-end AI/ML features.  
Drive application features from concept, model design, and development all the way to  
delivery.  
Join a thriving machine learning community at Apple.  
**Preferred Qualifications**  
Ph.D. in Machine Learning, Computer Science, or related field.  
At least 5 years of experience shipping machine learning models in products.  
Experience with recommender systems.  
Experience with text\-centric AI/ML (LLMs, document classification, search, etc.)  
Experience delivering high quality software at scale.  
Experience designing user\-facing machine learning features with interdisciplinary partners.  
**Minimum Qualifications**  
MS in Machine Learning, Computer Science, or related field. Alternatively, equivalent  
industry experience to an MS degree is acceptable.  
At least 2 years of experience shipping machine learning models in products.  
Strong programming skills in Python, Java, or a related language, and one of the deep learning toolkits such as PyTorch, TensorFlow, or similar.  
Ability to communicate effectively and collaborate with partner teams.  
Commitment to encouraging an open and inclusive work environment.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26">
      <c r="A126" t="inlineStr">
        <is>
          <t>in-f827f4460c4bae8d</t>
        </is>
      </c>
      <c r="B126" t="inlineStr">
        <is>
          <t>Staff Machine Learning Engineer - News, Books, &amp; Stocks Team</t>
        </is>
      </c>
      <c r="C126" t="inlineStr">
        <is>
          <t>Apple</t>
        </is>
      </c>
      <c r="D126" t="inlineStr">
        <is>
          <t>indeed</t>
        </is>
      </c>
      <c r="E126" t="inlineStr"/>
      <c r="F126" t="inlineStr"/>
      <c r="G126" t="inlineStr">
        <is>
          <t>Cupertino, CA, US</t>
        </is>
      </c>
      <c r="H126" s="1" t="n">
        <v>46072</v>
      </c>
      <c r="I126" t="inlineStr">
        <is>
          <t>In a time where the news and book media landscapes are changing by the day, Apple News and  
Apple Books stand as champions of quality content, expert curation, user privacy, and the  
judicious use of machine learning.  
Our lively and brilliant team consists of client and machine learning engineers who embody  
Apple's values. We inspire, teach, and otherwise enable each other to do the best work of our  
careers.  
Our team's outstanding retention rate speaks to our strong culture of respect for our teammates  
as both engineers and people.  
Would you like to work on such a team, solving hard problems in machine learning? Terrific!  
Please join us for the next generation of these apps!  
**Description**  
Our team is seeking a high\-energy and self\-driven machine learning engineer who will play a  
central role in the delivery of scalable services. The team uses machine learning to tackle  
difficult and complicated problems in the news, books, and stocks domains, including text  
extraction, named entity recognition, duplicate detection, search, ranking, and much more! As a  
member of our dynamic group, you’ll have the rare and rewarding opportunity to craft upcoming  
products that will delight and encourage millions of Apple’s customers every day!","responsibilities":"Design and implement state\-of\-the\-art AI/ML that processes news, stocks, and books data  
to drive recommendations, power advanced search, and enable next\-generation AI features.  
Develop datasets, design model architecture, and prompt, train, or fine\-tune models.  
Partner with multi\-functional teams at the intersection of technology and liberal arts to design and implement end\-to\-end machine learning enabled features.  
Drive application features from concept, model design, and development all the way to delivery.  
Lead highly cross\-functional software projects.  
Mentor junior engineers.  
Be part of our thriving machine learning community at Apple.  
**Preferred Qualifications**  
.  
**Minimum Qualifications**  
MS in Machine Learning, Computer Science, or related field. Alternatively, equivalent industry experience to an MS degree is acceptable.  
At least 5 years of experience shipping machine learning models in products.  
Strong programming skills in Python, Java, or a related language, and one of the deep learning toolkits such as PyTorch, TensorFlow, or similar.  
Experience designing user\-facing machine learning features with interdisciplinary partners.  
Experience with recommender systems.  
Experience with text\-centric AI/ML (LLMs, document classification, search, etc.)  
Experience delivering high quality software at scale.  
Ability to communicate effectively and collaborate with partner teams.  
Commitment to encouraging an open and inclusive work environment.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27">
      <c r="A127" t="inlineStr">
        <is>
          <t>in-c5f1d1859adc28cd</t>
        </is>
      </c>
      <c r="B127" t="inlineStr">
        <is>
          <t>Machine Learning Engineer, Sales Engineering</t>
        </is>
      </c>
      <c r="C127" t="inlineStr">
        <is>
          <t>Apple</t>
        </is>
      </c>
      <c r="D127" t="inlineStr">
        <is>
          <t>indeed</t>
        </is>
      </c>
      <c r="E127" t="inlineStr"/>
      <c r="F127" t="inlineStr"/>
      <c r="G127" t="inlineStr">
        <is>
          <t>Austin, TX, US</t>
        </is>
      </c>
      <c r="H127" s="1" t="n">
        <v>46072</v>
      </c>
      <c r="I127" t="inlineStr">
        <is>
          <t>Imagine what you could do here. At Apple, great ideas have a way of becoming great products, services and customer experiences very quickly. Bring passion and dedication to your job and there's no telling what you could accomplish. Apple is where individual imaginations gather together, committing to the values that lead to great work. Every new product we build, service we create, or Apple Store experience we deliver is the result of us making each other’s ideas stronger. Apple’s Sales Engineering team is shaping the future of Channel Sales with innovative, high\-impact applications. We’re looking for a Machine Learning Engineer to help us design and build the next generation of intelligent systems that power Apple’s global partner ecosystem. In this role, you’ll develop and deploy machine learning solutions while leveraging generative AI and advanced ML capabilities to deliver scalable, production\-ready systems that accelerate strategic, high\-impact initiatives across Apple Channel Sales. If you’re passionate about applying AI to solve complex business problems, experimenting with emerging GenAI technologies, and building products that make a real difference, join our collaborative team and help us move fast on game\-changing ideas.  
**Description**  
Apple’s Sales Engineering Rapid Application Development (RAD) team is looking for a Machine Learning Engineer to build intelligent, scalable solutions that power Apple’s global Channel Sales. You’ll leverage generative AI and advanced machine learning technologies to deliver high\-performance, production\-ready systems that drive measurable business impact. The ideal candidate blends deep ML expertise with strong engineering skills, is passionate about applying AI to solve real\-world problems, and thrives in fast\-paced environments delivering value quickly. You’ll work side by side with product, design, and engineering teams to design, train, deploy, and optimize ML\-powered applications that push the boundaries of innovation\-whether enabling GenAI\-driven workflows, implementing RAG\-based systems, or pioneering new intelligent capabilities. If you’re excited about shaping impactful AI solutions in a collaborative, experiment\-driven environment, Sales Engineering RAD team is where you’ll thrive.","responsibilities":"Design, build, and deploy scalable machine learning and generative AI solutions that power Apple’s global Channel Sales ecosystem.  
Develop and optimize ML pipelines leveraging LLMs, LMMs, and RAG\-based architectures for production\-grade applications.  
Collaborate with cross\-functional teams to translate business needs into intelligent, data\-driven systems and workflows.  
Fine\-tune and evaluate transformer\-based models (e.g., GPT, LLaMA, BERT) for accuracy, performance, and scalability.  
Prototype and productionize emerging AI capabilities, including agentic workflows and generative assistants.  
Apply MLOps best practices for model training, deployment, monitoring, and continuous improvement.  
Ensure secure, compliant handling of sensitive data (including PII) while maintaining Apple’s privacy standards.  
**Preferred Qualifications**  
Proven ability to fine\-tune, adapt, and deploy LLMs/LMMs into real\-world, production\-grade applications.  
Proficiency in Python and leading ML frameworks such as PyTorch and TensorFlow.  
Hands\-on experience leveraging Hugging Face Transformers and associated libraries.  
Solid understanding of Retrieval\-Augmented Generation (RAG) and practical experience with orchestration frameworks like LangChain or LlamaIndex.  
Familiarity with distributed computing, cloud platforms (AWS, GCP, Azure), and containerization/orchestration tools (Docker, Kubernetes).  
Exceptional problem\-solving skills and the ability to articulate complex ML/AI concepts clearly and effectively to diverse audiences.  
Experience extending beyond traditional LLMs/LMMs to include agent\-based systems and agentic workflows.  
Proficiency with advanced LLM serving and inference frameworks, ensuring scalable and efficient model deployment.  
Practical experience building sophisticated RAG applications and orchestrating complex LLM pipelines from inception to deployment.  
Working knowledge of distributed systems and cloud\-native infrastructure.  
Expertise in optimizing transformer\-based architectures (e.g., BERT, GPT, LLaMA) for low\-latency, high\-performance inference.  
Demonstrated ability to communicate complex technical results and ML/LLM concepts with clarity and impact to both technical and non\-technical stakeholders.  
Experience applying ML methodologies in specific domains, such as sales.  
**Minimum Qualifications**  
M.S. in Computer Science, Machine Learning, Artificial Intelligence, or a closely related technical field, or equivalent practical experience.  
5\+ years experience developing and deploying machine learning solutions, with a strong focus on Large Language Models (LLMs) or Large Multimodal Models (LMMs).  
5\+ years experience with LLMs and transformer\-based architectures (e.g., BERT, GPT, LLaMA).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8">
      <c r="A128" t="inlineStr">
        <is>
          <t>in-b8a6c3622adcb8e2</t>
        </is>
      </c>
      <c r="B128" t="inlineStr">
        <is>
          <t>AIML - Staff ML Engineer, Responsible AI</t>
        </is>
      </c>
      <c r="C128" t="inlineStr">
        <is>
          <t>Apple</t>
        </is>
      </c>
      <c r="D128" t="inlineStr">
        <is>
          <t>indeed</t>
        </is>
      </c>
      <c r="E128" t="inlineStr"/>
      <c r="F128" t="inlineStr"/>
      <c r="G128" t="inlineStr">
        <is>
          <t>Cupertino, CA, US</t>
        </is>
      </c>
      <c r="H128" s="1" t="n">
        <v>46072</v>
      </c>
      <c r="I128" t="inlineStr">
        <is>
          <t>Join Us in Shaping the Future of Generative AI at Apple! Are you passionate about making AI systems safer, more inclusive, and globally representative? Apple is seeking an expert Machine Learning Engineer to shape the future of responsible AI for the next generation of generative features. In this role, you will lead the responsible AI lifecycle end\-to\-end: assessing risks, defining policies, developing mitigation strategies, and driving continuous improvements. Your work will directly influence how we evaluate, align, and monitor the safety of large language and multimodal models. As part of Apple’s Responsible AI group within the Human\-Centered Machine Intelligence (HCMI) organization, you’ll collaborate with cross\-functional partners to minimize unintended consequences across people, systems, and society while elevating feature capabilities and the overall user experience. Together, we’ll anticipate challenges, measure real\-world impact, and deliver trusted, high\-quality AI experiences to users around the globe. You’ll also contribute to forward\-looking research in fairness, robustness, uncertainty, and safety \- pushing the boundaries of responsible AI at scale.  
**Description**  
Our team leads Responsible AI initiatives for global generative AI products, operating at the intersection of policy, product, and GenAI. We're seeking candidates who will shape safety policies in partnership with leadership, design, engineering, legal, and regulatory stakeholders\-ensuring our safeguards advance both user protection and product innovation.  
These individuals will work on architecture mitigation and safety alignment strategies for generative models, drive integration in production. Additionally, they will work on developing models, tools, datasets, and evaluation methods to monitor, diagnose failures, and improve the safety of generative models throughout the deployment lifecycle. We do all these by incorporating human and automated feedback, post\-launch to continuously improve feature safety and user trust.  
**Preferred Qualifications**  
BS, MS, or PhD in Computer Science, Machine Learning, or related field, or equivalent experience  
Proven success contributing in a highly cross\-functional environment  
Experience shipping complex AI systems at global scale  
Background in model explainability, uncertainty estimation, or interpretability  
Curiosity and research interest in fairness, bias, and the societal impacts of generative AI  
Passion for building innovative, high\-impact products that draw upon interdisciplinary skills  
**Minimum Qualifications**  
3\+ years of proven ability in machine learning, including work with generative models (Transformers, LLMs, VLMs), NLP, or Computer Vision  
Proficiency in Python and data science libraries (e.g. Pandas) with strong skills in data analysis, visualization, and applied ML workflows  
Excellent interpersonal skills and proven ability to translate sophisticated technical insights for cross\-functional partners, senior leadership, and executives  
Strong analytical and independent problem\-solving skills, with ability to navigate ambiguity  
Experience designing and supporting human and automated evaluations, particularly with complex, nuanced, or multi\-labeled data  
Hands\-on experience collecting and analyzing language, vision, or multimodal datasets  
Background in failure analysis, quality engineering, or robustness testing for ML\-driven systems  
Must be comfortable working with sensitive or potentially offensive content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9">
      <c r="A129" t="inlineStr">
        <is>
          <t>in-2c10bd24e316d6ea</t>
        </is>
      </c>
      <c r="B129" t="inlineStr">
        <is>
          <t>AIML - Staff ML Engineer, Responsible AI</t>
        </is>
      </c>
      <c r="C129" t="inlineStr">
        <is>
          <t>Apple</t>
        </is>
      </c>
      <c r="D129" t="inlineStr">
        <is>
          <t>indeed</t>
        </is>
      </c>
      <c r="E129" t="inlineStr"/>
      <c r="F129" t="inlineStr"/>
      <c r="G129" t="inlineStr">
        <is>
          <t>Cupertino, CA, US</t>
        </is>
      </c>
      <c r="H129" s="1" t="n">
        <v>46072</v>
      </c>
      <c r="I129" t="inlineStr">
        <is>
          <t>Join Us in Shaping the Future of Generative AI at Apple! Are you passionate about making AI systems safer, more inclusive, and globally representative? Apple is seeking an expert Machine Learning Engineer to shape the future of responsible AI for the next generation of generative features. In this role, you will lead the responsible AI lifecycle end\-to\-end: assessing risks, defining policies, developing mitigation strategies, and driving continuous improvements. Your work will directly influence how we evaluate, align, and monitor the safety of large language and multimodal models. As part of Apple’s Responsible AI group within the Human\-Centered Machine Intelligence (HCMI) organization, you’ll collaborate with cross\-functional partners to minimize unintended consequences across people, systems, and society while elevating feature capabilities and the overall user experience. Together, we’ll anticipate challenges, measure real\-world impact, and deliver trusted, high\-quality AI experiences to users around the globe. You’ll also contribute to forward\-looking research in fairness, robustness, uncertainty, and safety \- pushing the boundaries of responsible AI at scale.  
**Description**  
Our team leads Responsible AI initiatives for global generative AI products, operating at the intersection of policy, product, and GenAI. We're seeking candidates who will shape safety policies in partnership with leadership, design, engineering, legal, and regulatory stakeholders\-ensuring our safeguards advance both user protection and product innovation.  
These individuals will work on architecture mitigation and safety alignment strategies for generative models, drive integration in production. Additionally, they will work on developing models, tools, datasets, and evaluation methods to monitor, diagnose failures, and improve the safety of generative models throughout the deployment lifecycle. We do all these by incorporating human and automated feedback, post\-launch to continuously improve feature safety and user trust.  
**Preferred Qualifications**  
BS, MS, or PhD in Computer Science, Machine Learning, or related field, or equivalent experience  
Proven success contributing in a highly cross\-functional environment  
Experience shipping complex AI systems at global scale  
Background in model explainability, uncertainty estimation, or interpretability  
Curiosity and research interest in fairness, bias, and the societal impacts of generative AI  
Passion for building innovative, high\-impact products that draw upon interdisciplinary skills  
**Minimum Qualifications**  
3\+ years of proven ability in machine learning, including work with generative models (Transformers, LLMs, VLMs), NLP, or Computer Vision  
Proficiency in Python and data science libraries (e.g. Pandas) with strong skills in data analysis, visualization, and applied ML workflows  
Excellent interpersonal skills and proven ability to translate sophisticated technical insights for cross\-functional partners, senior leadership, and executives  
Strong analytical and independent problem\-solving skills, with ability to navigate ambiguity  
Experience designing and supporting human and automated evaluations, particularly with complex, nuanced, or multi\-labeled data  
Hands\-on experience collecting and analyzing language, vision, or multimodal datasets  
Background in failure analysis, quality engineering, or robustness testing for ML\-driven systems  
Must be comfortable working with sensitive or potentially offensive content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0">
      <c r="A130" t="inlineStr">
        <is>
          <t>in-659ffc608a3bf525</t>
        </is>
      </c>
      <c r="B130" t="inlineStr">
        <is>
          <t>AIML - Staff ML Engineer, Responsible AI</t>
        </is>
      </c>
      <c r="C130" t="inlineStr">
        <is>
          <t>Apple</t>
        </is>
      </c>
      <c r="D130" t="inlineStr">
        <is>
          <t>indeed</t>
        </is>
      </c>
      <c r="E130" t="inlineStr"/>
      <c r="F130" t="inlineStr"/>
      <c r="G130" t="inlineStr">
        <is>
          <t>Cupertino, CA, US</t>
        </is>
      </c>
      <c r="H130" s="1" t="n">
        <v>46072</v>
      </c>
      <c r="I130" t="inlineStr">
        <is>
          <t>Join Us in Shaping the Future of Generative AI at Apple! Are you passionate about making AI systems safer, more inclusive, and globally representative? Apple is seeking an expert Machine Learning Engineer to shape the future of responsible AI for the next generation of generative features. In this role, you will lead the responsible AI lifecycle end\-to\-end: assessing risks, defining policies, developing mitigation strategies, and driving continuous improvements. Your work will directly influence how we evaluate, align, and monitor the safety of large language and multimodal models. As part of Apple’s Responsible AI group within the Human\-Centered Machine Intelligence (HCMI) organization, you’ll collaborate with cross\-functional partners to minimize unintended consequences across people, systems, and society while elevating feature capabilities and the overall user experience. Together, we’ll anticipate challenges, measure real\-world impact, and deliver trusted, high\-quality AI experiences to users around the globe. You’ll also contribute to forward\-looking research in fairness, robustness, uncertainty, and safety \- pushing the boundaries of responsible AI at scale.  
**Description**  
Our team leads Responsible AI initiatives for global generative AI products, operating at the intersection of policy, product, and GenAI. We're seeking candidates who will shape safety policies in partnership with leadership, design, engineering, legal, and regulatory stakeholders\-ensuring our safeguards advance both user protection and product innovation.  
These individuals will work on architecture mitigation and safety alignment strategies for generative models, drive integration in production. Additionally, they will work on developing models, tools, datasets, and evaluation methods to monitor, diagnose failures, and improve the safety of generative models throughout the deployment lifecycle. We do all these by incorporating human and automated feedback, post\-launch to continuously improve feature safety and user trust.  
**Preferred Qualifications**  
BS, MS, or PhD in Computer Science, Machine Learning, or related field, or equivalent experience  
Proven success contributing in a highly cross\-functional environment  
Experience shipping complex AI systems at global scale  
Background in model explainability, uncertainty estimation, or interpretability  
Curiosity and research interest in fairness, bias, and the societal impacts of generative AI  
Passion for building innovative, high\-impact products that draw upon interdisciplinary skills  
**Minimum Qualifications**  
3\+ years of proven ability in machine learning, including work with generative models (Transformers, LLMs, VLMs), NLP, or Computer Vision  
Proficiency in Python and data science libraries (e.g. Pandas) with strong skills in data analysis, visualization, and applied ML workflows  
Excellent interpersonal skills and proven ability to translate sophisticated technical insights for cross\-functional partners, senior leadership, and executives  
Strong analytical and independent problem\-solving skills, with ability to navigate ambiguity  
Experience designing and supporting human and automated evaluations, particularly with complex, nuanced, or multi\-labeled data  
Hands\-on experience collecting and analyzing language, vision, or multimodal datasets  
Background in failure analysis, quality engineering, or robustness testing for ML\-driven systems  
Must be comfortable working with sensitive or potentially offensive content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1">
      <c r="A131" t="inlineStr">
        <is>
          <t>in-42f6dcf8451e31f5</t>
        </is>
      </c>
      <c r="B131" t="inlineStr">
        <is>
          <t>AIML - Staff ML Engineer, Responsible AI</t>
        </is>
      </c>
      <c r="C131" t="inlineStr">
        <is>
          <t>Apple</t>
        </is>
      </c>
      <c r="D131" t="inlineStr">
        <is>
          <t>indeed</t>
        </is>
      </c>
      <c r="E131" t="inlineStr"/>
      <c r="F131" t="inlineStr"/>
      <c r="G131" t="inlineStr">
        <is>
          <t>Cupertino, CA, US</t>
        </is>
      </c>
      <c r="H131" s="1" t="n">
        <v>46072</v>
      </c>
      <c r="I131" t="inlineStr">
        <is>
          <t>Join Us in Shaping the Future of Generative AI at Apple! Are you passionate about making AI systems safer, more inclusive, and globally representative? Apple is seeking an expert Machine Learning Engineer to shape the future of responsible AI for the next generation of generative features. In this role, you will lead the responsible AI lifecycle end\-to\-end: assessing risks, defining policies, developing mitigation strategies, and driving continuous improvements. Your work will directly influence how we evaluate, align, and monitor the safety of large language and multimodal models. As part of Apple’s Responsible AI group within the Human\-Centered Machine Intelligence (HCMI) organization, you’ll collaborate with cross\-functional partners to minimize unintended consequences across people, systems, and society while elevating feature capabilities and the overall user experience. Together, we’ll anticipate challenges, measure real\-world impact, and deliver trusted, high\-quality AI experiences to users around the globe. You’ll also contribute to forward\-looking research in fairness, robustness, uncertainty, and safety \- pushing the boundaries of responsible AI at scale.  
**Description**  
Our team leads Responsible AI initiatives for global generative AI products, operating at the intersection of policy, product, and GenAI. We're seeking candidates who will shape safety policies in partnership with leadership, design, engineering, legal, and regulatory stakeholders\-ensuring our safeguards advance both user protection and product innovation.  
These individuals will work on architecture mitigation and safety alignment strategies for generative models, drive integration in production. Additionally, they will work on developing models, tools, datasets, and evaluation methods to monitor, diagnose failures, and improve the safety of generative models throughout the deployment lifecycle. We do all these by incorporating human and automated feedback, post\-launch to continuously improve feature safety and user trust.  
**Preferred Qualifications**  
BS, MS, or PhD in Computer Science, Machine Learning, or related field, or equivalent experience  
Proven success contributing in a highly cross\-functional environment  
Experience shipping complex AI systems at global scale  
Background in model explainability, uncertainty estimation, or interpretability  
Curiosity and research interest in fairness, bias, and the societal impacts of generative AI  
Passion for building innovative, high\-impact products that draw upon interdisciplinary skills  
**Minimum Qualifications**  
3\+ years of proven ability in machine learning, including work with generative models (Transformers, LLMs, VLMs), NLP, or Computer Vision  
Proficiency in Python and data science libraries (e.g. Pandas) with strong skills in data analysis, visualization, and applied ML workflows  
Excellent interpersonal skills and proven ability to translate sophisticated technical insights for cross\-functional partners, senior leadership, and executives  
Strong analytical and independent problem\-solving skills, with ability to navigate ambiguity  
Experience designing and supporting human and automated evaluations, particularly with complex, nuanced, or multi\-labeled data  
Hands\-on experience collecting and analyzing language, vision, or multimodal datasets  
Background in failure analysis, quality engineering, or robustness testing for ML\-driven systems  
Must be comfortable working with sensitive or potentially offensive content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2">
      <c r="A132" t="inlineStr">
        <is>
          <t>in-e4b6107ffa5b3420</t>
        </is>
      </c>
      <c r="B132" t="inlineStr">
        <is>
          <t>visionOS, Machine Learning Engineer/Computer Vision</t>
        </is>
      </c>
      <c r="C132" t="inlineStr">
        <is>
          <t>Apple</t>
        </is>
      </c>
      <c r="D132" t="inlineStr">
        <is>
          <t>indeed</t>
        </is>
      </c>
      <c r="E132" t="inlineStr"/>
      <c r="F132" t="inlineStr"/>
      <c r="G132" t="inlineStr">
        <is>
          <t>Sunnyvale, CA, US</t>
        </is>
      </c>
      <c r="H132" s="1" t="n">
        <v>46072</v>
      </c>
      <c r="I132" t="inlineStr">
        <is>
          <t>Join our machine learning team at Apple to develop computer vision and localization technologies that help devices understand their place in the world. We're seeking a talented Machine Learning Engineer who excels at transforming research innovations into production\-ready solutions, tackling the full spectrum from training large\-scale models to optimizing them for real\-time, on\-device performance. If you're passionate about solving hard problems in spatial intelligence\-from challenging real\-world environments to privacy\-preserving design\-this is your opportunity to create experiences that millions of people use every day.  
**Description**  
As a Machine Learning Engineer on our team, you'll design and implement advanced computer vision solutions that run efficiently on\-device, ensuring exceptional performance while respecting user privacy. You'll work across the complete ML lifecycle\-from building robust data pipelines and training deep learning models on distributed clusters to optimizing them for Apple's Neural Engine and deploying in production systems. Your work will span critical areas including localization and spatial understanding, where you'll develop systems that enable devices to perceive their position and navigate the world with precision. Your role will bridge cutting\-edge research and practical engineering, requiring you to balance innovation with the real\-world constraints of shipping products at scale\-whether that's ensuring localization works reliably in challenging environments, handling edge cases in visual recognition, or optimizing models to run in real\-time on device. Collaborating with world\-class researchers, software engineers, and product teams, you'll tackle challenging problems in visual understanding, from place recognition and scene reconstruction to temporal reasoning and multi\-sensor fusion. This position offers the unique opportunity to push the boundaries of on\-device machine learning, creating spatial intelligence experiences that are not only accurate and responsive but also seamlessly integrated into products that millions of people use every day.","responsibilities":"Design, train, and deploy computer vision models for localization and spatial understanding on Apple devices  
Build robust data pipelines and implement distributed training workflows on multi\-GPU infrastructure  
Optimize deep learning models for Apple's Neural Engine, achieving real\-time performance while maintaining accuracy  
Solve challenging problems in visual perception including place recognition, scene reconstruction, and multi\-sensor fusion  
Collaborate with other teams to adapt cutting\-edge techniques for production constraints and real\-world deployment  
Validate model performance through comprehensive testing across diverse environments and use cases  
**Preferred Qualifications**  
Experience developing on macOS and iOS platforms  
Familiarity with Apple's internal ML/CV frameworks and tools  
Experience with distributed training on clusters and multi\-GPU systems  
Knowledge of Apple Neural Engine optimization techniques  
Experience with temporal/sequential neural network architectures (RNNs, LSTMs, Transformers for video/time\-series data)  
Proficiency with CMake and Xcode build systems  
**Minimum Qualifications**  
M.S. or Ph.D. in Computer Vision, Machine Learning, Robotics, or related field; or equivalent practical experience with a proven track record of shipping products leveraging state\-of\-the\-art Computer Vision and Machine Learning technologies  
3\+ years of professional software development experience with demonstrated ability to deliver high\-quality, production\-ready code  
Expert\-level proficiency in Python and C/C\+\+  
Strong software design, problem\-solving, and debugging capabilities  
Hands\-on experience with modern ML frameworks (PyTorch, TensorFlow/Keras, PyTorch Lightning)  
Solid background with Computer Vision libraries and frameworks (OpenCV, etc.)  
Experience training and optimizing machine learning models for computer vision applications  
Excellent communication and collaboration skills with ability to work effectively in team environments; self\-motivated and quick to adapt to new technologies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33">
      <c r="A133" t="inlineStr">
        <is>
          <t>in-e2a104d7a1296743</t>
        </is>
      </c>
      <c r="B133" t="inlineStr">
        <is>
          <t>Senior AI Engineer - Senior Software Engineer</t>
        </is>
      </c>
      <c r="C133" t="inlineStr">
        <is>
          <t>Capgemini</t>
        </is>
      </c>
      <c r="D133" t="inlineStr">
        <is>
          <t>indeed</t>
        </is>
      </c>
      <c r="E133" t="inlineStr"/>
      <c r="F133" t="inlineStr"/>
      <c r="G133" t="inlineStr">
        <is>
          <t>Atlanta, GA, US</t>
        </is>
      </c>
      <c r="H133" s="1" t="n">
        <v>46071</v>
      </c>
      <c r="I133" t="inlineStr">
        <is>
          <t>Atlanta, GA
Senior AI Engineer \- Senior Software Engineer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Location
This is a hybrid role based across multiple locations \- Atlanta, Nashville, Chicago, Dallas, New jersey
About the job you're considering
The Capgemini team offers extensive career opportunities and provides mentoring and coaching for teammates. This role is an experienced professional with a strong background in software development.
Your role* Guide best practices for containerization, scalability, and reliability
* Collaborate with architects, developers, and stakeholders in agile teams
Your skills and experience* Design AI\-assisted language generation for producing clear, plain\-language draft messages.
* Implement draft message generation service within the validation pipeline.
* Auto\-generate draft text at the end of each validation run.
* Generative AI Integration (specifically text generation/RAG), Serverless Compute (Cloud Run/Functions), Document Processing, and API Integration.
\#LI\-RM1
The base compensation range for this role in the posted location is: $76,200 \- $ 187,740\.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Ref. code
422352\-en\_GB
Posted on
19 Feb 2026
Experience level
Experienced Professionals
Contract type
Permanent
Location
Atlanta, GA
Business unit
ABL AMERICAS
Brand
Capgemini
Professional communities
Software Engineering</t>
        </is>
      </c>
    </row>
    <row r="134">
      <c r="A134" t="inlineStr">
        <is>
          <t>in-ecd65ee8e23a06be</t>
        </is>
      </c>
      <c r="B134" t="inlineStr">
        <is>
          <t>AI/ML Engineer (Mid-Level)</t>
        </is>
      </c>
      <c r="C134" t="inlineStr">
        <is>
          <t>OnPoint Consulting, Inc</t>
        </is>
      </c>
      <c r="D134" t="inlineStr">
        <is>
          <t>indeed</t>
        </is>
      </c>
      <c r="E134">
        <f>HYPERLINK("https://www.indeed.com/viewjob?jk=ecd65ee8e23a06be", "https://www.indeed.com/viewjob?jk=ecd65ee8e23a06be")</f>
        <v/>
      </c>
      <c r="F134">
        <f>HYPERLINK("http://www.indeed.com/job/aiml-engineer-mid-level-ecd65ee8e23a06be", "http://www.indeed.com/job/aiml-engineer-mid-level-ecd65ee8e23a06be")</f>
        <v/>
      </c>
      <c r="G134" t="inlineStr">
        <is>
          <t>Bethesda, MD, US</t>
        </is>
      </c>
      <c r="H134" s="2" t="n">
        <v>46073</v>
      </c>
      <c r="I134" t="inlineStr">
        <is>
          <t>**Role: AI/ML Engineer (Mid\-Level)**
**Reports to:**  **Program Manager**
**Work Hours**: 40 hour week
**OnPoint**, a wholly\-owned subsidiary of Sapient Government Services, is a vibrant, energetic, and growing ISO\-certified technology and management consulting partner that provides critical thinking, strategic analysis, and thought leadership in a collaborative environment in an enduring effort to improve performance, lower costs, and achieve results for clients. We are guided by our principles: Clarity. Action. Results—for each client engagement we work to gain clarity, move into action, and achieve results. OnPoint specializes in delivering solutions in Cybersecurity, Enterprise Systems \&amp; Implementation Management, Cloud Architecture \&amp; Infrastructure Services, and Digital Communications \&amp; Strategic Marketing.
**JOB DESCRIPTION**
**Summary/Objective**
The mid\-level AI/ML Engineer will support the design, deployment, and operation of production\-grade AI systems that power CPSC’s Sentinel model \- protecting more consumers, faster, from more hazards by using analytics to shorten time to intervention. This role supports end to end model lifecycle engineering on Azure, advance MLOps best practices, and build AI agents (Copilot Studio \+ Python frameworks) that translate signals into timely, actionable decisions
**Essential Functions**
**Key Responsibilities**
* Build \&amp; Ship Production Models
* Implement and productionize ML solutions (supervised/unsupervised, NLP, deep learning) with robust data preprocessing, feature engineering, and evaluation pipelines.
* Support model selection, training, validation, optimization, and calibration, ensuring reliability, fairness, and performance at scale.
* Own the MLOps Lifecycle (Azure)
* Establish MLOps workflows (CI/CD for ML, experiment tracking, model registry, reproducible builds and deployments).
* Implement model monitoring (drift, data/feature quality, bias, and business KPIs), alerting, and automated rollback to keep systems safe and responsive.
* Data Engineering for ML
* Design high\-quality data pipelines (ingest, transform, validate) across structured and unstructured sources; enforce data contracts and lineage.
* Partner with analytics teams to make datasets discoverable, documented, and performant for iterative model development.
* AI Agents \&amp; Copilot Integration
* Build AI agents that operationalize safety analytics (Copilot Studio, Python agents, retrieval pipelines) to accelerate triage and decision flow.
* Integrate agents with APIs, event streams, dashboards, and case management systems to reduce cycle time from signal to action.
* Engineering Excellence \&amp; Governance
* Champion secure\-by\-design practices, reproducibility, and auditability (model cards, data sheets, deployment records).
* Contribute to coding standards, code reviews, and knowledge sharing; mentor engineers and data scientists.
* Agile Collaboration \&amp; Impact
* Work in Agile teams; drive iterative delivery, joint problem\-solving, and continuous improvement.
* Translate mission goals into technical roadmaps and measurable outcomes tied to Sentinel time\-to\-intervention targets.
**Required Qualifications**
* Experience: 3\+ years hands\-on developing and deploying AI/ML models in production environments.
* Programming: Proficient in Python (including packaging, testing, performance optimization).
* ML Expertise: Understanding of algorithms, model selection, training/validation/optimization, and evaluation at scale.
* Data Skills: Proficient in data preprocessing, feature engineering, and data visualization for decision support.
* Deep Learning \&amp; MLOps: Proficient with PyTorch/TensorFlow, and modern MLOps (deployment, monitoring, scaling, CI/CD, experiment tracking, model registry).
* Cloud: Experience with Azure for AI/ML workloads (e.g., Azure ML, Azure Synapse, Azure Data Lake).
* AI Agents: Experience developing AI agents in Copilot Studio and via Python frameworks (tooling, orchestration, retrieval, connectors).
* Bachelor’s degree, or equivalent experience in Computer Science, Data Science, Mathematics, Statistics, Engineering, related field, OR equivalent professional experience.
**Preferred Qualifications**
* Experience with streaming/event\-driven architectures (Event Hubs), feature stores, and vector databases (for retrieval augmented generation).
* Hands\-on with responsible AI (fairness, explainability, privacy), model governance (model cards, audits), and security in cloud ML.
* Familiarity with domain\-specific risk analytics and public sector/regulated environments.
* Certifications in Azure AI/ML and/or MLOps advantageous.
**Other**
· Federal and/or Commercial experience
· Technical troubleshooting support
\- Hybrid or remote work environment
**Competencies**
· Self\-motivated
· Ability to maintain an extreme sense of urgency in all interactions with the customer
· Exceptional email management and written communication skills
· Solution\-oriented
· Ability to research, analyze, and create viable solutions
· Strong technical attitude and ability to quickly learn and apply technical knowledge
· Excellent troubleshooting and problem\-solving skills
· Ability to multi\-task
**Supervisory Responsibility**  
This position has no supervisory responsibilities.
**Work Environment**  
On\-Site/Remote/hybrid work environment.
**Physical Demands**  
While performing the duties of this job, the employee may be required to move physical IT equipment.
**Position Type/Expected Hours of Work**  
40 hour work week
**Travel**
Occasional travel to a client site may be required.
**Additional Eligibility Qualifications**  
None
**Work Authorization**  
Required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**AAP/EEO Statement**
*As part of our dedication to an inclusive and diverse workforce, OnPoint is committed to Equal Employment Opportunity without regard for race, color, national origin, ethnicity, gender, protected veteran status, disability, sexual orientation, gender identity, or religion. We are also committed to providing reasonable accommodations for qualified individuals with disabilities and disabled veterans in our job application procedures. If you need assistance or an accommodation due to a disability, you may contact us at peoplesuccess@onpointcorp.com or you may call us at 703\-841\-5500\.*
Job Type: Full\-time
Pay: $125,000\.00 \- $150,000\.00 per year
Benefits:
* 401(k)
* 401(k) matching
* Dental insurance
* Flexible schedule
* Flexible spending account
* Health insurance
* Health savings account
* Life insurance
* Paid time off
* Parental leave
* Tuition reimbursement
* Vision insurance
Experience:
* AI models: 3 years (Required)
Work Location: Hybrid remote in Bethesda, MD 20814</t>
        </is>
      </c>
    </row>
    <row r="135">
      <c r="A135" t="inlineStr">
        <is>
          <t>in-0eb40eab8f46fb19</t>
        </is>
      </c>
      <c r="B135" t="inlineStr">
        <is>
          <t>AI/ML Engineer (Senior)</t>
        </is>
      </c>
      <c r="C135" t="inlineStr">
        <is>
          <t>OnPoint Consulting, Inc</t>
        </is>
      </c>
      <c r="D135" t="inlineStr">
        <is>
          <t>indeed</t>
        </is>
      </c>
      <c r="E135">
        <f>HYPERLINK("https://www.indeed.com/viewjob?jk=0eb40eab8f46fb19", "https://www.indeed.com/viewjob?jk=0eb40eab8f46fb19")</f>
        <v/>
      </c>
      <c r="F135">
        <f>HYPERLINK("http://www.indeed.com/job/aiml-engineer-senior-0eb40eab8f46fb19", "http://www.indeed.com/job/aiml-engineer-senior-0eb40eab8f46fb19")</f>
        <v/>
      </c>
      <c r="G135" t="inlineStr">
        <is>
          <t>Bethesda, MD, US</t>
        </is>
      </c>
      <c r="H135" s="2" t="n">
        <v>46073</v>
      </c>
      <c r="I135" t="inlineStr">
        <is>
          <t>Job description
**Role: AI/ML Engineer (Senior)**
**Reports to:**  Program Manager
**Work Hours**: 40 hour week with core hours of 9\-5pm
**OnPoint**, a wholly\-owned subsidiary of Sapient Government Services, is a vibrant, energetic, and growing ISO\-certified technology and management consulting partner that provides critical thinking, strategic analysis, and thought leadership in a collaborative environment in an enduring effort to improve performance, lower costs, and achieve results for clients. We are guided by our principles: Clarity. Action. Results—for each client engagement we work to gain clarity, move into action, and achieve results. OnPoint specializes in delivering solutions in Cybersecurity, Strategic Communications, Information Assurance, Network Operations, Project Management and Systems Development.
**JOB DESCRIPTION**
**Summary/Objective**
The Senior AI/ML Engineer will lead the design, deployment, and operation of production\-grade AI systems that power Consumer Product Safety Commission's (CPSC) Sentinel model \- protecting more consumers, faster, from more hazards by using analytics to shorten time to intervention. This role will own endtoend model lifecycle engineering on Azure, advance MLOps best practices, and build AI agents (Copilot Studio \+ Python frameworks) that translate signals into timely, actionable decisions.
**Essential Functions**
* Build \&amp; Ship Production Models
* Architect, implement, and productionize ML solutions (supervised/unsupervised, NLP, deep learning) with robust data preprocessing, feature engineering, and evaluation pipelines.
* Lead model selection, training, validation, optimization, and calibration, ensuring reliability, fairness, and performance at scale.
* Own the MLOps Lifecycle (Azure)
* Establish MLOps workflows (CI/CD for ML, experiment tracking, model registry, reproducible builds and deployments).
* Implement model monitoring (drift, data/feature quality, bias, and business KPIs), alerting, and automated rollback to keep systems safe and responsive.
* Data Engineering for ML
* Design high\-quality data pipelines (ingest, transform, validate) across structured and unstructured sources; enforce data contracts and lineage.
* Partner with analytics teams to make datasets discoverable, documented, and performant for iterative model development.
* AI Agents \&amp; Copilot Integration
* Build AI agents that operationalize safety analytics (Copilot Studio, Python agents, retrieval pipelines) to accelerate triage and decision flow.
* Integrate agents with APIs, event streams, dashboards, and case management systems to reduce cycle time from signal to action.
* Engineering Excellence \&amp; Governance
* Champion secure\-by\-design practices, reproducibility, and auditability (model cards, data sheets, deployment records).
* Contribute to coding standards, code reviews, and knowledge sharing; mentor engineers and data scientists.
* Agile Collaboration \&amp; Impact
* Work in Agile teams; drive iterative delivery, joint problem\-solving, and continuous improvement.
* Translate mission goals into technical roadmaps and measurable outcomes tied to Sentinel time\-to\-intervention targets.
**Required Competencies**
* Experience: 5\+ years hands\-on developing and deploying AI/ML models in production environments.
* Programming: Expert in Python (including packaging, testing, performance optimization).
* ML Expertise: Deep understanding of algorithms, model selection, training/validation/optimization, and evaluation at scale.
* Data Skills: Expert in data preprocessing, feature engineering, and data visualization for decision support
* Deep Learning \&amp; MLOps: Expert with PyTorch/TensorFlow, and modern MLOps (deployment, monitoring, scaling, CI/CD, experiment tracking, model registry).
* Cloud: Proven experience with Azure for AI/ML workloads (e.g., Azure ML, Azure Synapse, Azure Data Lake).
* AI Agents: Experience developing AI agents in Copilot Studio and via Python frameworks (tooling, orchestration, retrieval, connectors)
**Preferred Qualifications**
* Experience with streaming/event\-driven architectures (Event Hubs), feature stores, and vector databases (for retrieval augmented generation).
* Hands\-on with responsible AI (fairness, explainability, privacy), model governance (model cards, audits), and security in cloud ML.
* Familiarity with domain\-specific risk analytics and public sector/regulated environments.
* Certifications in Azure AI/ML and/or MLOps advantageous.
**Supervisory Responsibility**  
This position has no supervisory responsibilities.
**Work Environment**  
OnPoint offers a hybrid work environment, meaning that most work can be done remotely, while some work needs to be completed on\-premise.
**Physical Demands**  
While performing the duties of this job, the employee is occasionally required to move physical IT equipment.
**Position Type/Expected Hours of Work**  
40 hour work week
**Travel**
Occasional travel to a client site or event/conference will be required.
**Desired Education and Experience**
* PhD, Master’s degree, or equivalent experience in Computer Science, Data Science, Mathematics, Statistics, Engineering, related field, OR equivalent professional experience.
· Minimum of 5 years of professional experience
· Experience in the Government contracting industry
**Additional Eligibility Qualifications**  
**N/A**
**Work Authorization/Security Clearance**  
None required.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**AAP/EEO Statement**
*As part of our dedication to an inclusive and diverse workforce, OnPoint is committed to Equal Employment Opportunity without regard for race, color, national origin, ethnicity, gender, protected veteran status, disability, sexual orientation, gender identity, or religion. We are also committed to providing reasonable accommodations for qualified individuals with disabilities and disabled veterans in our job application procedures. If you need assistance or an accommodation due to a disability, you may contact us at hr@onpointcorp.com* *or you may call us at 703\-841\-5500\.*
Job Type: Full\-time
Pay: $150,000\.00 \- $175,000\.00 per year
Benefits:
* 401(k)
* 401(k) matching
* Dental insurance
* Employee assistance program
* Flexible schedule
* Flexible spending account
* Health insurance
* Health savings account
* Life insurance
* Paid time off
* Parental leave
* Referral program
* Relocation assistance
* Tuition reimbursement
* Vision insurance
Schedule:
* 8 hour shift
Supplemental Pay:
* Bonus opportunities
Experience:
* AI models: 5 years (Required)
Work Location: Hybrid remote in Bethesda, MD 20814</t>
        </is>
      </c>
    </row>
    <row r="136">
      <c r="A136" t="inlineStr">
        <is>
          <t>in-66d9681dc8bde6de</t>
        </is>
      </c>
      <c r="B136" t="inlineStr">
        <is>
          <t>Senior Lead AI Engineer (Gen AI Platform Services)</t>
        </is>
      </c>
      <c r="C136" t="inlineStr">
        <is>
          <t>Capital One</t>
        </is>
      </c>
      <c r="D136" t="inlineStr">
        <is>
          <t>indeed</t>
        </is>
      </c>
      <c r="E136">
        <f>HYPERLINK("https://www.indeed.com/viewjob?jk=66d9681dc8bde6de", "https://www.indeed.com/viewjob?jk=66d9681dc8bde6de")</f>
        <v/>
      </c>
      <c r="F136">
        <f>HYPERLINK("https://www.capitalonecareers.com/job/-/-/1732/91904716160", "https://www.capitalonecareers.com/job/-/-/1732/91904716160")</f>
        <v/>
      </c>
      <c r="G136" t="inlineStr">
        <is>
          <t>San Jose, CA, US</t>
        </is>
      </c>
      <c r="H136" s="2" t="n">
        <v>46071</v>
      </c>
      <c r="I136" t="inlineStr">
        <is>
          <t>Senior Lead AI Engineer (Gen AI Platform Services)**Overview:**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AI Engineer  
San Francisco, CA: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37">
      <c r="A137" t="inlineStr">
        <is>
          <t>in-82a195bc3aa2cfb8</t>
        </is>
      </c>
      <c r="B137" t="inlineStr">
        <is>
          <t>AI Engineering Manager - GenAI Platform , Infra &amp; AIOps</t>
        </is>
      </c>
      <c r="C137" t="inlineStr">
        <is>
          <t>Apple</t>
        </is>
      </c>
      <c r="D137" t="inlineStr">
        <is>
          <t>indeed</t>
        </is>
      </c>
      <c r="E137">
        <f>HYPERLINK("https://www.indeed.com/viewjob?jk=82a195bc3aa2cfb8", "https://www.indeed.com/viewjob?jk=82a195bc3aa2cfb8")</f>
        <v/>
      </c>
      <c r="F137">
        <f>HYPERLINK("https://jsv3.recruitics.com/redirect?rx_cid=3427&amp;rx_jobId=200646708-0836_rxr-661&amp;rx_url=https%3A%2F%2Fjobs.apple.com%2Fen-us%2Fdetails%2F200646708-0836%2Fai-engineering-manager-genai-platform-infra-aiops%3Fboard_id%3DJB001%26rx_campaign%3Dindeed0%26rx_ch%3Djobp4p%26rx_group%3D122365%26rx_id%3Da01f8064-0e1f-11f1-976e-db6dba340f9e%26rx_job%3D200646708-0836_rxr-661%26rx_medium%3Dcpc%26rx_r%3Dnone%26rx_source%3Dindeed%26rx_ts%3D20260220T103803Z%26rx_vp%3Dcpc%26team%3DMLAI", "https://jsv3.recruitics.com/redirect?rx_cid=3427&amp;rx_jobId=200646708-0836_rxr-661&amp;rx_url=https%3A%2F%2Fjobs.apple.com%2Fen-us%2Fdetails%2F200646708-0836%2Fai-engineering-manager-genai-platform-infra-aiops%3Fboard_id%3DJB001%26rx_campaign%3Dindeed0%26rx_ch%3Djobp4p%26rx_group%3D122365%26rx_id%3Da01f8064-0e1f-11f1-976e-db6dba340f9e%26rx_job%3D200646708-0836_rxr-661%26rx_medium%3Dcpc%26rx_r%3Dnone%26rx_source%3Dindeed%26rx_ts%3D20260220T103803Z%26rx_vp%3Dcpc%26team%3DMLAI")</f>
        <v/>
      </c>
      <c r="G137" t="inlineStr">
        <is>
          <t>Cupertino, CA, US</t>
        </is>
      </c>
      <c r="H137" s="2" t="n">
        <v>46072</v>
      </c>
      <c r="I137" t="inlineStr">
        <is>
          <t>Imagine what you could do here. At Apple, great ideas have a way of becoming outstanding products, services and customer experiences very quickly. We believe that if you bring passion and dedication to your job, there's no telling what you could accomplish! Every new product, service, or feature we invent is the result of people working together to make each other's ideas stronger. That happens here because every one of us strives toward a common goal \- crafting the best customer experiences.  
**Description**  
We are looking for a highly skilled and experienced AI Engineering Manager to lead the planning and execution for our next generation AIML Platforms, Infrastructure and AIOps for Channel Sales at scale from 0\-1n. In this role, you will be at the forefront of shaping the future of this transformative technology, drive the vision, roadmap, and execution of innovative AI solutions that leverage generative models to create captivating user experiences across our product lines.  
You will collaborate with cross\-functional teams of business SMEs, engineers, data scientists, designers, and researchers to develop breakthrough products that push the boundaries of AI and deliver real value to our internal and external users.","responsibilities":"Lead and mentor a global team of Machine Learning Engineers, providing guidance, support and professional development opportunities  
Foster a culture of collaboration, innovation and continuous learning within the team to break glass ceilings  
Build streamlined processes, onboard new tools, effective resource planning to enable team members to do their best work  
Proactively identify issues, manage risks, identify mitigations, marshal resources, and re\-plan as needed  
Stay abreast of the latest advancements in the field and identify relevant technologies for implementation  
Collaborate effectively with Machine Learning and Software Development Engineers to see around the corner and build future proof products  
Set clear engineering goals and priorities for the Channel Sales AIML Platform, Infra and AIOps to ensure scalability and reliability  
Create compelling product documentation and presentations for internal and external stakeholders  
Identify and resolve conflicts, inter\-dependencies, and alignment issues quickly and effectively  
Build relationships and collaboration opportunities within Channel Sales and with other orgs i.e AIML, SWE etc  
Define key performance indicators (KPIs) and metrics to measure performance of AI Powered products  
Monitor and analyze performance data, providing key insights and recommendations for continuous improvement  
Advocate for data\-driven decision making across the organization  
**Preferred Qualifications**  
Experience building new relationships and driving cross\-functional collaboration, with ability to influence without authority  
Experience setting up new process, tools and KPIs from the ground up  
Analytical and strategic mindset with ability to solve complex problems  
Team player and willingness to mentor team members  
**Minimum Qualifications**  
10\+ years of experience in Machine Learning and Software Engineering with successful launch of large scale consumer facing Commerce products worldwide  
5\+ years leading Machine Learning, Infra and AIOps teams and managing direct reports  
Successful track record of working closely with design and engineering teams during the full GenAI/LLM product lifecycle, including research, planning, implementation and launch  
Experience positioning and launching of new AI powered products  
Extraordinary verbal and written communication skills  
Ability to filter and distill relevant information for the right audience  
Demonstrated ability to develop compelling talking points and stories about new AI powered product and technologies for a broad audience including internal/external stakeholders, leaderships, users etc  
Strong experience leading cross\-functional initiatives with a clear impact on the direction of products  
Strong organizational skills, able to handle ambiguity with experience in thriving in a startup environment within a large organization  
Strong python and software development coding experience  
Proven customer focus and curiosity  
Demonstrates attention to detail and enjoys both hands\-on work and high\-level strategic thinking  
Master’s degree in Computer Science, AI, Machine Learning or a related technical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$228,100 and $342,800,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38">
      <c r="A138" t="inlineStr">
        <is>
          <t>in-a7246e0a75c95127</t>
        </is>
      </c>
      <c r="B138" t="inlineStr">
        <is>
          <t>AI/ML Engineer (The Builder — Infrastructure &amp; Systems)</t>
        </is>
      </c>
      <c r="C138" t="inlineStr">
        <is>
          <t>Callagy Law</t>
        </is>
      </c>
      <c r="D138" t="inlineStr">
        <is>
          <t>indeed</t>
        </is>
      </c>
      <c r="E138">
        <f>HYPERLINK("https://www.indeed.com/viewjob?jk=a7246e0a75c95127", "https://www.indeed.com/viewjob?jk=a7246e0a75c95127")</f>
        <v/>
      </c>
      <c r="F138">
        <f>HYPERLINK("http://www.indeed.com/job/aiml-engineer-builder-infrastructure-systems-a7246e0a75c95127", "http://www.indeed.com/job/aiml-engineer-builder-infrastructure-systems-a7246e0a75c95127")</f>
        <v/>
      </c>
      <c r="G138" t="inlineStr">
        <is>
          <t>Paramus, NJ, US</t>
        </is>
      </c>
      <c r="H138" s="2" t="n">
        <v>46073</v>
      </c>
      <c r="I138" t="inlineStr">
        <is>
          <t>**About ACTi** 
Actualized Intelligence (ACTi) is building the next generation of AI\-powered agents that create real behavioral transformation. Our "yes\-causing" technology and Heroic Unique Identity (HUI) extraction systems push the boundaries of what conversational AI can achieve. We're looking for a talented AI/ML Engineer to build and maintain the core technical infrastructure that powers our growing fleet of intelligent agents.
**Role Overview**
As our AI/ML Engineer, you are the architect behind the curtain. You'll build and maintain the backend systems, data pipelines, and integrations that make our AI agents run. From vector databases to workflow orchestration, you own the plumbing that turns prompt strategy into live, working agents. You'll collaborate closely with our Prompt Architect to bring agent designs to life at a technical level.
**Key Responsibilities**
\-Design, build, and maintain backend infrastructure for AI agent deployment including API integrations, data pipelines, and orchestration workflows
\-Manage and optimize Retrieval\-Augmented Generation (RAG) systems using Pinecone vector databases, including embedding pipelines and knowledge base architecture
\-Build and maintain n8n automation workflows that power agent orchestration, data flow, and cross\-platform integrations
\- Integrate LLM APIs (Claude, GPT) with production systems, handling authentication, error handling, rate limiting, and fallback logic
\-Develop and maintain integrations with voice platforms (ElevenLabs), CRMs, communication tools, and third\-party services
\-Build the technical foundation for the Builder Agent system — an autonomous agent\-creation pipeline
\-Implement fine\-tuning workflows, embedding model management, and model evaluation frameworks as needed
\-Optimize system performance, latency, and cost efficiency across all AI infrastructure
\-Collaborate with the Prompt Architect to translate system prompt designs into robust, production\-ready technical implementations
**Required Qualifications**
\-3\+ years of experience in software engineering with a focus on AI/ML infrastructure or backend systems
\-Strong proficiency in Python and experience with AI/ML frameworks and libraries
\-Hands\-on experience with vector databases (Pinecone, Weaviate, Qdrant, or similar)
\-Experience building and consuming RESTful APIs and working with LLM provider APIs (Anthropic, OpenAI)
\-Familiarity with workflow automation tools (n8n, LangChain, or similar orchestration platforms)
\-Experience with cloud platforms (AWS, GCP, or Azure) and containerization (Docker)
\-Strong understanding of RAG architectures, embedding models, and knowledge retrieval systems
**Preferred Qualifications**
\-Experience with voice AI platforms (ElevenLabs, Deepgram, or similar)
\-Background in building multi\-agent systems or agent orchestration frameworks
\-Experience with fine\-tuning LLMs or training custom models
\-Familiarity with CI/CD pipelines for AI/ML deployments
\-Experience with real\-time data processing and streaming architectures
**What Success Looks Like**
\-Within 30 days: Fully onboarded on ACTi's current tech stack; able to independently deploy and troubleshoot agent infrastructure
\-Within 60 days: Optimized existing RAG and n8n pipelines; reduced latency and improved reliability across live agents
\-Within 90 days: Delivered first iteration of the Builder Agent infrastructure; established scalable patterns for rapid agent deployment
Job Type: Full\-time
Pay: $70,000\.00 \- $80,000\.00 per year
Benefits:
* 401(k)
* Dental insurance
* Health insurance
* Paid time off
* Vision insurance
Application Question(s):
* Why are you interested/why do you think you would be a good fit?
Work Location: Hybrid remote in Paramus, NJ 07652</t>
        </is>
      </c>
    </row>
    <row r="139">
      <c r="A139" t="inlineStr">
        <is>
          <t>in-6c3a0dcbcfb45a10</t>
        </is>
      </c>
      <c r="B139" t="inlineStr">
        <is>
          <t>AI Engineer III, AI.x</t>
        </is>
      </c>
      <c r="C139" t="inlineStr">
        <is>
          <t>Charles Schwab</t>
        </is>
      </c>
      <c r="D139" t="inlineStr">
        <is>
          <t>indeed</t>
        </is>
      </c>
      <c r="E139">
        <f>HYPERLINK("https://www.indeed.com/viewjob?jk=6c3a0dcbcfb45a10", "https://www.indeed.com/viewjob?jk=6c3a0dcbcfb45a10")</f>
        <v/>
      </c>
      <c r="F139">
        <f>HYPERLINK("https://www.schwabjobs.com/job/-/-/33727/91914591280", "https://www.schwabjobs.com/job/-/-/33727/91914591280")</f>
        <v/>
      </c>
      <c r="G139" t="inlineStr">
        <is>
          <t>San Francisco, CA, US</t>
        </is>
      </c>
      <c r="H139" s="2" t="n">
        <v>46072</v>
      </c>
      <c r="I139" t="inlineStr">
        <is>
          <t>**Your opportunity**
--------------------
At Schwab, you will build a rewarding career while making a difference in the lives of our millions of clients. Here, innovative thinking meets creative problem solving as we work together to challenge the status quo. We believe in the power of collaboration and value being together in the office, which is why this role is based on\-site in our San Francisco office. Joining Schwab means joining a company committed to transforming the financial industry and putting clients at the center of everything we do.  
Schwab’s AI Strategy \&amp; Transformation team, known as AI.x, is the central hub for Artificial Intelligence at Schwab. We are an integrated product, engineering, strategy and risk team, all based in San Francisco. We help set the enterprise vision for AI, invest in the most promising opportunities, and accelerate delivery across the company. We also build the core platform that powers AI at scale and explore next\-generation GenAI efforts that will redefine how we serve our clients. As an AI Engineer on AI.x, you will play an important role in bringing these priorities to life by designing and delivering innovative AI solutions.  
This role is more than an engineering position. It is an opportunity to join a high\-profile team shaping Schwab’s future with AI, to build solutions that matter to millions of clients, and to grow your career in one of the most exciting areas of technology today.  
As an AI Engineer, you will contribute to the design, development, and delivery of GenAI applications that enhance client experience and create business value. You will collaborate with architects, engineers, and business leaders to ensure solutions align with Schwab’s enterprise strategy. You will have the opportunity to learn from senior engineers, participate in technical discussions, and help to build strong engineering practices while fostering a culture of continuous learning. You will work on solving complex technical challenges, support best engineering standards, and help drive iterations from concept to production. Above all, you will bring curiosity, creativity, and technical skill to help shape the next generation of AI at Schwab.**What you have**
-----------------
 **Required Qualifications*** 3\+ years of software development experience and 1\+ year of experience as a hands\-on engineer in startups and/or large organizations.
* Bachelor's degree in Computer Science or related field.
* 2\+ years of experience building products and supporting them in production environments.
* 1\+ year of experience developing applications that use Artificial Intelligence (AI) models to deliver business impact.
* 1\+ year of experience working with applications or data pipelines that interface with large datasets.
* 1\+ year of experience with containers and cloud\-native applications, with exposure to deploying them in the public cloud using infrastructure as code.
**Preferred Qualifications*** Strong computer science fundamentals and experience working across different parts of the tech stack.
* Exposure to proprietary or open\-source LLMs (Gemini, Claude, OpenAI or other models) and contributing to LLM\-powered applications.
* Commitment to quality in your work, with experience writing and maintaining tests.
* Experience evaluating and monitoring LLM\-generated outputs for quality and consistency.
* Strong communication skills – able to clearly share your perspective with others on the team, both verbally and in writing.
* Interest in mentoring peers and learning from senior engineers through feedback and code reviews.
* Demonstrated commitment to continuous learning and improvement.
* Ability to address complex problems, even with ambiguous or incomplete data, within distributed systems.
* Broad business domain knowledge related to the products you've contributed to.
* Curiosity about new technologies and processes – you seek to grow your skills and share knowledge with team members.
* Experience with Python and front\-end development is preferred but not required.
* Master’s or advanced degrees in Computer Science or related fields are a plus.
In addition to the salary range, this role is also eligible for bonus or incentive opportunities.**What’s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140">
      <c r="A140" t="inlineStr">
        <is>
          <t>in-9a90d7056c3f9b16</t>
        </is>
      </c>
      <c r="B140" t="inlineStr">
        <is>
          <t>Machine Learning Engineer - News, Books, &amp; Stocks Team</t>
        </is>
      </c>
      <c r="C140" t="inlineStr">
        <is>
          <t>Apple</t>
        </is>
      </c>
      <c r="D140" t="inlineStr">
        <is>
          <t>indeed</t>
        </is>
      </c>
      <c r="E140">
        <f>HYPERLINK("https://www.indeed.com/viewjob?jk=9a90d7056c3f9b16", "https://www.indeed.com/viewjob?jk=9a90d7056c3f9b16")</f>
        <v/>
      </c>
      <c r="F140">
        <f>HYPERLINK("https://jsv3.recruitics.com/redirect?rx_cid=3427&amp;rx_jobId=200647366-0836_rxr-661&amp;rx_url=https%3A%2F%2Fjobs.apple.com%2Fen-us%2Fdetails%2F200647366-0836%2Fmachine-learning-engineer-news-books-stocks-team%3Fboard_id%3DJB001%26rx_campaign%3Dindeed0%26rx_ch%3Djobp4p%26rx_group%3D122365%26rx_id%3Da0472c82-0e1f-11f1-976e-87d43efe876f%26rx_job%3D200647366-0836_rxr-661%26rx_medium%3Dcpc%26rx_r%3Dnone%26rx_source%3Dindeed%26rx_ts%3D20260220T103803Z%26rx_vp%3Dcpc%26team%3DSFTWR", "https://jsv3.recruitics.com/redirect?rx_cid=3427&amp;rx_jobId=200647366-0836_rxr-661&amp;rx_url=https%3A%2F%2Fjobs.apple.com%2Fen-us%2Fdetails%2F200647366-0836%2Fmachine-learning-engineer-news-books-stocks-team%3Fboard_id%3DJB001%26rx_campaign%3Dindeed0%26rx_ch%3Djobp4p%26rx_group%3D122365%26rx_id%3Da0472c82-0e1f-11f1-976e-87d43efe876f%26rx_job%3D200647366-0836_rxr-661%26rx_medium%3Dcpc%26rx_r%3Dnone%26rx_source%3Dindeed%26rx_ts%3D20260220T103803Z%26rx_vp%3Dcpc%26team%3DSFTWR")</f>
        <v/>
      </c>
      <c r="G140" t="inlineStr">
        <is>
          <t>Cupertino, CA, US</t>
        </is>
      </c>
      <c r="H140" s="2" t="n">
        <v>46072</v>
      </c>
      <c r="I140" t="inlineStr">
        <is>
          <t>In a time where the news and book media landscapes are changing by the day, Apple News and  
Apple Books stand as champions of quality content, expert curation, user privacy, and the  
judicious use of machine learning.  
Our lively and brilliant team consists of client and machine learning engineers who embody  
Apple's values. We inspire, teach, and otherwise enable each other to do the best work of our  
careers.  
Our team's outstanding retention rate speaks to our strong culture of respect for our teammates  
as both engineers and people.  
Would you like to work on such a team, solving hard problems in machine learning? Terrific!  
Please join us for the next generation of these apps!  
**Description**  
Our team is seeking a high\-energy and self\-driven machine learning engineer who will play a  
central role in the delivery of scalable services. The team uses machine learning to tackle  
difficult and complicated problems in the news, books, and stocks domains, including text  
extraction, named entity recognition, duplicate detection, search, ranking, and much more! As a  
member of our dynamic group, you’ll have the rare and rewarding opportunity to craft upcoming  
products that will delight and encourage millions of Apple’s customers every day!","responsibilities":"Design and implement state\-of\-the\-art AI/ML that processes news, stocks, and books data  
to drive recommendations, power advanced search, and enable next\-generation AI features.  
Develop datasets, design model architecture, and prompt, train, or fine\-tune models.  
Partner with cross\-functional teams at the intersection of technology and liberal arts to design and implement end\-to\-end AI/ML features.  
Drive application features from concept, model design, and development all the way to  
delivery.  
Join a thriving machine learning community at Apple.  
**Preferred Qualifications**  
Ph.D. in Machine Learning, Computer Science, or related field.  
At least 5 years of experience shipping machine learning models in products.  
Experience with recommender systems.  
Experience with text\-centric AI/ML (LLMs, document classification, search, etc.)  
Experience delivering high quality software at scale.  
Experience designing user\-facing machine learning features with interdisciplinary partners.  
**Minimum Qualifications**  
MS in Machine Learning, Computer Science, or related field. Alternatively, equivalent  
industry experience to an MS degree is acceptable.  
At least 2 years of experience shipping machine learning models in products.  
Strong programming skills in Python, Java, or a related language, and one of the deep learning toolkits such as PyTorch, TensorFlow, or similar.  
Ability to communicate effectively and collaborate with partner teams.  
Commitment to encouraging an open and inclusive work environment.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41">
      <c r="A141" t="inlineStr">
        <is>
          <t>in-f827f4460c4bae8d</t>
        </is>
      </c>
      <c r="B141" t="inlineStr">
        <is>
          <t>Staff Machine Learning Engineer - News, Books, &amp; Stocks Team</t>
        </is>
      </c>
      <c r="C141" t="inlineStr">
        <is>
          <t>Apple</t>
        </is>
      </c>
      <c r="D141" t="inlineStr">
        <is>
          <t>indeed</t>
        </is>
      </c>
      <c r="E141">
        <f>HYPERLINK("https://www.indeed.com/viewjob?jk=f827f4460c4bae8d", "https://www.indeed.com/viewjob?jk=f827f4460c4bae8d")</f>
        <v/>
      </c>
      <c r="F141">
        <f>HYPERLINK("https://jsv3.recruitics.com/redirect?rx_cid=3427&amp;rx_jobId=200647421-0836_rxr-661&amp;rx_url=https%3A%2F%2Fjobs.apple.com%2Fen-us%2Fdetails%2F200647421-0836%2Fstaff-machine-learning-engineer-news-books-stocks-team%3Fboard_id%3DJB001%26rx_campaign%3Dindeed0%26rx_ch%3Djobp4p%26rx_group%3D122365%26rx_id%3D9a743d52-0e1f-11f1-976e-8b64f33e7520%26rx_job%3D200647421-0836_rxr-661%26rx_medium%3Dcpc%26rx_r%3Dnone%26rx_source%3Dindeed%26rx_ts%3D20260220T103803Z%26rx_vp%3Dcpc%26team%3DSFTWR", "https://jsv3.recruitics.com/redirect?rx_cid=3427&amp;rx_jobId=200647421-0836_rxr-661&amp;rx_url=https%3A%2F%2Fjobs.apple.com%2Fen-us%2Fdetails%2F200647421-0836%2Fstaff-machine-learning-engineer-news-books-stocks-team%3Fboard_id%3DJB001%26rx_campaign%3Dindeed0%26rx_ch%3Djobp4p%26rx_group%3D122365%26rx_id%3D9a743d52-0e1f-11f1-976e-8b64f33e7520%26rx_job%3D200647421-0836_rxr-661%26rx_medium%3Dcpc%26rx_r%3Dnone%26rx_source%3Dindeed%26rx_ts%3D20260220T103803Z%26rx_vp%3Dcpc%26team%3DSFTWR")</f>
        <v/>
      </c>
      <c r="G141" t="inlineStr">
        <is>
          <t>Cupertino, CA, US</t>
        </is>
      </c>
      <c r="H141" s="2" t="n">
        <v>46072</v>
      </c>
      <c r="I141" t="inlineStr">
        <is>
          <t>In a time where the news and book media landscapes are changing by the day, Apple News and  
Apple Books stand as champions of quality content, expert curation, user privacy, and the  
judicious use of machine learning.  
Our lively and brilliant team consists of client and machine learning engineers who embody  
Apple's values. We inspire, teach, and otherwise enable each other to do the best work of our  
careers.  
Our team's outstanding retention rate speaks to our strong culture of respect for our teammates  
as both engineers and people.  
Would you like to work on such a team, solving hard problems in machine learning? Terrific!  
Please join us for the next generation of these apps!  
**Description**  
Our team is seeking a high\-energy and self\-driven machine learning engineer who will play a  
central role in the delivery of scalable services. The team uses machine learning to tackle  
difficult and complicated problems in the news, books, and stocks domains, including text  
extraction, named entity recognition, duplicate detection, search, ranking, and much more! As a  
member of our dynamic group, you’ll have the rare and rewarding opportunity to craft upcoming  
products that will delight and encourage millions of Apple’s customers every day!","responsibilities":"Design and implement state\-of\-the\-art AI/ML that processes news, stocks, and books data  
to drive recommendations, power advanced search, and enable next\-generation AI features.  
Develop datasets, design model architecture, and prompt, train, or fine\-tune models.  
Partner with multi\-functional teams at the intersection of technology and liberal arts to design and implement end\-to\-end machine learning enabled features.  
Drive application features from concept, model design, and development all the way to delivery.  
Lead highly cross\-functional software projects.  
Mentor junior engineers.  
Be part of our thriving machine learning community at Apple.  
**Preferred Qualifications**  
.  
**Minimum Qualifications**  
MS in Machine Learning, Computer Science, or related field. Alternatively, equivalent industry experience to an MS degree is acceptable.  
At least 5 years of experience shipping machine learning models in products.  
Strong programming skills in Python, Java, or a related language, and one of the deep learning toolkits such as PyTorch, TensorFlow, or similar.  
Experience designing user\-facing machine learning features with interdisciplinary partners.  
Experience with recommender systems.  
Experience with text\-centric AI/ML (LLMs, document classification, search, etc.)  
Experience delivering high quality software at scale.  
Ability to communicate effectively and collaborate with partner teams.  
Commitment to encouraging an open and inclusive work environment.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42">
      <c r="A142" t="inlineStr">
        <is>
          <t>in-c5f1d1859adc28cd</t>
        </is>
      </c>
      <c r="B142" t="inlineStr">
        <is>
          <t>Machine Learning Engineer, Sales Engineering</t>
        </is>
      </c>
      <c r="C142" t="inlineStr">
        <is>
          <t>Apple</t>
        </is>
      </c>
      <c r="D142" t="inlineStr">
        <is>
          <t>indeed</t>
        </is>
      </c>
      <c r="E142">
        <f>HYPERLINK("https://www.indeed.com/viewjob?jk=c5f1d1859adc28cd", "https://www.indeed.com/viewjob?jk=c5f1d1859adc28cd")</f>
        <v/>
      </c>
      <c r="F142">
        <f>HYPERLINK("https://jsv3.recruitics.com/redirect?rx_cid=3427&amp;rx_jobId=200646583-0240_rxr-661&amp;rx_url=https%3A%2F%2Fjobs.apple.com%2Fen-us%2Fdetails%2F200646583-0240%2Fmachine-learning-engineer-sales-engineering%3Fboard_id%3DJB001%26rx_campaign%3Dindeed0%26rx_ch%3Djobp4p%26rx_group%3D122365%26rx_id%3D9d148a0a-0e1f-11f1-976e-af66316a43a4%26rx_job%3D200646583-0240_rxr-661%26rx_medium%3Dcpc%26rx_r%3Dnone%26rx_source%3Dindeed%26rx_ts%3D20260220T103803Z%26rx_vp%3Dcpc%26team%3DSFTWR", "https://jsv3.recruitics.com/redirect?rx_cid=3427&amp;rx_jobId=200646583-0240_rxr-661&amp;rx_url=https%3A%2F%2Fjobs.apple.com%2Fen-us%2Fdetails%2F200646583-0240%2Fmachine-learning-engineer-sales-engineering%3Fboard_id%3DJB001%26rx_campaign%3Dindeed0%26rx_ch%3Djobp4p%26rx_group%3D122365%26rx_id%3D9d148a0a-0e1f-11f1-976e-af66316a43a4%26rx_job%3D200646583-0240_rxr-661%26rx_medium%3Dcpc%26rx_r%3Dnone%26rx_source%3Dindeed%26rx_ts%3D20260220T103803Z%26rx_vp%3Dcpc%26team%3DSFTWR")</f>
        <v/>
      </c>
      <c r="G142" t="inlineStr">
        <is>
          <t>Austin, TX, US</t>
        </is>
      </c>
      <c r="H142" s="2" t="n">
        <v>46072</v>
      </c>
      <c r="I142" t="inlineStr">
        <is>
          <t>Imagine what you could do here. At Apple, great ideas have a way of becoming great products, services and customer experiences very quickly. Bring passion and dedication to your job and there's no telling what you could accomplish. Apple is where individual imaginations gather together, committing to the values that lead to great work. Every new product we build, service we create, or Apple Store experience we deliver is the result of us making each other’s ideas stronger. Apple’s Sales Engineering team is shaping the future of Channel Sales with innovative, high\-impact applications. We’re looking for a Machine Learning Engineer to help us design and build the next generation of intelligent systems that power Apple’s global partner ecosystem. In this role, you’ll develop and deploy machine learning solutions while leveraging generative AI and advanced ML capabilities to deliver scalable, production\-ready systems that accelerate strategic, high\-impact initiatives across Apple Channel Sales. If you’re passionate about applying AI to solve complex business problems, experimenting with emerging GenAI technologies, and building products that make a real difference, join our collaborative team and help us move fast on game\-changing ideas.  
**Description**  
Apple’s Sales Engineering Rapid Application Development (RAD) team is looking for a Machine Learning Engineer to build intelligent, scalable solutions that power Apple’s global Channel Sales. You’ll leverage generative AI and advanced machine learning technologies to deliver high\-performance, production\-ready systems that drive measurable business impact. The ideal candidate blends deep ML expertise with strong engineering skills, is passionate about applying AI to solve real\-world problems, and thrives in fast\-paced environments delivering value quickly. You’ll work side by side with product, design, and engineering teams to design, train, deploy, and optimize ML\-powered applications that push the boundaries of innovation\-whether enabling GenAI\-driven workflows, implementing RAG\-based systems, or pioneering new intelligent capabilities. If you’re excited about shaping impactful AI solutions in a collaborative, experiment\-driven environment, Sales Engineering RAD team is where you’ll thrive.","responsibilities":"Design, build, and deploy scalable machine learning and generative AI solutions that power Apple’s global Channel Sales ecosystem.  
Develop and optimize ML pipelines leveraging LLMs, LMMs, and RAG\-based architectures for production\-grade applications.  
Collaborate with cross\-functional teams to translate business needs into intelligent, data\-driven systems and workflows.  
Fine\-tune and evaluate transformer\-based models (e.g., GPT, LLaMA, BERT) for accuracy, performance, and scalability.  
Prototype and productionize emerging AI capabilities, including agentic workflows and generative assistants.  
Apply MLOps best practices for model training, deployment, monitoring, and continuous improvement.  
Ensure secure, compliant handling of sensitive data (including PII) while maintaining Apple’s privacy standards.  
**Preferred Qualifications**  
Proven ability to fine\-tune, adapt, and deploy LLMs/LMMs into real\-world, production\-grade applications.  
Proficiency in Python and leading ML frameworks such as PyTorch and TensorFlow.  
Hands\-on experience leveraging Hugging Face Transformers and associated libraries.  
Solid understanding of Retrieval\-Augmented Generation (RAG) and practical experience with orchestration frameworks like LangChain or LlamaIndex.  
Familiarity with distributed computing, cloud platforms (AWS, GCP, Azure), and containerization/orchestration tools (Docker, Kubernetes).  
Exceptional problem\-solving skills and the ability to articulate complex ML/AI concepts clearly and effectively to diverse audiences.  
Experience extending beyond traditional LLMs/LMMs to include agent\-based systems and agentic workflows.  
Proficiency with advanced LLM serving and inference frameworks, ensuring scalable and efficient model deployment.  
Practical experience building sophisticated RAG applications and orchestrating complex LLM pipelines from inception to deployment.  
Working knowledge of distributed systems and cloud\-native infrastructure.  
Expertise in optimizing transformer\-based architectures (e.g., BERT, GPT, LLaMA) for low\-latency, high\-performance inference.  
Demonstrated ability to communicate complex technical results and ML/LLM concepts with clarity and impact to both technical and non\-technical stakeholders.  
Experience applying ML methodologies in specific domains, such as sales.  
**Minimum Qualifications**  
M.S. in Computer Science, Machine Learning, Artificial Intelligence, or a closely related technical field, or equivalent practical experience.  
5\+ years experience developing and deploying machine learning solutions, with a strong focus on Large Language Models (LLMs) or Large Multimodal Models (LMMs).  
5\+ years experience with LLMs and transformer\-based architectures (e.g., BERT, GPT, LLaMA).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43">
      <c r="A143" t="inlineStr">
        <is>
          <t>in-b8a6c3622adcb8e2</t>
        </is>
      </c>
      <c r="B143" t="inlineStr">
        <is>
          <t>AIML - Staff ML Engineer, Responsible AI</t>
        </is>
      </c>
      <c r="C143" t="inlineStr">
        <is>
          <t>Apple</t>
        </is>
      </c>
      <c r="D143" t="inlineStr">
        <is>
          <t>indeed</t>
        </is>
      </c>
      <c r="E143">
        <f>HYPERLINK("https://www.indeed.com/viewjob?jk=b8a6c3622adcb8e2", "https://www.indeed.com/viewjob?jk=b8a6c3622adcb8e2")</f>
        <v/>
      </c>
      <c r="F143">
        <f>HYPERLINK("https://jsv3.recruitics.com/redirect?rx_cid=3427&amp;rx_jobId=200646873-2459_rxr-661&amp;rx_url=https%3A%2F%2Fjobs.apple.com%2Fen-us%2Fdetails%2F200646873-2459%2Faiml-staff-ml-engineer-responsible-ai%3Fboard_id%3DJB001%26rx_campaign%3Dindeed0%26rx_ch%3Djobp4p%26rx_group%3D122365%26rx_id%3D97741cc0-0e1f-11f1-976e-ed2b1d092c4a%26rx_job%3D200646873-2459_rxr-661%26rx_medium%3Dcpc%26rx_r%3Dnone%26rx_source%3Dindeed%26rx_ts%3D20260220T103803Z%26rx_vp%3Dcpc%26team%3DMLAI", "https://jsv3.recruitics.com/redirect?rx_cid=3427&amp;rx_jobId=200646873-2459_rxr-661&amp;rx_url=https%3A%2F%2Fjobs.apple.com%2Fen-us%2Fdetails%2F200646873-2459%2Faiml-staff-ml-engineer-responsible-ai%3Fboard_id%3DJB001%26rx_campaign%3Dindeed0%26rx_ch%3Djobp4p%26rx_group%3D122365%26rx_id%3D97741cc0-0e1f-11f1-976e-ed2b1d092c4a%26rx_job%3D200646873-2459_rxr-661%26rx_medium%3Dcpc%26rx_r%3Dnone%26rx_source%3Dindeed%26rx_ts%3D20260220T103803Z%26rx_vp%3Dcpc%26team%3DMLAI")</f>
        <v/>
      </c>
      <c r="G143" t="inlineStr">
        <is>
          <t>Cupertino, CA, US</t>
        </is>
      </c>
      <c r="H143" s="2" t="n">
        <v>46072</v>
      </c>
      <c r="I143" t="inlineStr">
        <is>
          <t>Join Us in Shaping the Future of Generative AI at Apple! Are you passionate about making AI systems safer, more inclusive, and globally representative? Apple is seeking an expert Machine Learning Engineer to shape the future of responsible AI for the next generation of generative features. In this role, you will lead the responsible AI lifecycle end\-to\-end: assessing risks, defining policies, developing mitigation strategies, and driving continuous improvements. Your work will directly influence how we evaluate, align, and monitor the safety of large language and multimodal models. As part of Apple’s Responsible AI group within the Human\-Centered Machine Intelligence (HCMI) organization, you’ll collaborate with cross\-functional partners to minimize unintended consequences across people, systems, and society while elevating feature capabilities and the overall user experience. Together, we’ll anticipate challenges, measure real\-world impact, and deliver trusted, high\-quality AI experiences to users around the globe. You’ll also contribute to forward\-looking research in fairness, robustness, uncertainty, and safety \- pushing the boundaries of responsible AI at scale.  
**Description**  
Our team leads Responsible AI initiatives for global generative AI products, operating at the intersection of policy, product, and GenAI. We're seeking candidates who will shape safety policies in partnership with leadership, design, engineering, legal, and regulatory stakeholders\-ensuring our safeguards advance both user protection and product innovation.  
These individuals will work on architecture mitigation and safety alignment strategies for generative models, drive integration in production. Additionally, they will work on developing models, tools, datasets, and evaluation methods to monitor, diagnose failures, and improve the safety of generative models throughout the deployment lifecycle. We do all these by incorporating human and automated feedback, post\-launch to continuously improve feature safety and user trust.  
**Preferred Qualifications**  
BS, MS, or PhD in Computer Science, Machine Learning, or related field, or equivalent experience  
Proven success contributing in a highly cross\-functional environment  
Experience shipping complex AI systems at global scale  
Background in model explainability, uncertainty estimation, or interpretability  
Curiosity and research interest in fairness, bias, and the societal impacts of generative AI  
Passion for building innovative, high\-impact products that draw upon interdisciplinary skills  
**Minimum Qualifications**  
3\+ years of proven ability in machine learning, including work with generative models (Transformers, LLMs, VLMs), NLP, or Computer Vision  
Proficiency in Python and data science libraries (e.g. Pandas) with strong skills in data analysis, visualization, and applied ML workflows  
Excellent interpersonal skills and proven ability to translate sophisticated technical insights for cross\-functional partners, senior leadership, and executives  
Strong analytical and independent problem\-solving skills, with ability to navigate ambiguity  
Experience designing and supporting human and automated evaluations, particularly with complex, nuanced, or multi\-labeled data  
Hands\-on experience collecting and analyzing language, vision, or multimodal datasets  
Background in failure analysis, quality engineering, or robustness testing for ML\-driven systems  
Must be comfortable working with sensitive or potentially offensive content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44">
      <c r="A144" t="inlineStr">
        <is>
          <t>in-2c10bd24e316d6ea</t>
        </is>
      </c>
      <c r="B144" t="inlineStr">
        <is>
          <t>AIML - Staff ML Engineer, Responsible AI</t>
        </is>
      </c>
      <c r="C144" t="inlineStr">
        <is>
          <t>Apple</t>
        </is>
      </c>
      <c r="D144" t="inlineStr">
        <is>
          <t>indeed</t>
        </is>
      </c>
      <c r="E144">
        <f>HYPERLINK("https://www.indeed.com/viewjob?jk=2c10bd24e316d6ea", "https://www.indeed.com/viewjob?jk=2c10bd24e316d6ea")</f>
        <v/>
      </c>
      <c r="F144">
        <f>HYPERLINK("https://jsv3.recruitics.com/redirect?rx_cid=3427&amp;rx_jobId=200646873-0836_rxr-661&amp;rx_url=https%3A%2F%2Fjobs.apple.com%2Fen-us%2Fdetails%2F200646873-0836%2Faiml-staff-ml-engineer-responsible-ai%3Fboard_id%3DJB001%26rx_campaign%3Dindeed0%26rx_ch%3Djobp4p%26rx_group%3D122365%26rx_id%3D97ba4cea-0e1f-11f1-976e-23cbc5b16dbc%26rx_job%3D200646873-0836_rxr-661%26rx_medium%3Dcpc%26rx_r%3Dnone%26rx_source%3Dindeed%26rx_ts%3D20260220T103803Z%26rx_vp%3Dcpc%26team%3DMLAI", "https://jsv3.recruitics.com/redirect?rx_cid=3427&amp;rx_jobId=200646873-0836_rxr-661&amp;rx_url=https%3A%2F%2Fjobs.apple.com%2Fen-us%2Fdetails%2F200646873-0836%2Faiml-staff-ml-engineer-responsible-ai%3Fboard_id%3DJB001%26rx_campaign%3Dindeed0%26rx_ch%3Djobp4p%26rx_group%3D122365%26rx_id%3D97ba4cea-0e1f-11f1-976e-23cbc5b16dbc%26rx_job%3D200646873-0836_rxr-661%26rx_medium%3Dcpc%26rx_r%3Dnone%26rx_source%3Dindeed%26rx_ts%3D20260220T103803Z%26rx_vp%3Dcpc%26team%3DMLAI")</f>
        <v/>
      </c>
      <c r="G144" t="inlineStr">
        <is>
          <t>Cupertino, CA, US</t>
        </is>
      </c>
      <c r="H144" s="2" t="n">
        <v>46072</v>
      </c>
      <c r="I144" t="inlineStr">
        <is>
          <t>Join Us in Shaping the Future of Generative AI at Apple! Are you passionate about making AI systems safer, more inclusive, and globally representative? Apple is seeking an expert Machine Learning Engineer to shape the future of responsible AI for the next generation of generative features. In this role, you will lead the responsible AI lifecycle end\-to\-end: assessing risks, defining policies, developing mitigation strategies, and driving continuous improvements. Your work will directly influence how we evaluate, align, and monitor the safety of large language and multimodal models. As part of Apple’s Responsible AI group within the Human\-Centered Machine Intelligence (HCMI) organization, you’ll collaborate with cross\-functional partners to minimize unintended consequences across people, systems, and society while elevating feature capabilities and the overall user experience. Together, we’ll anticipate challenges, measure real\-world impact, and deliver trusted, high\-quality AI experiences to users around the globe. You’ll also contribute to forward\-looking research in fairness, robustness, uncertainty, and safety \- pushing the boundaries of responsible AI at scale.  
**Description**  
Our team leads Responsible AI initiatives for global generative AI products, operating at the intersection of policy, product, and GenAI. We're seeking candidates who will shape safety policies in partnership with leadership, design, engineering, legal, and regulatory stakeholders\-ensuring our safeguards advance both user protection and product innovation.  
These individuals will work on architecture mitigation and safety alignment strategies for generative models, drive integration in production. Additionally, they will work on developing models, tools, datasets, and evaluation methods to monitor, diagnose failures, and improve the safety of generative models throughout the deployment lifecycle. We do all these by incorporating human and automated feedback, post\-launch to continuously improve feature safety and user trust.  
**Preferred Qualifications**  
BS, MS, or PhD in Computer Science, Machine Learning, or related field, or equivalent experience  
Proven success contributing in a highly cross\-functional environment  
Experience shipping complex AI systems at global scale  
Background in model explainability, uncertainty estimation, or interpretability  
Curiosity and research interest in fairness, bias, and the societal impacts of generative AI  
Passion for building innovative, high\-impact products that draw upon interdisciplinary skills  
**Minimum Qualifications**  
3\+ years of proven ability in machine learning, including work with generative models (Transformers, LLMs, VLMs), NLP, or Computer Vision  
Proficiency in Python and data science libraries (e.g. Pandas) with strong skills in data analysis, visualization, and applied ML workflows  
Excellent interpersonal skills and proven ability to translate sophisticated technical insights for cross\-functional partners, senior leadership, and executives  
Strong analytical and independent problem\-solving skills, with ability to navigate ambiguity  
Experience designing and supporting human and automated evaluations, particularly with complex, nuanced, or multi\-labeled data  
Hands\-on experience collecting and analyzing language, vision, or multimodal datasets  
Background in failure analysis, quality engineering, or robustness testing for ML\-driven systems  
Must be comfortable working with sensitive or potentially offensive content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45">
      <c r="A145" t="inlineStr">
        <is>
          <t>in-659ffc608a3bf525</t>
        </is>
      </c>
      <c r="B145" t="inlineStr">
        <is>
          <t>AIML - Staff ML Engineer, Responsible AI</t>
        </is>
      </c>
      <c r="C145" t="inlineStr">
        <is>
          <t>Apple</t>
        </is>
      </c>
      <c r="D145" t="inlineStr">
        <is>
          <t>indeed</t>
        </is>
      </c>
      <c r="E145">
        <f>HYPERLINK("https://www.indeed.com/viewjob?jk=659ffc608a3bf525", "https://www.indeed.com/viewjob?jk=659ffc608a3bf525")</f>
        <v/>
      </c>
      <c r="F145">
        <f>HYPERLINK("https://jsv3.recruitics.com/redirect?rx_cid=3427&amp;rx_jobId=200646873-3337_rxr-661&amp;rx_url=https%3A%2F%2Fjobs.apple.com%2Fen-us%2Fdetails%2F200646873-3337%2Faiml-staff-ml-engineer-responsible-ai%3Fboard_id%3DJB001%26rx_campaign%3Dindeed0%26rx_ch%3Djobp4p%26rx_group%3D122365%26rx_id%3D989ce480-0e1f-11f1-976e-15956a1821b5%26rx_job%3D200646873-3337_rxr-661%26rx_medium%3Dcpc%26rx_r%3Dnone%26rx_source%3Dindeed%26rx_ts%3D20260220T103803Z%26rx_vp%3Dcpc%26team%3DMLAI", "https://jsv3.recruitics.com/redirect?rx_cid=3427&amp;rx_jobId=200646873-3337_rxr-661&amp;rx_url=https%3A%2F%2Fjobs.apple.com%2Fen-us%2Fdetails%2F200646873-3337%2Faiml-staff-ml-engineer-responsible-ai%3Fboard_id%3DJB001%26rx_campaign%3Dindeed0%26rx_ch%3Djobp4p%26rx_group%3D122365%26rx_id%3D989ce480-0e1f-11f1-976e-15956a1821b5%26rx_job%3D200646873-3337_rxr-661%26rx_medium%3Dcpc%26rx_r%3Dnone%26rx_source%3Dindeed%26rx_ts%3D20260220T103803Z%26rx_vp%3Dcpc%26team%3DMLAI")</f>
        <v/>
      </c>
      <c r="G145" t="inlineStr">
        <is>
          <t>Cupertino, CA, US</t>
        </is>
      </c>
      <c r="H145" s="2" t="n">
        <v>46072</v>
      </c>
      <c r="I145" t="inlineStr">
        <is>
          <t>Join Us in Shaping the Future of Generative AI at Apple! Are you passionate about making AI systems safer, more inclusive, and globally representative? Apple is seeking an expert Machine Learning Engineer to shape the future of responsible AI for the next generation of generative features. In this role, you will lead the responsible AI lifecycle end\-to\-end: assessing risks, defining policies, developing mitigation strategies, and driving continuous improvements. Your work will directly influence how we evaluate, align, and monitor the safety of large language and multimodal models. As part of Apple’s Responsible AI group within the Human\-Centered Machine Intelligence (HCMI) organization, you’ll collaborate with cross\-functional partners to minimize unintended consequences across people, systems, and society while elevating feature capabilities and the overall user experience. Together, we’ll anticipate challenges, measure real\-world impact, and deliver trusted, high\-quality AI experiences to users around the globe. You’ll also contribute to forward\-looking research in fairness, robustness, uncertainty, and safety \- pushing the boundaries of responsible AI at scale.  
**Description**  
Our team leads Responsible AI initiatives for global generative AI products, operating at the intersection of policy, product, and GenAI. We're seeking candidates who will shape safety policies in partnership with leadership, design, engineering, legal, and regulatory stakeholders\-ensuring our safeguards advance both user protection and product innovation.  
These individuals will work on architecture mitigation and safety alignment strategies for generative models, drive integration in production. Additionally, they will work on developing models, tools, datasets, and evaluation methods to monitor, diagnose failures, and improve the safety of generative models throughout the deployment lifecycle. We do all these by incorporating human and automated feedback, post\-launch to continuously improve feature safety and user trust.  
**Preferred Qualifications**  
BS, MS, or PhD in Computer Science, Machine Learning, or related field, or equivalent experience  
Proven success contributing in a highly cross\-functional environment  
Experience shipping complex AI systems at global scale  
Background in model explainability, uncertainty estimation, or interpretability  
Curiosity and research interest in fairness, bias, and the societal impacts of generative AI  
Passion for building innovative, high\-impact products that draw upon interdisciplinary skills  
**Minimum Qualifications**  
3\+ years of proven ability in machine learning, including work with generative models (Transformers, LLMs, VLMs), NLP, or Computer Vision  
Proficiency in Python and data science libraries (e.g. Pandas) with strong skills in data analysis, visualization, and applied ML workflows  
Excellent interpersonal skills and proven ability to translate sophisticated technical insights for cross\-functional partners, senior leadership, and executives  
Strong analytical and independent problem\-solving skills, with ability to navigate ambiguity  
Experience designing and supporting human and automated evaluations, particularly with complex, nuanced, or multi\-labeled data  
Hands\-on experience collecting and analyzing language, vision, or multimodal datasets  
Background in failure analysis, quality engineering, or robustness testing for ML\-driven systems  
Must be comfortable working with sensitive or potentially offensive content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46">
      <c r="A146" t="inlineStr">
        <is>
          <t>in-42f6dcf8451e31f5</t>
        </is>
      </c>
      <c r="B146" t="inlineStr">
        <is>
          <t>AIML - Staff ML Engineer, Responsible AI</t>
        </is>
      </c>
      <c r="C146" t="inlineStr">
        <is>
          <t>Apple</t>
        </is>
      </c>
      <c r="D146" t="inlineStr">
        <is>
          <t>indeed</t>
        </is>
      </c>
      <c r="E146">
        <f>HYPERLINK("https://www.indeed.com/viewjob?jk=42f6dcf8451e31f5", "https://www.indeed.com/viewjob?jk=42f6dcf8451e31f5")</f>
        <v/>
      </c>
      <c r="F146">
        <f>HYPERLINK("https://jsv3.recruitics.com/redirect?rx_cid=3427&amp;rx_jobId=200646873-2926_rxr-661&amp;rx_url=https%3A%2F%2Fjobs.apple.com%2Fen-us%2Fdetails%2F200646873-2926%2Faiml-staff-ml-engineer-responsible-ai%3Fboard_id%3DJB001%26rx_campaign%3Dindeed0%26rx_ch%3Djobp4p%26rx_group%3D122365%26rx_id%3D9c0f7600-0e1f-11f1-976e-f3f7a55be455%26rx_job%3D200646873-2926_rxr-661%26rx_medium%3Dcpc%26rx_r%3Dnone%26rx_source%3Dindeed%26rx_ts%3D20260220T103803Z%26rx_vp%3Dcpc%26team%3DMLAI", "https://jsv3.recruitics.com/redirect?rx_cid=3427&amp;rx_jobId=200646873-2926_rxr-661&amp;rx_url=https%3A%2F%2Fjobs.apple.com%2Fen-us%2Fdetails%2F200646873-2926%2Faiml-staff-ml-engineer-responsible-ai%3Fboard_id%3DJB001%26rx_campaign%3Dindeed0%26rx_ch%3Djobp4p%26rx_group%3D122365%26rx_id%3D9c0f7600-0e1f-11f1-976e-f3f7a55be455%26rx_job%3D200646873-2926_rxr-661%26rx_medium%3Dcpc%26rx_r%3Dnone%26rx_source%3Dindeed%26rx_ts%3D20260220T103803Z%26rx_vp%3Dcpc%26team%3DMLAI")</f>
        <v/>
      </c>
      <c r="G146" t="inlineStr">
        <is>
          <t>Cupertino, CA, US</t>
        </is>
      </c>
      <c r="H146" s="2" t="n">
        <v>46072</v>
      </c>
      <c r="I146" t="inlineStr">
        <is>
          <t>Join Us in Shaping the Future of Generative AI at Apple! Are you passionate about making AI systems safer, more inclusive, and globally representative? Apple is seeking an expert Machine Learning Engineer to shape the future of responsible AI for the next generation of generative features. In this role, you will lead the responsible AI lifecycle end\-to\-end: assessing risks, defining policies, developing mitigation strategies, and driving continuous improvements. Your work will directly influence how we evaluate, align, and monitor the safety of large language and multimodal models. As part of Apple’s Responsible AI group within the Human\-Centered Machine Intelligence (HCMI) organization, you’ll collaborate with cross\-functional partners to minimize unintended consequences across people, systems, and society while elevating feature capabilities and the overall user experience. Together, we’ll anticipate challenges, measure real\-world impact, and deliver trusted, high\-quality AI experiences to users around the globe. You’ll also contribute to forward\-looking research in fairness, robustness, uncertainty, and safety \- pushing the boundaries of responsible AI at scale.  
**Description**  
Our team leads Responsible AI initiatives for global generative AI products, operating at the intersection of policy, product, and GenAI. We're seeking candidates who will shape safety policies in partnership with leadership, design, engineering, legal, and regulatory stakeholders\-ensuring our safeguards advance both user protection and product innovation.  
These individuals will work on architecture mitigation and safety alignment strategies for generative models, drive integration in production. Additionally, they will work on developing models, tools, datasets, and evaluation methods to monitor, diagnose failures, and improve the safety of generative models throughout the deployment lifecycle. We do all these by incorporating human and automated feedback, post\-launch to continuously improve feature safety and user trust.  
**Preferred Qualifications**  
BS, MS, or PhD in Computer Science, Machine Learning, or related field, or equivalent experience  
Proven success contributing in a highly cross\-functional environment  
Experience shipping complex AI systems at global scale  
Background in model explainability, uncertainty estimation, or interpretability  
Curiosity and research interest in fairness, bias, and the societal impacts of generative AI  
Passion for building innovative, high\-impact products that draw upon interdisciplinary skills  
**Minimum Qualifications**  
3\+ years of proven ability in machine learning, including work with generative models (Transformers, LLMs, VLMs), NLP, or Computer Vision  
Proficiency in Python and data science libraries (e.g. Pandas) with strong skills in data analysis, visualization, and applied ML workflows  
Excellent interpersonal skills and proven ability to translate sophisticated technical insights for cross\-functional partners, senior leadership, and executives  
Strong analytical and independent problem\-solving skills, with ability to navigate ambiguity  
Experience designing and supporting human and automated evaluations, particularly with complex, nuanced, or multi\-labeled data  
Hands\-on experience collecting and analyzing language, vision, or multimodal datasets  
Background in failure analysis, quality engineering, or robustness testing for ML\-driven systems  
Must be comfortable working with sensitive or potentially offensive content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47">
      <c r="A147" t="inlineStr">
        <is>
          <t>in-e4b6107ffa5b3420</t>
        </is>
      </c>
      <c r="B147" t="inlineStr">
        <is>
          <t>visionOS, Machine Learning Engineer/Computer Vision</t>
        </is>
      </c>
      <c r="C147" t="inlineStr">
        <is>
          <t>Apple</t>
        </is>
      </c>
      <c r="D147" t="inlineStr">
        <is>
          <t>indeed</t>
        </is>
      </c>
      <c r="E147">
        <f>HYPERLINK("https://www.indeed.com/viewjob?jk=e4b6107ffa5b3420", "https://www.indeed.com/viewjob?jk=e4b6107ffa5b3420")</f>
        <v/>
      </c>
      <c r="F147">
        <f>HYPERLINK("https://jsv3.recruitics.com/redirect?rx_cid=3427&amp;rx_jobId=200647141-3956_rxr-661&amp;rx_url=https%3A%2F%2Fjobs.apple.com%2Fen-us%2Fdetails%2F200647141-3956%2Fvisionos-machine-learning-engineer-computer-vision%3Fboard_id%3DJB001%26rx_campaign%3Dindeed0%26rx_ch%3Djobp4p%26rx_group%3D122365%26rx_id%3Da5643a54-0e1f-11f1-976e-1f59fbbd537c%26rx_job%3D200647141-3956_rxr-661%26rx_medium%3Dcpc%26rx_r%3Dnone%26rx_source%3Dindeed%26rx_ts%3D20260220T103803Z%26rx_vp%3Dcpc%26team%3DMLAI", "https://jsv3.recruitics.com/redirect?rx_cid=3427&amp;rx_jobId=200647141-3956_rxr-661&amp;rx_url=https%3A%2F%2Fjobs.apple.com%2Fen-us%2Fdetails%2F200647141-3956%2Fvisionos-machine-learning-engineer-computer-vision%3Fboard_id%3DJB001%26rx_campaign%3Dindeed0%26rx_ch%3Djobp4p%26rx_group%3D122365%26rx_id%3Da5643a54-0e1f-11f1-976e-1f59fbbd537c%26rx_job%3D200647141-3956_rxr-661%26rx_medium%3Dcpc%26rx_r%3Dnone%26rx_source%3Dindeed%26rx_ts%3D20260220T103803Z%26rx_vp%3Dcpc%26team%3DMLAI")</f>
        <v/>
      </c>
      <c r="G147" t="inlineStr">
        <is>
          <t>Sunnyvale, CA, US</t>
        </is>
      </c>
      <c r="H147" s="2" t="n">
        <v>46072</v>
      </c>
      <c r="I147" t="inlineStr">
        <is>
          <t>Join our machine learning team at Apple to develop computer vision and localization technologies that help devices understand their place in the world. We're seeking a talented Machine Learning Engineer who excels at transforming research innovations into production\-ready solutions, tackling the full spectrum from training large\-scale models to optimizing them for real\-time, on\-device performance. If you're passionate about solving hard problems in spatial intelligence\-from challenging real\-world environments to privacy\-preserving design\-this is your opportunity to create experiences that millions of people use every day.  
**Description**  
As a Machine Learning Engineer on our team, you'll design and implement advanced computer vision solutions that run efficiently on\-device, ensuring exceptional performance while respecting user privacy. You'll work across the complete ML lifecycle\-from building robust data pipelines and training deep learning models on distributed clusters to optimizing them for Apple's Neural Engine and deploying in production systems. Your work will span critical areas including localization and spatial understanding, where you'll develop systems that enable devices to perceive their position and navigate the world with precision. Your role will bridge cutting\-edge research and practical engineering, requiring you to balance innovation with the real\-world constraints of shipping products at scale\-whether that's ensuring localization works reliably in challenging environments, handling edge cases in visual recognition, or optimizing models to run in real\-time on device. Collaborating with world\-class researchers, software engineers, and product teams, you'll tackle challenging problems in visual understanding, from place recognition and scene reconstruction to temporal reasoning and multi\-sensor fusion. This position offers the unique opportunity to push the boundaries of on\-device machine learning, creating spatial intelligence experiences that are not only accurate and responsive but also seamlessly integrated into products that millions of people use every day.","responsibilities":"Design, train, and deploy computer vision models for localization and spatial understanding on Apple devices  
Build robust data pipelines and implement distributed training workflows on multi\-GPU infrastructure  
Optimize deep learning models for Apple's Neural Engine, achieving real\-time performance while maintaining accuracy  
Solve challenging problems in visual perception including place recognition, scene reconstruction, and multi\-sensor fusion  
Collaborate with other teams to adapt cutting\-edge techniques for production constraints and real\-world deployment  
Validate model performance through comprehensive testing across diverse environments and use cases  
**Preferred Qualifications**  
Experience developing on macOS and iOS platforms  
Familiarity with Apple's internal ML/CV frameworks and tools  
Experience with distributed training on clusters and multi\-GPU systems  
Knowledge of Apple Neural Engine optimization techniques  
Experience with temporal/sequential neural network architectures (RNNs, LSTMs, Transformers for video/time\-series data)  
Proficiency with CMake and Xcode build systems  
**Minimum Qualifications**  
M.S. or Ph.D. in Computer Vision, Machine Learning, Robotics, or related field; or equivalent practical experience with a proven track record of shipping products leveraging state\-of\-the\-art Computer Vision and Machine Learning technologies  
3\+ years of professional software development experience with demonstrated ability to deliver high\-quality, production\-ready code  
Expert\-level proficiency in Python and C/C\+\+  
Strong software design, problem\-solving, and debugging capabilities  
Hands\-on experience with modern ML frameworks (PyTorch, TensorFlow/Keras, PyTorch Lightning)  
Solid background with Computer Vision libraries and frameworks (OpenCV, etc.)  
Experience training and optimizing machine learning models for computer vision applications  
Excellent communication and collaboration skills with ability to work effectively in team environments; self\-motivated and quick to adapt to new technologies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48">
      <c r="A148" t="inlineStr">
        <is>
          <t>in-e2a104d7a1296743</t>
        </is>
      </c>
      <c r="B148" t="inlineStr">
        <is>
          <t>Senior AI Engineer - Senior Software Engineer</t>
        </is>
      </c>
      <c r="C148" t="inlineStr">
        <is>
          <t>Capgemini</t>
        </is>
      </c>
      <c r="D148" t="inlineStr">
        <is>
          <t>indeed</t>
        </is>
      </c>
      <c r="E148">
        <f>HYPERLINK("https://www.indeed.com/viewjob?jk=e2a104d7a1296743", "https://www.indeed.com/viewjob?jk=e2a104d7a1296743")</f>
        <v/>
      </c>
      <c r="F148">
        <f>HYPERLINK("https://www.capgemini.com/jobs/422352-en_GB+sap_btp/", "https://www.capgemini.com/jobs/422352-en_GB+sap_btp/")</f>
        <v/>
      </c>
      <c r="G148" t="inlineStr">
        <is>
          <t>Atlanta, GA, US</t>
        </is>
      </c>
      <c r="H148" s="2" t="n">
        <v>46071</v>
      </c>
      <c r="I148" t="inlineStr">
        <is>
          <t>Atlanta, GA
Senior AI Engineer \- Senior Software Engineer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Location
This is a hybrid role based across multiple locations \- Atlanta, Nashville, Chicago, Dallas, New jersey
About the job you're considering
The Capgemini team offers extensive career opportunities and provides mentoring and coaching for teammates. This role is an experienced professional with a strong background in software development.
Your role* Guide best practices for containerization, scalability, and reliability
* Collaborate with architects, developers, and stakeholders in agile teams
Your skills and experience* Design AI\-assisted language generation for producing clear, plain\-language draft messages.
* Implement draft message generation service within the validation pipeline.
* Auto\-generate draft text at the end of each validation run.
* Generative AI Integration (specifically text generation/RAG), Serverless Compute (Cloud Run/Functions), Document Processing, and API Integration.
\#LI\-RM1
The base compensation range for this role in the posted location is: $76,200 \- $ 187,740\.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Ref. code
422352\-en\_GB
Posted on
19 Feb 2026
Experience level
Experienced Professionals
Contract type
Permanent
Location
Atlanta, GA
Business unit
ABL AMERICAS
Brand
Capgemini
Professional communities
Software Engineering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1"/>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li-4358429681</t>
        </is>
      </c>
      <c r="B2" t="inlineStr">
        <is>
          <t>Senior Data Scientist (ML Engineering)</t>
        </is>
      </c>
      <c r="C2" t="inlineStr">
        <is>
          <t>CLEAR</t>
        </is>
      </c>
      <c r="D2" t="inlineStr">
        <is>
          <t>linkedin</t>
        </is>
      </c>
      <c r="E2" t="inlineStr"/>
      <c r="F2" t="inlineStr"/>
      <c r="G2" t="inlineStr">
        <is>
          <t>New York, NY</t>
        </is>
      </c>
      <c r="H2" t="inlineStr"/>
      <c r="I2" t="inlineStr">
        <is>
          <t>Have you ever had that green\-light feeling? When you hit every green light and the day just feels like magic. CLEAR's mission is to create frictionless experiences where every day has that feeling. With more than 30\+ million passionate members and hundreds of partners around the world, CLEAR’s identity platform is transforming the way people live, work, and travel. Whether it’s at the airport, stadium, or right on your phone, CLEAR connects you to the things that make you, you \- unlocking easier, more secure, and more seamless experiences \- making them all feel like magic.
 As CLEAR continues to scale, we’re deepening our investment in the data science ecosystem that powers our products, personalization, and decision\-making. We’re looking for a
 **Senior Data Scientist** 
 to design, develop, and deploy advanced statistical and machine learning models that drive measurable business impact on our digital identity platform. This is a hands\-on senior individual contributor role for someone who blends strong modeling expertise, exceptional Python engineering craft, familiarity with modern ML tooling, and a passion for translating complex data into clear, actionable intelligence. You’ll build and operationalize models that help CLEAR understand, predict, and optimize behavior across our digital identity platform delivering insights and automation that scale.
***What You'll Do:***
* **Own and evolve CLEAR’s predictive modeling ecosystem:** 
 design, train, and optimize statistical and machine learning models for our digital identity platform that support product, risk, fraud, operations, and member experience teams.
* **Develop high\-quality production code** 
 including feature engineering pipelines, model training workflows, and evaluation frameworks that meet reliability and performance standards.
* **Partner with Data Engineering and ML Platform teams** 
 to deploy models into production, define scalable data pipelines, and ensure real\-time and batch inference systems run efficiently.
* **Advance CLEAR’s AI \&amp; ML capabilities** 
 by designing reusable modeling components, improving model documentation, and contributing to a roadmap for integrating ML into core products and decision flows.
* **Improve experimentation and insight generation** 
 by building robust tooling and analytical frameworks, designing statistical tests, and synthesizing results into clear and actionable recommendations for cross\-functional teams.
* **Mentor analysts, data scientists, and ML engineers,** 
 guiding them on Python best practices, model development, data exploration, and communicating insights effectively.
***What You Bring:***
* 6\+ years of experience in data science, machine learning, or applied statistics within a modern cloud data environment like AWS Sagemaker.
* Expert\-level Python with deep experience in scientific libraries (e.g. pandas, NumPy, SciPy, matplotlib), machine learning frameworks (e.g. scikit\-learn, XGBoost, LightGBM, pytorch), and model evaluation tooling.
* Strong SQL skills and experience working with cloud data warehouses (e.g. Snowflake, BigQuery, Redshift).
* Experience with modern ML workflow tools (e.g., Airflow, Dagster, MLflow, Vertex / SageMaker, Voxel 51\).
* Deep understanding of statistical methods, experiment design, data cleansing, feature engineering, and model interpretability.
* Proven ability to turn ambiguous business problems into measurable modeling approaches—balancing analytical rigor with practical business impact.
* Experience deploying production models and maintaining them through their lifecycle (monitoring, retraining, performance management).
* Strong communication, stakeholder influence, and storytelling skills; you can translate complex data science work into insights and decisions.
* A proactive, curious mindset with a passion for standardization, repeatability, and scaling high\-quality modeling practices.
***Why You’ll Love This Role:***
* **High\-impact:** 
 Your models and insights will shape decision\-making and member experiences across CLEAR.
* **Craft \+ influence:** 
 Blend hands\-on modeling with the opportunity to set the bar for data science excellence company\-wide.
* **Mission\-driven culture:** 
 Help build trusted, secure, frictionless experiences for millions.
* **Autonomy:** 
 Lead end\-to\-end initiatives, guide best practices, and mentor others across the data organization.
* **Culture that moves:** 
 We value curiosity, iteration, direct feedback, and bold thinking.
***How You’ll be Rewarded:***
 At CLEAR, we help YOU move forward \- because when you’re at your best, we’re at our best. You’ll work with talented team members motivated by our mission of making experiences safer and easier. Our offices are bright and energetic with an open concept and plenty of conference rooms and casual co\-working spaces. We also offer catered lunches every day and have fully stocked kitchens. Outside of the office, we invest in your well\-being and learning \&amp; development with stipends and reimbursement programs.
 We offer holistic total rewards, including comprehensive healthcare plans, family\-building benefits (fertility and adoption/surrogacy support), flexible time off, annual wellness stipend, free OneMedical memberships for you and your dependents, a CLEAR Plus membership, and a 401(k) retirement plan with employer match. The base salary range for this role is $175,000 \-$215,000, depending on levels of skills and experience.
*The base salary range represents the low and high end of CLEAR’s salary range for this position. Salaries will vary depending on various factors which include, but are not limited to location, education, skills, experience and performance. The range listed is just one component of CLEAR’s total compensation package for employees and other rewards may include annual bonuses, commission, Restricted Stock Units* 
*CLEAR provides reasonable accommodation to qualified individuals with disabilities or protected needs. Please let us know if you require a reasonable accommodation to apply for a job or perform your job. Examples of reasonable accommodation include, but are not limited to, time off, extra breaks, making a change to the application process or work procedures, policy exceptions, providing documents in an alternative format, live captioning or using a sign language interpreter, or using specialized equipment.* 
*We are committed to a transparent and secure hiring process. All communications related to this role will come directly from a CLEAR employee through valid CLEAR channels (e.g., a valid @clearme.com email address or verified CLEAR LinkedIn profile). We encourage candidates to remain alert to job scams and to report any suspicious activity.*</t>
        </is>
      </c>
    </row>
    <row r="3">
      <c r="A3" t="inlineStr">
        <is>
          <t>li-4358589777</t>
        </is>
      </c>
      <c r="B3" t="inlineStr">
        <is>
          <t>Applied Scientist II, Prime Video Personalization and Discovery Science</t>
        </is>
      </c>
      <c r="C3" t="inlineStr">
        <is>
          <t>Prime Video &amp; Amazon MGM Studios</t>
        </is>
      </c>
      <c r="D3" t="inlineStr">
        <is>
          <t>linkedin</t>
        </is>
      </c>
      <c r="E3" t="inlineStr"/>
      <c r="F3" t="inlineStr"/>
      <c r="G3" t="inlineStr">
        <is>
          <t>Seattle, WA</t>
        </is>
      </c>
      <c r="H3" t="inlineStr"/>
      <c r="I3"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
**Basic Qualifications**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
**Company** 
 \- Amazon.com Services LLC
 Job ID: A3155448</t>
        </is>
      </c>
    </row>
    <row r="4">
      <c r="A4" t="inlineStr">
        <is>
          <t>li-4349230460</t>
        </is>
      </c>
      <c r="B4" t="inlineStr">
        <is>
          <t>Applied Scientist, NLP/IR/GenAI</t>
        </is>
      </c>
      <c r="C4" t="inlineStr">
        <is>
          <t>Thomson Reuters</t>
        </is>
      </c>
      <c r="D4" t="inlineStr">
        <is>
          <t>linkedin</t>
        </is>
      </c>
      <c r="E4" t="inlineStr"/>
      <c r="F4" t="inlineStr"/>
      <c r="G4" t="inlineStr">
        <is>
          <t>New York, NY</t>
        </is>
      </c>
      <c r="H4" t="inlineStr"/>
      <c r="I4" t="inlineStr">
        <is>
          <t>Join us in building Thomson Reuters' next\-generation search that powers everything from direct user queries to cutting\-edge GenAI applications across our product suite. We're conducting advanced research to apply modern, state\-of\-the\-art techniques to deliver the most accurate and comprehensive search for legal and professional information.
**About The Role**
 As an
 **Applied Scientist** 
 , you will:
* Innovate \&amp; Deliver: Design, build, test, and deploy end\-to\-end AI search solutions using neural information retrieval techniques, semantic and hybrid search, and re\-ranking approaches. Develop models for information retrieval, semantic search, document re\-ranking, and query understanding, including dense retrieval architectures, semantic chunking models, embedding models, cross\-encoders, SLM re\-rankers, and transformer\-based LLM\-driven approaches. Work in collaboration with engineering to ensure well\-managed software delivery and reliability at scale.
* Evaluate \&amp; Optimize: Develop comprehensive data and evaluation strategies for both component\-level and end\-to\-end quality, leveraging expert human annotation and synthetic data generation. Apply robust training and evaluation methodologies to optimize retrieval quality and latency.
* Drive Technical Decisions: Independently determine appropriate retrieval architectures, indexing strategies, ranking models, data, and evaluation strategies for IR and NLP problems. Solve search relevance, ranking, and scalability challenges in a self\-directed manner while contributing effectively as part of a multidisciplinary team.
* Align \&amp; Communicate: Partner closely with Engineering and Product to translate complex challenges into scalable, production\-ready solutions. Engage stakeholders to deeply understand business problems and domains, shaping objectives and goals that align AI search capabilities with product needs and business objectives.
* Advance the Field: Publish at top venues (e.g., SIGIR, ECIR, NeurIPS, ACL, EMNLP, ICLR) and contribute to patents to keep our solutions cutting\-edge and competitive.
**About You**
* PhD in Computer Science, AI, or a related field, or a Master's with equivalent research/industry experience.
* 3\+ years of hands\-on experience building and deploying modern search or RAG systems with neural retrieval methods and deep learning models for NLP.
* Strong background in information retrieval fundamentals, including indexing, query processing, ranking and relevance modelling.
* Strong programming skills (e.g., Python) and experience with modern deep learning frameworks (e.g., PyTorch, DeepSpeed, Torchtune, LlamaFactory).
* Proven ability to translate complex problems into innovative AI applications.
* Publications at relevant venues such as SIGIR, ECIR, NeurIPS, ACL, EMNLP, ICLR.
**Technical Qualifications**
* Deep understanding of neural information retrieval fundamentals: BM25, hybrid search, dense retrieval (e.g., DPR, ColBERT), cross\-encoders, bi\-encoders, late interaction models
* Hands\-on experience designing and implementing search or RAG systems: vector databases, retrieval strategies, document chunking, metadata filtering, hybrid search, re\-ranking, context optimization, and orchestration
* Experience developing relevant datasets and evaluation frameworks
* Solid understanding of ML and deep learning approaches for NLP
* Solid understanding and experience with post\-training of large language models and their application to retrieval systems
**Preferred Qualifications**
* Extensive prior work on search, question answering or RAG over large corpora and long documents, including experience with legal or enterprise search systems
* Experience with multi\-stage or agentic retrieval architectures and query understanding for complex information needs.
* Experience building applications for the legal domain (e.g., legal search, case law retrieval, precedent finding, document review, document drafting).
* Publications at relevant venues such as SIGIR, ECIR, NeurIPS, ACL, EMNLP, ICLR.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$136,000 USD \- $253,000 USD. For any eligible US locations, unless otherwise noted, the base compensation range for this role is $118,400 USD \- $219,800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5">
      <c r="A5" t="inlineStr">
        <is>
          <t>li-4349075489</t>
        </is>
      </c>
      <c r="B5" t="inlineStr">
        <is>
          <t>Applied Scientist, NLP/IR/GenAI</t>
        </is>
      </c>
      <c r="C5" t="inlineStr">
        <is>
          <t>Thomson Reuters</t>
        </is>
      </c>
      <c r="D5" t="inlineStr">
        <is>
          <t>linkedin</t>
        </is>
      </c>
      <c r="E5" t="inlineStr"/>
      <c r="F5" t="inlineStr"/>
      <c r="G5" t="inlineStr">
        <is>
          <t>Ann Arbor, MI</t>
        </is>
      </c>
      <c r="H5" t="inlineStr"/>
      <c r="I5" t="inlineStr">
        <is>
          <t>Join us in building Thomson Reuters' next\-generation search that powers everything from direct user queries to cutting\-edge GenAI applications across our product suite. We're conducting advanced research to apply modern, state\-of\-the\-art techniques to deliver the most accurate and comprehensive search for legal and professional information.
**About The Role**
 As an
 **Applied Scientist** 
 , you will:
* Innovate \&amp; Deliver: Design, build, test, and deploy end\-to\-end AI search solutions using neural information retrieval techniques, semantic and hybrid search, and re\-ranking approaches. Develop models for information retrieval, semantic search, document re\-ranking, and query understanding, including dense retrieval architectures, semantic chunking models, embedding models, cross\-encoders, SLM re\-rankers, and transformer\-based LLM\-driven approaches. Work in collaboration with engineering to ensure well\-managed software delivery and reliability at scale.
* Evaluate \&amp; Optimize: Develop comprehensive data and evaluation strategies for both component\-level and end\-to\-end quality, leveraging expert human annotation and synthetic data generation. Apply robust training and evaluation methodologies to optimize retrieval quality and latency.
* Drive Technical Decisions: Independently determine appropriate retrieval architectures, indexing strategies, ranking models, data, and evaluation strategies for IR and NLP problems. Solve search relevance, ranking, and scalability challenges in a self\-directed manner while contributing effectively as part of a multidisciplinary team.
* Align \&amp; Communicate: Partner closely with Engineering and Product to translate complex challenges into scalable, production\-ready solutions. Engage stakeholders to deeply understand business problems and domains, shaping objectives and goals that align AI search capabilities with product needs and business objectives.
* Advance the Field: Publish at top venues (e.g., SIGIR, ECIR, NeurIPS, ACL, EMNLP, ICLR) and contribute to patents to keep our solutions cutting\-edge and competitive.
**About You**
* PhD in Computer Science, AI, or a related field, or a Master's with equivalent research/industry experience.
* 3\+ years of hands\-on experience building and deploying modern search or RAG systems with neural retrieval methods and deep learning models for NLP.
* Strong background in information retrieval fundamentals, including indexing, query processing, ranking and relevance modelling.
* Strong programming skills (e.g., Python) and experience with modern deep learning frameworks (e.g., PyTorch, DeepSpeed, Torchtune, LlamaFactory).
* Proven ability to translate complex problems into innovative AI applications.
* Publications at relevant venues such as SIGIR, ECIR, NeurIPS, ACL, EMNLP, ICLR.
**Technical Qualifications**
* Deep understanding of neural information retrieval fundamentals: BM25, hybrid search, dense retrieval (e.g., DPR, ColBERT), cross\-encoders, bi\-encoders, late interaction models
* Hands\-on experience designing and implementing search or RAG systems: vector databases, retrieval strategies, document chunking, metadata filtering, hybrid search, re\-ranking, context optimization, and orchestration
* Experience developing relevant datasets and evaluation frameworks
* Solid understanding of ML and deep learning approaches for NLP
* Solid understanding and experience with post\-training of large language models and their application to retrieval systems
**Preferred Qualifications**
* Extensive prior work on search, question answering or RAG over large corpora and long documents, including experience with legal or enterprise search systems
* Experience with multi\-stage or agentic retrieval architectures and query understanding for complex information needs.
* Experience building applications for the legal domain (e.g., legal search, case law retrieval, precedent finding, document review, document drafting).
* Publications at relevant venues such as SIGIR, ECIR, NeurIPS, ACL, EMNLP, ICLR.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$136,000 USD \- $253,000 USD. For any eligible US locations, unless otherwise noted, the base compensation range for this role is $118,400 USD \- $219,800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6">
      <c r="A6" t="inlineStr">
        <is>
          <t>li-4349151576</t>
        </is>
      </c>
      <c r="B6" t="inlineStr">
        <is>
          <t>Applied Scientist, NLP/IR/GenAI</t>
        </is>
      </c>
      <c r="C6" t="inlineStr">
        <is>
          <t>Thomson Reuters</t>
        </is>
      </c>
      <c r="D6" t="inlineStr">
        <is>
          <t>linkedin</t>
        </is>
      </c>
      <c r="E6" t="inlineStr"/>
      <c r="F6" t="inlineStr"/>
      <c r="G6" t="inlineStr">
        <is>
          <t>Frisco, TX</t>
        </is>
      </c>
      <c r="H6" t="inlineStr"/>
      <c r="I6" t="inlineStr">
        <is>
          <t>Join us in building Thomson Reuters' next\-generation search that powers everything from direct user queries to cutting\-edge GenAI applications across our product suite. We're conducting advanced research to apply modern, state\-of\-the\-art techniques to deliver the most accurate and comprehensive search for legal and professional information.
**About The Role**
 As an
 **Applied Scientist** 
 , you will:
* Innovate \&amp; Deliver: Design, build, test, and deploy end\-to\-end AI search solutions using neural information retrieval techniques, semantic and hybrid search, and re\-ranking approaches. Develop models for information retrieval, semantic search, document re\-ranking, and query understanding, including dense retrieval architectures, semantic chunking models, embedding models, cross\-encoders, SLM re\-rankers, and transformer\-based LLM\-driven approaches. Work in collaboration with engineering to ensure well\-managed software delivery and reliability at scale.
* Evaluate \&amp; Optimize: Develop comprehensive data and evaluation strategies for both component\-level and end\-to\-end quality, leveraging expert human annotation and synthetic data generation. Apply robust training and evaluation methodologies to optimize retrieval quality and latency.
* Drive Technical Decisions: Independently determine appropriate retrieval architectures, indexing strategies, ranking models, data, and evaluation strategies for IR and NLP problems. Solve search relevance, ranking, and scalability challenges in a self\-directed manner while contributing effectively as part of a multidisciplinary team.
* Align \&amp; Communicate: Partner closely with Engineering and Product to translate complex challenges into scalable, production\-ready solutions. Engage stakeholders to deeply understand business problems and domains, shaping objectives and goals that align AI search capabilities with product needs and business objectives.
* Advance the Field: Publish at top venues (e.g., SIGIR, ECIR, NeurIPS, ACL, EMNLP, ICLR) and contribute to patents to keep our solutions cutting\-edge and competitive.
**About You**
* PhD in Computer Science, AI, or a related field, or a Master's with equivalent research/industry experience.
* 3\+ years of hands\-on experience building and deploying modern search or RAG systems with neural retrieval methods and deep learning models for NLP.
* Strong background in information retrieval fundamentals, including indexing, query processing, ranking and relevance modelling.
* Strong programming skills (e.g., Python) and experience with modern deep learning frameworks (e.g., PyTorch, DeepSpeed, Torchtune, LlamaFactory).
* Proven ability to translate complex problems into innovative AI applications.
* Publications at relevant venues such as SIGIR, ECIR, NeurIPS, ACL, EMNLP, ICLR.
**Technical Qualifications**
* Deep understanding of neural information retrieval fundamentals: BM25, hybrid search, dense retrieval (e.g., DPR, ColBERT), cross\-encoders, bi\-encoders, late interaction models
* Hands\-on experience designing and implementing search or RAG systems: vector databases, retrieval strategies, document chunking, metadata filtering, hybrid search, re\-ranking, context optimization, and orchestration
* Experience developing relevant datasets and evaluation frameworks
* Solid understanding of ML and deep learning approaches for NLP
* Solid understanding and experience with post\-training of large language models and their application to retrieval systems
**Preferred Qualifications**
* Extensive prior work on search, question answering or RAG over large corpora and long documents, including experience with legal or enterprise search systems
* Experience with multi\-stage or agentic retrieval architectures and query understanding for complex information needs.
* Experience building applications for the legal domain (e.g., legal search, case law retrieval, precedent finding, document review, document drafting).
* Publications at relevant venues such as SIGIR, ECIR, NeurIPS, ACL, EMNLP, ICLR.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$136,000 USD \- $253,000 USD. For any eligible US locations, unless otherwise noted, the base compensation range for this role is $118,400 USD \- $219,800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7">
      <c r="A7" t="inlineStr">
        <is>
          <t>li-4343869530</t>
        </is>
      </c>
      <c r="B7" t="inlineStr">
        <is>
          <t>AI/ML Engineer</t>
        </is>
      </c>
      <c r="C7" t="inlineStr">
        <is>
          <t>Alation</t>
        </is>
      </c>
      <c r="D7" t="inlineStr">
        <is>
          <t>linkedin</t>
        </is>
      </c>
      <c r="E7" t="inlineStr"/>
      <c r="F7" t="inlineStr"/>
      <c r="G7" t="inlineStr">
        <is>
          <t>Redwood City, CA</t>
        </is>
      </c>
      <c r="H7" t="inlineStr"/>
      <c r="I7" t="inlineStr">
        <is>
          <t>Alation is pioneering the next era of
 **data intelligence — powered by AI agents and trusted data** 
 . Organizations around the world rely on
 **Alation** 
 to drive self\-service analytics, cloud transformation, data governance, and AI innovation. Our technology helps enterprises connect people and data to make faster, smarter, and more confident decisions. With more than $340M in funding – valued at over $1\.7 billion and more than 650 customers, including 40% of the Fortune 100\.
 As data becomes the foundation of every business, Alation is leading the way in helping organizations unlock their full potential. By bringing intelligence, automation, and trust to every interaction, we empower customers to scale data\-driven innovation with confidence and speed.
 Joining Alation means being part of a
 **winning team shaping the future of AI\-powered data intelligence** 
 . We move fast, think big, and deliver results together.
**Job Description**
*Please note that
 **we do not offer work visa sponsorship at any point for this role.***
*This is a hybrid role working Tuesdays \&amp; Thursdays in our Redwood City, CA office. Local candidates only. No relocation.*
 We’re looking for an
 **AI/ML Engineer** 
 (Software Engineer II) who’s eager to build intelligent systems that help real businesses work smarter. You’ll work closely with senior engineers and enterprise customers to design and prototype AI applications powered by Alation’s data ecosystem.
 This role is ideal for someone who enjoys coding, experimenting with large language models, and learning how to turn ideas into real\-world systems. You’ll get hands\-on experience with modern AI frameworks while developing your skills in data, software engineering, and customer collaboration. One more thing...we work in a hybrid model—you’ll join us in our Redwood City office to collaborate, connect, and enjoy a team atmosphere!
**What You’ll Do**
* Prototype AI Agents: Experiment with modern LLM and agent frameworks (e.g., LangChain, Pydantic\-AI) — evaluate, benchmark, and refine performance with guidance from AI experts and researchers.
* Collaborate with customers: Partner with technical stakeholders to understand real\-world use cases and co\-design practical solutions.
* Build AI\-powered applications: Develop agentic systems that combine structured data, language models, and automation to deliver measurable results.
* Code with care: Write clean, well\-structured Python code for integrations, pipelines, and intelligent systems.
* Grow through teamwork: Work directly with product and platform teams to share insights from real deployments and help improve Alation’s AI platform.
* Contribute reusable tools: Help create templates and patterns that speed up future implementations.
**Required**
* 1 \- 3 years of related experience in a startup or rapidly growing and evolving business.
* B.S. in Computer Science or related field (M.S. in Computer Science or related field preferred)
* Strong Python fundamentals, with experience writing and debugging production\-quality code.
* Curiosity and an understanding of LLMs or AI system development — from prompting to evaluation.
* Comfort working with SQL and relational data; familiarity with tools like Snowflake, BigQuery, or Redshift is a plus.
* Interest in working across the full lifecycle — from problem framing and prototyping to testing and deployment.
* Clear communication skills and an ability to collaborate with both engineers and non\-technical teams.
* A growth mindset — you like learning new frameworks, exploring ideas, and solving open\-ended problems.
**Preferred**
* Experience deploying AI or ML systems in production (e.g., observability, monitoring, and iterative improvement).
* Background in forward deployed engineering, solutions engineering, or AI consulting roles.
* Familiarity with data infrastructure and MLOps concepts — APIs, orchestration, containerization, and cloud environments.
* Understanding of enterprise data governance and access control principles.
**Compensation Pay Range**
 $120,576\.00 \- $162,778\.00
 Salary Information
 The base salary range is specific to the United States. The salary of the final candidate selected for this role will be set based on a variety of factors, including but not limited to internal equity, experience, education, work location, specialty and training. If the final candidate has a different level of experience, the base salary target range may be lower or higher than what is published.
*Alation, Inc. is an Equal Employment Opportunity employer. All qualified applicants will receive consideration for employment without regards to that individual’s race, color, religion or creed, national origin or ancestry, sex (including pregnancy), sexual orientation, gender identity, age, physical or mental disability, veteran status, genetic information, ethnicity, citizenship, or any other characteristic protected by law.*
*The Company will strive to provide reasonable accommodations to permit qualified applicants who have a need for an accommodation to participate in the hiring process (e.g., accommodations for a job interview) if so requested.*
*This company participates in E\-Verify. Click on any of the links below to view or print the full poster.* 
*E\-Verify and Right to Work.*</t>
        </is>
      </c>
    </row>
    <row r="8">
      <c r="A8" t="inlineStr">
        <is>
          <t>li-4281817025</t>
        </is>
      </c>
      <c r="B8" t="inlineStr">
        <is>
          <t>AI/ML Engineer</t>
        </is>
      </c>
      <c r="C8" t="inlineStr">
        <is>
          <t>Savant Bio</t>
        </is>
      </c>
      <c r="D8" t="inlineStr">
        <is>
          <t>linkedin</t>
        </is>
      </c>
      <c r="E8" t="inlineStr"/>
      <c r="F8" t="inlineStr"/>
      <c r="G8" t="inlineStr">
        <is>
          <t>New York, NY</t>
        </is>
      </c>
      <c r="H8" t="inlineStr"/>
      <c r="I8" t="inlineStr">
        <is>
          <t>**About Us:** 
 Savant is transforming how healthcare and life sciences organizations unlock the value trapped in unstructured medical data. Our platform combines cutting\-edge large language models (LLMs) with domain\-specific quality controls to convert free\-text clinical records into structured, analysis\-ready data — efficiently, accurately, and at scale. We work with leading institutions across healthcare, life sciences, and research, supporting faster studies, sharper insights, and better care. Backed by Roivant (NASDAQ: ROIV), Savant is built for organizations that see structured data not just as an output, but as a foundation for innovation.
**The Opportunity:** 
 We’re hiring an AI/ML Engineer to help build and scale the infrastructure behind Savant’s clinical data structuring platform. In this role, you’ll work at the intersection of LLMs, applied machine learning, and healthcare data to develop production\-grade pipelines that extract structured insights from messy, high\-stakes records. This is a high\-impact engineering role with full\-stack exposure \- from prototyping model workflows to deploying scalable inference systems. You’ll work closely with our product, clinical, and engineering teams to continuously improve model performance and delivery quality. If you’re excited to build real\-world applications of LLMs, shape how AI gets deployed in healthcare, and operate with ownership in a fast\-paced startup environment, we’d love to hear from you.
**Some Things You Might Work On**
* Design and build robust ML pipelines to apply LLMs and other models to unstructured clinical text
* Develop and optimize systems for information extraction, entity resolution, data normalization, and QA
* Build and scale infrastructure for running model inference across large datasets
* Prototype, evaluate, and refine prompt strategies, model configurations, and workflows
* Implement internal tools for monitoring, observability, and iterative model improvement
* Translate research prototypes into reliable, testable, and maintainable production code
* Collaborate cross\-functionally with clinical experts and product leads to embed domain knowledge into model workflows
**What We're Looking For**
* 3\+ years of hands\-on experience building and deploying ML/AI systems
* Strong Python development skills, including experience with production\-quality ML codebases
* Familiarity with modern ML/NLP frameworks (e.g., PyTorch, Hugging Face, spaCy)
* Experience working with large\-scale unstructured or semi\-structured data
* Practical knowledge of LLMs: prompt engineering, evaluation, fine\-tuning, observability
* Comfort working in fast\-paced, ambiguous environments where iteration is key
* Clear communicator with a collaborative mindset
**Bonus Points For**
* Experience working with clinical or healthcare data (EMRs, registries, imaging, labs, etc.)
* Familiarity with model evaluation tooling, quality benchmarking, and drift detection
* Exposure to data privacy or compliance frameworks (HIPAA, de\-ID workflows, etc.)
* Experience in an early\-stage startup or small, fast\-moving technical team
**Why Join Us**
* Full\-Stack AI Impact: Contribute across the ML lifecycle, from data to deployment
* Product\-Embedded Work: Your contributions will ship as part of a real product, not just R\&amp;D
* Tight Collaboration: Work directly with cross\-functional partners across clinical, product, and engineering
* Mission\-Driven: Help unlock better healthcare by solving foundational data problems
 Base salary for this role will be determined during the interview process and will vary based on multiple factors, including but not limited to prior experience, relevant expertise, current business needs, and market conditions. The expected base salary for the role will generally be between $130,000 to $180,000 per year, with meaningful equity. The final salary offered may be outside this range based on individual circumstances and business and market conditions.
 Base salary if hired is only part of the total compensation package, which, depending on the position, may also include other components such as discretionary bonuses and Company\-sponsored benefit programs.
 This position is at\-will and Savant reserves the right to modify base salary (as well as any other discretionary payment or compensation program) at any time, including for reasons related to individual performance and business and market conditions.
 Savant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9">
      <c r="A9" t="inlineStr">
        <is>
          <t>li-4259765111</t>
        </is>
      </c>
      <c r="B9" t="inlineStr">
        <is>
          <t>Machine Learning Engineer - Perception Offline Driving Intelligence</t>
        </is>
      </c>
      <c r="C9" t="inlineStr">
        <is>
          <t>Zoox</t>
        </is>
      </c>
      <c r="D9" t="inlineStr">
        <is>
          <t>linkedin</t>
        </is>
      </c>
      <c r="E9" t="inlineStr"/>
      <c r="F9" t="inlineStr"/>
      <c r="G9" t="inlineStr">
        <is>
          <t>Foster City, CA</t>
        </is>
      </c>
      <c r="H9" t="inlineStr"/>
      <c r="I9" t="inlineStr">
        <is>
          <t>The Offline Driving Intelligence (ODIN) team at Zoox is leveraging the latest in AI to craft algorithms that understand the world. We leverage large models first offline and we devise a path of impact into our self\-driving robot, enabling safe and efficient navigation in complex environments.
 As an engineer in the ODIN team, you will develop advanced multimodal large language models that enhance environmental understanding. You'll develop and fine\-tune these models for off\-vehicle analysis while working with the onboard team to deliver impact in our robotaxi platform, ensuring they can efficiently identify hazards and interpret driving restrictions with minimal latency. Working alongside world\-class engineers and researchers, you'll leverage premium sensor data and cutting\-edge infrastructure to validate your algorithms in real\-world conditions, directly impacting productivity, safety and the capability of Zoox's autonomous system.
**In This Role, You Will**
* Develop multimodal large language models that enhance our robotaxis' understanding of complex urban environments
* Implement model architectures and sophisticated training techniques
* Build large high quality datasets leveraging all the inputs from our sensor stack and the overall large scale data we have at Zoox.
* Drive end\-to\-end ML solutions from research to production, utilizing Zoox's extensive data pipelines and infrastructure to improve autonomous driving capabilities.
* Collaborate with perception, planning, safety, and systems teams to integrate your models into the vehicle's decision\-making pipeline.
* Validate and optimize your solutions using real\-world driving scenarios, directly contributing to the safety and reliability of Zoox's autonomous system
**Qualifications**
* MS or PhD in Computer Science, Machine Learning, or related technical field
* Demonstrated experience training and deploying large language models (LLMs)
* Experience building and maintaining ML training pipelines, including data preprocessing, model training, and evaluation
* Proficiency in Python and ML libraries (PyTorch, NumPy) demonstrated through professional or research projects
* Experience training models with large scale data
**Bonus Qualifications**
* Publications in top\-tier conferences (CVPR, ICCV, RSS, ICRA)
* Experience with autonomous robotics systems
 $189,000 \- $257,000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
      <c r="A10" t="inlineStr">
        <is>
          <t>li-4373117009</t>
        </is>
      </c>
      <c r="B10" t="inlineStr">
        <is>
          <t>Machine Learning Engineer 5 - Ads Inventory Management &amp; Forecasting</t>
        </is>
      </c>
      <c r="C10" t="inlineStr">
        <is>
          <t>Netflix</t>
        </is>
      </c>
      <c r="D10" t="inlineStr">
        <is>
          <t>linkedin</t>
        </is>
      </c>
      <c r="E10" t="inlineStr"/>
      <c r="F10" t="inlineStr"/>
      <c r="G10" t="inlineStr">
        <is>
          <t>Los Angeles, CA</t>
        </is>
      </c>
      <c r="H10" t="inlineStr"/>
      <c r="I10"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We launched a new ad\-supported tier in November 2022 to offer our members more choice in how they consume their content. Our new tier allows us to attract new members at a lower price point, while also creating a compelling path for advertisers to reach audiences that are deeply engaged.
**Our Team**
 The Ads Platform Engineering teams build advertising systems and integrations that powers the delivery of ads using our world class content delivery ecosystem. We use a number of Netflix investments and innovations to power our ads \- unique mix of client and server side ad insertions, state of the art content delivery system, ad encoding recipes, content understanding and metadata etc. We deliver ads in a manner that’s thoughtful of our member’s viewing experience and drive great outcomes for advertisers. We also ensure that advertiser brand safety is ensured during serving, members only see the most appropriate ads for them.
 Ads Inventory Management \&amp; Forecasting team builds state\-of\-art realtime inventory forecasting solution leveraging ML models and high performance ad server simulations. The team also builds systems that enable publisher inventory management solutions, which supports various monetization strategies such as dynamic pricing, rate card management, product packaging, inventory split and yield optimization.
 Our team is new and yet faced with the enormous ambitions of building highly performant advertising systems and delivering high impact to our business by monetizing our incredible slate of content. As one of the newest entrants in the Connected TV advertising space that’s rapidly growing, we seek to build unique value propositions that help us differentiate from the competition and become a market leader in record time.
 We are looking for highly motivated engineers working in the advertising space who are excited to join us on this journey.
**Skills \&amp; Experience We’re Seeking**
* Experience in building end\-to\-end ML model deployment and inference infra for low\-latency real\-time ad systems.
* Experience in handling data at extremely large volumes with big data tools like Spark.
* Productionized predictive models to forecast the effectiveness of advertising campaigns, including metrics like impressions, reach, clicks, conversions, and ROI.
* Building Scalable Simulation solution to model different inventory scenarios, including demand fluctuations, pricing strategies, and inventory allocation.
* General understanding of the advertising marketplace and landscape, with a focus on publisher side challenges like optimizing fill rates and maximizing revenue in the context of inventory management.
* Collaborate with cross\-functional stakeholders from science team, product, engineering, operations, design, consumer research, etc., to productionize and deploy models at scale
**Nice To Haves**
* Good understanding of Lucene index and had experience building Lucene index with large volume of data.
* Familiar with publisher\-side ad tech systems including ad servers, bidders, yield optimizers, and their demand\-side counterparts (SSPs/DSPs)
* Experience in yield optimization, product recommendation and dynamic allocation of direct/programmatic guaranteed and non\-guaranteed inventory
* Contributed to an ads industry technology standard (e.g VAST, OpenRTB) or worked on an industry consortium effort, working group etc.
* Familiarity with legal compliance and changing landscape of ads regulations around the world.
* Experience working in the CTV space and knowledge of its unique constraints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$466,000\.00 \- $750,000\.00\.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11">
      <c r="A11" t="inlineStr">
        <is>
          <t>li-4317507136</t>
        </is>
      </c>
      <c r="B11" t="inlineStr">
        <is>
          <t>AI Engineer</t>
        </is>
      </c>
      <c r="C11" t="inlineStr">
        <is>
          <t>Develop Health</t>
        </is>
      </c>
      <c r="D11" t="inlineStr">
        <is>
          <t>linkedin</t>
        </is>
      </c>
      <c r="E11" t="inlineStr"/>
      <c r="F11" t="inlineStr"/>
      <c r="G11" t="inlineStr">
        <is>
          <t>Menlo Park, CA</t>
        </is>
      </c>
      <c r="H11" t="inlineStr"/>
      <c r="I11" t="inlineStr">
        <is>
          <t>Develop Health is on a mission to use AI to radically accelerate access to life\-saving medications. By automating complex, manual healthcare processes—like benefit verification and prior authorization—
 **we’ve grown from $0 to \&gt;$10M in annual recurring revenue in less than 2 years, and currently help more than 400,000 new patients every month** 
 .
 We’re partnering with some of the largest pharmacy benefit managers and payers in the nation, revolutionizing how healthcare interactions occur by eliminating human delays and inefficiencies. Our small, elite team of founders and engineers have previously launched and exited successful healthcare startups including Rupa Health and Canvas Medical. We are now scaling rapidly following a major funding round.
**About The Role** 
 We’re hiring an
 **AI Engineer** 
 to take models from prototype to production and drive real clinical impact through applied AI. You’ll have significant autonomy to define high‑value projects, build production‑ready systems, and ensure our models are safe, reliable, and deeply useful in the healthcare workflow.
 You’ll work closely with our product engineers, clinical leaders, and CTO to ensure that our AI delivers measurable improvements in patient access and operational efficiency. This is a hands‑on role that combines cutting‑edge AI development with pragmatic engineering and evaluation.
**What You'll Do \- Impact In Your First 3\-6 Months:** 
* Build and curate datasets and context sources to enable exceptional prompt engineering and evaluation of frontier LLMs, optimizing inputs, retrieval, and context to deliver cutting‑edge performance and reliability.
* Design and maintain evaluation pipelines that rigorously measure model accuracy, reliability, and real‑world clinical value.
* Prompt, test, and iterate on LLM workflows—including retrieval, agent logic, and tool use—to achieve industry‑leading performance.
* Deploy models into production: design APIs, integrate inference into our Python‑based backend, and implement observability and monitoring.
* Stay on the frontier of AI research, evaluating and incorporating advancements that enhance our platform.
**What You’ll Own – Driving Growth Beyond 12 Months:** 
* Develop and scale systems for continuous model improvement and learning, informed by real production feedback.
* Build AI infrastructure and tooling to enable other teams to safely prototype and deploy models.
* Collaborate with engineering leadership to architect the next‑generation AI platform that supports 100× transaction volume.
* Advance the AI‑driven features of our product—making our automation smarter, faster, and more context‑aware.
* Mentor future AI hires and help shape the company’s applied AI roadmap.
**What You’ll Bring On Day 1:** 
* 3\+ years of experience in applied AI or machine learning engineering.
* Deep, hands‑on experience with LLMs, modern AI frameworks, and evaluation techniques.
* Strong proficiency in Python, including API design and integration of AI models into production systems.
* Demonstrated ability to independently identify impactful projects and deliver them end‑to‑end.
* A mindset oriented toward ownership, autonomy, and measurable outcomes, not ticket‑driven work.
* Comfort operating in a fast‑paced, high‑autonomy startup environment.
* Availability to work on‑site in Menlo Park at least three days per week.
**What You’ll Need To Learn Quickly:** 
* How our AI systems integrate with benefit verification and prior authorization workflows, and develop a deep understanding of the healthcare ecosystem—how data moves through payers, providers, and patients, and how our automation fits into these processes.
* Our internal data sources, operational rhythms, and model evaluation standards.
* Emerging AI techniques relevant to retrieval‑augmented generation, fine‑tuning, and evaluation automation.
**Bonus Points:** 
* Experience in healthcare or health‑tech environments.
* Prior startup or founding‑team experience.
* Familiarity with observability and monitoring frameworks for production ML systems.
* Contributions to open‑source AI projects or applied research.
**What We Offer:** 
* Competitive salary \+ meaningful equity in a company growing 10× year‑over‑year.
* Health, dental, and vision coverage; flexible PTO.
* High‑end workstation \&amp; tooling budget.
* The opportunity to build AI that directly improves access to care for millions of patients.</t>
        </is>
      </c>
    </row>
    <row r="12">
      <c r="A12" t="inlineStr">
        <is>
          <t>li-4344389451</t>
        </is>
      </c>
      <c r="B12" t="inlineStr">
        <is>
          <t>Senior AI Engineer</t>
        </is>
      </c>
      <c r="C12" t="inlineStr">
        <is>
          <t>Oracle</t>
        </is>
      </c>
      <c r="D12" t="inlineStr">
        <is>
          <t>linkedin</t>
        </is>
      </c>
      <c r="E12" t="inlineStr"/>
      <c r="F12" t="inlineStr"/>
      <c r="G12" t="inlineStr">
        <is>
          <t>Redwood City, CA</t>
        </is>
      </c>
      <c r="H12" t="inlineStr"/>
      <c r="I12" t="inlineStr">
        <is>
          <t>**Job Description**
 Design, develop, troubleshoot and debug software programs for databases, applications, tools, networks etc.
 As part of this team you will be designing and developing new applications that will serve as the base line for own standard products here in Oracle. As a leading developer you will work with an international team to come up with solutions that solve our business needs on the best way possible, with increase emphasis on optimization and AI integration.
 You will work with new technologies, languages and design patterns like
* Micro services
* Kafka
* Helidon
* Groovy
* AI Agents
 This role requires 3 to 5 year of experience on the field and a BS or MS degree relevant to the functional area. Proven experience with Java or Python development is required. Experience with AI design and development is good to have.
**Responsibilities**
 As a member of the software engineering division, you will assist in
* Defining and developing software for tasks associated to our business users and the required software applications on the area.
* Provide technical leadership to other software developers.
* Specify, design and implement modest changes to existing software architecture to meet changing needs.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3">
      <c r="A13" t="inlineStr">
        <is>
          <t>li-4344339500</t>
        </is>
      </c>
      <c r="B13" t="inlineStr">
        <is>
          <t>Senior AI Engineer</t>
        </is>
      </c>
      <c r="C13" t="inlineStr">
        <is>
          <t>Oracle</t>
        </is>
      </c>
      <c r="D13" t="inlineStr">
        <is>
          <t>linkedin</t>
        </is>
      </c>
      <c r="E13" t="inlineStr"/>
      <c r="F13" t="inlineStr"/>
      <c r="G13" t="inlineStr"/>
      <c r="H13" t="inlineStr"/>
      <c r="I13" t="inlineStr">
        <is>
          <t>**Job Description**
 Design, develop, troubleshoot and debug software programs for databases, applications, tools, networks etc.
 As part of this team you will be designing and developing new applications that will serve as the base line for own standard products here in Oracle. As a leading developer you will work with an international team to come up with solutions that solve our business needs on the best way possible, with increase emphasis on optimization and AI integration.
 You will work with new technologies, languages and design patterns like
* Micro services
* Kafka
* Helidon
* Groovy
* AI Agents
 This role requires 3 to 5 year of experience on the field and a BS or MS degree relevant to the functional area. Proven experience with Java or Python development is required. Experience with AI design and development is good to have.
**Responsibilities**
 As a member of the software engineering division, you will assist in
* Defining and developing software for tasks associated to our business users and the required software applications on the area.
* Provide technical leadership to other software developers.
* Specify, design and implement modest changes to existing software architecture to meet changing needs.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4">
      <c r="A14" t="inlineStr">
        <is>
          <t>li-4304443783</t>
        </is>
      </c>
      <c r="B14" t="inlineStr">
        <is>
          <t>Applied Machine Learning Engineer</t>
        </is>
      </c>
      <c r="C14" t="inlineStr">
        <is>
          <t>DataAnnotation</t>
        </is>
      </c>
      <c r="D14" t="inlineStr">
        <is>
          <t>linkedin</t>
        </is>
      </c>
      <c r="E14" t="inlineStr"/>
      <c r="F14" t="inlineStr"/>
      <c r="G14" t="inlineStr">
        <is>
          <t>Massachusetts, United States</t>
        </is>
      </c>
      <c r="H14" t="inlineStr"/>
      <c r="I14" t="inlineStr">
        <is>
          <t>We are looking for an Applied Machine Learning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15">
      <c r="A15" t="inlineStr">
        <is>
          <t>li-4304436921</t>
        </is>
      </c>
      <c r="B15" t="inlineStr">
        <is>
          <t>Applied Machine Learning Engineer</t>
        </is>
      </c>
      <c r="C15" t="inlineStr">
        <is>
          <t>DataAnnotation</t>
        </is>
      </c>
      <c r="D15" t="inlineStr">
        <is>
          <t>linkedin</t>
        </is>
      </c>
      <c r="E15" t="inlineStr"/>
      <c r="F15" t="inlineStr"/>
      <c r="G15" t="inlineStr">
        <is>
          <t>Maryland, United States</t>
        </is>
      </c>
      <c r="H15" t="inlineStr"/>
      <c r="I15" t="inlineStr">
        <is>
          <t>We are looking for an Applied Machine Learning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16">
      <c r="A16" t="inlineStr">
        <is>
          <t>li-4304447603</t>
        </is>
      </c>
      <c r="B16" t="inlineStr">
        <is>
          <t>Applied Machine Learning Engineer</t>
        </is>
      </c>
      <c r="C16" t="inlineStr">
        <is>
          <t>DataAnnotation</t>
        </is>
      </c>
      <c r="D16" t="inlineStr">
        <is>
          <t>linkedin</t>
        </is>
      </c>
      <c r="E16" t="inlineStr"/>
      <c r="F16" t="inlineStr"/>
      <c r="G16" t="inlineStr">
        <is>
          <t>Indiana, United States</t>
        </is>
      </c>
      <c r="H16" t="inlineStr"/>
      <c r="I16" t="inlineStr">
        <is>
          <t>We are looking for an Applied Machine Learning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17">
      <c r="A17" t="inlineStr">
        <is>
          <t>li-4304441771</t>
        </is>
      </c>
      <c r="B17" t="inlineStr">
        <is>
          <t>Applied Machine Learning Engineer</t>
        </is>
      </c>
      <c r="C17" t="inlineStr">
        <is>
          <t>DataAnnotation</t>
        </is>
      </c>
      <c r="D17" t="inlineStr">
        <is>
          <t>linkedin</t>
        </is>
      </c>
      <c r="E17" t="inlineStr"/>
      <c r="F17" t="inlineStr"/>
      <c r="G17" t="inlineStr">
        <is>
          <t>Colorado, United States</t>
        </is>
      </c>
      <c r="H17" t="inlineStr"/>
      <c r="I17" t="inlineStr">
        <is>
          <t>We are looking for an Applied Machine Learning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18">
      <c r="A18" t="inlineStr">
        <is>
          <t>li-4304445720</t>
        </is>
      </c>
      <c r="B18" t="inlineStr">
        <is>
          <t>Applied Machine Learning Engineer</t>
        </is>
      </c>
      <c r="C18" t="inlineStr">
        <is>
          <t>DataAnnotation</t>
        </is>
      </c>
      <c r="D18" t="inlineStr">
        <is>
          <t>linkedin</t>
        </is>
      </c>
      <c r="E18" t="inlineStr"/>
      <c r="F18" t="inlineStr"/>
      <c r="G18" t="inlineStr">
        <is>
          <t>Montana, United States</t>
        </is>
      </c>
      <c r="H18" t="inlineStr"/>
      <c r="I18" t="inlineStr">
        <is>
          <t>We are looking for an Applied Machine Learning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19">
      <c r="A19" t="inlineStr">
        <is>
          <t>li-4304436856</t>
        </is>
      </c>
      <c r="B19" t="inlineStr">
        <is>
          <t>Applied Machine Learning Engineer</t>
        </is>
      </c>
      <c r="C19" t="inlineStr">
        <is>
          <t>DataAnnotation</t>
        </is>
      </c>
      <c r="D19" t="inlineStr">
        <is>
          <t>linkedin</t>
        </is>
      </c>
      <c r="E19" t="inlineStr"/>
      <c r="F19" t="inlineStr"/>
      <c r="G19" t="inlineStr">
        <is>
          <t>Georgia, United States</t>
        </is>
      </c>
      <c r="H19" t="inlineStr"/>
      <c r="I19" t="inlineStr">
        <is>
          <t>We are looking for an Applied Machine Learning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20">
      <c r="A20" t="inlineStr">
        <is>
          <t>li-4304450621</t>
        </is>
      </c>
      <c r="B20" t="inlineStr">
        <is>
          <t>Applied Machine Learning Engineer</t>
        </is>
      </c>
      <c r="C20" t="inlineStr">
        <is>
          <t>DataAnnotation</t>
        </is>
      </c>
      <c r="D20" t="inlineStr">
        <is>
          <t>linkedin</t>
        </is>
      </c>
      <c r="E20" t="inlineStr"/>
      <c r="F20" t="inlineStr"/>
      <c r="G20" t="inlineStr">
        <is>
          <t>Tennessee, United States</t>
        </is>
      </c>
      <c r="H20" t="inlineStr"/>
      <c r="I20" t="inlineStr">
        <is>
          <t>We are looking for an Applied Machine Learning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21">
      <c r="A21" t="inlineStr">
        <is>
          <t>li-4304438808</t>
        </is>
      </c>
      <c r="B21" t="inlineStr">
        <is>
          <t>Applied Machine Learning Engineer</t>
        </is>
      </c>
      <c r="C21" t="inlineStr">
        <is>
          <t>DataAnnotation</t>
        </is>
      </c>
      <c r="D21" t="inlineStr">
        <is>
          <t>linkedin</t>
        </is>
      </c>
      <c r="E21" t="inlineStr"/>
      <c r="F21" t="inlineStr"/>
      <c r="G21" t="inlineStr">
        <is>
          <t>Arizona, United States</t>
        </is>
      </c>
      <c r="H21" t="inlineStr"/>
      <c r="I21" t="inlineStr">
        <is>
          <t>We are looking for an Applied Machine Learning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22">
      <c r="A22" t="inlineStr">
        <is>
          <t>li-4304442731</t>
        </is>
      </c>
      <c r="B22" t="inlineStr">
        <is>
          <t>Applied Machine Learning Engineer</t>
        </is>
      </c>
      <c r="C22" t="inlineStr">
        <is>
          <t>DataAnnotation</t>
        </is>
      </c>
      <c r="D22" t="inlineStr">
        <is>
          <t>linkedin</t>
        </is>
      </c>
      <c r="E22" t="inlineStr"/>
      <c r="F22" t="inlineStr"/>
      <c r="G22" t="inlineStr">
        <is>
          <t>Connecticut, United States</t>
        </is>
      </c>
      <c r="H22" t="inlineStr"/>
      <c r="I22" t="inlineStr">
        <is>
          <t>We are looking for an Applied Machine Learning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23">
      <c r="A23" t="inlineStr">
        <is>
          <t>li-4304465340</t>
        </is>
      </c>
      <c r="B23" t="inlineStr">
        <is>
          <t>Applied Machine Learning Engineer</t>
        </is>
      </c>
      <c r="C23" t="inlineStr">
        <is>
          <t>DataAnnotation</t>
        </is>
      </c>
      <c r="D23" t="inlineStr">
        <is>
          <t>linkedin</t>
        </is>
      </c>
      <c r="E23" t="inlineStr"/>
      <c r="F23" t="inlineStr"/>
      <c r="G23" t="inlineStr">
        <is>
          <t>Pennsylvania, United States</t>
        </is>
      </c>
      <c r="H23" t="inlineStr"/>
      <c r="I23" t="inlineStr">
        <is>
          <t>We are looking for an Applied Machine Learning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24">
      <c r="A24" t="inlineStr">
        <is>
          <t>li-4304458522</t>
        </is>
      </c>
      <c r="B24" t="inlineStr">
        <is>
          <t>Applied Machine Learning Engineer</t>
        </is>
      </c>
      <c r="C24" t="inlineStr">
        <is>
          <t>DataAnnotation</t>
        </is>
      </c>
      <c r="D24" t="inlineStr">
        <is>
          <t>linkedin</t>
        </is>
      </c>
      <c r="E24" t="inlineStr"/>
      <c r="F24" t="inlineStr"/>
      <c r="G24" t="inlineStr">
        <is>
          <t>Idaho, United States</t>
        </is>
      </c>
      <c r="H24" t="inlineStr"/>
      <c r="I24" t="inlineStr">
        <is>
          <t>We are looking for an Applied Machine Learning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25">
      <c r="A25" t="inlineStr">
        <is>
          <t>li-4304438753</t>
        </is>
      </c>
      <c r="B25" t="inlineStr">
        <is>
          <t>Applied Machine Learning Engineer</t>
        </is>
      </c>
      <c r="C25" t="inlineStr">
        <is>
          <t>DataAnnotation</t>
        </is>
      </c>
      <c r="D25" t="inlineStr">
        <is>
          <t>linkedin</t>
        </is>
      </c>
      <c r="E25" t="inlineStr"/>
      <c r="F25" t="inlineStr"/>
      <c r="G25" t="inlineStr">
        <is>
          <t>West Virginia, United States</t>
        </is>
      </c>
      <c r="H25" t="inlineStr"/>
      <c r="I25" t="inlineStr">
        <is>
          <t>We are looking for an Applied Machine Learning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26">
      <c r="A26" t="inlineStr">
        <is>
          <t>li-4304446672</t>
        </is>
      </c>
      <c r="B26" t="inlineStr">
        <is>
          <t>Applied Machine Learning Engineer</t>
        </is>
      </c>
      <c r="C26" t="inlineStr">
        <is>
          <t>DataAnnotation</t>
        </is>
      </c>
      <c r="D26" t="inlineStr">
        <is>
          <t>linkedin</t>
        </is>
      </c>
      <c r="E26" t="inlineStr"/>
      <c r="F26" t="inlineStr"/>
      <c r="G26" t="inlineStr">
        <is>
          <t>South Dakota, United States</t>
        </is>
      </c>
      <c r="H26" t="inlineStr"/>
      <c r="I26" t="inlineStr">
        <is>
          <t>We are looking for an Applied Machine Learning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27">
      <c r="A27" t="inlineStr">
        <is>
          <t>li-4375676249</t>
        </is>
      </c>
      <c r="B27" t="inlineStr">
        <is>
          <t>Machine Learning Engineer, Ads</t>
        </is>
      </c>
      <c r="C27" t="inlineStr">
        <is>
          <t>Wiraa</t>
        </is>
      </c>
      <c r="D27" t="inlineStr">
        <is>
          <t>linkedin</t>
        </is>
      </c>
      <c r="E27" t="inlineStr"/>
      <c r="F27" t="inlineStr"/>
      <c r="G27" t="inlineStr"/>
      <c r="H27" t="inlineStr"/>
      <c r="I27" t="inlineStr">
        <is>
          <t>**About The Company**
 Instacart is revolutionizing the grocery industry by providing essential delivery services that connect customers with their favorite groceries and household goods. Committed to sharing love through food, Instacart believes that everyone should have access to the food they love and more time to enjoy it together. The company recognizes the complexity and opportunity within the grocery delivery space, striving to serve the diverse needs of its community through innovative solutions. With millions relying on its platform daily, Instacart has established itself as a vital lifeline for consumers, offering safe, flexible earnings opportunities for its Personal Shoppers. As a company that values flexibility and community, Instacart promotes a remote\-first culture, empowering employees to work from their preferred locations while maintaining strong collaboration and engagement through regular in\-person events.
**About The Role**
 We are seeking a highly experienced ML engineering leader to join our Ads Engineering team as the Area Tech Lead of Ads Quality. This role offers an exciting opportunity to apply cutting\-edge AI and ML models to enhance digital advertising solutions on a large scale. You will be instrumental in developing innovative AI\-powered systems that address complex challenges in Ads Quality, such as optimizing pacing, bidding, retrieval, and auction processes to meet diverse advertiser goals. Your expertise will help balance the needs of users, advertisers, and retailers by transforming solutions into quantifiable and optimizable models. You will lead the design and implementation of advanced generative AI and recommendation frameworks to revolutionize advertiser experiences and campaign effectiveness. Collaborating closely with Data Scientists, product managers, and engineering teams, you will define and execute the technical strategy and roadmap for Ads Quality, ensuring scalability, reliability, and security. This hands\-on role also involves mentoring junior engineers, fostering a strong engineering culture, and representing the Ads team in cross\-company technical initiatives. Your leadership will shape the future of Instacart’s AI\-driven advertising solutions, contributing to the company’s overall growth and innovation trajectory.
**Qualifications**
* PhD in AI, ML, or a related field, or equivalent academic and research experience
* 10\+ years of experience as a software and/or ML engineer
* Proven track record of architecting and building production\-grade ML systems, AI, and quantitative optimization technologies at a global scale
* Strong ability to lead technical discussions and collaborate effectively with senior and executive stakeholders
* Experience mentoring and developing engineering talent and fostering a positive engineering culture
* Hands\-on expertise in designing large\-scale AI/ML systems, including generative AI, predictive modeling, and recommendation engines
* Deep understanding of Ads Quality systems, such as pacing, bidding, yield optimization, retrieval processes, and auction dynamics
* Familiarity with cloud platforms and tools including AWS, Golang, Spark, Clickhouse, Snowflake, TensorFlow
**Responsibilities**
* Design and develop innovative AI\-powered systems to address Ads Quality challenges, including optimizing ad pacing, bidding, retrieval, and auction processes
* Translate advertiser, user, and retailer needs into quantifiable, optimizable models and solutions
* Identify and implement generative AI solutions to enhance all aspects of the quality stack
* Build advanced recommendation frameworks to improve advertiser experience and campaign efficacy
* Develop systems that provide intelligent recommendations and assistance to advertisers
* Collaborate with Data Scientists to establish metrics and methodologies for tracking, optimization, and goal\-setting
* Define and own the technical strategy and roadmap for Ads Quality, balancing immediate needs with long\-term sustainability
* Architect complex AI and quality components, ensuring scalability, performance, and security
* Serve as a technical mentor, guiding engineers through code reviews, design discussions, and knowledge sharing
* Foster a collaborative engineering culture and contribute to cross\-team initiatives within Instacart
* Represent the Ads team in company\-wide technical forums, advocating for innovative AI solutions
**Benefits**
* Highly competitive compensation packages tailored to location and experience
* Eligible for equity grants and annual refresh grants
* Flexible remote work policy allowing employees to work from home, office, or preferred location
* Comprehensive health, dental, and vision insurance plans
* Generous paid time off and holiday policies
* Professional development opportunities and continuous learning programs
* Access to a vibrant, inclusive, and innovative company culture
 Equal Opportunity
 Instacart is an equal opportunity employer committed to fostering an inclusive environment for all employees. We celebrate diversity and are dedicated to creating a workplace where everyone feels valued, respected, and empowered to contribute to our shared success. We do not discriminate based on race, ethnicity, gender, sexual orientation, age, disability, religion, or any other protected status. All qualified applicants will receive consideration for employment without regard to these factors.</t>
        </is>
      </c>
    </row>
    <row r="28">
      <c r="A28" t="inlineStr">
        <is>
          <t>li-4331920455</t>
        </is>
      </c>
      <c r="B28" t="inlineStr">
        <is>
          <t>AI Engineer</t>
        </is>
      </c>
      <c r="C28" t="inlineStr">
        <is>
          <t>Medpace</t>
        </is>
      </c>
      <c r="D28" t="inlineStr">
        <is>
          <t>linkedin</t>
        </is>
      </c>
      <c r="E28" t="inlineStr"/>
      <c r="F28" t="inlineStr"/>
      <c r="G28" t="inlineStr">
        <is>
          <t>Cincinnati, OH</t>
        </is>
      </c>
      <c r="H28" t="inlineStr"/>
      <c r="I28" t="inlineStr">
        <is>
          <t>Do you have a passion for Artificial Intelligence (AI) and are looking to make a difference in how the latest clinical trials progress into the market?
 Do you have a background in data science and/or computer science with experience working with AI tools for interactive AI applications across various IT systems?
 If so, we have an exciting opportunity for you at Medpace.
 We are currently seeking a professional with experience with artificial intelligence (AI) tools such as NLP, LLM, IA etc. This professional will be programming and fine\-tuning various AI tools and helping IT teams to implement them into new applications.
 This professional will work collaboratively across the organization with multiple teams to improve the efficiency of company processes and provide insights and assistance to users.
**Responsibilities**
* Design, implement, and deploy machine learning models and systems to solve complex problems and drive business outcomes;
* Research, develop, and implement machine learning algorithms and models for tasks such as classification, regression, clustering, anomaly detection, and recommendation systems;
* Research, develop, and implement AI tools such as NLP, LLM, and IA;
* Collect, preprocess, and curate large datasets required for training generative models;
* Experiment with different machine learning techniques and algorithms, including supervised, unsupervised, semi\-supervised, reinforcement, and deep learning;
* Design and optimize machine learning pipelines and workflows, incorporating techniques for data cleaning, feature engineering, model selection, and hyperparameter tuning; and
* Develop scalable and efficient machine learning infrastructure and systems for training, testing, and deploying models in production environments.
**Qualifications**
* Bachelor’s degree or higher in Artificial Intelligence, Computer or Data Science, or related field. Master’s degree preferred;
* Proven experience implementing and fine\-tuning Large Language Models or interactive AI applications (\&gt;1 year post\-graduate experience);
* Technical proficiency in programming languages and frameworks commonly used in NLP and AI (e.g., Python, TensorFlow, PyTorch);
* Preferably several years of experience working with different AI capabilities and showcasing your passion both at work and outside work in the utilization of AI;
* Excellent communication skills to collaborate effectively with cross\-functional teams;
* A passion for staying up\-to\-date with the latest advancements in NLP and AI technologies; and
* Analytical thinker with great attention to detail.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**Cincinnati Perks**
* Cincinnati Campus Overview
* Flexible work environment
* Competitive PTO packages, starting at 20\+ days
* Competitive compensation and benefits package
* Company\-sponsored employee appreciation events
* Employee health and wellness initiatives
* Community involvement with local nonprofit organizations
* Discounts on local sports games, fitness gyms and attractions
* Modern, ecofriendly campus with an on\-site fitness center
* Structured career paths with opportunities for professional growth
* Discounted tuition for UC online programs
**Awards**
* Named a Top Workplace in 2024 by The Cincinnati Enquirer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is>
      </c>
    </row>
    <row r="29">
      <c r="A29" t="inlineStr">
        <is>
          <t>li-4324892704</t>
        </is>
      </c>
      <c r="B29" t="inlineStr">
        <is>
          <t>Engineer Graduate: (Machine Learning Engineer, Data-Search-Recommendation TikTok.US - Seattle) - 2026 Start (BS/MS)</t>
        </is>
      </c>
      <c r="C29" t="inlineStr">
        <is>
          <t>TikTok</t>
        </is>
      </c>
      <c r="D29" t="inlineStr">
        <is>
          <t>linkedin</t>
        </is>
      </c>
      <c r="E29" t="inlineStr"/>
      <c r="F29" t="inlineStr"/>
      <c r="G29" t="inlineStr">
        <is>
          <t>Seattle, WA</t>
        </is>
      </c>
      <c r="H29" t="inlineStr"/>
      <c r="I29" t="inlineStr">
        <is>
          <t>**Responsibilities**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**About The Team**
 On the TikTok Search Team, you will have the opportunity to develop and apply cutting edge machine learning technologies in real\-time large\-scale systems, which serve billions of search requests every day. Via advanced NLP and multi\-modal models, our projects impact and improve the search experience for hundreds of millions of users globally. We embrace a culture of self\-direction, intellectual curiosity, openness, and problem\-solving.
**Responsibilities:**
 Participate in the improvement of the search core algorithm, possible directions include:
* Content understanding/matching: Applying the industry's cutting\-edge NLP and CV technology to match the most relevant videos for each search query, and continuously improve the relevance of TikTok search.
* User Behavior Modeling: solving the recommendation problem in search, let TikTok search increase the ability of personalization on the basis of "relevant", and understand users better.
* Video understanding: comprehensive use of NLP, CV, and other technologies for better video understanding from the perspective of the video itself and social network, improve the authority, credibility, and usefulness of search results.
**Qualifications**
 Minimum Qualifications:
* Final year or recent graduate with a background in Software Development, Computer Science, Computer Engineering, or a related technical discipline.
* Must obtain work authorization in country of employment at the time of hire, and maintain ongoing work authorization during employment.
* Proficient coding skills and strong algorithm \&amp; data structure basis.
* Effective communication and teamwork skills.
* Experience in one or more of the following areas: NLP, Ranking, Ads, search engine, recommender system, distributed system, and machine learning.
 By submitting an application for this role, you accept and agree to our global applicant privacy policy, which may be accessed here: https://careers.tiktok.com/legal/privacy
 Job Information
**【For Pay Transparency】Compensation Description (Annually)**
 The base salary range for this position in the selected city is $112725 \- $177840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30">
      <c r="A30" t="inlineStr">
        <is>
          <t>li-4374367606</t>
        </is>
      </c>
      <c r="B30" t="inlineStr">
        <is>
          <t>AIML - Senior Machine Learning Engineer, Responsible AI and Safety</t>
        </is>
      </c>
      <c r="C30" t="inlineStr">
        <is>
          <t>Apple</t>
        </is>
      </c>
      <c r="D30" t="inlineStr">
        <is>
          <t>linkedin</t>
        </is>
      </c>
      <c r="E30" t="inlineStr"/>
      <c r="F30" t="inlineStr"/>
      <c r="G30" t="inlineStr">
        <is>
          <t>Cupertino, CA</t>
        </is>
      </c>
      <c r="H30" t="inlineStr"/>
      <c r="I30" t="inlineStr">
        <is>
          <t>**Summary**
 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Apple’s Responsible AI group you will be working on a wide array of new features and research in the generative AI space. Our team is currently interested in large generative models for vision and language, with particular interest on Responsible AI, safety, fairness, robustness, explainability, and uncertainty in models.
**Description**
 This role focuses on developing, carrying\-out, interpreting, and communicating pre\- and post\-ship evaluations of the safety of Apple Intelligence features. Both human grading and model\-based auto\-grading are thoughtfully leveraged to power these evaluations. Additionally, this role researches and develops auto\-grading methodology \&amp; infrastructure to benefit ongoing and future Apple Intelligence safety evaluations.
 Producing safety evaluations that uphold Apple’s Responsible AI values requires thoughtful data sampling, creation, and curation for evaluation datasets; high quality, detailed annotations and careful auto\-grading to assess feature performance; and mindful analysis to understand what the evaluation means for the user experience.
 This role heavily draws on applied data science, scientific investigation and interpretation, cross\-functional communication and collaboration, and metrics reporting and presentation.
**Responsibilities**
* Develop metrics for evaluation of safety and fairness risks inherent to generative AI features.
* Design datasets, identify data needs, and work on creative solutions, scaling and expanding data coverage through human and synthetic generation methods.
* Develop auto\-grading technologies and approaches for application in safety evaluations of generative AI features.
* Provide technical direction and expertise to team\-wide initiatives in safety auto\-grading.
* Use and implement data pipelines, and collaborate cross\-functionally to execute end\-to\-end safety evaluations.
* Work with highly\-sensitive content with exposure to offensive and controversial content.
**Minimum Qualifications**
* MS, or PhD in Computer Science, Machine Learning, Statistics, or related fields; or an equivalent qualification acquired through other avenues.
* Experience working with generative models for evaluation and/or product development, and up\-to\-date knowledge of common challenges and failures.
* Strong engineering skills and experience in writing production\-quality code in Python.
* Deep experience in foundation model\-based AI programming (i.e.: using DSPy for optimizing foundation model prompts, for example) and a drive to innovate in this space.
* Experience working with noisy, crowd\-based data labels and human evaluations.
**Preferred Qualifications**
* Experience working in the Responsible AI space.
* Prior scientific research and publication experience.
* Strong organizational and operational skills working with large, multi\-functional, and diverse teams.
* Curiosity about fairness and bias in generative AI systems, and a strong desire to help make the technology more equitable.
**Pay \&amp; Benefits**
 This posting is not for a specific job opening and by submitting your resume you are expressing interest in being contacted about this type of role at Apple in the future.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31">
      <c r="A31" t="inlineStr">
        <is>
          <t>li-4367367602</t>
        </is>
      </c>
      <c r="B31" t="inlineStr">
        <is>
          <t>AI Engineer (Agent Systems &amp; LLMs)</t>
        </is>
      </c>
      <c r="C31" t="inlineStr">
        <is>
          <t>GenBio AI</t>
        </is>
      </c>
      <c r="D31" t="inlineStr">
        <is>
          <t>linkedin</t>
        </is>
      </c>
      <c r="E31" t="inlineStr"/>
      <c r="F31" t="inlineStr"/>
      <c r="G31" t="inlineStr">
        <is>
          <t>Palo Alto, CA</t>
        </is>
      </c>
      <c r="H31" t="inlineStr"/>
      <c r="I31" t="inlineStr">
        <is>
          <t>GenBio AI develops multiscale foundation models to decode and simulate human biology. Our team is accelerating towards an ambitious future where scientists can unlock humanity's biggest challenges in drug discovery, healthcare, and fundamental research with AIDO (AI\-Driven Digital Organism): a unified framework for predicting, simulating, and programming biology across all scales. The foundation of this vision begins today as we engineer the virtual cell to model and simulate the fundamental unit of life.
 This vision has brought together a talent\-dense group of product\-minded researchers and engineers dedicated to bringing it to reality. Our team prides itself on our strong engineering culture and highly interdisciplinary and collaborative approach. We are based in Palo Alto, with satellite offices in Paris and Abu Dhabi.
 Your job will be to build AI scientists that conduct autonomous biomedical research with GenBio’s virtual instruments and simulators. If successful, your contributions will enable rapidly designing and orchestrating end\-to\-end biological simulation studies for drug design, healthcare, and biotechnology development.
**Responsibilities**
* Applied Agent Development: Build and deploy applied AI agents specifically tailored for complex workflows in software engineering, data science, and scientific discovery
* Build Agent Environments: Architect fast, secure, and performant environments for AI code execution using tools like Kubernetes, gVisor, and Modal
* Evaluation \&amp; Benchmarking: Design and implement rigorous evaluation frameworks to hillclimb agent performance, reliability, and reasoning capabilities
* Inference \&amp; Optimization: Optimize LLM inference pipelines and manage fine\-tuning workflows to ensure models are scalable and low\-latency in production
* Research Engineering: Translate experimental research concepts into robust, shippable product features, maintaining high engineering standards throughout the process
* Automate Everything
**Qualifications**
* Education \&amp; Experience: M.S. or Ph.D. in computer science, machine learning, or related discipline, or equivalent practical experience
* Agentic Systems Experience: Proven experience building applied AI agents or complex LLM\-driven applications, with a focus on tool use, code generation, and long\-horizon planning and execution
* Deep Technical Understanding: Deep knowledge of LLM inference, fine\-tuning techniques, and the modern AI infrastructure stack
* Infrastructure Mastery: Proficiency with containerization and secure sandboxing technologies (Kubernetes, gVisor) and serverless execution platforms (Modal)
* 0\-to\-1 Mindset: Experience bootstrapping products in fast\-paced startup environments; you are comfortable building from scratch with high autonomy
* Interdisciplinary Communication: Excellence in both engineering and research communication, with the ability to articulate complex technical challenges to a diverse team
 Join us as we embark on this journey to redefine the future of biology and medicine.
 We are an equal opportunity employer. We celebrate diversity and are committed to creating an inclusive environment for all employees. GenBio AI participates in the U.S. Department of Homeland Security’s E\-Verify program to confirm the employment eligibility of all newly hired employees. For more information on E\-Verify, please visit www.e\-verify.gov.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2">
      <c r="A32" t="inlineStr">
        <is>
          <t>li-4373148956</t>
        </is>
      </c>
      <c r="B32" t="inlineStr">
        <is>
          <t>Sr Machine Learning Engineer</t>
        </is>
      </c>
      <c r="C32" t="inlineStr">
        <is>
          <t>PayPal</t>
        </is>
      </c>
      <c r="D32" t="inlineStr">
        <is>
          <t>linkedin</t>
        </is>
      </c>
      <c r="E32" t="inlineStr"/>
      <c r="F32" t="inlineStr"/>
      <c r="G32" t="inlineStr">
        <is>
          <t>San Jose, CA</t>
        </is>
      </c>
      <c r="H32" t="inlineStr"/>
      <c r="I32"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will design, develop, and implement scalable engineering solutions to support machine learning models to solve complex problems. You will work closely with data scientists, software engineers, and product teams to enhance services through innovative AI/ML solutions.
**Job Description:**
**Essential Responsibilities:**
* Develop and optimize machine learning models for various applications.
* Preprocess and analyze large datasets to extract meaningful insights.
* Deploy ML solutions into production environments using appropriate tools and frameworks.
* Collaborate with cross\-functional teams to integrate ML models into products and services.
* Monitor and evaluate the performance of deployed models.
**Expected Qualifications:**
* 3\+ years relevant experience and a Bachelor’s degree OR Any equivalent combination of education and experience.
* Experience with ML frameworks like TensorFlow, PyTorch, or scikit\-learn.
* Familiarity with cloud platforms (AWS, Azure, GCP) and tools for data processing and model deployment.
* Several years of experience in designing, implementing, and deploying machine learning models.
**Primary Responsibilities**
**Additional Responsibilities and Preferred Qualifications**
* Develop and maintain data\-driven monitoring platform using cutting\-edge technologies
* Develop scalable and efficient monitoring agent frameworks
* Optimize platform performance, ensuring reliability, scalability, and low latency
* Collaborate with cross\-functional teams to ensure system reliability and scalability
* Monitor, debug, and resolve issues in production environments
**Requirements**
* Proficient in Python and familiar with Java / Scala
* Experience with Spark and big data technologies
* Experience with cloud platforms (AWS, Azure, or GCP) and containerization tools (Docker, Kubernetes).
* Experience in prompt engineering and agent development
* Familiar with MySQL / InfluxDB
* Familiar with Linux environments; able to perform troubleshooting and write automation scripts
* Familiar with CI/CD pipelines; able to implement automated build and deployment using tools like Jenkins
* Strong problem\-solving and communication skills
**Basic Qualifications**
* Team spirit and good communication skills. Fluent in English, both written and oral.
* Work effectively in a global team across different time zones
* Bachelor’s degree or above in Computer Science, Software Engineering or a related field, with at least 3 years of relevant experience
 The base pay for this role will depend on where you work and the relevant experience and expertise you bring. The expected range of pay for this role by location is:
**Primary Location : Pay Range:**
 San Jose, California : ($159,500\.00 \- $236,500\.00 Annually)
**Additional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R0134741</t>
        </is>
      </c>
    </row>
    <row r="33">
      <c r="A33" t="inlineStr">
        <is>
          <t>li-4372232413</t>
        </is>
      </c>
      <c r="B33" t="inlineStr">
        <is>
          <t>Senior Applied AI Engineer</t>
        </is>
      </c>
      <c r="C33" t="inlineStr">
        <is>
          <t>DeepRec.ai</t>
        </is>
      </c>
      <c r="D33" t="inlineStr">
        <is>
          <t>linkedin</t>
        </is>
      </c>
      <c r="E33" t="inlineStr"/>
      <c r="F33" t="inlineStr"/>
      <c r="G33" t="inlineStr">
        <is>
          <t>Palo Alto, CA</t>
        </is>
      </c>
      <c r="H33" t="inlineStr"/>
      <c r="I33" t="inlineStr">
        <is>
          <t>Senior Applied AI Engineer (End\-to\-End ML)
**Location:** 
 Palo Alto, CA (Hybrid )
**Role Type:** 
 Full\-Time / Permanent
 Summary
 Our client, a pioneering HealthTech AI firm in the Bay Area, is seeking a high\-calibre
 **Applied AI Engineer** 
 to bridge the gap between advanced Machine Learning and robust Software Engineering. This is an end\-to\-end ownership role: you will be responsible for designing the logic, building the architecture, and deploying the final services.
 Core Responsibilities
* **Architect AI Workflows:** 
 Design and implement sophisticated agentic workflows and automation sequences that power clinical decision\-making.
* **System Design \&amp; Integration:** 
 Build the backend infrastructure, scalable REST APIs, and data services required to support high\-concurrency AI applications.
* **Rapid Deployment:** 
 Maintain a high\-velocity shipping cycle, moving from prototype to production\-grade implementation in days.
* **Model Orchestration:** 
 Select, fine\-tune, and evaluate the performance of various LLMs (including OpenAI, Anthropic, and open\-source models) for specific healthcare tasks.
* **Full\-Stack ML:** 
 Own the pipeline from data ingestion and time\-series forecasting to real\-time classification and model monitoring.
 Technical Profile
* **Computer Science Mastery:** 
 Expert knowledge of algorithms, data structures, and distributed systems.
* **Software\-Heavy Background:** 
 Professional\-grade Python skills. You should be comfortable with software design patterns, testing, and CI/CD.
* **Machine Learning Fundamentals:** 
 \* Deep understanding of
 **Core ML topics** 
 : classification, regression, and clustering.
* Specific experience in
 **Time Series Forecasting** 
 and temporal data analysis.
* Proficiency in
 **Generative AI** 
 : RAG architectures, prompt optimization, and agent frameworks.
* **Infrastructure:** 
 Experience deploying services to cloud environments (GCP preferred) and a solid grasp of MLOps and pipeline automation.
* **Education:** 
 BS in Computer Science or related field \+ 4 years of experience, or an MS \+ 2 years of experience.
 Cultural Fit
* **Startup Agility:** 
 You possess the "scrappiness" to solve problems with limited resources but the rigor to ensure those solutions are enterprise\-grade.
* **The "Generalist" Mindset:** 
 You enjoy working across the entire stack and are not afraid to dive into data engineering or infrastructure when needed.
* **Mission\-Oriented:** 
 You are motivated by the prospect of using AI to significantly improve patient outcomes and healthcare efficiency.
 What’s Offered
 Our client provides a highly competitive package, including a strong base salary, meaningful equity, and comprehensive premium healthcare benefits. You will join a world\-class team of engineers in a collaborative, hybrid environment.</t>
        </is>
      </c>
    </row>
    <row r="34">
      <c r="A34" t="inlineStr">
        <is>
          <t>li-4375668555</t>
        </is>
      </c>
      <c r="B34" t="inlineStr">
        <is>
          <t>Senior Machine Learning Engineer - Marketplace Pricing</t>
        </is>
      </c>
      <c r="C34" t="inlineStr">
        <is>
          <t>Uber</t>
        </is>
      </c>
      <c r="D34" t="inlineStr">
        <is>
          <t>linkedin</t>
        </is>
      </c>
      <c r="E34" t="inlineStr"/>
      <c r="F34" t="inlineStr"/>
      <c r="G34" t="inlineStr">
        <is>
          <t>New York, NY</t>
        </is>
      </c>
      <c r="H34" t="inlineStr"/>
      <c r="I34" t="inlineStr">
        <is>
          <t>**About The Role**
 Uber's Marketplace is at the heart of Uber's business and the Dynamic Supply Pricing (DSP) team develops the models, algorithms, signals, and large\-scale distributed systems that power real\-time driver pricing for billions of rides. Engineers on the team work on cutting\-edge marketplace ML problems and real\-time multi\-objective optimizations serving 1M\+ predictions/second. They regularly present $1B\+ opportunities to executive stakeholders and receive close mentorship from the most senior engineers within the organization, setting you up for fast\-tracked career growth and the opportunity to learn from experienced technical leaders.
 We are looking for exceptional ML engineers with a track record of extraordinary impact and with a passion for building large\-scale systems that optimize multi\-sided real\-time marketplaces. In this role, you will lead the design, development, and productionization of advanced ML models and pricing algorithms, covering deep learning, causal modeling, and reinforcement learning. You will work with engineers, product managers, and scientists to set the team's technical direction and solve some of Uber's most challenging and most complex business problems in order to provide earnings opportunities for millions of drivers worldwide.
**What You Will Do**
* Lead the design, development, and productionization of end\-to\-end ML solutions for large\-scale distributed systems serving billions of trips
* Develop novel pricing approaches for online marketplaces combining machine learning, algorithmic game theory, and optimization to provide earnings opportunities for millions of drivers
* Collaborate with the team leads to set the team's technical direction and own its implementation, providing technical mentorship to junior engineers
* Work with a team of engineers, product managers, and scientists to design and deliver high\-impact technical solutions to complex business problems
**Basic Qualifications**
* Ph.D., M.S. or Bachelor's degree in Computer Science, Machine Learning, or Operations Research, or equivalent technical background with exceptional demonstrated impact
* 4\+ years of experience in developing and deploying machine learning models and optimization algorithms in large\-scale production environments, delivering measurable business impact over multiple quarters and making significant technical contributions
* Proficiency in programming languages such as Python, Scala, Java, or Go
* Experience with large\-scale data systems (e.g. Spark, Ray), real\-time processing (e.g. Flink), and microservices architectures
* Experience in the development, training, productionization and monitoring of ML solutions at scale, ranging from offline pipelines to online serving and MLOps
* Deep understanding of modern ML algorithms (e.g. DNNs, multi\-task models, transformers) and mathematical optimization (e.g. LP, convex optimization)
**Preferred Qualifications**
* Experience in developing and deploying pricing algorithms for multi\-sided real\-time marketplaces with strategic agent behavior
* Experience leading complex technical projects and influencing the scope and output of others
* Track record of translating ambiguous business problems into technical solutions and driving multi\-functional projects
* Excellent communication skills to lead initiatives and collaborate effectively with cross\-functional partners
* Experience in reinforcement learning and causal machine learning
 For New York, NY\-based roles: The base salary range for this role is USD$202,000 per year \- USD$224,000 per year.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USD$202,000 per year \- USD$224,000 per year.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35">
      <c r="A35" t="inlineStr">
        <is>
          <t>li-4335888171</t>
        </is>
      </c>
      <c r="B35" t="inlineStr">
        <is>
          <t>Senior AI Engineer</t>
        </is>
      </c>
      <c r="C35" t="inlineStr">
        <is>
          <t>Morrison Foerster</t>
        </is>
      </c>
      <c r="D35" t="inlineStr">
        <is>
          <t>linkedin</t>
        </is>
      </c>
      <c r="E35" t="inlineStr"/>
      <c r="F35" t="inlineStr"/>
      <c r="G35" t="inlineStr">
        <is>
          <t>New York, NY</t>
        </is>
      </c>
      <c r="H35" t="inlineStr"/>
      <c r="I35" t="inlineStr">
        <is>
          <t>**Overview**
**At MoFo, we couldn’t write our own success story without yours.** 
**Ready to write your story?**
 Join MoFo as a
 **SENIOR AI ENGINEER** 
 on our Information Technology Team!
 This role can be based in Boston, New York or Washington, D.C.
 https://www.mofo.com/offices
**About The Role**
 The Senior AI Engineer, aligned with department and firmwide objectives and priorities and under the direction of the Director of Data Science Analytics, designs, integrates, operates, and continuously improves the Firm’s generative\-AI platform built on third\-party providers (e.g., ChatGPT Enterprise). The role also leads structured evaluations of additional providers (e.g., Harvey, Legora). Focus is on building reliable, secure, and compliant services that connect these providers to Firm systems (ServiceNow, Salesforce, SharePoint/OneDrive, iManage, Workday, Microsoft 365\), along with custom GPTs and enterprise connectors. Success is measured by developer and attorney adoption, measurable productivity gains, service reliability, and adherence to Responsible AI and client obligations.
**Platform Engineering \&amp; Integration**
* Co\-own the strategy, roadmap, and daily operations of the Firm’s generative\-AI platform in partnership with the Director of Data Science Analytics.
* Design, implement, document, and maintain scalable, secure REST/GraphQL services and SDKs that wrap third\-party LLMs and expose agentic and RAG functionality for internal developers.
* Integrate AI services with enterprise platforms including ServiceNow, Salesforce, SharePoint/OneDrive, iManage Cloud, Workday, and Microsoft 365/Copilot \&amp; Copilot Studio.
* Build and operate Model Context Protocol (MCP)\-compliant tools and servers; define resource schemas, capability negotiation, and authentication/authorization patterns.
* Maintain vector and embedding stores (e.g., Azure AI Search, pgvector, Pinecone) and RAG pipelines; tune chunking, metadata enrichment, and re\-ranking for legal\-grade accuracy.
* Provide reference implementations, SDK snippets, and quick\-start examples to accelerate adoption by IT and development teams.
**ChatGPT Enterprise: Custom GPTs \&amp; Connectors**
* Partner with attorneys, Knowledge Management, and business staff to identify high\-value use cases; co\-design custom GPTs with clear instructions, approved knowledge sources, and guardrails.
* Build and maintain custom connectors (Actions/OpenAPI and enterprise connectors) to systems such as ServiceNow, Salesforce, iManage, SharePoint/Graph, and internal APIs.
* Establish governance for GPTs, including naming, versioning, review workflows, RBAC/workspace scoping, and data partitioning; manage release channels and deprecations.
* Develop evaluation and safety checks (offline test sets, red\-team prompts, accuracy/latency/cost KPIs) and instrument usage analytics with feedback loops.
* Deliver templates, prompts, and “starter GPTs”; run enablement sessions and office hours for safe self\-service by attorneys and staff.
* Maintain runbooks and support processes for GPT incidents, drift, and provider updates.
**Third\-Party AI Platform Evaluation \&amp; Selection**
* Lead structured evaluations and bake\-offs against ChatGPT Enterprise baselines, defining decision criteria with AI/KM Consultants, Information Security, Governance, Risk, Procurement, and Compliance teams.
* Design representative test suites (accuracy, hallucination rate, retrieval fidelity, tool\-use reliability, latency, throughput, cost) and implement automated evaluation harnesses.
* Support Information Security in performing security and privacy due diligence (SOC 2/ISO mappings, encryption, retention, auditability, incident response), and align with client guidelines.
* Assess interoperability (MCP support, Actions/OpenAPI, webhooks, SSO/RBAC, logging/observability) and integration effort with Firm systems and RAG pipelines.
* Build proofs of concept with attorneys and staff, document ROI and risk, and recommend go/no\-go and migration plans.
* Produce decision memos detailing evaluation criteria, results, mitigations, financial impacts, and vendor lock\-in strategies.
**Safety, Security, and Compliance**
* Implement policy and technical controls for privacy, confidentiality, privilege, and data residency in coordination with Information Security and Governance.
* Build guardrails against prompt injection, data exfiltration, and PII exposure; ensure auditability and eDiscovery readiness.
* Manage vendor diligence, provider SLAs, roadmap feedback, and incident escalation.
* Implement observability (structured logs, tracing, metrics, audit trails) and automated regressions and canary testing for APIs, GPTs, and connectors.
**Productization \&amp; Change Management**
* Evaluate and prototype new AI use cases for feasibility, risk, and ROI; productionize successful pilots.
* Lead enablement for developers and non\-technical users through training, style guides, API contracts, and prompt engineering best practices.
* Contribute to Firm Responsible AI standards, guidance, and communications with technical and non\-technical stakeholders.
**About You**
* Bachelor’s degree in Computer Science, Software Engineering, Data Science, or a related field required; Master’s preferred.
* 8\+ years of professional experience in software or AI engineering, including at least 3 years building LLM\-powered applications.
* Deep experience with cloud and DevOps technologies (Docker/Kubernetes, CI/CD, IaC) and one or more major cloud AI stacks (Azure strongly preferred).
* Strong working knowledge of retrieval systems, vector databases, embeddings, and agent frameworks such as Semantic Kernel or LangChain.
* Proven experience with ChatGPT Enterprise, custom GPT design, and secure tool integration.
**Domain And Compliance (Preferred)**
* Experience in legal or other highly regulated industries with familiarity in confidentiality, privilege, retention, and client OCGs.
* Exposure to Microsoft 365 Copilot, Copilot Studio, Microsoft Graph connectors, and Teams/SharePoint extensibility.
* Understanding of SOC 2 and ISO 27001 controls, DLP, eDiscovery, and data\-classification best practices.
**Teamwork And Applied Skills**
* Strong ownership mindset with the ability to drive initiatives from inception to completion.
* Excellent organizational and project management skills, balancing multiple priorities under deadlines.
* Exceptional analytical and communication skills with the ability to simplify complex ideas for diverse audiences.
* High attention to detail, proactive problem\-solving approach, and strong technical aptitude.
* Collaborative team player who thrives in a dynamic, cross\-functional environment.
* Demonstrated commitment to client service excellence and continuous improvement.
**About Mofo**
 At MoFo, we collaborate as one firm, across borders, practice areas, and business functions and value fresh ideas and innovation over conformity and competition.
* About Us: https://www.mofo.com/about
* Inclusion \+ Engagement: https://www.mofo.com/community/we\-at\-mofo
* Commitment to Pro Bono: https://careers.mofo.com/careers\-pro\-bono
* The MoFo Foundation: https://www.mofo.com/culture/mofo\-foundation
**About Our Benefits**
 MoFo offers a comprehensive benefits package starting on your first day.
* A variety of options for medical, dental, vision, life and disability coverage to meet the needs of you and your family.
* Industry\-leading parental leave and family benefits including adoption and fertility treatment options and backup child and elder care.
* Global wellness program, including free access to Talkspace and Calm apps.
* Annual community service day to make an impact on your community and a birthday holiday just for fun.
* Education reimbursement annually.
* Dedicated Talent Development team.
* Competitive annual profit\-sharing contribution.
*Where required by law, salary ranges are stated below. Additional compensation may include a discretionary bonus, overtime as applicable, health/welfare benefits, retirement contributions, paid holidays, and PTO. The range displayed is specifically for positions performed in those cities/states and may vary based on factors including but not limited to the following: local market data and ranges; an applicant's skills and prior relevant experience; and certain degrees, licensing, and certifications. The application deadline is* 
*May 13, 2026\.*
*New York salary range: $140k to $195k*
*Boston, Washington, D.C. salary range: $133k to $186k*
 For questions regarding this position, please e\-mail jobs@mofo.com</t>
        </is>
      </c>
    </row>
    <row r="36">
      <c r="A36" t="inlineStr">
        <is>
          <t>li-4367044245</t>
        </is>
      </c>
      <c r="B36" t="inlineStr">
        <is>
          <t>Staff Machine Learning Engineer</t>
        </is>
      </c>
      <c r="C36" t="inlineStr">
        <is>
          <t>GEICO</t>
        </is>
      </c>
      <c r="D36" t="inlineStr">
        <is>
          <t>linkedin</t>
        </is>
      </c>
      <c r="E36" t="inlineStr"/>
      <c r="F36" t="inlineStr"/>
      <c r="G36" t="inlineStr">
        <is>
          <t>New York, NY</t>
        </is>
      </c>
      <c r="H36" t="inlineStr"/>
      <c r="I3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**Staff Machine Learning Engineer**
**Overview:** 
 As a Staff Machine Learning Engineer, you will be the overall tech lead of a
 *single* 
 AI/Machine Learning team, responsible for the tech design and tech health of the team. You will build and architect scalable and reliable AIML solutions that align with the company's tech paved path and stakeholder requirements. This role requires a minimum of 6 years of relevant experience.
**Key Responsibilities**
**System development** 
 : Architect scalable and reliable AIML solutions that align with the company's tech paved path and stakeholder requirements.
**Establish ML Best Practice:** 
 Develop and implement Software Development Lifecycle (SDLC) best practices for machine learning projects, ensuring scalable, secure, and reliable systems from model development to production deployment. Expected to stay hands\-on coding about 70% of the time.
**Product Leadership \&amp; Feature Backlogs** 
 : Define the product roadmap for machine learning solutions and establish feature backlogs. Prioritize key ML features in collaboration with product managers, aligning them with business objectives and technical feasibility.
**Optimize Model Performance and Reliability** 
 Debug and troubleshoot model performance issues, track key metrics, and continuously enhance model reliability, speed, and efficiency in production environments.
**End\-to\-End Model Lifecycle Management:** 
 Own the complete lifecycle of ML models, including monitoring, retraining, finetuning and managing versions of models to ensure they continue to meet business needs over time.
**Leadership and Mentorship:** 
 Guide and mentor machine learning engineers, promote best practices in software engineering, model development, and deployment. Lead technical decision\-making processes and foster collaboration within the team.
**Minimal Qualifications**
* Bachelor’s degree in Machine Learning, Computer Science, Statistics, Mathematics, or a related field; an advanced degree (master’s or Ph.D.) is highly desirable
* At least 6 years of hands\-on experience in machine learning and software engineering.
* Technical Skills:
* Deep proficiency in programming languages such as Python, Java, or similar, with a strong emphasis on coding excellence.
* Proficiency in AIML frameworks such as TensorFlow, PyTorch, Scikit\-learn, Langchain, langraph, etc.
* Experience with SQL, Spark, and scripting languages such as Python for data processing and model development.
* Expertise in cloud platforms (AWS, Azure, GCP) and containerization technologies such as Docker, as well as orchestration tools like Kubernetes.
* Proven experience in deploying machine learning systems in a production environment, ensuring scalability, reliability, and high availability.
* Core Engineering Skills:
* Extensive experience with object\-oriented design (OOD), design patterns, and writing clean, maintainable code.
* Solid understanding of distributed systems and the challenges associated with scaling machine learning models in production.
* Expertise in implementing MLOps practices, including setting up continuous integration (CI), continuous delivery (CD), automated testing, and deployment pipelines for machine learning models.
* Strong understanding of system architecture, performance optimization, and the ability to design fault\-tolerant systems that handle large\-scale data and high\-volume requests.
* Experience designing, building, and maintaining ETL pipelines, streamlining data collection, transformation, and storage for model development.
* Proficient in containerizing applications using Docker and managing deployment and scaling using Kubernetes or similar orchestrators.
* Experience setting up monitoring and logging systems for tracking model performance in production environments and ensuring efficient resource utilization.
**Preferred** 
**Qualifications** 
**:**
* 3 years interfacing directly with internal business stakeholders and/or external stakeholders on AIML initiatives
* Working experience with cloud provider solutions such as Azure and AWS
* Experience utilizing both open source (e.g. llama, Qwen, Mistral) and proprietary (e.g. GPT, Claude) LLMs for appropriate tasks
* Experience with tools that power LLM\-based AI agents: eval frameworks, agent tooling, RAG pipelines, prompt engineering, etc.
* Experience building LLM\-based AI agent workflows via both no code/low code and traditional high\-code development environments
* Experience in ideating, integrating, and designing applications and frontends using React or similar.
 If you are passionate about pushing the boundaries of machine learning technology, thrive in a hands\-on technical leadership role, and enjoy solving complex, large\-scale problems, we encourage you to apply.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7">
      <c r="A37" t="inlineStr">
        <is>
          <t>li-4359384263</t>
        </is>
      </c>
      <c r="B37" t="inlineStr">
        <is>
          <t>Lead Machine Learning Engineer</t>
        </is>
      </c>
      <c r="C37" t="inlineStr">
        <is>
          <t>Salesforce</t>
        </is>
      </c>
      <c r="D37" t="inlineStr">
        <is>
          <t>linkedin</t>
        </is>
      </c>
      <c r="E37" t="inlineStr"/>
      <c r="F37" t="inlineStr"/>
      <c r="G37" t="inlineStr">
        <is>
          <t>Bellevue, WA</t>
        </is>
      </c>
      <c r="H37" t="inlineStr"/>
      <c r="I37"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We are a foundation machine learning platform team within the Trust Intelligence Platform organization with a main focus to build and accelerate scalable and resilient machine learning pipelines across the security engineering organization.
 We are looking for a highly motivated, hands\-on lead machine learning engineer with a strong business understanding of cybersecurity problems, who acts as a force multiplier security data scientist for our security organization. The lead will not simply build models; they will architect the data\-driven strategy for our threat detection capabilities.
**Your Impact**
* Shape the Defense Strategy: You will own the decision\-making process—translating vague security threats into concrete mathematical problems. By championing a rapid prototyping culture, you will validate hypotheses in days rather than months, ensuring our engineering resources are focused only on high\-value detections while killing low\-signal ideas early.
* Detect the "Unknown Unknowns": You will lead the evolution of our threat detection, introducing more advanced probabilistic modeling, graph analytics, supervised and unsupervised learing. Your work will expose sophisticated threats—such as active system intrusions, lateral movement, beaconing, and insider attacks—that evade traditional defenses, directly reducing the organization's risk surface.
* Elevate the Organization: You will act as a force multiplier, mentoring junior scientists and engineers, and building the internal tooling, feature stores, and libraries that make the whole team faster. You will influence the broader security engineering roadmap to ensure a closed loop security telemetry that is treated as a first\-class citizen.
* Operationalize Intelligence: By prioritizing engineering rigor (CI/CD, scalable code) and adversarial resilience, you will deliver production\-grade models that the SOC actually trusts—minimizing "alert fatigue" and maximizing analyst efficiency.
**Required Skills**
* Extensive experience (3\-5\+ years) in data science, with at least 2\+ years dedicated to the cybersecurity domain designing, implementing and deploying systems of anomaly detection, clustering, and graph models in production.
* Extended practical knowledge and familiarity with security frameworks such as MITRE ATT\&amp;CK and OCSF.
* Hands\-on comfort with high\-volume logs and proficiency with Spark/Pyspark, Snowflake, Flink and streaming services such as Apache Kafka
* Deep understanding and application of containerization (Docker) and workflow orchestration (Kubernetes, Apache Airflow) for automated ML pipelines.
* Mastery of Python programming, including proficiency in leading ML frameworks (TensorFlow, PyTorch) and adherence to software engineering best practices.
* Demonstrated success in implementing comprehensive MLOps methodologies, encompassing CI/CD pipelines, testing protocols, and model performance monitoring.
* Solid foundation in feature engineering techniques and the implementation of feature stores.
* Experience in formulating ML governance policies and ensuring adherence to data security regulations.
* Ability to explain complex statistical concepts to non\-technical stakeholders and executive leadership.
* Proven ability to manage scope, timelines, and stakeholder expectations across multiple organizations.
* High degree of autonomy with the ability to look at a vague business problem and structure a data\-driven solution without needing a predefined roadmap.
* A related technical degree is required.
**Preferred Skills**
* Masters or PhD in a quantitative field
* Expertise in advanced Natural Language Processing (NLP) methodologies.
* Experience contributing to open\-source security data science tools.
* Presentations at major security conferences (Black Hat, DEF CON, BSides) or data conferences.
* Background in offensive security (Penetration Testing/Red Teaming) with an "attacker's mindset."
* Demonstrated experience conducting research or working collaboratively with Machine Learning (ML) research teams.
* Previous experience in a mentoring role for junior engineers.
* Track record of publications and/or patents in quantitative disciplines.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38">
      <c r="A38" t="inlineStr">
        <is>
          <t>li-4375640821</t>
        </is>
      </c>
      <c r="B38" t="inlineStr">
        <is>
          <t>Senior Machine Learning Engineer - Healthcare</t>
        </is>
      </c>
      <c r="C38" t="inlineStr">
        <is>
          <t>MD Anderson Cancer Center</t>
        </is>
      </c>
      <c r="D38" t="inlineStr">
        <is>
          <t>linkedin</t>
        </is>
      </c>
      <c r="E38" t="inlineStr"/>
      <c r="F38" t="inlineStr"/>
      <c r="G38" t="inlineStr">
        <is>
          <t>Houston, TX</t>
        </is>
      </c>
      <c r="H38" t="inlineStr"/>
      <c r="I38" t="inlineStr">
        <is>
          <t>**Summary:**
 The mission of The University of Texas M. D. Anderson Cancer Center is to eliminate cancer in Texas, the nation, and the world through outstanding programs that integrate patient care, research, prevention, and education. Core to the success of our mission is the ability to orchestrate multidimensional data, data analytics, and machine learning to create sustainable impact within a framework of responsible AI. We are building a dynamic team of machine learning engineers and data scientists that can help us consistently and responsibly accelerate the impact of AI across the enterprise, driving long\-lasting improvements in cancer care.
 We are actively seeking a Senior MLOps Engineer who will play a pivotal role in advancing MLOps initiatives across the enterprise. This role is critical for orchestrating an AI lifecycle management framework, encompassing the development, deployment, and maintenance of production\-quality machine learning models to support clinical and business operations. Additionally, the Senior MLOps Engineer will support the assessment and validation of external machine learning models and AI\-driven products. The role extends beyond technical expertise, as it is also about forging team dynamics, cultivating a culture of innovation, and supporting processes and technological foundations necessary to accelerate strong MLOps practices across the enterprise.
**Key responsibilities include:**
 Oversee the lifecycle of AI models, encompassing training, evaluation, deployment, monitoring, and maintenance of production quality machine learning models, in compliance with standards and best practices.
 Develop CI/CD pipelines for ML model training, deployment, and monitoring while upholding security, scalability, reliability, reproducibility, and performance.
 Provide rigorous testing, versioning, and documentation, ensuring impact, risk mitigation, and reproducibility.
 Develop and support a culture responsible AI by minimizing bias, enhancing fairness, and maximizing transparency in AI models.
 Maintain diligent records of model development experiments, data and model lineage tracking, as well as data and model scorecards.
 Engage with stakeholders to gather requirements, convey AI concepts understandably, and capture feedback.
 Design fallback and decommissioning strategies for AI solutions to ensure operational continuity.
 Support the evaluation and onboarding of third\-party machine learning models, ensuring they meet institutional standards, enhance institutional value, and minimize organizational risk.
 Deliver training on AI solutions to enhance understanding and application across the organization.
 Engage with technology trends, contribute to tech communities, and foster a culture of continuous learning and innovation.
**Technical Expertise**
 Proficient in developing, deploying, and maintaining AI/ML algorithms in production environments.
 Skilled in constructing scalable data pipelines, feature and artifact management, and analytics.
 Experienced with MLOps tools and processes for data, code, and model management.
 Strong proficiency in Python and either C\+\+ or C\#, with practical knowledge of TensorFlow, PyTorch, and Scikit\-learn.
 Knowledgeable about AI/ML platform infrastructure, including cloud and on\-premises architectures.
 Familiar with cloud\-native tools, services, and computing environments (eg. Azure, AWS, GCP).
 Proficient in DevOps practices and CI/CD pipelines, including Azure DevOps and GitHub Actions.
 Experienced with containerization using Docker and orchestration with Kubernetes, along with DAGs tools.
**Analytical Expertise**
 Skilled in project management methodologies (SAFe agile, PRINCE2, Lean) for end\-to\-end AI/ML project lifecycle management, ensuring timely delivery, adherence to budget, and quality compliance.
 In\-depth knowledge of AI/ML Model Lifecycle Management aligned with ISO standards for software and AI development.
 Proficient in decision\-making, problem\-solving, and executing AI/ML healthcare solutions.
 Skilled at the quantitatively assessing machine learning models for performance, workflow impact, and potential risks.
 Adept at collaborating with vendors and partners for evaluating and integration third\-party AI solutions into current systems and processes.
 Competent in identifying risks and formulating mitigation plans to prevent project delays.
**Oral and Written Communication**
 Collaborate with data scientists, ML engineers, and software engineers to integrate machine learning models into existing systems.
 Document CI/CD pipelines, deployment workflows, and infrastructure setups.
 Report project metrics, including progress, impact, and risks, to leadership, offering strategic recommendations for AI/ML use\-case prioritization.
 Manage stakeholder relations to facilitate solution adoption and address issues.
 Share knowledge and offer technical assistance to researchers and colleagues.
 Deliver both technical and non\-technical updates in meetings and at professional gatherings.
 Engage effectively with team leaders, peers, end\-users, and support staff as needed.
 Other duties as assigned
**Education Required** 
 : Bachelor's degree in Computer Science, Software Engineering, Data Science, Physics, Math \&amp; Statistics, or another related engineering discipline.
**Preferred Education:** 
 Master's Level Degree
**Experience Required :** 
 Five years of experience in machine learning engineering, data science, data engineering, and/or software engineering. With Master's degree, three years' experience required. With PhD, one year of experience required.
**Preferred Experience:** 
 Experience developing MLOps pipelines for computer vision AI models, hands on experience developing custom machine learning algorithms from scratch (e.g., in NumPy or PyTorch, designed and implemented shared machine learning service that is used across multiple teams or production projects, led the development of systems that automate the deployment and maintenance of multiple machine learning models into user\-facing products, five years of industry experience in data science, with at least 3 of those years as a Senior Machine Learning Engineer
 The University of Texas MD Anderson Cancer Center offers excellent benefits, including medical, dental, paid time off, retirement, tuition benefits, educational opportunities, and individual and team recognition.
 This position may be responsible for maintaining the security and integrity of critical infrastructure, as defined in Section 113\.001(2\) of the Texas Business and Commerce Code and therefore may require routine reviews and screening. The ability to satisfy and maintain all requirements necessary to ensure the continued security and integrity of such infrastructure is a condition of hire and continued employment.
 It is the policy of The University of Texas MD Anderson Cancer Center to provide equal employment opportunity without regard to race, color, religion, age, national origin, sex, gender, sexual orientation, gender identity/expression, disability, protected veteran status, genetic information, or any other basis protected by institutional policy or by federal, state or local laws unless such distinction is required by law. http://www.mdanderson.org/about\-us/legal\-and\-policy/legal\-statements/eeo\-affirmative\-action.html
 Additional Information
* Requisition ID: 176014
* Employment Status: Full\-Time
* Employee Status: Regular
* Work Week: Days
* Minimum Salary: US Dollar (USD) 146,500
* Midpoint Salary: US Dollar (USD) 183,000
* Maximum Salary : US Dollar (USD) 219,500
* FLSA: exempt and not eligible for overtime pay
* Fund Type: Hard
* Work Location: Remote (within Texas only)
* Pivotal Position: Yes
* Referral Bonus Available?: Yes
* Relocation Assistance Available?: Yes
* Science Jobs: No</t>
        </is>
      </c>
    </row>
    <row r="39">
      <c r="A39" t="inlineStr">
        <is>
          <t>li-4344762997</t>
        </is>
      </c>
      <c r="B39" t="inlineStr">
        <is>
          <t>Sr. Applied AI Engineer</t>
        </is>
      </c>
      <c r="C39" t="inlineStr">
        <is>
          <t>Adobe</t>
        </is>
      </c>
      <c r="D39" t="inlineStr">
        <is>
          <t>linkedin</t>
        </is>
      </c>
      <c r="E39" t="inlineStr"/>
      <c r="F39" t="inlineStr"/>
      <c r="G39" t="inlineStr">
        <is>
          <t>San Jose, CA</t>
        </is>
      </c>
      <c r="H39" t="inlineStr"/>
      <c r="I39"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The GTM Agentic AI Operations team is leading the shift to an Agentic operating model for Adobe GTM and Sales. This function is the orchestration layer that operationalizes Adobe GTM and Sales strategy into end to end Agentic AI workflows that compress planning cycles from months to weeks, launch more personalized campaigns across every route to market, and streamline manual tasks so sellers can focus on talking to customers. We are building an always\-on Agentic operating layer that connects strategy, data, and frontline execution for the Digital Media business.
**The Applied AI Engineering Pillar**
 As a Sr. Applied AI Engineer you will drive efficiency and excellence in sales operations building and scaling robust AI agents and workflows to streamline the sales cycle and processes. You will partner with Sales operations, Campaign specialists, Product managers, and Data/Analytics engineers to tackle problems and bottlenecks using emerging technologies from the AI and agentic landscape.
**Key Responsibilities**
* Build, tune, and refine AI agents to help the digitization and streamlining of sales operational tasks
* Implement, strategize, and improve AI prompts and context to achieve optimal output, throughput, and performance
* Determine, procure, and curate the necessary API/MCP integrations
* Build orchestrated workflows within and across agents
* Perform necessary data curation to bridge source data to agents
* Translate business requirements and ideas into working agents and agentic processes
* Maintain logic documentation/diagrams, monitor performance, and (re)align agents to changing requirements and evolving technologies
**Qualifications/Experience**
* BS/Advanced degree in quantitative fields: Computer Science, Data Science, Engineering, Business Analytics, Math/Statistics, or a related field
* 7\+ years of experience in an applied AI engineering or related role with 2\+ years in agentic development, and/or with a combination of context/prompt engineering
* Expert\-level Python proficiency with emphasis on modular, object\-oriented code, strict typing, and rigorous unit/integration testing for production
* Experience with building both conversational agents and workflow agentic processes in production
* Applied experience with multiple LLM stacks/frameworks (e.g., OpenAI, Claude, Gemini, RAG pipelines), and agent orchestration systems (e.g., LangGraph, AutoGen, CrewAI, or LangChain building collaborative autonomous and complex AI workflows
* Demonstrated comfort with prompt design strategies (chain\-of\-thought, few\-shot) and context window optimization to ensure high\-quality LLM outputs
* Familiarity with cloud platforms (AWS/Azure), REST APIs, and containerization (Docker, K8s)
* Experience implementing and managing Vector Databases (e.g., Pinecone, Milvus, Weaviate) for RAG (Retrieval\-Augmented Generation) pipelines.
* Proficiency in Databricks and SQL (DDL/DML) driving scalable data architecture and holistically integrating prompt designs, vector databases, and memory strategies to deliver advanced LLM solutions
 Our compensation reflects the cost of labor across several  U.S. geographic markets, and we pay differently based on those defined markets. The U.S. pay range for this position is $133,100 \-\- $236,400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$163,200 \- $236,400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40">
      <c r="A40" t="inlineStr">
        <is>
          <t>li-4344518539</t>
        </is>
      </c>
      <c r="B40" t="inlineStr">
        <is>
          <t>Lead AI/ML Engineer, Express AI Foundations</t>
        </is>
      </c>
      <c r="C40" t="inlineStr">
        <is>
          <t>Adobe</t>
        </is>
      </c>
      <c r="D40" t="inlineStr">
        <is>
          <t>linkedin</t>
        </is>
      </c>
      <c r="E40" t="inlineStr"/>
      <c r="F40" t="inlineStr"/>
      <c r="G40" t="inlineStr">
        <is>
          <t>San Jose, CA</t>
        </is>
      </c>
      <c r="H40" t="inlineStr"/>
      <c r="I40"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Express enables all users, whether individuals or large organizations, to effortlessly produce impressive content. The AI Foundations team constructs a flexible, scalable AI framework that drives creativity at scale in design, imaging, motion, and personalization.
 We're looking for a Lead Engineer to build and implement the AI framework for Adobe Express, merging strong ML skills with proficiency in distributed systems, data architecture, and large\-scale service development.
 You'll lead and build systems with intelligent behavior, reasoning workflows, and production\-quality ML systems that creators interact with every day. Your work will cut through layers of the end\-to\-end foundation that brings Agentic AI, Create AI, Imaging AI, Motion AI, and Personalization AI to life — spanning model orchestration, inference systems, data pipelines, caching and storage layers, session analytics, and continuous evaluation frameworks.
**What You’ll Do**
* Lead development and contribute to building the complete AI stack for Adobe Express — covering Agentic AI, Construct AI, Imaging AI, Motion AI, and Personalization AI.
* Develop and operationalize end\-to\-end systems — integrating microservices, data pipelines, LLM orchestration layers, in\-house and third\-party models, databases, caches, session analytics, and evaluation systems into a cohesive architecture.
* Develop large\-scale data and inference infrastructure to support model training, fine\-tuning, evaluation, and deployment — employing Spark, Kafka, Flink, and other distributed frameworks.
* Develop high\-performance runtime services for inference and orchestration with strong observability, fault tolerance, and latency guarantees.
* Apply strong caching and storage tactics to enhance efficiency and cost\-effectiveness for various AI workloads.
* Lead development of experimentation and evaluation systems, encompassing session\-level analytics, feedback loops, and quality metrics that drive continuous improvement.
* Work closely with applied research, product, and platform teams to implement LLMs and other AI models into customer\-facing services.
* Mentor junior engineers and scale the team to drive collectively the charter of Agentic AI for Adobe Express
**What You’ll Bring**
* 8\+ years of experience in large\-scale distributed systems AI infrastructure, or ML platform engineering.
* Proven expertise in building and scaling data pipelines, real\-time streaming systems, and event\-driven architectures (Kafka, Spark, Flink, etc.).
* Strong background in API development, caching strategies, database development, and performance optimization for large\-scale serving systems.
* Hands\-on experience with LLM orchestration frameworks, model routing, and multi\-model inference.
* Proficiency in Python, Java, C\+\+, or Go, with an emphasis on distributed systems, cloud\-native deployment, and performance tuning.
* Familiarity with Agentic AI patterns — reasoning loops, memory persistence, task decomposition, and multi\-agent coordination.
* Strong communication and collaboration skills, with experience influencing cross\-functional technical direction.
**Preferred Qualifications**
* Bachelor's or equivalent experience in Computer Science, Data Science, Machine Learning, or a related technical field.
* Experience building large scale high throughput / low latency applications backed by ML models to build workflows
* Exposure to Generative AI (LLMs, diffusion, or multimodal architectures).
* Experience with MLOps pipelines, feature stores, and model registries.
**Why Adobe**
 At Adobe, we’re crafting the future of creativity through intelligence. The AI Foundations team combines the agility of a startup with the scale and mission of Adobe — constructing the AI stack for Adobe Express, spanning Agentic, Design, Imaging, Motion, and Personalization AI. Join us to develop the infrastructure that brings adaptive, autonomous, and human\-centered AI to millions of creators worldwide!
 Our compensation reflects the cost of labor across several  U.S. geographic markets, and we pay differently based on those defined markets. The U.S. pay range for this position is $172,500 \-\- $306,625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$211,800 \- $306,625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41">
      <c r="A41" t="inlineStr">
        <is>
          <t>li-4367383492</t>
        </is>
      </c>
      <c r="B41" t="inlineStr">
        <is>
          <t>Aviation AI/ML Engineer</t>
        </is>
      </c>
      <c r="C41" t="inlineStr">
        <is>
          <t>Booz Allen Hamilton</t>
        </is>
      </c>
      <c r="D41" t="inlineStr">
        <is>
          <t>linkedin</t>
        </is>
      </c>
      <c r="E41" t="inlineStr"/>
      <c r="F41" t="inlineStr"/>
      <c r="G41" t="inlineStr">
        <is>
          <t>Washington, DC</t>
        </is>
      </c>
      <c r="H41" t="inlineStr"/>
      <c r="I41" t="inlineStr">
        <is>
          <t>**Job Number: R0233114**
 Aviation AI/ML Engineer
**The Opportunity:**
 As a programmer,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aviation safety. As a machine learning engineer on our aviation team, you’ll train, test, deploy, and maintain models that learn from data.
 In this role, you’ll contribute to the direction of mission\-critical solutions by applying best\-fit ML algorithms and technologies. You’ll grow within a large community of machine learning engineers across the company and collaborate with data engineers, data scientists, solutions architects, and aviation experts to deliver world\-class solutions to build a product that transforms aviation safety. Your skills and technical experience will help your clients navigate the landscape of ML algorithms, tools, and frameworks.
 Work with us to solve real\-world challenges and define an ML strategy for our nation’s airspace.
 Join us. The world can’t wait.
**You Have:**
* 2\+ years of experience with Automatic Speech Recognition (ASR)
* 2\+ years of experience with model fine\-tuning and deployment
* 2\+ years of experience with Large Language Model (LLM) integration
* 2\+ years of experience with custom machine learning modeling such as PyTorch or scikit\-learn
* Experience with aviation, geospatial, and weather datasets
* Experience with executive\-level summaries and briefings
* Ability to work cross\-functionally with various product work teams
* Ability to obtain and maintain a Public Trust or Suitability/Fitness determination based on client requirements
* Bachelor’s degree
**Nice If You Have:**
* Experience with Databricks
* Experience with AWS
* Experience with Causal Modeling
* Experience with Agentic Workflows
* Knowledge of Federal Aviation operations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42">
      <c r="A42" t="inlineStr">
        <is>
          <t>li-4367025907</t>
        </is>
      </c>
      <c r="B42" t="inlineStr">
        <is>
          <t>Staff Machine Learning Engineer</t>
        </is>
      </c>
      <c r="C42" t="inlineStr">
        <is>
          <t>GEICO</t>
        </is>
      </c>
      <c r="D42" t="inlineStr">
        <is>
          <t>linkedin</t>
        </is>
      </c>
      <c r="E42" t="inlineStr"/>
      <c r="F42" t="inlineStr"/>
      <c r="G42" t="inlineStr">
        <is>
          <t>Palo Alto, CA</t>
        </is>
      </c>
      <c r="H42" t="inlineStr"/>
      <c r="I4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**Staff Machine Learning Engineer**
**Overview:** 
 As a Staff Machine Learning Engineer, you will be the overall tech lead of a
 *single* 
 AI/Machine Learning team, responsible for the tech design and tech health of the team. You will build and architect scalable and reliable AIML solutions that align with the company's tech paved path and stakeholder requirements. This role requires a minimum of 6 years of relevant experience.
**Key Responsibilities**
**System development** 
 : Architect scalable and reliable AIML solutions that align with the company's tech paved path and stakeholder requirements.
**Establish ML Best Practice:** 
 Develop and implement Software Development Lifecycle (SDLC) best practices for machine learning projects, ensuring scalable, secure, and reliable systems from model development to production deployment. Expected to stay hands\-on coding about 70% of the time.
**Product Leadership \&amp; Feature Backlogs** 
 : Define the product roadmap for machine learning solutions and establish feature backlogs. Prioritize key ML features in collaboration with product managers, aligning them with business objectives and technical feasibility.
**Optimize Model Performance and Reliability** 
 Debug and troubleshoot model performance issues, track key metrics, and continuously enhance model reliability, speed, and efficiency in production environments.
**End\-to\-End Model Lifecycle Management:** 
 Own the complete lifecycle of ML models, including monitoring, retraining, finetuning and managing versions of models to ensure they continue to meet business needs over time.
**Leadership and Mentorship:** 
 Guide and mentor machine learning engineers, promote best practices in software engineering, model development, and deployment. Lead technical decision\-making processes and foster collaboration within the team.
**Minimal Qualifications**
* Bachelor’s degree in Machine Learning, Computer Science, Statistics, Mathematics, or a related field; an advanced degree (master’s or Ph.D.) is highly desirable
* At least 6 years of hands\-on experience in machine learning and software engineering.
* Technical Skills:
* Deep proficiency in programming languages such as Python, Java, or similar, with a strong emphasis on coding excellence.
* Proficiency in AIML frameworks such as TensorFlow, PyTorch, Scikit\-learn, Langchain, langraph, etc.
* Experience with SQL, Spark, and scripting languages such as Python for data processing and model development.
* Expertise in cloud platforms (AWS, Azure, GCP) and containerization technologies such as Docker, as well as orchestration tools like Kubernetes.
* Proven experience in deploying machine learning systems in a production environment, ensuring scalability, reliability, and high availability.
* Core Engineering Skills:
* Extensive experience with object\-oriented design (OOD), design patterns, and writing clean, maintainable code.
* Solid understanding of distributed systems and the challenges associated with scaling machine learning models in production.
* Expertise in implementing MLOps practices, including setting up continuous integration (CI), continuous delivery (CD), automated testing, and deployment pipelines for machine learning models.
* Strong understanding of system architecture, performance optimization, and the ability to design fault\-tolerant systems that handle large\-scale data and high\-volume requests.
* Experience designing, building, and maintaining ETL pipelines, streamlining data collection, transformation, and storage for model development.
* Proficient in containerizing applications using Docker and managing deployment and scaling using Kubernetes or similar orchestrators.
* Experience setting up monitoring and logging systems for tracking model performance in production environments and ensuring efficient resource utilization.
**Preferred** 
**Qualifications** 
**:**
* 3 years interfacing directly with internal business stakeholders and/or external stakeholders on AIML initiatives
* Working experience with cloud provider solutions such as Azure and AWS
* Experience utilizing both open source (e.g. llama, Qwen, Mistral) and proprietary (e.g. GPT, Claude) LLMs for appropriate tasks
* Experience with tools that power LLM\-based AI agents: eval frameworks, agent tooling, RAG pipelines, prompt engineering, etc.
* Experience building LLM\-based AI agent workflows via both no code/low code and traditional high\-code development environments
* Experience in ideating, integrating, and designing applications and frontends using React or similar.
 If you are passionate about pushing the boundaries of machine learning technology, thrive in a hands\-on technical leadership role, and enjoy solving complex, large\-scale problems, we encourage you to apply.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43">
      <c r="A43" t="inlineStr">
        <is>
          <t>li-4367339053</t>
        </is>
      </c>
      <c r="B43" t="inlineStr">
        <is>
          <t>Scientific AI and ML Engineer</t>
        </is>
      </c>
      <c r="C43" t="inlineStr">
        <is>
          <t>Booz Allen Hamilton</t>
        </is>
      </c>
      <c r="D43" t="inlineStr">
        <is>
          <t>linkedin</t>
        </is>
      </c>
      <c r="E43" t="inlineStr"/>
      <c r="F43" t="inlineStr"/>
      <c r="G43" t="inlineStr">
        <is>
          <t>Atlanta, GA</t>
        </is>
      </c>
      <c r="H43" t="inlineStr"/>
      <c r="I43" t="inlineStr">
        <is>
          <t>**Job Number: R0233065**
 Scientific AI and ML Engineer
**The Opportunity:**
 Are you looking for an opportunity to make a difference and help build innovative systems that will have a positive impact on how scientific systems are delivered? What if you could find a position that is tailor\-made for your mix of science, AI, ML, and engineering skills? Scientific AI and ML engineers play a critical role in advancing research and operational innovation through cutting\-edge applications of AI and ML. That’s why we need an experienced AI and ML engineer like you to help us design and develop solutions that combine domain expertise, scientific rigor, and ML techniques to deliver actionable insights and support mission\-critical operations.
 As a Scientific AI and ML Engineer on our team, you’ll apply your deep technical expertise to create innovative AI and ML algorithms, frameworks, and tools to address complex scientific challenges. You’ll collaborate with a multidisciplinary Agile development team to develop, validate, and optimize AI and ML models and workflows. Whether it’s designing novel algorithms, enabling automation of AI workflows, or scaling solutions in a cloud environment, you’ll have the opportunity to pioneer new approaches while improving scientific outcomes. As a critical member of the team, you’ll identify opportunities for leveraging AI and ML to solve real\-world problems, guide efforts to mitigate risks, optimize resources, and improve lives.
 Work with us to apply the power of AI and ML to solve scientific problems at the intersection of health and technology, and protect America from health, safety, and security threats.
**What You’ll Work On:**
* Develop and optimize novel AI and ML algorithms tailored to scientific challenges, integrating domain knowledge to ensure results are actionable and relevant.
* Design, validate, and deploy end\-to\-end AI and ML workflows in cloud environments to address complex analytical needs across the organization.
* Collaborate with cross\-functional teams to design efficient frameworks for data preparation, feature engineering, model selection, and outcome interpretation across data sources.
* Build tools and infrastructure to enable seamless experimentation, rapid model iteration, and reproducibility of scientific AI and ML experiments.
* Scale AI and ML solutions using advanced techniques such as distributed computing, cloud environments, including Azure and Databricks, and containerized deployments.
* Implement automated pipelines for training, validating, and deploying models into production with rigorous monitoring and evaluation processes.
* Develop containerized applications and APIs for exposing AI and ML model capabilities, ensuring accessibility and interpretability for stakeholders.
* Identify and introduce state\-of\-the\-art AI and ML techniques and tools such as explainable AI (XAI), reinforcement learning, and probabilistic modeling, to enhance research outcomes and operational decision\-making.
* Support collaboration with data scientists, researchers, and engineers to bridge the gap between foundational AI and ML research and deployed, impactful applications.
 Join us. The world can’t wait.
**You Have:**
* 5\+ years of experience across data science, AI, and data engineering with ownership of end\-to\-end analytical or ML solutions
* 5\+ years of experience in bioinformatics or computational biology, including analysis and processing of biological and imaging data such as FASTQ, BAM/CRAM, VCF, or DICOM
* 3\+ years of experience designing and deploying AI and ML solutions, including model training, evaluation, and production
* 3\+ years of experience designing cloud architectures for data\-intensive or AI applications on AWS, Azure, or Google Cloud
* Experience with cloud\-based AI platforms, including Databricks, AWS SageMaker, or Azure ML
* Knowledge of Python or R for data analysis, modeling, and pipeline development
* Ability to translate complex biological questions into analytical approaches and apply existing methods to novel datasets
* Ability to work independently, lead technical initiatives, and deliver in a fast\-paced, evolving environment
* Ability to obtain and maintain a Public Trust or Suitability/Fitness determination based on client requirements
* Bachelor’s degree in a Science field
**Nice If You Have:**
* Experience with PySpark or SparkR
* Experience with Kubernetes or another container management system for managing containerized AI and ML workloads
* Experience designing and implementing automated, reproducible data and ML pipelines in a cloud environment
* Experience with version control tools, including Git
* Knowledge of AI model explainability, ethical AI, or advanced deep learning frameworks such as TensorFlow or PyTorch
* Master's degree in CS, Bioinformatics, Computational Biology, or a related Science or technical field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44">
      <c r="A44" t="inlineStr">
        <is>
          <t>li-4367379462</t>
        </is>
      </c>
      <c r="B44" t="inlineStr">
        <is>
          <t>Aviation AI &amp; ML Engineer, Lead</t>
        </is>
      </c>
      <c r="C44" t="inlineStr">
        <is>
          <t>Booz Allen Hamilton</t>
        </is>
      </c>
      <c r="D44" t="inlineStr">
        <is>
          <t>linkedin</t>
        </is>
      </c>
      <c r="E44" t="inlineStr"/>
      <c r="F44" t="inlineStr"/>
      <c r="G44" t="inlineStr">
        <is>
          <t>Washington, DC</t>
        </is>
      </c>
      <c r="H44" t="inlineStr"/>
      <c r="I44" t="inlineStr">
        <is>
          <t>**Job Number: R0233115**
 Aviation AI \&amp; ML Engineer, Lead
**The Opportunity:**
 As an experienced engineer,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aviation safety. As a machine learning engineer on our aviation team, you’ll train, test, deploy, and maintain models that learn from data.
 In this role, you’ll lead the direction of mission\-critical solutions by applying best\-fit ML algorithms and introducing leading\-edge technologies. You’ll share your knowledge with a large community of machine learning engineers across the company and collaborate with data engineers, data scientists, solutions architects, and aviation experts to deliver world class solutions to build a product that transforms aviation safety. Your skills and extensive technical expertise will guide clients as they navigate the landscape of ML algorithms, tools, and frameworks.
 Work with us to solve real\-world challenges and define ML strategy for our nation’s airspace.
 Join us. The world can’t wait.
**You Have:**
* 7\+ years of experience with Automatic Speech Recognition (ASR)
* 7\+ years of experience with model fine tuning and deployment
* 7\+ years of experience with Large Language Model (LLM) integration
* 7\+ years of experience with custom machine learning modeling, including PyTorch or scikit\-learn
* Experience with aviation, geospatial, and weather datasets
* Experience with executive\-level summaries and briefings
* Knowledge of FAA operations
* Ability to work cross\-functionally with various product workstreams
* Ability to obtain and maintain a Public Trust or Suitability/Fitness determination based on client requirements
* Bachelor’s degree
**Nice If You Have:**
* Experience with Databricks
* Experience with AWS
* Experience with Causal Modeling
* Experience with Agentic Workflows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$128,700\.00 to $292,000\.00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45">
      <c r="A45" t="inlineStr">
        <is>
          <t>li-4374353509</t>
        </is>
      </c>
      <c r="B45" t="inlineStr">
        <is>
          <t>Principal AI Engineer</t>
        </is>
      </c>
      <c r="C45" t="inlineStr">
        <is>
          <t>Jobs via Dice</t>
        </is>
      </c>
      <c r="D45" t="inlineStr">
        <is>
          <t>linkedin</t>
        </is>
      </c>
      <c r="E45" t="inlineStr"/>
      <c r="F45" t="inlineStr"/>
      <c r="G45" t="inlineStr">
        <is>
          <t>West Des Moines, IA</t>
        </is>
      </c>
      <c r="H45" t="inlineStr"/>
      <c r="I45" t="inlineStr">
        <is>
          <t>**Location:** 
 West Des Moines, IA
**Salary:** 
 $150,000\.00 USD Annually \- $160,000\.00 USD Annually
**Description:**
 Must Have Technical/Functional Skills
 Seeking a highly accomplished Principal AI Engineer to lead the design, architecture, and delivery of enterprise scale AI and Machine Learning solutions. This role requires deep technical expertise in AI/ML, strong architectural vision, hands\-on leadership, and the ability to drive AI strategy across the organization. The ideal candidate has extensive experience with advanced ML systems, GenAI/LLM solutions, and end to end AI platform development.
 Key Responsibilities
 AI Strategy \&amp; Technical Leadership
 Define and drive the organization's AI roadmap, architecture, and long\-term technical vision.
 Lead and mentor AI/ML engineers, data scientists, and cross\-functional teams.
 Evaluate emerging technologies and guide adoption of GenAI, LLMs, MLOps frameworks, and AI platforms.
 AI/ML Architecture \&amp; Innovation
 Architect scalable, high\-performance machine learning and GenAI solutions for NLP, CV, predictive analytics, and automation.
 Design and optimize LLM\-powered systems, including RAG pipelines, fine\-tuned models, and enterprise AI assistants.
 Develop reusable AI frameworks, components, and internal toolkits to accelerate organization\-wide AI development.
 End\-to\-End AI System Development
 Oversee full lifecycle: data architecture, feature engineering, experimentation, training, validation, deployment, and monitoring.
 Build large\-scale, cloud\-native AI systems using Azure/AWS/Google Cloud Platform.
 Establish standards for model quality, reliability, interpretability, and governance.
 MLOps \&amp; Platform Engineering
 Architect robust MLOps pipelines\-CI/CD, model versioning, drift detection, automated retraining, monitoring.
 Lead the development of AI platforms supporting multiple business teams and workloads.
 Ensure production environments meet performance, scalability, and security requirements.
 Cross Functional Collaboration
 Partner with executives, product teams, and business leaders to identify AI opportunities.
 Translate complex business problems into scalable AI solutions.
 Represent AI architecture in technical reviews and decision\-making processes.
 Databricks, SQL, and data processing frameworks.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t>
        </is>
      </c>
    </row>
    <row r="46">
      <c r="A46" t="inlineStr">
        <is>
          <t>li-4325814148</t>
        </is>
      </c>
      <c r="B46" t="inlineStr">
        <is>
          <t>Staff Conversational AI Engineer</t>
        </is>
      </c>
      <c r="C46" t="inlineStr">
        <is>
          <t>Collective Health</t>
        </is>
      </c>
      <c r="D46" t="inlineStr">
        <is>
          <t>linkedin</t>
        </is>
      </c>
      <c r="E46" t="inlineStr"/>
      <c r="F46" t="inlineStr"/>
      <c r="G46" t="inlineStr">
        <is>
          <t>Plano, TX</t>
        </is>
      </c>
      <c r="H46" t="inlineStr"/>
      <c r="I46" t="inlineStr">
        <is>
          <t>At Collective Health, we’re transforming how employers and their people engage with their health benefits by seamlessly integrating cutting\-edge technology, compassionate service, and world\-class user experience design.
 Our team of engineers are working on cutting\-edge conversational AI to transform the member and client experience. By developing innovative voice and messaging solutions, we ensure seamless, intuitive service across every digital touchpoint
 As the Staff Conversational AI Engineer, you will be at the forefront of architecting, designing and implementing intelligent and natural conversational solutions. You will work hands\-on with Google's CCAI suite, including Dialogflow CX, Agent Assist, Vertex AI and CCAI Insights, to create seamless and personalized user journeys. Your work will directly contribute to improving member satisfaction, streamlining internal workflows, and solidifying Collective Health's position as an innovator in the healthcare industry.
**What You'll Do**
* Lead the architecture, design, development, and deployment of sophisticated conversational AI applications on the Google CCAI platform to serve a variety of consumer and internal use cases.
* Architect and build robust, scalable, and maintainable conversational flows and virtual agents using Google Dialogflow CX and DialogFlow APIs.
* Define processes and optimize them continuously for seamless migration of agents across various environments.
* Integrate and optimize Google Agent Assist to empower our member\-facing teams with real\-time guidance and support.
* Leverage CCAI Insights to analyze conversation data, identify trends, and continuously improve the performance and effectiveness of our AI\-driven interactions.
* Provide technical leadership and mentorship to a team of engineers, fostering a culture of innovation and excellence in the AI space.
* Collaborate closely with product managers, designers, and other engineering teams to define the product vision, roadmap, and user experience for conversational AI initiatives.
* Manage stakeholder expectations and communicate technical concepts and project progress to both technical and non\-technical audiences.
* Stay at the forefront of advancements in conversational AI, natural language processing (NLP), and large language models (LLMs), and champion the adoption of new technologies and best practices.
**To Be Successful In This Role, You'll Need**
* Proven, hands\-on experience in designing, building, and launching production\-level conversational AI experiences is essential for success in this role.
* 12\+ years of Software Development experience of which 5\+ years is in CCAAS designing high\-concurrency, omnichannel communication platforms.
* In\-depth knowledge and practical experience with the Google Cloud Contact Center AI (CCAI) platform, including Dialogflow CX, Agent Assist, and CCAI Insights.
* Strong understanding of natural language understanding (NLU), natural language generation (NLG), multi\-language support and the principles of conversational design.
* Experience in training chatbots by analyzing historical chat conversations or large amounts of user generated content and process data
* Practical knowledge of formal syntax, formal semantics, corpus analysis, dialogue management
* Experienced in prompt engineering, building, enhancing and maintaining custom RAG pipelines.
* Proficiency in javascript and in one or more languages such as Python or Java.
* Experience with API integrations and connecting conversational interfaces with backend systems and data sources.
* Demonstrated ability to lead and mentor engineering teams, with a passion for sharing knowledge and fostering technical growth.
* Excellent communication and interpersonal skills, with the ability to collaborate effectively with cross\-functional teams and stakeholders.
* A strategic mindset with the ability to translate business needs into technical solutions and a long\-term vision for conversational AI.
* Knowledge of training and tuning topic modeling algorithms like LDA and NMF is a huge plus.
* Be a part of incident management/24\*7 support for CCaaS on rotation basis.
* Understanding of training classical Machine learning algorithms along with an understanding of choosing the right evaluation metric
* A bachelor's degree in Computer Science, a related technical field, or equivalent practical experience.
**Nice To Have**
* Experience Optimizing LLM engines.
* Experience building AI applications with Claude, OpenAI or LLaMa models.
 Pay Transparency Statement
 This is a hybrid position based out of one of our offices: San Francisco, CA, Plano, TX, or Lehi, UT. Hybrid employees are expected to be in the office two days per week.
 The actual pay rate offered within the range will depend on factors including geographic location, qualifications, experience, and internal equity. In addition to the salary, you will be eligible for 330000 stock options and benefits like health insurance, 401k, and paid time off
 *.* 
 Learn more about our benefits at https://jobs.collectivehealth.com/benefits/.
 San Francisco, CA Pay Range
 $194,670—$243,500 USD
 Lehi, UT Pay Range
 $155,500—$194,000 USD
 Plano, TX Pay Range
 $171,000—$213,500 USD
 Why Join Us?
* Mission\-driven culture that values innovation, collaboration, and a commitment to excellence in healthcare
* Impactful projects that shape the future of our organization
* Opportunities for professional development through internal mobility opportunities, mentorship programs, and courses tailored to your interests
* Flexible work arrangements and a supportive work\-life balance
 We are an equal opportunity employer and value diversity at our company. We do not discriminate on the basis of race, religion, color, national origin, gender, sexual orientation, age, marital status, veteran status, or disability status. Collective Health is committed to providing support to candidates who require reasonable accommodation during the interview process. If you need assistance, please contact recruiting\-accommodations@collectivehealth.com.
 Privacy Notice
 For more information about why we need your data and how we use it, please see our privacy policy: https://collectivehealth.com/privacy\-policy/.</t>
        </is>
      </c>
    </row>
    <row r="47">
      <c r="A47" t="inlineStr">
        <is>
          <t>li-4325784178</t>
        </is>
      </c>
      <c r="B47" t="inlineStr">
        <is>
          <t>Staff Conversational AI Engineer</t>
        </is>
      </c>
      <c r="C47" t="inlineStr">
        <is>
          <t>Collective Health</t>
        </is>
      </c>
      <c r="D47" t="inlineStr">
        <is>
          <t>linkedin</t>
        </is>
      </c>
      <c r="E47" t="inlineStr"/>
      <c r="F47" t="inlineStr"/>
      <c r="G47" t="inlineStr">
        <is>
          <t>Lehi, UT</t>
        </is>
      </c>
      <c r="H47" t="inlineStr"/>
      <c r="I47" t="inlineStr">
        <is>
          <t>At Collective Health, we’re transforming how employers and their people engage with their health benefits by seamlessly integrating cutting\-edge technology, compassionate service, and world\-class user experience design.
 Our team of engineers are working on cutting\-edge conversational AI to transform the member and client experience. By developing innovative voice and messaging solutions, we ensure seamless, intuitive service across every digital touchpoint
 As the Staff Conversational AI Engineer, you will be at the forefront of architecting, designing and implementing intelligent and natural conversational solutions. You will work hands\-on with Google's CCAI suite, including Dialogflow CX, Agent Assist, Vertex AI and CCAI Insights, to create seamless and personalized user journeys. Your work will directly contribute to improving member satisfaction, streamlining internal workflows, and solidifying Collective Health's position as an innovator in the healthcare industry.
**What You'll Do**
* Lead the architecture, design, development, and deployment of sophisticated conversational AI applications on the Google CCAI platform to serve a variety of consumer and internal use cases.
* Architect and build robust, scalable, and maintainable conversational flows and virtual agents using Google Dialogflow CX and DialogFlow APIs.
* Define processes and optimize them continuously for seamless migration of agents across various environments.
* Integrate and optimize Google Agent Assist to empower our member\-facing teams with real\-time guidance and support.
* Leverage CCAI Insights to analyze conversation data, identify trends, and continuously improve the performance and effectiveness of our AI\-driven interactions.
* Provide technical leadership and mentorship to a team of engineers, fostering a culture of innovation and excellence in the AI space.
* Collaborate closely with product managers, designers, and other engineering teams to define the product vision, roadmap, and user experience for conversational AI initiatives.
* Manage stakeholder expectations and communicate technical concepts and project progress to both technical and non\-technical audiences.
* Stay at the forefront of advancements in conversational AI, natural language processing (NLP), and large language models (LLMs), and champion the adoption of new technologies and best practices.
**To Be Successful In This Role, You'll Need**
* Proven, hands\-on experience in designing, building, and launching production\-level conversational AI experiences is essential for success in this role.
* 12\+ years of Software Development experience of which 5\+ years is in CCAAS designing high\-concurrency, omnichannel communication platforms.
* In\-depth knowledge and practical experience with the Google Cloud Contact Center AI (CCAI) platform, including Dialogflow CX, Agent Assist, and CCAI Insights.
* Strong understanding of natural language understanding (NLU), natural language generation (NLG), multi\-language support and the principles of conversational design.
* Experience in training chatbots by analyzing historical chat conversations or large amounts of user generated content and process data
* Practical knowledge of formal syntax, formal semantics, corpus analysis, dialogue management
* Experienced in prompt engineering, building, enhancing and maintaining custom RAG pipelines.
* Proficiency in javascript and in one or more languages such as Python or Java.
* Experience with API integrations and connecting conversational interfaces with backend systems and data sources.
* Demonstrated ability to lead and mentor engineering teams, with a passion for sharing knowledge and fostering technical growth.
* Excellent communication and interpersonal skills, with the ability to collaborate effectively with cross\-functional teams and stakeholders.
* A strategic mindset with the ability to translate business needs into technical solutions and a long\-term vision for conversational AI.
* Knowledge of training and tuning topic modeling algorithms like LDA and NMF is a huge plus.
* Be a part of incident management/24\*7 support for CCaaS on rotation basis.
* Understanding of training classical Machine learning algorithms along with an understanding of choosing the right evaluation metric
* A bachelor's degree in Computer Science, a related technical field, or equivalent practical experience.
**Nice To Have**
* Experience Optimizing LLM engines.
* Experience building AI applications with Claude, OpenAI or LLaMa models.
 Pay Transparency Statement
 This is a hybrid position based out of one of our offices: San Francisco, CA, Plano, TX, or Lehi, UT. Hybrid employees are expected to be in the office two days per week.
 The actual pay rate offered within the range will depend on factors including geographic location, qualifications, experience, and internal equity. In addition to the salary, you will be eligible for 330000 stock options and benefits like health insurance, 401k, and paid time off
 *.* 
 Learn more about our benefits at https://jobs.collectivehealth.com/benefits/.
 San Francisco, CA Pay Range
 $194,670—$243,500 USD
 Lehi, UT Pay Range
 $155,500—$194,000 USD
 Plano, TX Pay Range
 $171,000—$213,500 USD
 Why Join Us?
* Mission\-driven culture that values innovation, collaboration, and a commitment to excellence in healthcare
* Impactful projects that shape the future of our organization
* Opportunities for professional development through internal mobility opportunities, mentorship programs, and courses tailored to your interests
* Flexible work arrangements and a supportive work\-life balance
 We are an equal opportunity employer and value diversity at our company. We do not discriminate on the basis of race, religion, color, national origin, gender, sexual orientation, age, marital status, veteran status, or disability status. Collective Health is committed to providing support to candidates who require reasonable accommodation during the interview process. If you need assistance, please contact recruiting\-accommodations@collectivehealth.com.
 Privacy Notice
 For more information about why we need your data and how we use it, please see our privacy policy: https://collectivehealth.com/privacy\-policy/.</t>
        </is>
      </c>
    </row>
    <row r="48">
      <c r="A48" t="inlineStr">
        <is>
          <t>li-4243645327</t>
        </is>
      </c>
      <c r="B48" t="inlineStr">
        <is>
          <t>Staff GenAI Engineer - Application Performance Monitoring (APM)</t>
        </is>
      </c>
      <c r="C48" t="inlineStr">
        <is>
          <t>Datadog</t>
        </is>
      </c>
      <c r="D48" t="inlineStr">
        <is>
          <t>linkedin</t>
        </is>
      </c>
      <c r="E48" t="inlineStr"/>
      <c r="F48" t="inlineStr"/>
      <c r="G48" t="inlineStr">
        <is>
          <t>New York, NY</t>
        </is>
      </c>
      <c r="H48" t="inlineStr"/>
      <c r="I48" t="inlineStr">
        <is>
          <t>We’re looking for a Staff Software Engineer with deep experience in GenAI/ML to join Datadog’s Application Performance Monitoring (APM) team. APM is a product which provides deep visibility into applications, enabling users to identify performance bottlenecks, troubleshoot issues, and optimize services. With distributed tracing, profiling, out\-of\-the\-box dashboards, and seamless correlation with other telemetry data, Datadog APM provides some of the deepest and most structured visibility into the health and performance of applications. This context sets us up for an opportunity to be the world leaders in agentic investigations and incident troubleshooting.
 You’ll act as a technical leader within the APM group, focused on agentic workflows. You’ll lead efforts to design, train, evaluate, and deploy GenAI/ML models at scale. We’re looking for a product\-minded ML engineer with strong technical expertise, excellent communication skills, and a track record of driving impactful initiatives end to end.
*At Datadog, we place value in our office culture \- the relationships and collaboration it builds and the creativity it brings to the table. We operate as a hybrid workplace to ensure our Datadogs can create a work\-life harmony that best fits them.*
**What You’ll Do:**
* Act as a technical leader within the APM organization, driving GenAI/machine learning projects from concept to production.
* Build and benchmark GenAI/ML models using state\-of\-the\-art techniques.
* Collaborate with cross\-functional teams to build automated investigation and triaging tools.
* Influence product direction by bringing a strong product mindset to your work, always advocating for the end user.
* Guide teams through ambiguity, scaling challenges, and evolving requirements with clear technical direction.
* Actively mentor engineers and influence engineering culture through leadership in design reviews, technical talks, and working groups.
**Who You Are:**
* You have a BS/MS/PhD in a scientific field or equivalent experience
* 10\+ years of relevant engineering experience, as well as experience acting as a technical lead
* Proven track record of leading large\-scale GenAI/ML initiatives in a product\-driven environment
* You have significant experience in model deployment, development, training, fine\-tuning, or evaluation
* Ability to drive initiatives across cross\-functional teams, and solve ambiguous challenges
*Datadog values people from all walks of life. We understand not everyone will meet all the above qualifications on day one. That's okay. If you’re passionate about technology and want to grow your skills, we encourage you to apply.*
**Benefits and Growth:**
* Get to build tools for software engineers, just like yourself. And use the tools we build to accelerate our development.
* Have a lot of influence on product direction and impact on the business .
* Work with skilled, knowledgeable, and kind teammates who are happy to teach and learn
* Competitive global benefits
* Continuous professional development
*Benefits and Growth listed above may vary based on the country of your employment and the nature of your employment with Datadog.*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$234,000—$300,000 USD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For information on our AI policy, please visit Interviewing at Datadog AI Guidelines.</t>
        </is>
      </c>
    </row>
    <row r="49">
      <c r="A49" t="inlineStr">
        <is>
          <t>li-4367391503</t>
        </is>
      </c>
      <c r="B49" t="inlineStr">
        <is>
          <t>Applied Scientist, AI Automation, Prime Video</t>
        </is>
      </c>
      <c r="C49" t="inlineStr">
        <is>
          <t>Prime Video &amp; Amazon MGM Studios</t>
        </is>
      </c>
      <c r="D49" t="inlineStr">
        <is>
          <t>linkedin</t>
        </is>
      </c>
      <c r="E49" t="inlineStr"/>
      <c r="F49" t="inlineStr"/>
      <c r="G49" t="inlineStr">
        <is>
          <t>Culver City, CA</t>
        </is>
      </c>
      <c r="H49" t="inlineStr"/>
      <c r="I49"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forming a new organization within Prime Video to redefine our operational landscape through the power of artificial intelligence. As a Applied Scientist within this initiative, you will be a technical leader helping to design and build the intelligent systems that power our vision. You will tackle complex and ambiguous problems, designing and delivering scalable and resilient agentic AI and ML solutions from the ground up. You will not only write high\-quality, maintainable software and models, but also mentor other scientists, influence our technical strategy, and drive engineering best practices across the team. Your work will directly contribute to making Prime Video's operations more efficient and will set the technical foundation for years to come.
 Key job responsibilities
* Lead the design and architecture of highly scalable, available, and resilient services for our AI automation platform.
* Write high\-quality, maintainable, and robust code to solve complex business problems, building flexible systems without over\-engineering.
* Act as a technical leader and mentor for other engineers on the team, assisting with career growth and encouraging excellence.
* Work through ambiguous requirements, cut through complexity, and translate business needs into scalable technical solutions.
* Take ownership of the full software development lifecycle, including design, testing, deployment, and operations.
* Work closely with product managers, scientists, and other engineers to build and launch new features and systems.
**About The Team**
 This role offers a unique opportunity to shape the future of one of Amazon's most exciting businesses through the application of AI technologies. If you're passionate about leveraging AI to drive real\-world impact at massive scale, we want to hear from you.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\- 142,800\.00 \- 193,200\.00 USD annually
 USA, WA, Seattle \- 142,800\.00 \- 193,200\.00 USD annually
**Company** 
 \- Amazon.com Services LLC
 Job ID: A3119822</t>
        </is>
      </c>
    </row>
    <row r="50">
      <c r="A50" t="inlineStr">
        <is>
          <t>li-4367062352</t>
        </is>
      </c>
      <c r="B50" t="inlineStr">
        <is>
          <t>Machine Learning Engineer-AI Assurance, Level II</t>
        </is>
      </c>
      <c r="C50" t="inlineStr">
        <is>
          <t>Pacific Northwest National Laboratory</t>
        </is>
      </c>
      <c r="D50" t="inlineStr">
        <is>
          <t>linkedin</t>
        </is>
      </c>
      <c r="E50" t="inlineStr"/>
      <c r="F50" t="inlineStr"/>
      <c r="G50" t="inlineStr">
        <is>
          <t>Seattle, WA</t>
        </is>
      </c>
      <c r="H50" t="inlineStr"/>
      <c r="I50" t="inlineStr">
        <is>
          <t>**Overview**
 At PNNL, our core capabilities are divided among major departments that we refer to as Directorates within the Lab, focused on a specific area of scientific research or other function, with its own leadership team and dedicated budget.
 Our Science \&amp; Technology directorates include National Security, Earth and Biological Sciences, Physical and Computational Sciences, and Energy and Environment. In addition, we have an Environmental Molecular Sciences Laboratory, a Department of Energy, Office of Science user facility housed on the PNNL campus.
 The National Security Directorate (NSD) drives science\-based, mission\-focused solutions to take on complex, real\-world threats to our nation and the world.
 The AI and Data Analytics Division, part of NSD, combines profound domain expertise and creative integration of advanced hardware and software to deliver computational solutions that address complex data and analytic challenges. Working in multidisciplinary teams, we connect foundational research to engineering to operations, providing the tools to innovate quickly and field results faster. Our strengths are integrated across the data analytics lifecycle, from data acquisition and management to analysis and decision support.
**Responsibilities**
 PNNL is seeking a Data Scientist II \- Machine Learning (ML)\-AI Assurance Engineer who has experience refactoring and modularizing research code for maintainability, extensibility, and reusability. The selected candidate must be able to collaborate effectively across research and engineering teams to align research goals with deployment requirements, and to develop packages, APIs, and interfaces that enable straightforward integration into mission\-relevant environments. They should be fluent in Python and modern ML frameworks, and comfortable working with unstructured, experimental code.
**Key Responsibilities**
* Refactor, modularize, and optimize research code for maintainability and scalability
* Collaborate with researchers to understand algorithmic intent and with engineers to ensure integration into broader systems
* Develop tools and APIs to enable integrations into mission\-relevant environments and workflows
* Write clear, well\-documented code and participate in code reviews
* Conduct work in secure environments and execute work from an operational security perspective
**This position is based in either Richland, WA or Seattle, WA and requires an onsite presence.**
**Qualifications**
 Minimum Qualifications:
* BS/BA and 2 years of relevant experience \-OR\-
* MS/MA \-OR\-
* PhD
**Preferred Qualifications**
* Degree in computer science, engineering, mathematics, or related fields
* Experience in research engineering, ML engineering, AI systems integration, or applied data science
* Strong proficiency in Python and experience with ML frameworks (e.g., PyTorch, TensorFlow, Hugging Face)
* Comfortable navigating research codebases (Jupyter notebooks, unstructured scripts) and translating them into production\-ready components
* Excellent communication and cross\-functional collaboration skills
* SCI Clearance
**Hazardous Working Conditions/Environment**
 Not applicable.
**Additional Information**
 This position requires the ability to obtain and maintain a federal security clearance.
 A security clearance background investigation includes review of your employment, education, financial, and criminal history, as well as interviews with you and your personal references, neighbors, and co\-workers to determine trustworthiness, reliability, and loyalty to the United States. The investigation also examines your foreign connections, drug and alcohol use, foreign influence, and overall conduct.
**Requirements**
* U.S. Citizenship
* Background Investigation: Applicants selected will be subject to a Federal background investigation and must meet eligibility requirements for access to classified matter in accordance with 10 CFR 710, Appendix B.
* Drug Testing: All Security Clearance positions are Testing Designated Positions, which means that the applicant selected for hire is subject to pre\-employment drug testing, and post\-employment random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if non\-use of illegal drugs, including marijuana, for 12 months cannot be demonstrated.
**Testing Designated Position**
 This position is a Testing Designated Position (TDP). The candidate selected for this position will be subject to pre\-employment and random drug testing for illegal drugs, including marijuana, consistent with the Controlled Substances Act and the PNNL Workplace Substance Abuse Program.
**About PNNL**
 Pacific Northwest National Laboratory (PNNL) is a world\-class research institution powered by a highly educated, diverse workforce committed to the values of Integrity, Creativity, Collaboration, Impact, and Courage. Every year, scores of dynamic, driven people come to PNNL to work with renowned researchers on meaningful science, innovations and outcomes for the U.S. Department of Energy and other sponsors; here is your chance to be one of them!
 At PNNL, you will find an exciting research environment and excellent benefits including health insurance, and flexible work schedules. PNNL is located in eastern Washington State—the dry side of Washington known for its stellar outdoor recreation and affordable cost of living. The Lab’s campus is only a 45\-minute flight (or \~3 hour drive) from Seattle or Portland, and is serviced by the convenient PSC airport, connected to 8 major hubs.
**Commitment to Excellence and Equal Employment Opportunity**
 Our laboratory is committed to fostering a work environment where all individuals are treated with fairness and respect while solving critical challenges in fundamental sciences, national security, and energy resiliency. We are an Equal Employment Opportunity employer.
 Pacific Northwest National Laboratory (PNNL) is an Equal Opportunity Employer. PNNL considers all applicants for employment without regard to race, religion, color, sex, national origin, age, disability, genetic information (including family medical history), protected veteran status, and any other status or characteristic protected by federal, state, and/or local laws.
 We are committed to providing reasonable accommodations for individuals with disabilities and disabled veterans in our job application procedures and in employment. If you need assistance or an accommodation due to a disability, contact us at careers@pnnl.gov.
**Drug Free Workplace**
 PNNL is committed to a drug\-free workplace supported by Workplace Substance Abuse Program (WSAP) and complies with federal laws prohibiting the possession and use of illegal drugs.
 If you are offered employment at PNNL, you must pass a drug test prior to commencing employment. PNNL complies with federal law regarding illegal drug use. Under federal law, marijuana remains an illegal drug. If you test positive for any illegal controlled substance, including marijuana, your offer of employment will be withdrawn.
**Security, Credentialing, And Eligibility Requirements**
 As a national laboratory, PNNL is responsible for adhering to the Homeland Security Presidential Directive 12 (HSPD\-12\) and Department of Energy (DOE) Order 473\.1A, which require new employees to obtain and maintain a HSPD\-12 Personal Identify Verification (PIV) Credential. To obtain this credential, new employees must successfully complete the applicable tier of federal background investigation post hire and receive a favorable federal adjudication. The tier of federal background investigation will be determined by job duties and national security or public trust responsibilities associated with the job. All tiers of investigation include a declaration of illegal drug activities, including use, supply, possession, or manufacture within the last 1 to 7 years (depending on the applicable tier of investigation). Illegal drug activities include marijuana and cannabis derivatives, which are still considered illegal under federal law, regardless of state laws.
**For Foreign National Candidates**
 If you have not resided in the U.S. for three consecutive years, you are not eligible for the PIV credential and instead will need to obtain a favorable Local Site Specific Only (LSSO) Federal risk determination to maintain employment. Once you meet the three\-year residency requirement thereafter, you will be required to obtain a PIV credential to maintain employment. The tier of federal background investigation required to obtain the PIV credential will be determined by job duties at the time you become eligible for the PIV credential.
**Mandatory Requirements**
 Please be aware that the Department of Energy (DOE) prohibits DOE employees and contractors from having any affiliation with the foreign government of a country DOE has identified as a “country of risk” without explicit approval by DOE and Battelle. If you are offered a position at PNNL and currently have any affiliation with the government of one of these countries, you will be required to disclose this information and recuse yourself of that affiliation or receive approval from DOE and Battelle prior to your first day of employment.
**Rockstar Rewards**
 Employees and their families are offered medical insurance, dental insurance, vision insurance, robust telehealth care options, several mental health benefits, free wellness coaching, health savings account, flexible spending accounts, basic life insurance, disability insurance\*, employee assistance program, business travel insurance, tuition assistance, relocation, backup childcare, legal benefits, supplemental parental bonding leave, surrogacy and adoption assistance, and fertility support. Employees are automatically enrolled in our company\-funded pension plan\* and may enroll in our 401 (k) savings plan with company match\*. Employees may accrue up to 120 vacation hours per year and may receive ten paid holidays per year.
* Research Associates excluded.
* All benefits are dependent upon eligibility.
 Click Here For Rockstar Rewards
**Notice to Applicants**
 PNNL lists the full pay range for the position in the job posting. Starting pay is calculated from the minimum of the pay range and actual placement in the range is determined based on an individual’s relevant job\-related skills, qualifications, and experience. This approach is applicable to all positions, with the exception of positions governed by collective bargaining agreements and certain limited\-term positions which have specific pay rules.
 As part of our commitment to fair compensation practices, we do not ask for or consider current or past salaries in making compensation offers at hire. Instead, our compensation offers are determined by the specific requirements of the position, prevailing market trends, applicable collective bargaining agreements, pay equity for the position type, and individual qualifications and skills relevant to the performance of the position.
**Minimum Salary**
 USD $114,000\.00/Yr.
**Maximum Salary**
 USD $182,100\.00/Yr.</t>
        </is>
      </c>
    </row>
    <row r="51">
      <c r="A51" t="inlineStr">
        <is>
          <t>li-4358549697</t>
        </is>
      </c>
      <c r="B51" t="inlineStr">
        <is>
          <t>Applied Scientist II, RBKS AI</t>
        </is>
      </c>
      <c r="C51" t="inlineStr">
        <is>
          <t>Amazon</t>
        </is>
      </c>
      <c r="D51" t="inlineStr">
        <is>
          <t>linkedin</t>
        </is>
      </c>
      <c r="E51" t="inlineStr"/>
      <c r="F51" t="inlineStr"/>
      <c r="G51" t="inlineStr">
        <is>
          <t>Sunnyvale, CA</t>
        </is>
      </c>
      <c r="H51" t="inlineStr"/>
      <c r="I51" t="inlineStr">
        <is>
          <t>**Description**
 The Ring and Blink AI team (RBKS AI) is solving unique computer vision challenges at the intersection of edge computing, multi\-modal sensor fusion, and visual language models. We process hundreds of millions of video events monthly across tens of millions of devices. We're looking for an Applied Scientist to tackle problems without off\-the\-shelf solutions.
 Key job responsibilities
* Drive applied research in on\-device computer vision and multi\-modal ML, including object detection, tracking, event classification, and visual language understanding
* Balance innovation with pragmatism by shipping models that meet strict production requirements \- latency, memory, power, and accuracy
* Own the complete ML lifecycle, from problem formulation and dataset curation to model development, edge optimization, and production validation at scale
* Advance the field by publishing novel techniques, filing patents, and contributing to the research community while delivering production\-ready models
**Basic Qualifications**
* PhD, or Master's degree and 4\+ years of CS, CE, ML or related field experience
* 3\+ years of deep learning, computer vision, human robotic interaction, algorithms implementation experience
* Experience programming in Java, C\+\+, Python or related language
**Preferred Qualifications**
* Experience in professional software development
* Experience applying theoretical models in an applied environment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A3118374</t>
        </is>
      </c>
    </row>
    <row r="52">
      <c r="A52" t="inlineStr">
        <is>
          <t>li-4359470294</t>
        </is>
      </c>
      <c r="B52" t="inlineStr">
        <is>
          <t>Lead Machine Learning Engineer</t>
        </is>
      </c>
      <c r="C52" t="inlineStr">
        <is>
          <t>Salesforce</t>
        </is>
      </c>
      <c r="D52" t="inlineStr">
        <is>
          <t>linkedin</t>
        </is>
      </c>
      <c r="E52" t="inlineStr"/>
      <c r="F52" t="inlineStr"/>
      <c r="G52" t="inlineStr">
        <is>
          <t>New York, NY</t>
        </is>
      </c>
      <c r="H52" t="inlineStr"/>
      <c r="I52"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We are a foundation machine learning platform team within the Trust Intelligence Platform organization with a main focus to build and accelerate scalable and resilient machine learning pipelines across the security engineering organization.
 We are looking for a highly motivated, hands\-on lead machine learning engineer with a strong business understanding of cybersecurity problems, who acts as a force multiplier security data scientist for our security organization. The lead will not simply build models; they will architect the data\-driven strategy for our threat detection capabilities.
**Your Impact**
* Shape the Defense Strategy: You will own the decision\-making process—translating vague security threats into concrete mathematical problems. By championing a rapid prototyping culture, you will validate hypotheses in days rather than months, ensuring our engineering resources are focused only on high\-value detections while killing low\-signal ideas early.
* Detect the "Unknown Unknowns": You will lead the evolution of our threat detection, introducing more advanced probabilistic modeling, graph analytics, supervised and unsupervised learing. Your work will expose sophisticated threats—such as active system intrusions, lateral movement, beaconing, and insider attacks—that evade traditional defenses, directly reducing the organization's risk surface.
* Elevate the Organization: You will act as a force multiplier, mentoring junior scientists and engineers, and building the internal tooling, feature stores, and libraries that make the whole team faster. You will influence the broader security engineering roadmap to ensure a closed loop security telemetry that is treated as a first\-class citizen.
* Operationalize Intelligence: By prioritizing engineering rigor (CI/CD, scalable code) and adversarial resilience, you will deliver production\-grade models that the SOC actually trusts—minimizing "alert fatigue" and maximizing analyst efficiency.
**Required Skills**
* Extensive experience (3\-5\+ years) in data science, with at least 2\+ years dedicated to the cybersecurity domain designing, implementing and deploying systems of anomaly detection, clustering, and graph models in production.
* Extended practical knowledge and familiarity with security frameworks such as MITRE ATT\&amp;CK and OCSF.
* Hands\-on comfort with high\-volume logs and proficiency with Spark/Pyspark, Snowflake, Flink and streaming services such as Apache Kafka
* Deep understanding and application of containerization (Docker) and workflow orchestration (Kubernetes, Apache Airflow) for automated ML pipelines.
* Mastery of Python programming, including proficiency in leading ML frameworks (TensorFlow, PyTorch) and adherence to software engineering best practices.
* Demonstrated success in implementing comprehensive MLOps methodologies, encompassing CI/CD pipelines, testing protocols, and model performance monitoring.
* Solid foundation in feature engineering techniques and the implementation of feature stores.
* Experience in formulating ML governance policies and ensuring adherence to data security regulations.
* Ability to explain complex statistical concepts to non\-technical stakeholders and executive leadership.
* Proven ability to manage scope, timelines, and stakeholder expectations across multiple organizations.
* High degree of autonomy with the ability to look at a vague business problem and structure a data\-driven solution without needing a predefined roadmap.
* A related technical degree is required.
**Preferred Skills**
* Masters or PhD in a quantitative field
* Expertise in advanced Natural Language Processing (NLP) methodologies.
* Experience contributing to open\-source security data science tools.
* Presentations at major security conferences (Black Hat, DEF CON, BSides) or data conferences.
* Background in offensive security (Penetration Testing/Red Teaming) with an "attacker's mindset."
* Demonstrated experience conducting research or working collaboratively with Machine Learning (ML) research teams.
* Previous experience in a mentoring role for junior engineers.
* Track record of publications and/or patents in quantitative disciplines.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53">
      <c r="A53" t="inlineStr">
        <is>
          <t>li-4344968990</t>
        </is>
      </c>
      <c r="B53" t="inlineStr">
        <is>
          <t>Sr. Applied Scientist , Amazon Connect</t>
        </is>
      </c>
      <c r="C53" t="inlineStr">
        <is>
          <t>Amazon Web Services (AWS)</t>
        </is>
      </c>
      <c r="D53" t="inlineStr">
        <is>
          <t>linkedin</t>
        </is>
      </c>
      <c r="E53" t="inlineStr"/>
      <c r="F53" t="inlineStr"/>
      <c r="G53" t="inlineStr">
        <is>
          <t>Seattle, WA</t>
        </is>
      </c>
      <c r="H53" t="inlineStr"/>
      <c r="I53" t="inlineStr">
        <is>
          <t>**Description**
 Do you want to join a team of innovative scientists to research and develop generative AI technology that would disrupt the industry? Do you enjoy dealing with ambiguity and working on hard problems in a fast\-paced environment?
 Amazon Connect is a highly disruptive cloud\-based contact center from AWS that enables businesses to deliver intelligent, engaging, dynamic, and personalized customer service experiences. The Agentic Customer Experience organization is responsible for weaving native\-AI across the Connect application experiences delivered to end\-customers, agents, and managers/supervisors. The Interactive AI Science team, serves as the cornerstone for AI innovation across Amazon Connect, functioning as the sole science team support high impact product including Amazon Q in Connect, Contact Lens and other key initiatives.
 As an Sr. Applied Scientist on our team, you will work closely with senior technical and business leaders from within the team and across AWS. You distill insight from huge data sets, conduct cutting edge research, foster ML models from conception to deployment. You have deep expertise in machine learning and deep learning broadly, and extensive domain knowledge in natural language processing, LLMs and Agentic AI, etc. You are comfortable with quickly prototyping and iterating your ideas to build robust ML models using technology such as PyTorch, Tensorflow and AWS Sagemaker. The ideal candidate has the ability to understand, implement, innovate on the state\-of\-the\-art Agentic AI based systems.
 We have a rapidly growing customer base and an exciting charter in front of us that includes solving highly complex engineering and scientific problems. We are looking for passionate, talented, and experienced people to join us to innovate on modern contact centers in the cloud. The position represents a rare opportunity to be a part of a fast\-growing business soon after launch, and help shape the technology and product as we grow. You will be playing a crucial role in developing the next generation contact center, and get the opportunity to design and deliver scalable, resilient systems while maintaining a constant customer focus.
 Learn more about Amazon Connect here: https://aws.amazon.com/connect/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PhD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\- 167,100\.00 \- 226,100\.00 USD annually
**Company** 
 \- Amazon.com Services LLC
 Job ID: A3139836</t>
        </is>
      </c>
    </row>
    <row r="54">
      <c r="A54" t="inlineStr">
        <is>
          <t>li-4375820140</t>
        </is>
      </c>
      <c r="B54" t="inlineStr">
        <is>
          <t>AI Engineer</t>
        </is>
      </c>
      <c r="C54" t="inlineStr">
        <is>
          <t>Influur</t>
        </is>
      </c>
      <c r="D54" t="inlineStr">
        <is>
          <t>linkedin</t>
        </is>
      </c>
      <c r="E54" t="inlineStr"/>
      <c r="F54" t="inlineStr"/>
      <c r="G54" t="inlineStr"/>
      <c r="H54" t="inlineStr"/>
      <c r="I54" t="inlineStr">
        <is>
          <t>**About Influur**
 We're building the world's first viral agent. An AI purpose built for influencer marketing.
 Not a tool. Not a platform. An autonomous agent that goes from "I need this campaign to break" to "50 influencers live next week" with minimal human intervention.
 Why this matters: We have 3 years of proprietary data on what makes influencer content go viral. Warner, Sony, and Universal trust us to break their biggest artists. We're backed by the biggest names in entertainment including Sofia Vergara, Karol G, Tommy Mottola, and Tier 1 VCs like Point72 Ventures. We're not building for hypothetical use cases. We're shipping production AI that drives millions in revenue today.
 Why we'll win: We have what no one else has: both the data and the distribution. We have proprietary data on thousands of influencers and what makes content go viral, plus direct relationships with the influencers themselves. In the AI era, having both is the moat. Everyone else has one or the other. We have both.
 Why now: AGI agents will replace middle level work by 2027\. We have a 12 to 18 month window before the market floods with agents. We're building the category defining social media viral agent right now.
 What we're looking for: Young talent ready to go all in. We're offering significant equity to people who want to build something that matters. This isn't a job. It's an opportunity to define the future of AI in influencer marketing and own a meaningful piece of it.
**Your Skillset**
* Solid experience designing multi AI agent architectures with memory, tool use, and feedback loops (LangChain, CrewAI, or custom orchestration), using LLMs such as those from OpenAI, Anthropic, Gemini, etc
* Expertise in full\-stack development (Node.js, Next.js) and scalable systems
* Strong proficiency in Python is a plus
* Ability to reason about API orchestration, error handling, integration complexity
* Experience building RAG systems
* Experience building and integrating APIs (REST) in Node.js
* Hands\-on experience using AI\-powered IDE tools such as Cursor
* Experience properly using LLMs in different parts of a greater system
* Deep knowledge of which models to be used whenCreating and using embeddings
* Strong grasp of API architecture, performance tuning, and database optimization (SQL)
* Technical leadership: from design to deployment
* Deep code quality standards: automation, testing, reviews, and focus on end\-to\-end ownership
* Effective communicator across product, design, and business
* Familiarity with cloud infra (AWS/GCP) and container tools (Docker, Kubernetes)
* Knowledge on social media (especially TikTok), both in a tech perspective and a consumer perspective
* Past experience in video content classification/embeddings/tagging
**You’re The Type Who**
* Builds like an AI native, automates, experiments, and ships at lightning speed
* Brings a generalist mindset, curious, versatile, hands\-on, and comfortable across the stack
* Moves fast, builds with precision, and expects high standards
* Thrives in early\-stage startups where nothing is “someone else’s job”
* Sees ambiguity as an opportunity to lead and learn
* Thinks like a product builder, not just writing code, but shaping how AI enhances user experience and business outcomes
* Is obsessed with pushing what’s possible with AI and scalable systems
 What We Offer
* Competitive equity in a venture\-backed company shaping the future of music influencer marketing
* A seat at the table as we redefine how the most iconic record labels, artists, and brands go viral (think Bad Bunny), with our tech, support, and strategic guidance
* Access to elite tools, AI copilots, and a team that builds daily at top speed
* Hybrid flexibility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5">
      <c r="A55" t="inlineStr">
        <is>
          <t>li-4375806569</t>
        </is>
      </c>
      <c r="B55" t="inlineStr">
        <is>
          <t>AI/ML Engineer (Senior)</t>
        </is>
      </c>
      <c r="C55" t="inlineStr">
        <is>
          <t>OnPoint</t>
        </is>
      </c>
      <c r="D55" t="inlineStr">
        <is>
          <t>linkedin</t>
        </is>
      </c>
      <c r="E55" t="inlineStr"/>
      <c r="F55" t="inlineStr"/>
      <c r="G55" t="inlineStr">
        <is>
          <t>Fairfax, VA</t>
        </is>
      </c>
      <c r="H55" t="inlineStr"/>
      <c r="I55" t="inlineStr">
        <is>
          <t>**Role: AI/ML Engineer (Senior)** 
**Reports to:** 
 Program Manager
**Work Hours** 
 : 40 hour week with core hours of 9\-5pm
**OnPoint** 
 , a wholly\-owned subsidiary of Sapient Government Services, is a vibrant, energetic, and growing ISO\-certified technology and management consulting partner that provides critical thinking, strategic analysis, and thought leadership in a collaborative environment in an enduring effort to improve performance, lower costs, and achieve results for clients. We are guided by our principles: Clarity. Action. Results—for each client engagement we work to gain clarity, move into action, and achieve results. OnPoint specializes in delivering solutions in Cybersecurity, Strategic Communications, Information Assurance, Network Operations, Project Management and Systems Development.
**JOB DESCRIPTION** 
**Summary/Objective** 
 The Senior AI/ML Engineer will lead the design, deployment, and operation of production\-grade AI systems that power Consumer Product Safety Commission's (CPSC) Sentinel model \- protecting more consumers, faster, from more hazards by using analytics to shorten time to intervention. This role will own endtoend model lifecycle engineering on Azure, advance MLOps best practices, and build AI agents (Copilot Studio \+ Python frameworks) that translate signals into timely, actionable decisions.
**Essential Functions** 
* Build \&amp; Ship Production Models
* Architect, implement, and productionize ML solutions (supervised/unsupervised, NLP, deep learning) with robust data preprocessing, feature engineering, and evaluation pipelines.
* Lead model selection, training, validation, optimization, and calibration, ensuring reliability, fairness, and performance at scale.
* Own the MLOps Lifecycle (Azure)
* Establish MLOps workflows (CI/CD for ML, experiment tracking, model registry, reproducible builds and deployments).
* Implement model monitoring (drift, data/feature quality, bias, and business KPIs), alerting, and automated rollback to keep systems safe and responsive.
* Data Engineering for ML
* Design high\-quality data pipelines (ingest, transform, validate) across structured and unstructured sources; enforce data contracts and lineage.
* Partner with analytics teams to make datasets discoverable, documented, and performant for iterative model development.
* AI Agents \&amp; Copilot Integration
* Build AI agents that operationalize safety analytics (Copilot Studio, Python agents, retrieval pipelines) to accelerate triage and decision flow.
* Integrate agents with APIs, event streams, dashboards, and case management systems to reduce cycle time from signal to action.
* Engineering Excellence \&amp; Governance
* Champion secure\-by\-design practices, reproducibility, and auditability (model cards, data sheets, deployment records).
* Contribute to coding standards, code reviews, and knowledge sharing; mentor engineers and data scientists.
* Agile Collaboration \&amp; Impact
* Work in Agile teams; drive iterative delivery, joint problem\-solving, and continuous improvement.
* Translate mission goals into technical roadmaps and measurable outcomes tied to Sentinel time\-to\-intervention targets.
**Required Competencies** 
* Experience: 5\+ years hands\-on developing and deploying AI/ML models in production environments.
* Programming: Expert in Python (including packaging, testing, performance optimization).
* ML Expertise: Deep understanding of algorithms, model selection, training/validation/optimization, and evaluation at scale.
* Data Skills: Expert in data preprocessing, feature engineering, and data visualization for decision support
* Deep Learning \&amp; MLOps: Expert with PyTorch/TensorFlow, and modern MLOps (deployment, monitoring, scaling, CI/CD, experiment tracking, model registry).
* Cloud: Proven experience with Azure for AI/ML workloads (e.g., Azure ML, Azure Synapse, Azure Data Lake).
* AI Agents: Experience developing AI agents in Copilot Studio and via Python frameworks (tooling, orchestration, retrieval, connectors)
**Preferred Qualifications** 
* Experience with streaming/event\-driven architectures (Event Hubs), feature stores, and vector databases (for retrieval augmented generation).
* Hands\-on with responsible AI (fairness, explainability, privacy), model governance (model cards, audits), and security in cloud ML.
* Familiarity with domain\-specific risk analytics and public sector/regulated environments.
* Certifications in Azure AI/ML and/or MLOps advantageous.
**Supervisory Responsibility** 
 This position has no supervisory responsibilities.
**Work Environment** 
 OnPoint offers a hybrid work environment, meaning that most work can be done remotely, while some work needs to be completed on\-premise.
**Physical Demands** 
 While performing the duties of this job, the employee is occasionally required to move physical IT equipment.
**Position Type/Expected Hours of Work** 
 40 hour work week
**Travel** 
 Occasional travel to a client site or event/conference will be required.
**Desired Education and Experience** 
* PhD, Master’s degree, or equivalent experience in Computer Science, Data Science, Mathematics, Statistics, Engineering, related field, OR equivalent professional experience.
 · Minimum of 5 years of professional experience
 · Experience in the Government contracting industry
**Additional Eligibility Qualifications** 
**N/A** 
**Work Authorization/Security Clearance** 
 None required.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**AAP/EEO Statement** 
*As part of our dedication to an inclusive and diverse workforce, OnPoint is committed to Equal Employment Opportunity without regard for race, color, national origin, ethnicity, gender, protected veteran status, disability, sexual orientation, gender identity, or religion. We are also committed to providing reasonable accommodations for qualified individuals with disabilities and disabled veterans in our job application procedures. If you need assistance or an accommodation due to a disability, you may contact us at hr@onpointcorp.com* 
*or you may call us at 703\-841\-5500\.*</t>
        </is>
      </c>
    </row>
    <row r="56">
      <c r="A56" t="inlineStr">
        <is>
          <t>li-4344515839</t>
        </is>
      </c>
      <c r="B56" t="inlineStr">
        <is>
          <t>AI/ML Engineer</t>
        </is>
      </c>
      <c r="C56" t="inlineStr">
        <is>
          <t>Smith &amp; Associates</t>
        </is>
      </c>
      <c r="D56" t="inlineStr">
        <is>
          <t>linkedin</t>
        </is>
      </c>
      <c r="E56" t="inlineStr"/>
      <c r="F56" t="inlineStr"/>
      <c r="G56" t="inlineStr">
        <is>
          <t>Houston, TX</t>
        </is>
      </c>
      <c r="H56" t="inlineStr"/>
      <c r="I56" t="inlineStr">
        <is>
          <t>In this role, you will contribute to building and shipping AI features end\-to\-end: data prep, modeling, evaluation, deployment, and iteration. Additionally, collaborate with the engineering team to translate ideas and research into reliable, production\-grade systems.
**What You’ll Do**
* Build LLM\-powered features (prompt design, RAG pipelines, tools/plug\-ins, evaluations, guardrails).
* Experiment with agentic AI patterns (tool use, planning/re\-planning, multi\-agent workflows) and ship reliable agents.
* Implement and evaluate machine\-learning models (classification, regression, clustering, NLP, CV) from prototype to production.
* Write clean, well\-tested Python code for data processing, modeling, and service APIs.
* Package and deploy models/services on AWS (e.g., S3, Lambda, ECS/EKS, SageMaker) with basic CI/CD.
* Design simple, efficient data pipelines and integrate with databases (SQL/NoSQL) and vector stores.
* Monitor models in production (latency, drift, quality) and iterate based on telemetry and user feedback.
* Read papers/blogs/specs and quickly translate ideas into working prototypes.
**What You’ll Bring**
* Strong foundation in algorithms and data structures; able to analyze time/space complexity and choose the right approach.
* Solid understanding of core ML principles: bias/variance, feature engineering, cross\-validation, regularization, evaluation metrics.
* Familiarity with LLMs: tokenization basics, model families, fine\-tuning concepts, RAG patterns, and LLM evaluations.
* Exposure to agentic AI concepts: tool calling, planning, memory, and simple multi\-agent orchestration.
* Knowledge of Model Context Protocol (MCP) for context sharing, secure integrations, and tool orchestration.
* Proficiency in Python and common libraries (NumPy, pandas, scikit\-learn; plus, PyTorch or TensorFlow preferred).
* Comfort with AWS fundamentals (IAM, S3, compute/container runtimes) or equivalent cloud experience.
* Experience with databases: writing efficient SQL, understanding normalization/indices; basic NoSQL (e.g., DynamoDB) awareness.
* Familiarity with vector databases (e.g., FAISS, Pinecone, Milvus) is a plus.
* Version control (Git) and basic software craftsmanship (testing, linting, code reviews).
**Nice to have**
* Data engineering basics: Airflow/Prefect, message queues, data validation.
* API development (FastAPI/Flask) and simple observability (logs/metrics/traces).
* Security, privacy, and responsible\-AI awareness (PII handling, prompt injection basics, red\-teaming mindset).
* Math comfort: linear algebra, probability, calculus.
**How You Work**
* Strong ability to adapt to new technologies and rapidly learn by reading docs/papers and implementing new ideas.
* Bias for action: iterate quickly, measure results, and improve based on evidence.
* Clear communication and collaborative mindset; comfortable receiving and giving feedback.
**Qualifications**
* Bachelor’s or master's in computer science, Data Science, EE, or related field (or equivalent projects/internships).
* 0–2 years of professional experience; internships, open\-source, or notable personal projects count.
 Smith is an equal opportunity employer
 VEVIRAA Federal Contractor
*We are an Equal Opportunity/Affirmative Action Employer.*</t>
        </is>
      </c>
    </row>
    <row r="57">
      <c r="A57" t="inlineStr">
        <is>
          <t>li-4333923633</t>
        </is>
      </c>
      <c r="B57" t="inlineStr">
        <is>
          <t>Senior AI/ML Engineer</t>
        </is>
      </c>
      <c r="C57" t="inlineStr">
        <is>
          <t>General Motors</t>
        </is>
      </c>
      <c r="D57" t="inlineStr">
        <is>
          <t>linkedin</t>
        </is>
      </c>
      <c r="E57" t="inlineStr"/>
      <c r="F57" t="inlineStr"/>
      <c r="G57" t="inlineStr">
        <is>
          <t>Mountain View, CA</t>
        </is>
      </c>
      <c r="H57" t="inlineStr"/>
      <c r="I57"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**Role:**
 As a Senior AI/ML Engineer within the Onboard Embodied AI organization, you will be a senior individual contributor driving cutting\-edge end\-to\-end machine learning solutions directly impacting autonomous driving performance. Your role is pivotal in designing, architecting, and deploying advanced ML models that translate raw sensor data into actionable driving behaviors, enabling vehicles to robustly navigate diverse real\-world scenarios and conditions. You'll lead critical technical initiatives, collaborate closely with cross\-functional teams, mentor ML engineers, and significantly shape the future of onboard ML capabilities.
 The Onboard Embodied AI team is at the forefront of developing groundbreaking onboard ML systems powering fully autonomous vehicles. We leverage modern end\-to\-end machine learning approaches with sophisticated neural networks trained from large\-scale driving data and using state\-of\-the\-art alignment approaches. Our solutions enable vehicles to understand complex, dynamic driving environments, handle uncertainty gracefully, and adapt seamlessly to changing conditions. Join a collaborative and innovative team redefining autonomy through state\-of\-the\-art machine learning, delivering solutions that move beyond current technological boundaries.
**Key Responsibilities:**
* Drive the design, development, and deployment of advanced onboard ML models, delivering end\-to\-end solutions capable of real\-time inference and robust autonomous driving performance.
* Lead and architect complex machine learning projects, from conception through validation to onboard implementation, emphasizing scalability, robustness, and safety\-critical operation.
* Champion innovation in neural network architectures, training methodologies, and inference optimization strategies suited for real\-time onboard deployment.
* Provide technical mentorship and thought leadership, elevating engineering practices, and fostering ML innovation across teams.
* Collaborate closely with multidisciplinary engineering groups, ensuring seamless integration of ML capabilities into autonomous vehicle systems.
* Influence technical roadmaps, shaping strategic ML priorities aligned with company objectives and product milestones.
**Your Skills \&amp; Abilities:**
* Master's or Ph.D. in Machine Learning, Robotics, Computer Science, Electrical Engineering, or a related technical field.
* 3\+ years of modern machine learning techniques
* Extensive experience developing and deploying advanced ML systems, particularly in end\-to\-end real\-time onboard applications.
* Proven track record as a technical leader and expert in developing robust deep learning models that directly map sensor data to actionable outputs within safety\-critical systems.
* Deep expertise in state\-of\-the\-art computer vision techniques, neural architectures, representation learning, real\-time inference, model optimization, and robustness under uncertainty.
* Strong software engineering proficiency, particularly Python and C\+\+, alongside extensive hands\-on experience with modern ML frameworks (PyTorch, TensorFlow, JAX).
* Excellent communication, collaboration, and mentoring abilities, comfortable influencing technical strategy and guiding ML engineering excellence across the organization.
**Bonus:**
* AV/ADAS experience is a big plus
*Compensation* 
 :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$158,000\.00 to $241,900\.00\.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58">
      <c r="A58" t="inlineStr">
        <is>
          <t>li-4375667738</t>
        </is>
      </c>
      <c r="B58" t="inlineStr">
        <is>
          <t>AI/ML Engineer</t>
        </is>
      </c>
      <c r="C58" t="inlineStr">
        <is>
          <t>Wiraa</t>
        </is>
      </c>
      <c r="D58" t="inlineStr">
        <is>
          <t>linkedin</t>
        </is>
      </c>
      <c r="E58" t="inlineStr"/>
      <c r="F58" t="inlineStr"/>
      <c r="G58" t="inlineStr"/>
      <c r="H58" t="inlineStr"/>
      <c r="I58" t="inlineStr">
        <is>
          <t>**About The Company**
 At General Motors, our product teams are at the forefront of redefining mobility and transportation solutions worldwide. We are committed to transforming the future of driving through innovative, human\-centered design processes that focus on creating vehicles and experiences that resonate deeply with users. Our dedication to innovation spans across advanced hardware, battery systems, intuitive software, and next\-generation safety and entertainment features. With a global presence, we aim to make driving safer, smarter, and more connected, impacting millions of lives daily. Our culture fosters collaboration, continuous learning, and a passion for pushing the boundaries of what is possible in the automotive industry.
**About The Role**
 As a Principal Technical Lead in the Embodied AI organization at General Motors, you will play a critical role in shaping the future of autonomous driving technology. This senior individual contributor position involves driving the development of cutting\-edge machine learning solutions that directly influence vehicle performance and safety. You will be responsible for designing, architecting, and deploying advanced ML models capable of navigating complex real\-world scenarios reliably and securely. Your leadership will be essential in guiding technical initiatives, collaborating with cross\-functional teams, mentoring junior engineers, and advancing onboard ML capabilities. This role offers an exciting opportunity to work at the intersection of AI research and practical automotive applications, contributing to innovations that will define the future of transportation.
**Qualifications**
* Bachelor’s, Master’s, or PhD degree in Computer Science, Robotics, Machine Learning, or a related field
* Proven experience working with large\-scale Foundation Models and alignment methods
* Experience translating research into real\-world impact through applied projects
* Proficiency in AI frameworks such as PyTorch and programming languages like Python
* Experience building and scaling large model training pipelines for performance and efficiency
* Strong data processing skills using tools such as Numpy, Pandas, and Apache Spark
* Experience deploying foundation models into production environments
* Previous experience in Robotics or Autonomous Driving domains
* Excellent communication and collaboration skills for working with diverse teams
**Responsibilities**
* Design and implement AI technologies aligned with GM’s mission to advance autonomous driving capabilities
* Apply techniques such as unsupervised pre\-training, imitation learning, reinforcement learning, guidance, and model selection to enhance model safety and reliability
* Collaborate with cross\-functional teams to integrate and align foundation model distillation recipes for onboard driving systems
* Conduct research and stay updated on the latest advancements in AI frameworks, libraries, and methodologies
* Lead projects from ideation through deployment, ensuring best practices and documentation of learnings
* Mentor junior team members, fostering a culture of knowledge sharing and continuous improvement
* Participate in the end\-to\-end process of deploying foundation models into production environments
**Benefits**
* Comprehensive health and wellbeing programs including medical, dental, and vision coverage
* Health Savings Accounts (HSA) and Flexible Spending Accounts (FSA)
* Retirement savings plans and financial planning resources
* Sickness and accident benefits, life insurance, and paid vacation and holidays
* Tuition assistance programs and employee assistance programs
* GM vehicle discounts and potential relocation benefits
* Participation in a company vehicle evaluation program, subject to eligibility
 Equal Opportunity
 General Motors is an equal opportunity employer. We celebrate diversity and are committed to creating an inclusive environment for all employees. All qualified applicants will receive consideration for employment without regard to race, color, religion, sex, national origin, age, disability, or any other protected status in accordance with applicable laws.</t>
        </is>
      </c>
    </row>
    <row r="59">
      <c r="A59" t="inlineStr">
        <is>
          <t>li-4373445797</t>
        </is>
      </c>
      <c r="B59" t="inlineStr">
        <is>
          <t>AI/ML Engineer</t>
        </is>
      </c>
      <c r="C59" t="inlineStr">
        <is>
          <t>Air Apps</t>
        </is>
      </c>
      <c r="D59" t="inlineStr">
        <is>
          <t>linkedin</t>
        </is>
      </c>
      <c r="E59" t="inlineStr"/>
      <c r="F59" t="inlineStr"/>
      <c r="G59" t="inlineStr">
        <is>
          <t>San Francisco, CA</t>
        </is>
      </c>
      <c r="H59" t="inlineStr"/>
      <c r="I59" t="inlineStr">
        <is>
          <t>**About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 in both Lisbon and San Francisco—we’ve remained self\-funded while reaching over 100 million downloads worldwide.
 Our long\-term focus drives us to challenge the status quo every day, pushing the boundaries of AI\-driven solutions that truly make a difference. Here, you’ll be a creative force, shaping products that empower people across the globe.
 Join us on this journey to redefine resource management—and change lives along the way.
**The Role**
 As an
 **AI/ML Engineer** 
 , you will play a crucial role in designing, developing, and optimizing machine learning models to power our mobile applications. You will work closely with product managers, engineers, and designers to create intelligent, data\-driven features that enhance user experiences. Your expertise in artificial intelligence and deep learning will help us innovate and stay ahead in the mobile app industry.
 Please note that this post serves the purpose of enhancing our talent pool while we prepare to launch the official job. As soon as it gets posted we will get in touch with you.
**Responsibilities**
* Develop, train, and optimize machine learning models for various mobile app features.
* Research and implement state\-of\-the\-art AI techniques to improve user engagement and app performance.
* Collaborate with cross\-functional teams to integrate AI\-driven solutions into our applications.
* Design and maintain scalable ML pipelines, ensuring efficient model deployment and monitoring.
* Analyze large datasets to derive insights and drive data\-driven decision\-making.
* Stay updated with the latest AI trends and best practices, incorporating them into our development processes.
* Optimize AI models for mobile environments to ensure high performance and low latency.
**Requirements**
* Around 3\+ years of experience in AI/ML development, preferably in mobile applications.
* Proficiency in Python, TensorFlow, PyTorch, or other ML frameworks.
* Experience with deep learning, NLP, computer vision, and statistical modeling.
* Familiarity with cloud\-based ML services (AWS, Google Cloud, or Azure).
* Strong understanding of data structures, algorithms, and software engineering best practices.
* Experience in deploying and maintaining ML models in production.
* Ability to work collaboratively in a remote team environment.
* Strong problem\-solving skills and a passion for innovation.
**What benefits do we offer?**
* Apple hardware ecosystem for work.
* Annual Bonus.
* Medical Insurance (including vision \&amp; dental).
* Disability insurance \- short and long\-term.
* 401k up to 4% contribution.
* Air Conference – an opportunity to meet the team, collaborate, and grow together.
* Transportation budget
* Free meals at the hub
* Gym membership
**Diversity \&amp; Inclusion**
 At Air Apps, we are committed to fostering a diverse, inclusive, and equitable workplace. We enthusiastically welcome applicants from all backgrounds, experiences, and perspectives. We celebrate diversity in all its forms and believe that varied voices and experiences make us stronger.
**Application Disclaimer**
 At Air Apps, we value transparency and integrity in our hiring process. Applicants must submit their own work without any AI\-generated assistance. Any use of AI in application materials, assessments, or interviews will result in disqualification.</t>
        </is>
      </c>
    </row>
    <row r="60">
      <c r="A60" t="inlineStr">
        <is>
          <t>li-4374378695</t>
        </is>
      </c>
      <c r="B60" t="inlineStr">
        <is>
          <t>Junior ML Engineer</t>
        </is>
      </c>
      <c r="C60" t="inlineStr">
        <is>
          <t>Tech Consulting</t>
        </is>
      </c>
      <c r="D60" t="inlineStr">
        <is>
          <t>linkedin</t>
        </is>
      </c>
      <c r="E60" t="inlineStr"/>
      <c r="F60" t="inlineStr"/>
      <c r="G60" t="inlineStr">
        <is>
          <t>Pennsylvania, United States</t>
        </is>
      </c>
      <c r="H60" t="inlineStr"/>
      <c r="I60" t="inlineStr">
        <is>
          <t>**Job Title:** 
 Junior ML Engineer
 **(\*\*Immediate Joining\*\*)** 
**Location:** 
 \[Anywhere in USA]
**Experience:** 
 1–3 years
**Employment Type:** 
 Full\-Time
 Are you excited about taking your technical career to new heights with a full\-time, W\-2 role as a consultant in a dynamic and rapidly growing company? If you are, let's get in touch –
 *your interest is the first step to starting the conversation.* 
**What This Role Requires:** 
* 1\-4 years of data analyst/ML/AI engineering work experience after your degree.
* Must have experience with
 both
 Python programming \&amp; SQL language developer.
* Should demonstrate experience developing end\-to\-end solutions.
* Demonstrated SQL experience.
* Additional experience with
 at least one
 : AWS, Azure or Databricks is preferred.
* Additional experience with Pyspark, AWS S3, Lambda, EC2/AZ, Data bricks, Machine learning (ML), GenAI/ Computer Vision, Theory of Probability, GitLab, R Programming, GCP \&amp; Airflow will be preferred.
**To Qualify:** 
* You should be willing to relocate anywhere in the US on a client project\-to\-project basis, as this is an
 **onsite, in\-office position** 
 .
* Strong English communication skills, both written and verbal.
* **Bachelor’s Degree** 
 in Computer Science, Information Systems, Electrical Engineering, Mathematics, or a related quantitative field. Additional relevant
 **Master’s degree** 
 is highly desirable for this role.
* **What’s In It For YOU?**
* Gain valuable, career\-enhancing experience working with our Fortune 1,000 clients.
* Receive relocation support for training and project assignments, as required.
* Enjoy comprehensive W2 employee benefits.
**Who Are We?** 
 We are a premier IT consulting firm specializing in delivering top\-tier Data Science solutions to companies across various sectors such as
 **finance, energy, e\-commerce, logistics, travel, retail, entertainment, automotive, and healthcare** 
 .</t>
        </is>
      </c>
    </row>
    <row r="61">
      <c r="A61" t="inlineStr">
        <is>
          <t>li-4375663923</t>
        </is>
      </c>
      <c r="B61" t="inlineStr">
        <is>
          <t>Machine Learning Engineer</t>
        </is>
      </c>
      <c r="C61" t="inlineStr">
        <is>
          <t>Wiraa</t>
        </is>
      </c>
      <c r="D61" t="inlineStr">
        <is>
          <t>linkedin</t>
        </is>
      </c>
      <c r="E61" t="inlineStr"/>
      <c r="F61" t="inlineStr"/>
      <c r="G61" t="inlineStr"/>
      <c r="H61" t="inlineStr"/>
      <c r="I61" t="inlineStr">
        <is>
          <t>**About The Company**
 Waymo is a leading autonomous driving technology company dedicated to transforming mobility through innovative solutions. Established as the Google Self\-Driving Car Project in 2009, Waymo has continuously advanced its mission to be the world's most trusted driver. With a focus on safety, efficiency, and accessibility, Waymo has developed the Waymo Driver, a sophisticated autonomous driving system that powers its fully autonomous ride\-hail service. The company’s technology has accumulated over ten million rider\-only trips, driven more than 100 million miles on public roads across over 15 states, and simulated tens of billions of miles to ensure safety and reliability. Waymo's commitment to leveraging cutting\-edge machine learning and robotics positions it at the forefront of autonomous vehicle innovation, aiming to save lives and improve transportation for all.
**About The Role**
 We are seeking a highly skilled Machine Learning Engineer to join our Predictive Planning team (PrePlan). In this hybrid role, you will be instrumental in developing next\-generation machine learning\-powered prediction and planning systems that enhance the capabilities of the Waymo Driver. Your work will directly contribute to scaling Waymo’s autonomous vehicle technology, enabling safer and more efficient navigation in complex environments. You will collaborate with world\-class researchers, engineers, and product teams to create robust, real\-world solutions that meet stringent safety and performance standards. This position offers an exciting opportunity to work on open\-ended, real\-world challenges by framing them as machine learning problems, applying state\-of\-the\-art techniques including foundation models and reinforcement learning, and integrating large models into production systems to impact millions of users.
**Qualifications**
* BS in Computer Science, Machine Learning, Robotics, or a related technical field, or equivalent practical experience
* Demonstrated contributions to the machine learning community through publications, open\-source projects, or significant industry impact
* Hands\-on experience with modern deep learning libraries such as TensorFlow, JAX, or PyTorch
* Proficient programming skills in Python and C/C\+\+
* Strong analytical and debugging skills
* 5\+ years of experience in machine learning modeling and/or autonomous vehicles
**Responsibilities**
* Develop advanced ML\-powered prediction and planning systems to improve the performance and scalability of Waymo’s autonomous driving technology
* Frame complex, real\-world challenges as well\-defined machine learning problems and research innovative solutions
* Research, develop, and apply cutting\-edge ML techniques, including foundation models and reinforcement learning, for autonomous vehicle planning and prediction tasks
* Collaborate closely with research, engineering, and product teams to create safe, smooth, and reliable planning behaviors for all road users
* Design, develop, and evaluate large models, integrating them into Waymo’s production planning software for real\-world deployment
* Participate in cross\-functional projects to optimize system performance and robustness in diverse environments
**Benefits**
* Comprehensive health care coverage including medical, dental, and vision plans
* Generous maternity and parental leave policies
* Retirement savings plans with company matching
* Competitive salary and annual discretionary bonus opportunities
* Equity incentive plans to share in the company's success
* Access to ongoing professional development and career growth programs
* Inclusive and collaborative work environment with flexible hybrid work arrangements
 Equal Opportunity
 Waymo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age, disability, or any other protected status under applicable law.</t>
        </is>
      </c>
    </row>
    <row r="62">
      <c r="A62" t="inlineStr">
        <is>
          <t>li-4374397000</t>
        </is>
      </c>
      <c r="B62" t="inlineStr">
        <is>
          <t>Machine Learning Engineer</t>
        </is>
      </c>
      <c r="C62" t="inlineStr">
        <is>
          <t>TRC Talent Solutions</t>
        </is>
      </c>
      <c r="D62" t="inlineStr">
        <is>
          <t>linkedin</t>
        </is>
      </c>
      <c r="E62" t="inlineStr"/>
      <c r="F62" t="inlineStr"/>
      <c r="G62" t="inlineStr">
        <is>
          <t>Duluth, GA</t>
        </is>
      </c>
      <c r="H62" t="inlineStr"/>
      <c r="I62" t="inlineStr">
        <is>
          <t>**TRC’s client has a high\-priority, direct\-hire opportunity for a Machine Learning Engineer to join their Tools and Architecture Engineering group!** 
 This is a pivotal role for an engineer who wants to move beyond cloud\-based "GPT wrappers" and build
 **Sovereign AI** 
 —domain\-specific, high\-performance models that run entirely in local, on\-premise, and air\-gapped environments. Our client is the world leader in firmware, and this role is dedicated to transforming 40 years of proprietary computing data into a secure, offline product for global customers.
**Location:** 
 Hybrid (2 days onsite in Duluth/Norcross, GA preferred). Exceptional candidates may be considered for Remote, but first priority for the client is Hybrid.
**Target Start:** 
 April 2026
**Why You Want This Role:** 
* **🚀 Build at the Foundation:** 
 Work where hardware, firmware, and AI intersect. You aren't just building chatbots; you’re building AI that understands the very foundation of computing.
* **🔍 Real Product Impact:** 
 This is a production\-focused role, not an R\&amp;D experiment. You will design, train, and deploy models that solve immediate, high\-stakes problems for global OEMs.
* **🛡️ Sovereign AI Innovation:** 
 Be a leader in the "local AI" wave. You will solve the challenge of running massive models on local hardware with
 **zero cloud access** 
 , ensuring total security and privacy.
* **📈 Stability Meets Innovation:** 
 Join a company with 40 years of industry longevity that views AI as a massive wave of opportunity.
**Key Responsibilities:** 
* **Model Design \&amp; Fine\-Tuning:** 
 Design, train, and fine\-tune LLMs using techniques like SFT, LoRA/QLoRA, and RLHF.
* **Data Pipeline Architecture:** 
 Build and maintain pipelines to process 40 years of proprietary domain data, curating what to include to ensure high\-accuracy, domain\-specific outputs.
* **Optimization for the Edge:** 
 Optimize models for local inference through quantization, pruning, and distillation (using tools like
 **llama.cpp, vLLM, or TensorRT\-LLM** 
 ).
* **Production Deployment:** 
 Lead the full ML lifecycle, from data preparation to low\-latency inference and production deployment in resource\-constrained environments.
* **Autonomous Agents:** 
 Architect multi\-agent systems (LangGraph, CrewAI, AutoGen) to convert complex manual processes into autonomous, local workflows.
* **Security \&amp; Compliance:** 
 Ensure all models meet rigorous privacy and security standards, specifically for restricted or offline environments.
**Required Technical Qualifications**
**Machine Learning \&amp; LLM Expertise:** 
* **3\+ years of industry experience** 
 in AI/ML (post\-degree).
* **2\+ years specialized experience** 
 working with LLMs, code generation, RAG, or AI\-powered automation.
* **Hands\-on experience** 
 with open\-weight models (LLaMA, Mistral, etc.) and fine\-tuning at scale.
* **Local Inference Mastery:** 
 Proven experience deploying models in resource\-constrained or air\-gapped environments.
* **Vector Databases:** 
 Expertise in FAISS, Weaviate, Chroma, or similar retrieval models for RAG systems.
* **Agentic Frameworks:** 
 Hands\-on experience with multi\-agent AI systems for autonomous task execution.
**Software Engineering \&amp; Systems:** 
* **Python Mastery:** 
 Strong proficiency in Python and ML frameworks (PyTorch or TensorFlow) is a must.
* **Production Focus:** 
 Experience moving models from a laptop/research phase into a scalable, customer\-facing product.
* **Linux \&amp; Infrastructure:** 
 Familiarity with Linux, containers (Docker), and on\-prem infrastructure concepts.
**Education \&amp; General Requirements:** 
* **Master’s Degree required** 
 in Computer Science, Engineering, or a related field (PhD highly preferred).
* **Experience Level:** 
 Must have industry hands\-on experience (this is not a "fresh grad" role).
* **Communication:** 
 Excellent verbal and written skills; ability to collaborate with global teams across various time zones.
* **Product Mindset:** 
 Ability to work closely with business stakeholders to define KPIs and deliver multi\-modal and ensemble models.
**What’s Next?** 
 If you are a builder who thrives on solving "impossible" constraints and wants to define the future of local AI, we want to hear from you.
 **Please apply today for immediate consideration!**</t>
        </is>
      </c>
    </row>
    <row r="63">
      <c r="A63" t="inlineStr">
        <is>
          <t>li-4318709444</t>
        </is>
      </c>
      <c r="B63" t="inlineStr">
        <is>
          <t>ML Engineer, Voice &amp; AI</t>
        </is>
      </c>
      <c r="C63" t="inlineStr">
        <is>
          <t>Freed</t>
        </is>
      </c>
      <c r="D63" t="inlineStr">
        <is>
          <t>linkedin</t>
        </is>
      </c>
      <c r="E63" t="inlineStr"/>
      <c r="F63" t="inlineStr"/>
      <c r="G63" t="inlineStr">
        <is>
          <t>San Francisco, CA</t>
        </is>
      </c>
      <c r="H63" t="inlineStr"/>
      <c r="I63" t="inlineStr">
        <is>
          <t>**ABOUT FREED:**
 Doctors are overworked, burnt out, and are quitting in masses.
 At Freed, we combine clinician love with the latest AI tech and intense execution to create products that make clinicians happier.
 Our first product is an AI scribe that automates medical documentation.
 Since May of 2023, we have:
* Acquired 26,000 paying and loving clinicians
* Generated 100,000 patient notes daily and over 3 million monthly
* Made thousands of clinicians happier
 With the backing of Sequoia Capital and other world\-class VC’s, we are rapidly expanding our product offering. Patient\-facing assistants, patient insights, EHR integrations, and other products are being built and used by thousands of clinicians every day.
 We are looking for entrepreneurs. Fast, ambitious, and smart individuals who want to take care of the people who care for our health. Expect intense, clinician\-focused, and interesting co\-workers who want to win.
 With an office in San Francisco, we embrace a hybrid schedule that brings out the best in teamwork and innovation. Our teams come together in person
 **three days a week** 
 to collaborate, connect, and have a little fun along the way.
**About the Role:**
 We're on the hunt for talented, high\-caliber individuals to join our elite team of engineers. As part of our team, you'll play a pivotal role in restoring joy to medicine while pushing the boundaries of what's possible with AI technology. Our engineering culture emphasizes speed, end\-to\-end ownership, responsibility, and independence, attracting top\-tier talent and promoting exceptional performance.
**How You’ll Have Impact:**
* Evaluate and fine\-tune open source speech recognition models to provide new capabilities and better quality.
* Optimize inference infrastructure (WhisperX, Kubernetes, NATS) for stability and performance.
* Since the team is small, it’s likely you’ll have opportunities to work with Open Source large language models as well.
**What You’ll Bring:**
* 2\+ years working with speech recognition models.
* 5\+ years of Machine Learning or Software experience.
* A history of consistent top performance and a desire for a mission\-driven work culture.
**Nice to Haves:**
* Experience using TypeScript. While our ASR infrastructure is Python, the rest of our production infrastructure (LLM evaluations, web infrastructure) uses TypeScript.
* Experience shipping models that power specific products, adapting models to feedback from customers or users, and analyzing the impact of ML improvements on business outcomes.
* Experience in data preparation and synthetic data generation.
**What We’ll Bring:**
* Competitive salary and equity in a high\-growth company
* Opportunity to make an immediate impact
* Medical, dental, and vision coverage
* Unlimited paid time off
* Company\-sponsored annual retreats
* 401(k) plan to support your long\-term financial goals
* Commuter stipend for our San Francisco based employees
 Compensation Range: $160K \- $270K</t>
        </is>
      </c>
    </row>
    <row r="64">
      <c r="A64" t="inlineStr">
        <is>
          <t>li-4344672305</t>
        </is>
      </c>
      <c r="B64" t="inlineStr">
        <is>
          <t>Senior ML/AI Engineer - Developer Experience</t>
        </is>
      </c>
      <c r="C64" t="inlineStr">
        <is>
          <t>General Motors</t>
        </is>
      </c>
      <c r="D64" t="inlineStr">
        <is>
          <t>linkedin</t>
        </is>
      </c>
      <c r="E64" t="inlineStr"/>
      <c r="F64" t="inlineStr"/>
      <c r="G64" t="inlineStr">
        <is>
          <t>Austin, TX</t>
        </is>
      </c>
      <c r="H64" t="inlineStr"/>
      <c r="I64" t="inlineStr">
        <is>
          <t>**Job Description**
*This role is categorized as hybrid. This means the successful candidate is expected to report to the office in \[Austin, Detroit, Warren, Milford, Mountain View or Sunnyvale] a minimum of 3 days per week. This position can be considered Remote if the successful candidate is in the Seattle, Washington area.*
**About Us**
 The AI Cloud and Developer Infrastructure organization is responsible for delivering and maintaining the tools and services engineers here at GM use every day to do their best work and drive our cars forward. Tools and services we work on enhancing the entire development process of engineers at GM — how/where code is checked out, modified, compiled, tested, merged, and eventually deployed. Our goal is to ensure our AV engineers and others here have world class tools and a seamless development experience so that they can focus on the problems that matter most in their domain.
**The Role**
 We are looking for a Senior Engineer with an extensive engineering background, experience using a variety of developer tools and technologies, and who is passionate about developer productivity. As an IC leader on this team, we are looking for someone who cares deeply about the technical development of other engineers on the team and can effectively balance the needs and priorities of the business, our users, and the growth of our engineers.
**The Team**
 As a part of the AV Developer Productivity Org, the AV Developer Experience is responsible for creating and maintaining a robust, reliable, and cohesive inner loop development experience for AV developers at GM to optimize the rate at which quality code is produced at Cruise. We achieve through a combination of internally developed tools, vendor tools, and vendor tool integrations.
 The way this engineer will deliver impact may vary depending on the situation, but they will be expected to be able to identify how they can best have impact with minimal guidance.
**What You’ll Do**
* Identify engineering pain points and propose/design/implement solutions that are reliable, scalable, and maintainable
* Synthesize large amounts of company, org, customer information and context to establish priorities and influence the team’s technical roadmap
* Evaluate new tools and technologies through PoCs
* Ship improvements to our AV development toolchains and services which have a measurable and direct impact on engineering productivity and our core company metrics
* Drive software engineering best practices within your team, and create tooling which encourages these
* Help steer the engineering culture on the team
* Guide the team to find the right balance between delivering impact and addressing technical debt
* Mentor and grow engineers on the team
* Set the example for high levels of accountability
* Execute and deliver impact both individually and through the team
* Set strong boundaries when selecting external requests and pushing back on requests that do not align with our team vision
**Your Skills \&amp; Abilities (Required Qualifications)**
* 3\+ years of experience designing, building, and operating production systems at scale in the cloud
* Bachelors Degree in Computer Science or related field or equivalent work experience
* Understanding of AI Engineering principles and concepts
* Experience designing highly scalable, reliable, and maintainable services
* Experience writing in effective Go or other equivalent languages at production scale
* Understanding of Unix/Linux, SSH, and networking fundamentals
* Attention to detail, and a desire to improve processes and systems around you
* Ability to lead and influence others, both internal and external to the team
* Principled reasoning and the ability to research, document, communicate, and defend proposals, and provide and take critical feedback
* Ability to effectively make trade\-offs and communicate the reasoning
* Ability to manage competing priorities, focus on shipping, and work effectively under pressure
* Passion for mentoring and growing junior engineers
* Passion for leveling up the overall efficiency and effectiveness of the team
* Passion for self\-driving technology and its potential impact on the world
**What Will Give You a Competitive Edge (Preferred Qualifications)**
* Experience designing, building, and operating production systems at scale in the cloud
* Experience working with GCP
* Experience working with gPRC, Docker, and Kubernetes
* Experience owning or contributing to Open\-Source projects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$108,420 to $161,500\.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may be eligible for relocation benefits.
*Remote/Hybrid: This role is based remotely but if you live within a 50\-mile radius of Mountain View, you are expected to report to that location three times a week, at minimum.*
 This role is categorized as hybrid. This means the selected candidate is expected to report to a specific location at least 3 times a week {or other frequency dictated by their manager}. The selected candidate will be required to travel \&lt;25% for this role.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65">
      <c r="A65" t="inlineStr">
        <is>
          <t>li-4304437849</t>
        </is>
      </c>
      <c r="B65" t="inlineStr">
        <is>
          <t>Applied Machine Learning Engineer</t>
        </is>
      </c>
      <c r="C65" t="inlineStr">
        <is>
          <t>DataAnnotation</t>
        </is>
      </c>
      <c r="D65" t="inlineStr">
        <is>
          <t>linkedin</t>
        </is>
      </c>
      <c r="E65" t="inlineStr"/>
      <c r="F65" t="inlineStr"/>
      <c r="G65" t="inlineStr">
        <is>
          <t>Minnesota, United States</t>
        </is>
      </c>
      <c r="H65" t="inlineStr"/>
      <c r="I65" t="inlineStr">
        <is>
          <t>We are looking for an Applied Machine Learning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66">
      <c r="A66" t="inlineStr">
        <is>
          <t>li-4340805191</t>
        </is>
      </c>
      <c r="B66" t="inlineStr">
        <is>
          <t>Applied AI Engineer - AI Solutions</t>
        </is>
      </c>
      <c r="C66" t="inlineStr">
        <is>
          <t>Snorkel AI</t>
        </is>
      </c>
      <c r="D66" t="inlineStr">
        <is>
          <t>linkedin</t>
        </is>
      </c>
      <c r="E66" t="inlineStr"/>
      <c r="F66" t="inlineStr"/>
      <c r="G66" t="inlineStr">
        <is>
          <t>San Francisco, CA</t>
        </is>
      </c>
      <c r="H66" t="inlineStr"/>
      <c r="I66" t="inlineStr">
        <is>
          <t>****About Snorkel****
 At Snorkel, we believe meaningful AI doesn’t start with the model, it starts with the data.
 We’re on a mission to help enterprises transform expert knowledge into specialized AI at scale. The AI landscape has gone through incredible changes between 2015, when Snorkel started as a research project in the Stanford AI Lab, to the generative AI breakthroughs of today. But one thing has remained constant: the data you use to build AI is the key to achieving differentiation, high performance, and production\-ready systems. We work with some of the world’s largest organizations to empower scientists, engineers, financial experts, product creators, journalists, and more to build custom AI with their data faster than ever before. Excited to help us redefine how AI is built? Apply to be the newest Snorkeler!
**About Snorkel**
 We’re on a mission to democratize AI by building the definitive AI data development platform. The AI landscape has gone through incredible change between 2016, when Snorkel started as a research project in the Stanford AI Lab, to the generative AI breakthroughs of today. But one thing has remained constant: the data you use to build AI is the key to achieving differentiation, high performance, and production\-ready systems. We work with some of the world’s largest organizations to empower scientists, engineers, financial experts, product creators, journalists, and more to build custom AI with their data faster than ever before. Excited to help us redefine how AI is built? Apply to be the newest Snorkeler!
 As an Applied AI Engineer, you’ll research and utilize state\-of\-the\-art Gen AI and machine learning (ML) techniques to successfully deliver solutions to our customers. You will work directly with our customers to understand their business and technical needs and design and deliver AI solutions to solve them \- either by leveraging Snorkel Flow or developing custom approaches when needed. You will also help define Snorkel’s Applied AI tooling by translating repeatable real\-world challenges into reusable solution recipes, workflows, best practices, and platform\-level capabilities that become part of Snorkel Flow’s next generation of AI tooling. We move fast and are constantly prototyping and innovating new ways to deliver value to our customers. This position is ideal for someone who enjoys solving complex problems, bridging the gap between AI technology and business value, working directly with customers, keeping up\-to date with AI research, and standardizing bespoke solutions into internal recipes and staying naturally curious about the infrastructure that underpin the Applied AI stack end\-to\-end.
 Main Responsibilities
* Partner with customers to build and deploy impactful Gen AI and machine learning solutions, from use case scoping and data exploration to model development and deployment. This may involve leveraging Snorkel Flow or designing custom approaches using state\-of\-the\-art tools, with the goal of delivering real business value and informing the evolution of the Snorkel platform.
* Develop and implement state of the art AI systems such as retrieval\-augmented generation (RAG), fine\-tuning pipelines, prompt engineering recipes and agentic workflows.
* Create augmented real\-world datasets and comprehensive evaluation workflows to ensure model reliability, transparency, and stakeholder trust. A data\- and evaluation\-first mindset is essential for success in this role.
* Forge and manage relationships with our customers’ leadership and stakeholders to ensure successful development and deployment of AI projects with Snorkel Flow.
* Collaborate closely with pre\-sales Solutions and Product teams to map customer needs to existing capabilities, prioritize roadmap gaps, and guide successful project setup.
* Work with other Applied AI Engineers to standardize solutions and contribute to internal tooling and best practices.
* Lead stakeholder education on quantitative capabilities, helping them to understand the strengths and weaknesses of different approaches and what problems are best\-suited for Snorkel AI.
* Serve as the voice of our customers for new AI paradigms, data science workflows, and share customer feedback to product teams.
* Conduct one\-to\-few and one\-to\-many enablement workshops to transfer knowledge to customers considering or already using Snorkel AI.
* Annual travel up to 25%.
**Preferred Qualifications**
* B.S. degree in a quantitative field such as Computer Science, Engineering, Mathematics, Statistics, or comparable degree/experience.
* 3\+ years of customer\-facing experience in the design and implementation of AI/ML solutions.
* Proficiency in Python, including strong grounding in software engineering fundamentals (e.g., modular design, testing, profiling, packaging) and experience with modern Python constructs and libraries for type validation and typed data modeling (e.g., pydantic), building type\-safe systems (e.g., mypy), testing (e.g., pytest), packaging and environment configuration (e.g., poetry), API and service frameworks (e.g., FastAPI), serialization and structured data handling (e.g., msgspec), and orchestration tooling relevant to ML deployment (e.g., Ray, Airflow).
* Expertise across the Applied AI stack, spanning classical ML libraries (e.g., scikit\-learn), deep learning frameworks (e.g., PyTorch), foundation\-model ecosystems (e.g., Hugging Face Transformers), vector/embedding tooling (e.g., FAISS), data processing frameworks (e.g., pandas, Spark), retrieval/RAG tooling (e.g., Chroma, Weaviate), synthetic dataset curation, evaluation workflows, and LLM orchestration, workflow, agent authoring tools (e.g., LlamaIndex, LangGraph, CrewAI).
* Experience leading strategic, customer\-facing initiatives and collaborating with business stakeholders to ensure ML solutions drive successful business outcomes, with a strong focus on teaching and enablement.
* Outstanding presentation skills to technical and executive audiences, whether impromptu on a whiteboard or using presentations and demos.
* Ability to work in a fast\-paced environment and balance priorities across multiple projects at once.
 Compensation range for Tier 1 locations of San Francisco Bay Area $172K \- $300K OTE. All offers also include equity in the form of employee stock options. Our compensation ranges are determined by role, level, and location. Within the range, individual pay is determined by work location and additional factors, including job\-related skills, experience, and relevant education or training.
**Locations**
 Redwood City, CA \- Hybrid; San Francisco, CA \- Hybrid \- US
 Salary Range
 $172,000—$300,000 USD
**Be Your Best at Snorkel**
 Joining Snorkel AI means becoming part of a company that has market proven solutions, robust funding, and is scaling rapidly—offering a unique combination of stability and the excitement of high growth. As a member of our team, you’ll have meaningful opportunities to shape priorities and initiatives, influence key strategic decisions, and directly impact our ongoing success. Whether you’re looking to deepen your technical expertise, explore leadership opportunities, or learn new skills across multiple functions, you’re fully supported in building your career in an environment designed for growth, learning, and shared success.
*Snorkel AI is proud to be an Equal Employment Opportunity employer and is committed to building a team that represents a variety of backgrounds, perspectives, and skills. Snorkel AI embraces diversity and provides equal employment opportunities to all employees and applicants for employment. Snorkel AI prohibits discrimination and harassment of any type on the basis of race, color, religion, age, sex, national origin, disability status, genetics, protected veteran status, sexual orientation, gender identity or expression, or any other characteristic protected by federal, state, or local law. All employment is decided on the basis of qualifications, performance, merit, and business need.*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67">
      <c r="A67" t="inlineStr">
        <is>
          <t>li-4375680432</t>
        </is>
      </c>
      <c r="B67" t="inlineStr">
        <is>
          <t>AI Engineer x4</t>
        </is>
      </c>
      <c r="C67" t="inlineStr">
        <is>
          <t>Aventis Solutions</t>
        </is>
      </c>
      <c r="D67" t="inlineStr">
        <is>
          <t>linkedin</t>
        </is>
      </c>
      <c r="E67" t="inlineStr"/>
      <c r="F67" t="inlineStr"/>
      <c r="G67" t="inlineStr">
        <is>
          <t>Dallas, TX</t>
        </is>
      </c>
      <c r="H67" t="inlineStr"/>
      <c r="I67" t="inlineStr">
        <is>
          <t>Aventis Solutions is igniting the AI revolution: The AI Executive Podcast is now live online via:
* **YouTube**
* **Spotify**
* **Amazon Music**
 In other news, Aventis Solutions is supporting a fully remote, fast\-scaling US FinTech firm in hiring 4x AI Engineers or MLOps Data Engineers to help build production\-ready AI systems and modern data platforms. These roles are fully remote across the US, with a collaborative team culture, strong engineering leadership, and a mission to bring advanced AI capabilities into real\-world products.
**Key Details:** 
* **Salary Bracket:** 
 $130,000 to $190,000 base plus performance bonuses and comprehensive benefits
* **Location:** 
 Fully remote within the US, HQ in Dallas Texas and New York
* **Career Outlook:** 
 Opportunities to grow vertically up the ranks as an AI Engineer or AI Lead, or team leadership, business/technology strategy or architecture roles as the company expands
**Key Responsibilities:** 
* Design, build, and maintain scalable data pipelines and ML infrastructure in a cloud\-native environment
* Integrate AI and LLM\-based solutions into production systems, working closely with software engineering and product teams
* Implement CI/CD for ML workflows and manage containerised deployments
* Support data governance, monitoring, and reliability of machine learning systems
* Collaborate on applied AI use cases, from predictive analytics to generative AI integrations
**Tech Stacks:** 
* **Languages:** 
 Python, SQL, JavaScript (Node.js/TypeScript) for APIs
* **Data Engineering:** 
 Snowflake, Databricks, dbt, Kafka, Spark
* **MLOps and Cloud:** 
 AWS (SageMaker, S3, Lambda), Azure ML, Terraform, Kubernetes, Docker
* **ML/AI Frameworks:** 
 scikit\-learn, TensorFlow, PyTorch, LangChain, OpenAI API integrations
* **Workflow and Orchestration:** 
 Airflow, Prefect, MLflow, Metaflow
* **Version Control and CI/CD:** 
 Git, GitHub Actions, GitLab, Azure DevOps
**What the Team is Looking For:** 
* Python programming skills for data pipelines, ML experimentation, and API integrations
* Experience working in cloud environments such as AWS, GCP, or Azure
* Familiarity with containerisation, microservices, and infrastructure as code
* Knowledge of ML lifecycle management and deployment best practices
* Interest in LLMs and generative AI tooling, with an appetite to learn and experiment
* Good communication skills and the ability to collaborate across engineering, product, and data science teams
**Example Backgrounds:** 
* Data Engineers with cloud\-scale experience looking to add ML or AI integrations to their work
* Machine Learning Engineers who want to productionise models and scale pipelines
* Software Engineers (Python or JavaScript) with interest in data\-centric AI products
* Cloud or DevOps Engineers with MLOps experience
* AI Engineers with applied experience in LLM integrations or agentic frameworks
**Roles Overview:** 
 You will join a growing engineering team delivering real\-world AI solutions. Projects span predictive models, LLM\-enhanced applications, recommendation systems, and large\-scale data integrations. You will help the team build robust, maintainable, production\-ready AI services that deliver business value quickly.
 These roles are perfect for engineers who love solving complex problems, enjoy collaborating in cross\-functional teams, and want to stay on the leading edge of applied AI and MLOps.
 If you want to work fully remotely in a company that values autonomy, learning, and high\-quality engineering, this is your opportunity.
 Believe the hype!
**Interested?** 
 Please submit your CV via LinkedIn or message Billy Hall for further information.
 Aventis Solutions is acting on behalf of our partner.</t>
        </is>
      </c>
    </row>
    <row r="68">
      <c r="A68" t="inlineStr">
        <is>
          <t>li-4344642590</t>
        </is>
      </c>
      <c r="B68" t="inlineStr">
        <is>
          <t>Senior ML/AI Engineer - Developer Experience</t>
        </is>
      </c>
      <c r="C68" t="inlineStr">
        <is>
          <t>General Motors</t>
        </is>
      </c>
      <c r="D68" t="inlineStr">
        <is>
          <t>linkedin</t>
        </is>
      </c>
      <c r="E68" t="inlineStr"/>
      <c r="F68" t="inlineStr"/>
      <c r="G68" t="inlineStr">
        <is>
          <t>Washington, United States</t>
        </is>
      </c>
      <c r="H68" t="inlineStr"/>
      <c r="I68" t="inlineStr">
        <is>
          <t>**Job Description**
*This role is categorized as hybrid. This means the successful candidate is expected to report to the office in \[Austin, Detroit, Warren, Milford, Mountain View or Sunnyvale] a minimum of 3 days per week. This position can be considered Remote if the successful candidate is in the Seattle, Washington area.*
**About Us**
 The AI Cloud and Developer Infrastructure organization is responsible for delivering and maintaining the tools and services engineers here at GM use every day to do their best work and drive our cars forward. Tools and services we work on enhancing the entire development process of engineers at GM — how/where code is checked out, modified, compiled, tested, merged, and eventually deployed. Our goal is to ensure our AV engineers and others here have world class tools and a seamless development experience so that they can focus on the problems that matter most in their domain.
**The Role**
 We are looking for a Senior Engineer with an extensive engineering background, experience using a variety of developer tools and technologies, and who is passionate about developer productivity. As an IC leader on this team, we are looking for someone who cares deeply about the technical development of other engineers on the team and can effectively balance the needs and priorities of the business, our users, and the growth of our engineers.
**The Team**
 As a part of the AV Developer Productivity Org, the AV Developer Experience is responsible for creating and maintaining a robust, reliable, and cohesive inner loop development experience for AV developers at GM to optimize the rate at which quality code is produced at Cruise. We achieve through a combination of internally developed tools, vendor tools, and vendor tool integrations.
 The way this engineer will deliver impact may vary depending on the situation, but they will be expected to be able to identify how they can best have impact with minimal guidance.
**What You’ll Do**
* Identify engineering pain points and propose/design/implement solutions that are reliable, scalable, and maintainable
* Synthesize large amounts of company, org, customer information and context to establish priorities and influence the team’s technical roadmap
* Evaluate new tools and technologies through PoCs
* Ship improvements to our AV development toolchains and services which have a measurable and direct impact on engineering productivity and our core company metrics
* Drive software engineering best practices within your team, and create tooling which encourages these
* Help steer the engineering culture on the team
* Guide the team to find the right balance between delivering impact and addressing technical debt
* Mentor and grow engineers on the team
* Set the example for high levels of accountability
* Execute and deliver impact both individually and through the team
* Set strong boundaries when selecting external requests and pushing back on requests that do not align with our team vision
**Your Skills \&amp; Abilities (Required Qualifications)**
* 3\+ years of experience designing, building, and operating production systems at scale in the cloud
* Bachelors Degree in Computer Science or related field or equivalent work experience
* Understanding of AI Engineering principles and concepts
* Experience designing highly scalable, reliable, and maintainable services
* Experience writing in effective Go or other equivalent languages at production scale
* Understanding of Unix/Linux, SSH, and networking fundamentals
* Attention to detail, and a desire to improve processes and systems around you
* Ability to lead and influence others, both internal and external to the team
* Principled reasoning and the ability to research, document, communicate, and defend proposals, and provide and take critical feedback
* Ability to effectively make trade\-offs and communicate the reasoning
* Ability to manage competing priorities, focus on shipping, and work effectively under pressure
* Passion for mentoring and growing junior engineers
* Passion for leveling up the overall efficiency and effectiveness of the team
* Passion for self\-driving technology and its potential impact on the world
**What Will Give You a Competitive Edge (Preferred Qualifications)**
* Experience designing, building, and operating production systems at scale in the cloud
* Experience working with GCP
* Experience working with gPRC, Docker, and Kubernetes
* Experience owning or contributing to Open\-Source projects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$108,420 to $161,500\.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may be eligible for relocation benefits.
*Remote/Hybrid: This role is based remotely but if you live within a 50\-mile radius of Mountain View, you are expected to report to that location three times a week, at minimum.*
 This role is categorized as hybrid. This means the selected candidate is expected to report to a specific location at least 3 times a week {or other frequency dictated by their manager}. The selected candidate will be required to travel \&lt;25% for this role.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69">
      <c r="A69" t="inlineStr">
        <is>
          <t>li-4340625628</t>
        </is>
      </c>
      <c r="B69" t="inlineStr">
        <is>
          <t>Applied AI Engineer - AI Solutions</t>
        </is>
      </c>
      <c r="C69" t="inlineStr">
        <is>
          <t>Snorkel AI</t>
        </is>
      </c>
      <c r="D69" t="inlineStr">
        <is>
          <t>linkedin</t>
        </is>
      </c>
      <c r="E69" t="inlineStr"/>
      <c r="F69" t="inlineStr"/>
      <c r="G69" t="inlineStr">
        <is>
          <t>Redwood City, CA</t>
        </is>
      </c>
      <c r="H69" t="inlineStr"/>
      <c r="I69" t="inlineStr">
        <is>
          <t>****About Snorkel****
 At Snorkel, we believe meaningful AI doesn’t start with the model, it starts with the data.
 We’re on a mission to help enterprises transform expert knowledge into specialized AI at scale. The AI landscape has gone through incredible changes between 2015, when Snorkel started as a research project in the Stanford AI Lab, to the generative AI breakthroughs of today. But one thing has remained constant: the data you use to build AI is the key to achieving differentiation, high performance, and production\-ready systems. We work with some of the world’s largest organizations to empower scientists, engineers, financial experts, product creators, journalists, and more to build custom AI with their data faster than ever before. Excited to help us redefine how AI is built? Apply to be the newest Snorkeler!
**About Snorkel**
 We’re on a mission to democratize AI by building the definitive AI data development platform. The AI landscape has gone through incredible change between 2016, when Snorkel started as a research project in the Stanford AI Lab, to the generative AI breakthroughs of today. But one thing has remained constant: the data you use to build AI is the key to achieving differentiation, high performance, and production\-ready systems. We work with some of the world’s largest organizations to empower scientists, engineers, financial experts, product creators, journalists, and more to build custom AI with their data faster than ever before. Excited to help us redefine how AI is built? Apply to be the newest Snorkeler!
 As an Applied AI Engineer, you’ll research and utilize state\-of\-the\-art Gen AI and machine learning (ML) techniques to successfully deliver solutions to our customers. You will work directly with our customers to understand their business and technical needs and design and deliver AI solutions to solve them \- either by leveraging Snorkel Flow or developing custom approaches when needed. You will also help define Snorkel’s Applied AI tooling by translating repeatable real\-world challenges into reusable solution recipes, workflows, best practices, and platform\-level capabilities that become part of Snorkel Flow’s next generation of AI tooling. We move fast and are constantly prototyping and innovating new ways to deliver value to our customers. This position is ideal for someone who enjoys solving complex problems, bridging the gap between AI technology and business value, working directly with customers, keeping up\-to date with AI research, and standardizing bespoke solutions into internal recipes and staying naturally curious about the infrastructure that underpin the Applied AI stack end\-to\-end.
 Main Responsibilities
* Partner with customers to build and deploy impactful Gen AI and machine learning solutions, from use case scoping and data exploration to model development and deployment. This may involve leveraging Snorkel Flow or designing custom approaches using state\-of\-the\-art tools, with the goal of delivering real business value and informing the evolution of the Snorkel platform.
* Develop and implement state of the art AI systems such as retrieval\-augmented generation (RAG), fine\-tuning pipelines, prompt engineering recipes and agentic workflows.
* Create augmented real\-world datasets and comprehensive evaluation workflows to ensure model reliability, transparency, and stakeholder trust. A data\- and evaluation\-first mindset is essential for success in this role.
* Forge and manage relationships with our customers’ leadership and stakeholders to ensure successful development and deployment of AI projects with Snorkel Flow.
* Collaborate closely with pre\-sales Solutions and Product teams to map customer needs to existing capabilities, prioritize roadmap gaps, and guide successful project setup.
* Work with other Applied AI Engineers to standardize solutions and contribute to internal tooling and best practices.
* Lead stakeholder education on quantitative capabilities, helping them to understand the strengths and weaknesses of different approaches and what problems are best\-suited for Snorkel AI.
* Serve as the voice of our customers for new AI paradigms, data science workflows, and share customer feedback to product teams.
* Conduct one\-to\-few and one\-to\-many enablement workshops to transfer knowledge to customers considering or already using Snorkel AI.
* Annual travel up to 25%.
**Preferred Qualifications**
* B.S. degree in a quantitative field such as Computer Science, Engineering, Mathematics, Statistics, or comparable degree/experience.
* 3\+ years of customer\-facing experience in the design and implementation of AI/ML solutions.
* Proficiency in Python, including strong grounding in software engineering fundamentals (e.g., modular design, testing, profiling, packaging) and experience with modern Python constructs and libraries for type validation and typed data modeling (e.g., pydantic), building type\-safe systems (e.g., mypy), testing (e.g., pytest), packaging and environment configuration (e.g., poetry), API and service frameworks (e.g., FastAPI), serialization and structured data handling (e.g., msgspec), and orchestration tooling relevant to ML deployment (e.g., Ray, Airflow).
* Expertise across the Applied AI stack, spanning classical ML libraries (e.g., scikit\-learn), deep learning frameworks (e.g., PyTorch), foundation\-model ecosystems (e.g., Hugging Face Transformers), vector/embedding tooling (e.g., FAISS), data processing frameworks (e.g., pandas, Spark), retrieval/RAG tooling (e.g., Chroma, Weaviate), synthetic dataset curation, evaluation workflows, and LLM orchestration, workflow, agent authoring tools (e.g., LlamaIndex, LangGraph, CrewAI).
* Experience leading strategic, customer\-facing initiatives and collaborating with business stakeholders to ensure ML solutions drive successful business outcomes, with a strong focus on teaching and enablement.
* Outstanding presentation skills to technical and executive audiences, whether impromptu on a whiteboard or using presentations and demos.
* Ability to work in a fast\-paced environment and balance priorities across multiple projects at once.
 Compensation range for Tier 1 locations of San Francisco Bay Area $172K \- $300K OTE. All offers also include equity in the form of employee stock options. Our compensation ranges are determined by role, level, and location. Within the range, individual pay is determined by work location and additional factors, including job\-related skills, experience, and relevant education or training.
**Locations**
 Redwood City, CA \- Hybrid; San Francisco, CA \- Hybrid \- US
 Salary Range
 $172,000—$300,000 USD
**Be Your Best at Snorkel**
 Joining Snorkel AI means becoming part of a company that has market proven solutions, robust funding, and is scaling rapidly—offering a unique combination of stability and the excitement of high growth. As a member of our team, you’ll have meaningful opportunities to shape priorities and initiatives, influence key strategic decisions, and directly impact our ongoing success. Whether you’re looking to deepen your technical expertise, explore leadership opportunities, or learn new skills across multiple functions, you’re fully supported in building your career in an environment designed for growth, learning, and shared success.
*Snorkel AI is proud to be an Equal Employment Opportunity employer and is committed to building a team that represents a variety of backgrounds, perspectives, and skills. Snorkel AI embraces diversity and provides equal employment opportunities to all employees and applicants for employment. Snorkel AI prohibits discrimination and harassment of any type on the basis of race, color, religion, age, sex, national origin, disability status, genetics, protected veteran status, sexual orientation, gender identity or expression, or any other characteristic protected by federal, state, or local law. All employment is decided on the basis of qualifications, performance, merit, and business need.*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70">
      <c r="A70" t="inlineStr">
        <is>
          <t>li-4344662344</t>
        </is>
      </c>
      <c r="B70" t="inlineStr">
        <is>
          <t>Senior ML/AI Engineer - Developer Experience</t>
        </is>
      </c>
      <c r="C70" t="inlineStr">
        <is>
          <t>General Motors</t>
        </is>
      </c>
      <c r="D70" t="inlineStr">
        <is>
          <t>linkedin</t>
        </is>
      </c>
      <c r="E70" t="inlineStr"/>
      <c r="F70" t="inlineStr"/>
      <c r="G70" t="inlineStr">
        <is>
          <t>Warren, MI</t>
        </is>
      </c>
      <c r="H70" t="inlineStr"/>
      <c r="I70" t="inlineStr">
        <is>
          <t>**Job Description**
*This role is categorized as hybrid. This means the successful candidate is expected to report to the office in \[Austin, Detroit, Warren, Milford, Mountain View or Sunnyvale] a minimum of 3 days per week. This position can be considered Remote if the successful candidate is in the Seattle, Washington area.*
**About Us**
 The AI Cloud and Developer Infrastructure organization is responsible for delivering and maintaining the tools and services engineers here at GM use every day to do their best work and drive our cars forward. Tools and services we work on enhancing the entire development process of engineers at GM — how/where code is checked out, modified, compiled, tested, merged, and eventually deployed. Our goal is to ensure our AV engineers and others here have world class tools and a seamless development experience so that they can focus on the problems that matter most in their domain.
**The Role**
 We are looking for a Senior Engineer with an extensive engineering background, experience using a variety of developer tools and technologies, and who is passionate about developer productivity. As an IC leader on this team, we are looking for someone who cares deeply about the technical development of other engineers on the team and can effectively balance the needs and priorities of the business, our users, and the growth of our engineers.
**The Team**
 As a part of the AV Developer Productivity Org, the AV Developer Experience is responsible for creating and maintaining a robust, reliable, and cohesive inner loop development experience for AV developers at GM to optimize the rate at which quality code is produced at Cruise. We achieve through a combination of internally developed tools, vendor tools, and vendor tool integrations.
 The way this engineer will deliver impact may vary depending on the situation, but they will be expected to be able to identify how they can best have impact with minimal guidance.
**What You’ll Do**
* Identify engineering pain points and propose/design/implement solutions that are reliable, scalable, and maintainable
* Synthesize large amounts of company, org, customer information and context to establish priorities and influence the team’s technical roadmap
* Evaluate new tools and technologies through PoCs
* Ship improvements to our AV development toolchains and services which have a measurable and direct impact on engineering productivity and our core company metrics
* Drive software engineering best practices within your team, and create tooling which encourages these
* Help steer the engineering culture on the team
* Guide the team to find the right balance between delivering impact and addressing technical debt
* Mentor and grow engineers on the team
* Set the example for high levels of accountability
* Execute and deliver impact both individually and through the team
* Set strong boundaries when selecting external requests and pushing back on requests that do not align with our team vision
**Your Skills \&amp; Abilities (Required Qualifications)**
* 3\+ years of experience designing, building, and operating production systems at scale in the cloud
* Bachelors Degree in Computer Science or related field or equivalent work experience
* Understanding of AI Engineering principles and concepts
* Experience designing highly scalable, reliable, and maintainable services
* Experience writing in effective Go or other equivalent languages at production scale
* Understanding of Unix/Linux, SSH, and networking fundamentals
* Attention to detail, and a desire to improve processes and systems around you
* Ability to lead and influence others, both internal and external to the team
* Principled reasoning and the ability to research, document, communicate, and defend proposals, and provide and take critical feedback
* Ability to effectively make trade\-offs and communicate the reasoning
* Ability to manage competing priorities, focus on shipping, and work effectively under pressure
* Passion for mentoring and growing junior engineers
* Passion for leveling up the overall efficiency and effectiveness of the team
* Passion for self\-driving technology and its potential impact on the world
**What Will Give You a Competitive Edge (Preferred Qualifications)**
* Experience designing, building, and operating production systems at scale in the cloud
* Experience working with GCP
* Experience working with gPRC, Docker, and Kubernetes
* Experience owning or contributing to Open\-Source projects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$108,420 to $161,500\.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may be eligible for relocation benefits.
*Remote/Hybrid: This role is based remotely but if you live within a 50\-mile radius of Mountain View, you are expected to report to that location three times a week, at minimum.*
 This role is categorized as hybrid. This means the selected candidate is expected to report to a specific location at least 3 times a week {or other frequency dictated by their manager}. The selected candidate will be required to travel \&lt;25% for this role.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71">
      <c r="A71" t="inlineStr">
        <is>
          <t>li-4097040290</t>
        </is>
      </c>
      <c r="B71" t="inlineStr">
        <is>
          <t>Machine Learning Engineer</t>
        </is>
      </c>
      <c r="C71" t="inlineStr">
        <is>
          <t>Neuralink</t>
        </is>
      </c>
      <c r="D71" t="inlineStr">
        <is>
          <t>linkedin</t>
        </is>
      </c>
      <c r="E71" t="inlineStr"/>
      <c r="F71" t="inlineStr"/>
      <c r="G71" t="inlineStr">
        <is>
          <t>Fremont, CA</t>
        </is>
      </c>
      <c r="H71" t="inlineStr"/>
      <c r="I71" t="inlineStr">
        <is>
          <t>**About Neuralink:**
 We are creating devices that enable a bi\-directional interface with the brain. These devices allow us to restore movement to the paralyzed, restore sight to the blind, and revolutionize how humans interact with their digital world.
**About the Team:**
 The BCI team develops the software and systems that communicate with the brain. These systems decode raw neural signals into useful actions, such as moving a cursor, typing, or actuating a robotic arm. Additionally, real\-world data, such as video feeds, can be encoded into neural data to project images into the visual cortex. We also work closely with users to gather feedback, make improvements, and fundamentally reshape the user experience and interface of the BCI.
**About the Role:**
 Engineers on the BCI team utilize signal processing and machine learning to communicate with the brain. You will have access to the most cutting\-edge neural interface hardware and develop state\-of\-the\-art neural encoders and decoders. No prior knowledge of neuroscience is required; we value simple solutions grounded in first principles.
 Neuralink designs all hardware in\-house, from custom ASICs to thin\-film arrays. There is no part of the technical design that cannot change. Learnings from your work will directly influence next\-generation device architecture.
**Job Responsibilities:**
* Telepathy Product: Develop and refine models that decode neural data, enabling individuals with paralysis to reliably type at 35 words per minute or control robotics arms for activities of daily living.
* Blindsight Product: Formulate research questions to guide the development of neural networks and signal processing algorithms that will restore vision to those affected by blindness.
* Utilize your fundamental understanding of neural networks and data science to develop models that serve as the foundation for machine learning applications for BCI.
* Lead the team by performing at a high standard, setting the bar for how we build and operate our systems.
* Inform our hardware roadmap by understanding users and identifying the product features that would have the greatest impact on their quality of life.
**About You:**
* Experience writing production\-level C/C\+\+/Rust and Python
* Proven track record of designing, building, and shipping real\-time ML products
* Strong foundation in signal processing, algorithms, and software engineering principles
* Bachelor's degree in relevant field or equivalent experience
 Fast forward to 40:32 to learn more about neural decoding:
**Expected Compensation:**
 The anticipated base salary for this position is expected to be within the following range. Your actual base pay will be determined by your job\-related skills, experience, and relevant education or training. We also believe in aligning our employees' success with the company's long\-term growth. As such, in addition to base salary, Neuralink offers equity compensation (in the form of Restricted Stock Units (RSU)) for all full\-time employees.
 Base Salary Range:
 $199,000—$331,000 USD
**What We Offer:**
 Full\-time employees are eligible for the following benefits listed below.
* An opportunity to change the world and work with some of the smartest and most talented experts from different fields
* Growth potential; we rapidly advance team members who have an outsized impact
* Excellent medical, dental, and vision insurance through a PPO plan
* Paid holidays
* Commuter benefits
* Meals provided
* Equity (RSUs) \*Temporary Employees \&amp; Interns excluded
* 401(k) plan \*Interns initially excluded until they work 1,000 hours
* Parental leave \*Temporary Employees \&amp; Interns excluded
* Flexible time off \*Temporary Employees \&amp; Interns excluded</t>
        </is>
      </c>
    </row>
    <row r="72">
      <c r="A72" t="inlineStr">
        <is>
          <t>li-4374389520</t>
        </is>
      </c>
      <c r="B72" t="inlineStr">
        <is>
          <t>Senior ML Engineer- (Python)</t>
        </is>
      </c>
      <c r="C72" t="inlineStr">
        <is>
          <t>Snoonu</t>
        </is>
      </c>
      <c r="D72" t="inlineStr">
        <is>
          <t>linkedin</t>
        </is>
      </c>
      <c r="E72" t="inlineStr"/>
      <c r="F72" t="inlineStr"/>
      <c r="G72" t="inlineStr"/>
      <c r="H72" t="inlineStr"/>
      <c r="I72" t="inlineStr">
        <is>
          <t>**🚀 Welcome to Your Next Adventure!**
**🛠 What You’ll Get Your Hands On**
* Own end\-to\-end projects, aligning with stakeholders to translate business needs into solutions.
* Architect, develop, and maintain backend microservices and APIs in Python, ensuring scalability, resilience, and low\-latency performance.
* Partner with data scientists, product managers, and engineers to design and deliver scalable, production\-grade solutions aligned with business goals.
* Set technical standards through in\-depth code reviews, enforcing best practices, and driving engineering excellence.
* Monitor and optimize application performance, troubleshoot issues, and implement necessary fixes.
* Own production deployments, ensuring smooth rollouts, monitoring, and rollback strategies.
* Participate in technical interviews to evaluate candidates' technical skills.
* Stay up\-to\-date with the latest industry trends and advancements in Python backend development, ensuring our capabilities remain competitive and cutting\-edge.
* Provide technical leadership, mentor engineers across levels, and foster a high\-performance, collaborative environment.
**🧙‍♂️ The Magic You Bring**
* MSc in Computer Science, Engineering, or a related field; advanced education in Data Science/AI is a plus.
* 5\+ years of experience as a Python Backend Developer with strong expertise on building production\-grade ML systems.
* Proficiency in designing and implementing RESTful APIs and API authentication mechanisms.
* Expertise in writing and maintaining unit tests to ensure code quality and reliability.
* Expertise in optimizing large\-scale, distributed backend systems and resolving complex performance bottlenecks.
* Deep expertise in relational databases (e.g. PostgreSQL, MySQL), NoSQL databases, and streaming/pub\-sub systems.
* Experience with cloud platforms (e.g. AWS, Azure, Google Cloud) and containerization (e.g. Docker, Kubernetes).
* Proven experience designing and scaling event\-driven architectures.
* Familiarity with CI/CD pipelines and version control systems.
* Excellent problem\-solving skills and ability to work independently as well as in a team\-oriented, collaborative environment.
* Strong communication and collaboration skills, with the ability to work effectively within a diverse, cross\-functional team.
**✨ Bonus Points If You Have**
* Hands\-on experience integrating DL/ML models into production systems (TensorFlow, PyTorch, scikit\-learn) and building APIs/services around them.
* Formal Education in Data Science / Solid understanding of machine learning algorithms, statistical methods, and data mining techniques.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row>
    <row r="73">
      <c r="A73" t="inlineStr">
        <is>
          <t>li-4358985605</t>
        </is>
      </c>
      <c r="B73" t="inlineStr">
        <is>
          <t>Senior AI Engineer</t>
        </is>
      </c>
      <c r="C73" t="inlineStr">
        <is>
          <t>Valorem Reply</t>
        </is>
      </c>
      <c r="D73" t="inlineStr">
        <is>
          <t>linkedin</t>
        </is>
      </c>
      <c r="E73" t="inlineStr"/>
      <c r="F73" t="inlineStr"/>
      <c r="G73" t="inlineStr"/>
      <c r="H73" t="inlineStr"/>
      <c r="I73" t="inlineStr">
        <is>
          <t>Valorem Reply is an award\-winning digital transformation firm focused on delivering data\-driven enterprise, IT modernization, customer experience, product transformation and digital workplace. Through the expertise of their people and power of Microsoft technologies, they provide hyper\-scale and agile delivery of unique digital business services, strategic business models and design\-led user experiences. Their innovative strategies and solutions securely and rapidly transform the way their clients do business.
 As a Senior AI Engineer, you will understand how AI is positioned to meet business objectives and then deliver projects for customers as part of a team. This is a hands\-on role involving consulting, leading, coding, and delivering sophisticated AI solutions. Projects will span from workshops to comprehensive enterprise\-level deployments.
**Responsibilities**
* Implementing AI solutions through people, processes, and technology
* Facilitate customer education and ideation workshops focused on developing use cases and implementing modern AI/ML solutions
* Consulting with stakeholders to identify opportunities for AI integration, advising on best practices, and tailoring AI strategies to meet business objectives
* Defining project requirements clearly, designing robust solution architectures, and ensuring alignment with business goals and technical capabilities
* Leading the development and implementation of AI\-driven solutions, managing the entire AI project lifecycle, including data collection, model training, deployment, and monitoring. Demonstrated expertise in Microsoft Azure AI services and proficiency in leveraging OpenAI technologies is essential
* Facilitating cross\-functional collaboration, working closely with technical and non\-technical teams to deliver outstanding service to customers and ensure the successful integration of AI solutions into business processes
* Staying updated on the latest advancements in AI and Generative AI, and advising teams on integrating cutting\-edge techniques, to enhance project outcomes and drive innovation
**Minimum Requirements**
* Bachelor’s degree in computer science, artificial intelligence, data science, or a related field
* Proven client facing experience, translating complex requirements into actionable AI solutions that meet business objectives
* 5 years of professional software engineering experience in Azure and Python
* 3 years of experience with relational and nonrelational databases such as SQL Server, PostgreSQL, Cosmos DB, MongoDB, etc
* 2 years demonstratable experience with Azure AI solution design and production delivery,highlighting proficiency in natural language processing (NLP), retrieval augmented generation (RAG), and Azure AI Services (OpenAI, Speech, Vision, etc.) using tools like Azure AI Foundry, prompt flow, and Copilot Studio
* Production experience with Azure AI platform, and the implementation of enterprise solutions
* Experience with open\-source models, fine\-tuning, advanced prompt engineering, responsible AI practices, and managing an organization’s models
**Preferred Qualifications**
* Professional software engineering experience in C\#.net
* Full software development life cycle, including coding standards, code reviews, source control management, build processes, testing, and operations experience
* Developing cloud software services and an understanding of design for scalability,performance, and reliability in Azure
* Ability to support go\-to\-market content with technical support and present AI related research to customers and at events
* Experience with DevOps tools and processes such as Azure DevOps, GitHub, Docker and Kubernetes
**About Reply**
 Reply specializes in the design and implementation of solutions based on new communication channels and digital media. Reply is a network of highly specialized companies supporting global industrial groups operating in the telecom and media, industry and services, banking, insurance and public administration sectors in the definition and development of business models enabled for the new paradigms of AI, cloud computing, digital media and the Internet of Things. Reply services include Consulting, System Integration and Digital Services.
 The base compensation range for this full\-time position is between $140,000 \- $180,000 plus benefits. Compensation decisions are supported through market data, where regional variances may exist based on cost of labor. We also take into consideration prior experience, relevant skills, education and/or training, certifications and, as applicable, other required qualifications. If you have questions regarding compensation, the talent acquisition team can provide relevant details during the interview process.
 Reply is an equal opportunity employer. We are committed to provide equal opportunity regardless of race, color, ancestry, religion, sex, national origin, sexual orientation, age, citizenship, marital status, disability, gender identity or Veteran status. If you need assistance and reasonable accommodation due to a disability during the application or the recruiting process, email us at jobusa@reply.com. Visit our website at www.reply.com to learn more about our open roles.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4">
      <c r="A74" t="inlineStr">
        <is>
          <t>li-4373439867</t>
        </is>
      </c>
      <c r="B74" t="inlineStr">
        <is>
          <t>Founding AI/ML Engineer (Production) - NYC - $250k-$500k+ + Founding Equity</t>
        </is>
      </c>
      <c r="C74" t="inlineStr">
        <is>
          <t>Open Talent</t>
        </is>
      </c>
      <c r="D74" t="inlineStr">
        <is>
          <t>linkedin</t>
        </is>
      </c>
      <c r="E74" t="inlineStr"/>
      <c r="F74" t="inlineStr"/>
      <c r="G74" t="inlineStr">
        <is>
          <t>New York, NY</t>
        </is>
      </c>
      <c r="H74" t="inlineStr"/>
      <c r="I74" t="inlineStr">
        <is>
          <t>**Founding AI/ML Engineer (Production) \- NYC \- $250k\-$500k\+ \+ Founding Equity** 
*We’re hiring for one of NYC’s top 10 robotics startups. If you’re an elite engineer looking to join an A squad\-builders from SpaceX, Palantir, Google \&amp; Anduril \- this is where you want to be.* 
 \*
 Most AI roles are currently focused on generating pixels or text. This team are using LLMs to command multi\-ton autonomous machines.
***Must be based in NYC \&amp; role requires US citizenship due to regulatory constraints.***
 We need a
 **Founding AI/ML Engineer** 
 to build the production intelligence layer for autonomous heavy machinery. This isn't a research lab. We have real robots, real customers, and systems operating in the field 24/7\. Your work won't just generate tokens; it will drive physical outcomes.
**The Work** 
 This is a 100% production role focused on critical AI infrastructure. You are responsible for the intelligence that allows multi\-ton machines to act on complex environments.
* **Production LLMs:** 
 Fine\-tuning and deploying models that handle mission\-critical operational logic.
* **Systems \&amp; Infra:** 
 Building the RAG pipelines and data flywheels that power our fleet’s intelligence.
* **Evals \&amp; Determinism:** 
 Designing evaluation frameworks to ensure model outputs are safe and reliable enough for heavy hardware.
* **Problem Solving:** 
 Moving from raw telemetry to deployed models. You own the pipeline, the tuning, and the performance in the field.
**The Team** 
 You’ll be joining a high\-density team from
 **SpaceX, Palantir, and Anduril** 
 . We’ve stripped away the typical corporate friction\-no bloated meetings or research for the sake of research. We hire for high agency and low ego. As a founding hire, you aren't just training models; you’re architecting the intelligence of the company.
**What we're looking for** 
 We want high\-signal builders who are bored with "wrapper" apps and want to solve hard problems grounded in physics.
* **Production Grit:** 
 You’ve shipped ML systems at scale. You care about inference latency and reliability more than "vibe checks."
* **LLM Mastery:** 
 Deep experience with fine\-tuning, RAG, and prompt engineering in high\-stakes environments.
* **Systems Thinker:** 
 You understand the full stack. You know how to optimize models to run efficiently and how to build the infra that supports them.
* **High\-Bar Pedigree:** 
 You’ve worked in environments where the standard for "production\-ready" is exceptionally high.
**Stack \&amp; Comp** 
* **Stack:** 
 Python, PyTorch, LLMs, RAG, Vector DBs, Kubernetes.
* **Location:** 
 NYC (Manhattan) \- On\-site/Hybrid.
* **Comp:** 
 $250k \- $500k\+ base \+
 **Founding Member Equity** 
 .
**The Process:** 
**1 Week \&amp; 0 Take\-Homes** 
 We move as fast as we ship. We can go from first touch to offer in one week:
1. **(Founders) Technical Deep Dive:** 
 A conversation about the most complex AI system you’ve actually shipped.
2. **(Team)Practical Pairing:** 
 Solving a real\-world production ML or data infra problem together.
 **No Leetcode.**
3. **(Exec) Founding Team Chat:** 
 A focus on judgment, trade\-offs \&amp; vision.
 If you’re ready to put AI into the physical world, let’s talk.
**TL;DR** 
* **Role:** 
 Founding AI/ML Engineer (Production)
* **Focus:** 
 Fine\-tuning, Evals, and RAG for Robotics
* **Team:** 
 Ex\-SpaceX, Palantir, Anduril, Google
* **Comp:** 
 $250k \- $500k\+ base \+ Founding Equity
* **Process:** 
 1 week. 3 rounds.
**Equal Opportunity** 
 We're hiring for an Equal Opportunity Employer.
 \*All our new jobs are posted here 1st:
**linkedin.com/in/sufyanbashir/**</t>
        </is>
      </c>
    </row>
    <row r="75">
      <c r="A75" t="inlineStr">
        <is>
          <t>li-4344572850</t>
        </is>
      </c>
      <c r="B75" t="inlineStr">
        <is>
          <t>Senior ML/AI Engineer - Developer Experience</t>
        </is>
      </c>
      <c r="C75" t="inlineStr">
        <is>
          <t>General Motors</t>
        </is>
      </c>
      <c r="D75" t="inlineStr">
        <is>
          <t>linkedin</t>
        </is>
      </c>
      <c r="E75" t="inlineStr"/>
      <c r="F75" t="inlineStr"/>
      <c r="G75" t="inlineStr">
        <is>
          <t>Mountain View, CA</t>
        </is>
      </c>
      <c r="H75" t="inlineStr"/>
      <c r="I75" t="inlineStr">
        <is>
          <t>**Job Description**
*This role is categorized as hybrid. This means the successful candidate is expected to report to the office in \[Austin, Detroit, Warren, Milford, Mountain View or Sunnyvale] a minimum of 3 days per week. This position can be considered Remote if the successful candidate is in the Seattle, Washington area.*
**About Us**
 The AI Cloud and Developer Infrastructure organization is responsible for delivering and maintaining the tools and services engineers here at GM use every day to do their best work and drive our cars forward. Tools and services we work on enhancing the entire development process of engineers at GM — how/where code is checked out, modified, compiled, tested, merged, and eventually deployed. Our goal is to ensure our AV engineers and others here have world class tools and a seamless development experience so that they can focus on the problems that matter most in their domain.
**The Role**
 We are looking for a Senior Engineer with an extensive engineering background, experience using a variety of developer tools and technologies, and who is passionate about developer productivity. As an IC leader on this team, we are looking for someone who cares deeply about the technical development of other engineers on the team and can effectively balance the needs and priorities of the business, our users, and the growth of our engineers.
**The Team**
 As a part of the AV Developer Productivity Org, the AV Developer Experience is responsible for creating and maintaining a robust, reliable, and cohesive inner loop development experience for AV developers at GM to optimize the rate at which quality code is produced at Cruise. We achieve through a combination of internally developed tools, vendor tools, and vendor tool integrations.
 The way this engineer will deliver impact may vary depending on the situation, but they will be expected to be able to identify how they can best have impact with minimal guidance.
**What You’ll Do**
* Identify engineering pain points and propose/design/implement solutions that are reliable, scalable, and maintainable
* Synthesize large amounts of company, org, customer information and context to establish priorities and influence the team’s technical roadmap
* Evaluate new tools and technologies through PoCs
* Ship improvements to our AV development toolchains and services which have a measurable and direct impact on engineering productivity and our core company metrics
* Drive software engineering best practices within your team, and create tooling which encourages these
* Help steer the engineering culture on the team
* Guide the team to find the right balance between delivering impact and addressing technical debt
* Mentor and grow engineers on the team
* Set the example for high levels of accountability
* Execute and deliver impact both individually and through the team
* Set strong boundaries when selecting external requests and pushing back on requests that do not align with our team vision
**Your Skills \&amp; Abilities (Required Qualifications)**
* 3\+ years of experience designing, building, and operating production systems at scale in the cloud
* Bachelors Degree in Computer Science or related field or equivalent work experience
* Understanding of AI Engineering principles and concepts
* Experience designing highly scalable, reliable, and maintainable services
* Experience writing in effective Go or other equivalent languages at production scale
* Understanding of Unix/Linux, SSH, and networking fundamentals
* Attention to detail, and a desire to improve processes and systems around you
* Ability to lead and influence others, both internal and external to the team
* Principled reasoning and the ability to research, document, communicate, and defend proposals, and provide and take critical feedback
* Ability to effectively make trade\-offs and communicate the reasoning
* Ability to manage competing priorities, focus on shipping, and work effectively under pressure
* Passion for mentoring and growing junior engineers
* Passion for leveling up the overall efficiency and effectiveness of the team
* Passion for self\-driving technology and its potential impact on the world
**What Will Give You a Competitive Edge (Preferred Qualifications)**
* Experience designing, building, and operating production systems at scale in the cloud
* Experience working with GCP
* Experience working with gPRC, Docker, and Kubernetes
* Experience owning or contributing to Open\-Source projects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$108,420 to $161,500\.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may be eligible for relocation benefits.
*Remote/Hybrid: This role is based remotely but if you live within a 50\-mile radius of Mountain View, you are expected to report to that location three times a week, at minimum.*
 This role is categorized as hybrid. This means the selected candidate is expected to report to a specific location at least 3 times a week {or other frequency dictated by their manager}. The selected candidate will be required to travel \&lt;25% for this role.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76">
      <c r="A76" t="inlineStr">
        <is>
          <t>li-4344553024</t>
        </is>
      </c>
      <c r="B76" t="inlineStr">
        <is>
          <t>Senior ML/AI Engineer - Developer Experience</t>
        </is>
      </c>
      <c r="C76" t="inlineStr">
        <is>
          <t>General Motors</t>
        </is>
      </c>
      <c r="D76" t="inlineStr">
        <is>
          <t>linkedin</t>
        </is>
      </c>
      <c r="E76" t="inlineStr"/>
      <c r="F76" t="inlineStr"/>
      <c r="G76" t="inlineStr">
        <is>
          <t>Sunnyvale, CA</t>
        </is>
      </c>
      <c r="H76" t="inlineStr"/>
      <c r="I76" t="inlineStr">
        <is>
          <t>**Job Description**
*This role is categorized as hybrid. This means the successful candidate is expected to report to the office in \[Austin, Detroit, Warren, Milford, Mountain View or Sunnyvale] a minimum of 3 days per week. This position can be considered Remote if the successful candidate is in the Seattle, Washington area.*
**About Us**
 The AI Cloud and Developer Infrastructure organization is responsible for delivering and maintaining the tools and services engineers here at GM use every day to do their best work and drive our cars forward. Tools and services we work on enhancing the entire development process of engineers at GM — how/where code is checked out, modified, compiled, tested, merged, and eventually deployed. Our goal is to ensure our AV engineers and others here have world class tools and a seamless development experience so that they can focus on the problems that matter most in their domain.
**The Role**
 We are looking for a Senior Engineer with an extensive engineering background, experience using a variety of developer tools and technologies, and who is passionate about developer productivity. As an IC leader on this team, we are looking for someone who cares deeply about the technical development of other engineers on the team and can effectively balance the needs and priorities of the business, our users, and the growth of our engineers.
**The Team**
 As a part of the AV Developer Productivity Org, the AV Developer Experience is responsible for creating and maintaining a robust, reliable, and cohesive inner loop development experience for AV developers at GM to optimize the rate at which quality code is produced at Cruise. We achieve through a combination of internally developed tools, vendor tools, and vendor tool integrations.
 The way this engineer will deliver impact may vary depending on the situation, but they will be expected to be able to identify how they can best have impact with minimal guidance.
**What You’ll Do**
* Identify engineering pain points and propose/design/implement solutions that are reliable, scalable, and maintainable
* Synthesize large amounts of company, org, customer information and context to establish priorities and influence the team’s technical roadmap
* Evaluate new tools and technologies through PoCs
* Ship improvements to our AV development toolchains and services which have a measurable and direct impact on engineering productivity and our core company metrics
* Drive software engineering best practices within your team, and create tooling which encourages these
* Help steer the engineering culture on the team
* Guide the team to find the right balance between delivering impact and addressing technical debt
* Mentor and grow engineers on the team
* Set the example for high levels of accountability
* Execute and deliver impact both individually and through the team
* Set strong boundaries when selecting external requests and pushing back on requests that do not align with our team vision
**Your Skills \&amp; Abilities (Required Qualifications)**
* 3\+ years of experience designing, building, and operating production systems at scale in the cloud
* Bachelors Degree in Computer Science or related field or equivalent work experience
* Understanding of AI Engineering principles and concepts
* Experience designing highly scalable, reliable, and maintainable services
* Experience writing in effective Go or other equivalent languages at production scale
* Understanding of Unix/Linux, SSH, and networking fundamentals
* Attention to detail, and a desire to improve processes and systems around you
* Ability to lead and influence others, both internal and external to the team
* Principled reasoning and the ability to research, document, communicate, and defend proposals, and provide and take critical feedback
* Ability to effectively make trade\-offs and communicate the reasoning
* Ability to manage competing priorities, focus on shipping, and work effectively under pressure
* Passion for mentoring and growing junior engineers
* Passion for leveling up the overall efficiency and effectiveness of the team
* Passion for self\-driving technology and its potential impact on the world
**What Will Give You a Competitive Edge (Preferred Qualifications)**
* Experience designing, building, and operating production systems at scale in the cloud
* Experience working with GCP
* Experience working with gPRC, Docker, and Kubernetes
* Experience owning or contributing to Open\-Source projects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$108,420 to $161,500\.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may be eligible for relocation benefits.
*Remote/Hybrid: This role is based remotely but if you live within a 50\-mile radius of Mountain View, you are expected to report to that location three times a week, at minimum.*
 This role is categorized as hybrid. This means the selected candidate is expected to report to a specific location at least 3 times a week {or other frequency dictated by their manager}. The selected candidate will be required to travel \&lt;25% for this role.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77">
      <c r="A77" t="inlineStr">
        <is>
          <t>li-4294672022</t>
        </is>
      </c>
      <c r="B77" t="inlineStr">
        <is>
          <t>Machine Learning Engineer, Foundation Models (Prescient / AI for Drug Discovery)</t>
        </is>
      </c>
      <c r="C77" t="inlineStr">
        <is>
          <t>Genentech</t>
        </is>
      </c>
      <c r="D77" t="inlineStr">
        <is>
          <t>linkedin</t>
        </is>
      </c>
      <c r="E77" t="inlineStr"/>
      <c r="F77" t="inlineStr"/>
      <c r="G77" t="inlineStr">
        <is>
          <t>New York, NY</t>
        </is>
      </c>
      <c r="H77" t="inlineStr"/>
      <c r="I77" t="inlineStr">
        <is>
          <t>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how these technologies accelerate R\&amp;D, leveraging data and novel computational models to drive impact. Seamless data sharing and access to models across gRED and pRED are essential to maximising these opportunities. The new Computational Sciences Center of Excellence (CoE) is a strategic, unified group whose goal is to harness this transformative power of data and Artificial Intelligence (AI) to assist our scientists in both pRED and gRED to deliver more innovative and transformative medicines for patients worldwide.
**The Opportunity**
 At Roche's AI for Drug Discovery (AIDD) group (Prescient Design), we are revolutionizing drug discovery with cutting\-edge machine learning techniques. We are seeking talented engineers with a passion for building large\-scale, distributed machine learning algorithms and systems that will transform the drug discovery process. AIDD’s Foundation Model team is seeking an exceptional Machine Learning Engineer to develop the backend of our internal agents platform and enable the next generation of AI/ML\-powered drug discovery applications as part of our broader Lab\-in\-the\-Loop approach. We are looking for someone who is not only passionate about technical problem\-solving but also has a proven track record of delivering innovative solutions in AI/ML. The ideal candidate should have extensive experience in leading and managing a team of engineers and scientists, and be able to foster a culture of innovation, collaboration, and excellence across the broader Roche organization. The group provides a dynamic and challenging environment for multidisciplinary research, including access to heterogeneous data sources, close links to top academic institutions around the world, as well as collaborations with internal Genentech and Roche teams.
**In this role, you will:**
* Develop various, cutting\-edge internal AI/ML\-based applications for drug discovery and development.
* Develop across the lifecycle of LLMs including data engineering, pre\-training, fine\-tuning, post\-training, and evaluation
* Deploy models in production environments, working closely with other engineers to ensure scalability and reliability
* Solve core backend challenges in ML and engineering including the design, implementation, and scaling of our data, training, and deployment pipeline
* Collaborate closely with cross\-functional teams across both AIDD and Roche to solve complex problems in the life sciences
**Who You Are**
* You have a BS/MS in Computer Science, Statistics, related field, or equivalent experience and 2\+ years of industry experience in machine learning; or a PhD in Computer Science and related field and 0\+ years of industry experience.
* You have demonstrated success in technical capabilities deploying machine learning models in industry\-grade production environments
* Experience in back\-end development for LLM\-powered agents and tools, or working with Model Context Protocol (MCP).
* You have experience in developing LLM/GenAI products and are familiar with open\-source AI frameworks like Open WebUI.
* Strong interest in solving problems in drug discovery and biomedical science.
* You have strong programming skills in Python and using deep learning frameworks like PyTorch
* You have extensive experience with deep learning \&amp; LLMs.
* A collaborative and open\-minded team player who values constructive feedback, refrains from judgment, and fosters a positive and respectful team environment.
* Strong communication skills, with the ability to effectively communicate technical concepts to both technical and non\-technical audiences as well as interfacing with scientific and engineering leadership
* A passion for solving complex technical problems and a commitment to staying up\-to\-date with the latest developments in machine learning
* An extensive track record of delivering innovative solutions in machine learning
 Relocation benefits are available for this job posting
 The expected salary range for this position, based on the primary location of New York City, is $141,100 \- $262,100 of hiring range.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\#ComputationCoE
 \#tech4lifeComputationalScience
 \#tech4lifeAI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78">
      <c r="A78" t="inlineStr">
        <is>
          <t>li-4374376988</t>
        </is>
      </c>
      <c r="B78" t="inlineStr">
        <is>
          <t>Senior Machine Learning Engineer</t>
        </is>
      </c>
      <c r="C78" t="inlineStr">
        <is>
          <t>Robert Half</t>
        </is>
      </c>
      <c r="D78" t="inlineStr">
        <is>
          <t>linkedin</t>
        </is>
      </c>
      <c r="E78" t="inlineStr"/>
      <c r="F78" t="inlineStr"/>
      <c r="G78" t="inlineStr"/>
      <c r="H78" t="inlineStr"/>
      <c r="I78" t="inlineStr">
        <is>
          <t>We’re searching for a
 **hands\-on, highly technical AI/ML leader** 
 to help establish and scale our enterprise AI capabilities. If you’re passionate about building real\-world AI solutions (not research roles!) and have grown your career through data engineering, architecture, or applied data science, this role is for you.
 ⭐
 **What You’ll Do** 
 As the
 **Director, Artificial Intelligence** 
 , you will lead a team of data and AI professionals responsible for designing, developing, and deploying AI/ML solutions that accelerate business growth and improve customer and operational outcomes.
 You will:
* Lead, mentor, and scale a high\-performing AI/ML team
* Drive end‑to‑end development of AI/ML systems aligned with business strategy
* Collaborate across the organization to design and deliver AI\-powered solutions
* Oversee data engineering, model development, deployment, and optimization
* Introduce best practices, standards, and emerging AI technologies
* Serve as a strategic advisor to senior leadership on AI opportunities
* Foster a culture of innovation, learning, and continuous improvement
 🎯
 **Must\-Have Qualifications** 
* **Hands\-on AI/ML engineering experience** 
 (latest tools \+ modern techniques)
* Strong foundation in
 **Python** 
 ,
 **SQL** 
 , and applied machine learning
* Background growing through data roles: data engineer, data architect, or technical data scientist
* Proven experience
 **building and deploying AI/ML solutions in production**
* Experience with
 **cloud AI/ML tools** 
 (AWS / Azure / GCP — any is fine)
* Ability to lead technical teams (team lead or comparable leadership welcomed)
* Bachelor’s degree in computer science
 **, Engineering, Mathematics, Statistics, or related technical field**
* Strong technical depth in algorithms, data modeling, and data engineering
 💡
 **Nice to Have** 
* Healthcare industry experience
* Formal management experience
 🚀
 **Why You’ll Love This Role** 
* Be at the forefront of
 **building our AI capabilities from the ground up**
* Highly flexible
 **remote\-first work environment**
* Generous retirement benefits:
 **Pension \+ 401(k) match**
* Work with cutting\-edge AI tech, including
 **GenAI (Llama, Mistral, etc.)** 
 and modern ML frameworks
 🧠
 **What You Bring** 
* Expertise with AI/ML platforms (TensorFlow, PyTorch, GenAI models, etc.)
* Strong strategic thinking and problem‑solving skills
* Excellent communication skills—comfortable explaining complex AI concepts to non\-technical teams
* Experience resolving complex technical and organizational challenges
* Demonstrated success delivering AI/ML solutions in real business environments
 If you're a forward\-thinking AI leader ready to build impactful solutions and shape an organization’s AI future, we’d love to connect.</t>
        </is>
      </c>
    </row>
    <row r="79">
      <c r="A79" t="inlineStr">
        <is>
          <t>li-4346975749</t>
        </is>
      </c>
      <c r="B79" t="inlineStr">
        <is>
          <t>AI Engineer</t>
        </is>
      </c>
      <c r="C79" t="inlineStr">
        <is>
          <t>Kforce Inc</t>
        </is>
      </c>
      <c r="D79" t="inlineStr">
        <is>
          <t>linkedin</t>
        </is>
      </c>
      <c r="E79" t="inlineStr"/>
      <c r="F79" t="inlineStr"/>
      <c r="G79" t="inlineStr">
        <is>
          <t>Chantilly, VA</t>
        </is>
      </c>
      <c r="H79" t="inlineStr"/>
      <c r="I79" t="inlineStr">
        <is>
          <t>**Responsibilities**
 Kforce has a client that is seeking an AI Engineer in Chantilly, VA. Responsibilities:
* AI Engineer will design, train, fine\-tune, and deploy AI/ML models (LLMs, embeddings, classification models, RAG pipelines)
* Build secure, scalable APIs and services to integrate AI capabilities into business systems
* Design and implement agentic AI workflows that coordinate multiple models or services to achieve mission objectives
* Integrate retrieval\-augmented generation (RAG) and agentic reasoning into production environments
* Implement and maintain automated CI/CD pipelines for model development, testing, deployment, and rollback
* Design and implement containerized applications and services that can be deployed across multiple cloud environments
* As an AI Engineer, you will build portable AI pipelines with containerization to ensure future\-proof deployments and migration flexibility
* Integrate security and compliance controls into all phases of development (DevSecOps), code scans, dependency management, vulnerability assessment, etc.
* Use Infrastructure as Code (IaC) tools to provision, configure, and maintain cloud resources
**Requirements**
* B.S. in Computer Science, Engineering, Mathematics, or a related discipline
* Equivalent experience may be accepted in lieu of formal education
* Active CompTIA Security\+ certification
* Microsoft Certified: Azure AI Engineer Associate, Google Cloud Professional Machine Learning Engineer, OR similar AI certification
* Applicants selected will be subject to a government security investigation and must meet eligibility requirements for access to classified information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80">
      <c r="A80" t="inlineStr">
        <is>
          <t>li-4374373593</t>
        </is>
      </c>
      <c r="B80" t="inlineStr">
        <is>
          <t>Senior Machine Learning Engineer (Applications)</t>
        </is>
      </c>
      <c r="C80" t="inlineStr">
        <is>
          <t>RemoteHunter</t>
        </is>
      </c>
      <c r="D80" t="inlineStr">
        <is>
          <t>linkedin</t>
        </is>
      </c>
      <c r="E80" t="inlineStr"/>
      <c r="F80" t="inlineStr"/>
      <c r="G80" t="inlineStr"/>
      <c r="H80" t="inlineStr"/>
      <c r="I80" t="inlineStr">
        <is>
          <t>**About the Opportunity:** 
**A rapidly growing, venture\-backed Health\-Tech organization is transforming the Pharmacy Benefit Management (PBM) sector by developing a next\-generation drug acquisition platform driven by advanced technology and cost\-saving tools. This role focuses on driving AI innovation and implementing AI\-powered solutions to improve business outcomes. The position requires at least 5 years of experience in machine learning and AI development with proven leadership in AI initiatives.** 
**Responsibilities:** 
**• Design generative AI solutions for information retrieval and summary generation in support and operations** 
**• Collaborate with software engineering teams to build and deploy generative AI applications** 
**• Explore and ideate opportunities for deploying generative AI technologies in customer\-facing experiences** 
**• Advocate for and drive the adoption and scalability of generative AI capabilities within the organization** 
**Requirements:** 
**• 5\+ years of experience in data science, machine learning, and AI development, with leadership in AI initiatives** 
**• MS or PhD in Computer Science, Electrical Engineering, Statistics, Robotics, or related fields** 
**• Applied machine learning experience including regression, classification, supervised, and unsupervised learning** 
**• Strong mathematical foundation in linear algebra, calculus, probability, and statistics** 
**• Proficiency in Python and object\-oriented programming** 
**• Experience with machine learning and natural language processing techniques and tools** 
**• Expertise in generative AI models and deep learning classes such as GPT, VAE, and GANs, including hyperparameter tuning** 
**• Experience with retrieval methods using embeddings** 
**• Proficiency with Python packages like pandas, sklearn, TensorFlow, PyTorch, transformers, LangChain** 
**• Experience in prompt engineering and few\-shot learning techniques for enhancing LLM performance** 
**• Experience training and fine\-tuning deep learning models, especially LLMs, with hyperparameter tuning for generalization** 
**• Ability to lead projects and work independently and collaboratively across cross\-functional teams** 
**• Strong verbal and written communication skills to convey complex concepts to non\-technical audiences** 
**Preferred Qualifications:** 
**• Experience with embedding model training and retrieval method evaluation** 
**• Knowledge of LLM architectures, adapters, Mixture of Experts pretraining, and fine\-tuning techniques** 
**• Experience designing, deploying, and evaluating LLM\-powered agents and orchestration systems** 
**• Experience with reinforcement learning for fine\-tuning LLM outputs** 
**• Experience in time series analysis and multivariate time series modeling** 
**Benefits \&amp; Perks:** 
**• Comprehensive wellness benefits including medical, pharmacy, dental, vision, life, and AD\&amp;D insurance** 
**• Flexible spending accounts** 
**• 401(k) retirement savings program** 
**• Short\-term and long\-term disability coverage** 
**• Discretionary paid time off** 
**• 12 paid company holidays** 
**• Commuter benefits** 
**• Paid parental leave** 
**• Employee assistance program** 
**• Well\-stocked kitchen in office locations** 
**• Professional development and training opportunities**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1">
      <c r="A81" t="inlineStr">
        <is>
          <t>li-4311480627</t>
        </is>
      </c>
      <c r="B81" t="inlineStr">
        <is>
          <t>AI Engineer - Front-End &amp; UX (Hybrid)</t>
        </is>
      </c>
      <c r="C81" t="inlineStr">
        <is>
          <t>OneStream Software</t>
        </is>
      </c>
      <c r="D81" t="inlineStr">
        <is>
          <t>linkedin</t>
        </is>
      </c>
      <c r="E81" t="inlineStr"/>
      <c r="F81" t="inlineStr"/>
      <c r="G81" t="inlineStr"/>
      <c r="H81" t="inlineStr"/>
      <c r="I81" t="inlineStr">
        <is>
          <t>**AI Engineer**
**Location:** 
 Hybrid, USA
**Employment Type:** 
 Full\-Time
**Compensation:** 
 $100,000 \- $140,000 (Range applies to US candidates only) \+ Benefits/Variable Comp/Equity \- Range may vary based on experience.
**Benefits Offered:** 
 Vision, Medical, Life, Dental, 401K
**This role requires the candidate to work from one of the following OneStream office locations: Birmingham, MI, Fort Lauderdale, FL, New York, NY, or Chicago, IL.**
**Summary**
 The AI Engineer on the AI Product \&amp; Engineering team is responsible for crafting, building, and overseeing AI\-powered solutions tailored for the OneStream platform. This position involves continuously converting business problems into polished, commercially viable applications leveraging AI and computer science techniques. This position requires a robust grasp of modern software design principles, including frontend design and web frameworks, alongside proficiency in UX/UI design methodology and best practices. Collaboration with diverse engineering and services teams is essential to deliver comprehensive product support, ensure product cycle maintenance, and drive continuous product improvements. The AI Product and Engineering team is focused on bridging the gap between AI research and AI products, bringing tangible and quantifiable value to our end users. Our AI solutions incorporate AI and machine learning spectrum, including (but not limited to) time series forecasting, anomaly detection, and natural language processing. Our mission is to lower the barrier for organizations and people to get value out of AI capabilities.
**Primary Duties And Responsibilities**
* Build and enhance user interfaces using both native OneStream capabilities and modern web frameworks.
* Write and upkeep code that is efficient, reusable, dependable, and abides by modern software design principles.
* Own the end\-to\-end UI/UX process: from wireframing and prototyping to implementation.
* Guarantee peak performance, rendering, and responsiveness of AI Services solutions.
* Identify and address bottlenecks and bugs, and devise solutions to mitigate or eliminate these issues.
* Help to preserve code quality, organization, and automation.
* Write and define software bugs, enhancements, and story tickets in a software issue\-tracking system.
* Collaborate with Product Specialists and Quality Assurance Testers to effectively.
* Write documentation in the form of how\-to guides to get other stakeholders familiar with the products you develop.
**Required Education And Experience**
* Bachelors Degree or similar work experience.
* CS/DS/EE/CE Degree or similar experience.
* 1\-2 years of experience with object\-oriented programming.
* 1\-2 years of strong programming experience with one of the following: C\+\+, C\#, Java.
* Experience with relational databases.
**Preferred Education And Experience**
* Experience with modern web development frameworks (React preferred).
* Experience with design tools such as Figma (or similar) for creating wireframes, prototypes, and high\-fidelity UI mockups.
* Familiarity with Microsoft Azure and related technologies.
* Familiarity with AI systems, algorithms, and subdomains (time\-series, classifications, clustering, anomaly, etc.).
* Experience with Consolidation Software, such as: OneStream, HFM, SAP BOFC, SAP, IBM Cognos, etc.
* Recent focus on Microsoft technologies.
**Knowledge, Skills, And Abilities**
* Self\-Starter to decompose a problem and plan a solution.
* Knowledgeable about modern user interface design principles aimed at optimizing user experience.
* Capable of effectively communicating technical issues, leading discussions, and influencing product\-related decisions.
* Ability to quickly learn new technologies and adapt to changes in technology and the business environment.
* Highly adaptive to changing circumstances, with the ability to tackle problems quickly.
* Excellent written and verbal interpersonal skills.
* Excellent organization, scheduling, project management, and multi\-tasking skills.
* Capable and comfortable effectively presenting in front of your peers.
* Ability to write clean, efficient, and well\-documented code.
* Interest in continuous learning opportunities as the space continues to evolve.
* Proficient in effectively prioritizing and executing tasks in fast\-paced, high\-pressure environments.
* Highly self\-motivated and proactive.
* Demonstrates meticulous attention to detail.
* Comfortable engaging with C\-level executives.
**Travel (remove if not applicable)**
* Minimal travel will be required.
**Who We Are**
 OneStream is how today’s Finance teams can go beyond just reporting on the past and Take Finance Further™ by steering the business to the future. It’s the only enterprise finance platform that unifies financial and operational data, embeds AI for better decisions and productivity, and empowers the CFO to become a critical driver of business strategy and execution. Our vision is to be the operating system for modern finance, digitizing core financial functions and empowering the CFO to become a critical driver of business strategy. To learn more visit www.onestream.com.
**Why Join The OneStream Team**
* Transparency around corporate structure, salary, and benefits
* Core value of customer success
* Variety of project work (not industry\-specific)
* Strong culture and camaraderie
* Multiple training opportunities
**Benefits At OneStream**
 OneStream employees are passionate, hardworking individuals who go above and beyond to keep our customers happy and follow through on our mission statement. They consistently deliver the best and in turn, we make every effort to keep them cared for and happy. A sample of the benefits we provide are:
* Excellent Medical Plan
* Dental \&amp; Vision Insurance
* Life Insurance
* Short \&amp; Long Term Disability
* Vacation Time
* Paid Holidays
* Professional Development
* Retirement Plan
 All candidates must be legally authorized to work for any company in the country where this position is located without sponsorship.
 OneStream is an Equal Opportunity Employer.</t>
        </is>
      </c>
    </row>
    <row r="82">
      <c r="A82" t="inlineStr">
        <is>
          <t>li-4320911834</t>
        </is>
      </c>
      <c r="B82" t="inlineStr">
        <is>
          <t>Senior Machine Learning Engineer, Dev Platform Data and Discovery</t>
        </is>
      </c>
      <c r="C82" t="inlineStr">
        <is>
          <t>Reddit, Inc.</t>
        </is>
      </c>
      <c r="D82" t="inlineStr">
        <is>
          <t>linkedin</t>
        </is>
      </c>
      <c r="E82" t="inlineStr"/>
      <c r="F82" t="inlineStr"/>
      <c r="G82" t="inlineStr"/>
      <c r="H82" t="inlineStr"/>
      <c r="I82"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121 million daily active unique visitors, Reddit is one of the internet’s largest sources of information. For more information, visit www.redditinc.com.
 The Developer Platform team empowers developers to create engaging interactive experiences for Reddit communities, such as asynchronous or real\-time multiplayer games, live stock tickers, and live scoreboards. If you have a background in ranking and are excited about connecting Redditors with their next favorite game, this highly collaborative and impactful team wants your expertise!
 You will own projects from ideation to production instead of being stuck making small incremental gains on enterprise systems. You’ll work with a super talented, cross\-functional team to solve hard problems in order to create experiences that users will love. We are a team of builders that value impact, personal growth, openness and kindness.
****Responsibilities:****
* Lead projects from concept, design, implementation, to rollout, ensuring the highest quality and performance.
* Identify opportunities to enhance ranking capabilities by diving deep into our platform and understanding the needs of our customers.
* Design and develop applied machine learning models for modeled personalization, game taxonomy, and more, from ideation to production deployment.
* Collaborate with data scientists, product managers and backend software engineers.
* Mentor junior team members, share knowledge, and contribute to the technical growth of the team. Provide guidance on machine learning best practices and methodologies.
* Conduct A/B tests and experiments to iterate and fine\-tune algorithms and models.
* Stay updated on state\-of\-the\-art algorithmic techniques and recognize promising innovations, adapting them to Reddit's unique platform and community.
* Design, implement, and maintain reliable, high\-performance distributed systems.
****Minimum Qualifications:****
* 5\+ years of experience in a relevant industry or academic background, preferably in a quantitative/modeling or highly scalable computing environment.
* Prior experience with personalized feed ranking.
* Proven track record of delivering complex machine learning projects from conception to deployment, preferably in real\-world applications.
* Ability to lead and mentor machine learning engineers or data scientists.
* Strong communication skills to collaborate effectively with cross\-functional teams and stakeholders.
* Demonstrated ability to innovate and stay updated with the latest advancements in machine learning and AI.
****Preferred Qualifications:****
* Experience of orchestrating complicated data pipelines and system engineering on large\-scale dataset
* Proficiency with programming languages and statistical analysis
* Prior experience with Sequence Modeling, Reinforcement Learning, or Transformer Architecture is a big plus
* Experience in Bayesian methodology and experimentation is a plus
 Reddit has a flexible workforce! If you happen to live close to one of our physical office locations our doors are open for you to come into the office as often as you'd like. Don't live near one of our offices? No worries: You can apply to work remotely in any country in which we have a physical presence.
****Benefits:****
* Comprehensive Healthcare Benefits and Income Replacement Programs
* 401k Match
* Family Planning Support
* Gender\-Affirming Care
* Mental Health \&amp; Coaching Benefits
* Flexible Vacation \&amp; Reddit Global Days off
* Generous paid Parental Leave
* Paid Volunteer time off
****Benefits:****
* Comprehensive Healthcare Benefits and Income Replacement Programs
* 401k with Employer Match
* Global Benefit programs that fit your lifestyle, from workspace to professional development to caregiving support
* Family Planning Support
* Gender\-Affirming Care
* Mental Health \&amp; Coaching Benefits
* Flexible Vacation \&amp; Paid Volunteer Time Off
* Generous Paid Parental Leave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$216,700—$303,400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row>
    <row r="83">
      <c r="A83" t="inlineStr">
        <is>
          <t>li-4367195130</t>
        </is>
      </c>
      <c r="B83" t="inlineStr">
        <is>
          <t>Staff Machine Learning Engineer</t>
        </is>
      </c>
      <c r="C83" t="inlineStr">
        <is>
          <t>Intuit</t>
        </is>
      </c>
      <c r="D83" t="inlineStr">
        <is>
          <t>linkedin</t>
        </is>
      </c>
      <c r="E83" t="inlineStr"/>
      <c r="F83" t="inlineStr"/>
      <c r="G83" t="inlineStr">
        <is>
          <t>San Diego, CA</t>
        </is>
      </c>
      <c r="H83" t="inlineStr"/>
      <c r="I83" t="inlineStr">
        <is>
          <t>**Overview**
 Come join the Consumer Group (CG) AI Team as a Staff Machine Learning Engineer. The CG AI team focuses on bringing the top\-notch AI features to Intuit’s TurboTax customers for their delight. In this role, you’ll be embedded inside a vibrant team of AI scientists. You’ll be expected to help conceive, code, and deploy classic Machine Learning models, GenAI applications such as AI agents, at scale using the latest industry tools. Important skills include data wrangling, feature engineering, developing classic machine learning models, GenAI applications, integrating with other software services and testing metrics. You will get the chance to work on the cutting\-edge AI technologies, as well as collaborate across organizations and functions with our partners in the engineering, product management, analytics and design departments to ensure that we are building a pleasant customer experience, striving for more money, less work and complete confidence for our TurboTax customers.
**Responsibilities**
* Discover data sources, get access to them, import them, clean them up, and make them machine learning ready.
* Work with AI scientists to create and refine features from the underlying data and build pipelines to train and deploy machine learning models.
* Partner with AI scientists to understand, implement, refine and design machine learning and other algorithms.
* Partner with AI scientists to build GenAI applications, such as AI agents.
* Run regular A/B tests and performance evaluation pipelines to gather data, perform statistical analysis, draw conclusions on the impact of your ML models and GenAI applications.
* Work cross functionally with product managers, AI scientists and product engineers, and communicate results to peers and leaders.
* Explore new technology shifts in order to determine how they might connect with the customer benefits we wish to deliver
**Qualifications**
* BS, MS, or PhD degree in Computer Science or related field, or equivalent practical experience.
* 6\+ years of experience working in software development domain. AI/ML related areas preferred.
* Knowledgeable with Data Science tools and frameworks (i.e. Python, Scikit, NLTK, Numpy, Pandas, TensorFlow, Keras, R, Spark).
* Basic knowledge of machine learning techniques (i.e. classification, regression, and clustering).
* Knowledge and experience of GenAI application development
* Understand machine learning principles (training, validation, etc.)
* Knowledge of data query and data processing tools (i.e. SQL)
* Computer science fundamentals: data structures, algorithms, performance complexity, and implications of computer architecture on software performance (e.g., I/O and memory tuning).
* Software engineering fundamentals: version control systems (i.e. Git, GitHub) and workflows, and ability to write production\-ready code.
* Experience deploying highly scalable software supporting millions or more users
* Experience with GPU acceleration (i.e. CUDA and cuDNN)
* Experience with integrating applications and platforms with cloud technologies (i.e. AWS and GCP)
* Strong oral and written communication skills. Ability to conduct meetings and make professional presentations, and to explain complex concepts and technical material to non\-technical users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$197,000 \- $266,500
 San Diego, California: $184,500 \- $250,000</t>
        </is>
      </c>
    </row>
    <row r="84">
      <c r="A84" t="inlineStr">
        <is>
          <t>li-4374355988</t>
        </is>
      </c>
      <c r="B84" t="inlineStr">
        <is>
          <t>Senior / Staff ML Engineer, Apple Cloud AI Platform</t>
        </is>
      </c>
      <c r="C84" t="inlineStr">
        <is>
          <t>Apple</t>
        </is>
      </c>
      <c r="D84" t="inlineStr">
        <is>
          <t>linkedin</t>
        </is>
      </c>
      <c r="E84" t="inlineStr"/>
      <c r="F84" t="inlineStr"/>
      <c r="G84" t="inlineStr">
        <is>
          <t>Cupertino, CA</t>
        </is>
      </c>
      <c r="H84" t="inlineStr"/>
      <c r="I84" t="inlineStr">
        <is>
          <t>**Summary**
 Apple Cloud AI Platform powers the machine learning, AI, and data systems that enable intelligent experiences across Apple consumer products. We are looking for a Software Engineer who is excited to work directly with Apple product teams and translate real\-world AI needs into production\-ready solutions. You will operate at the intersection of full\-stack engineering, data and ML platforms, backend systems and applied AI, using customer requirements to build end\-to\-end solutions and workflows as part of our platform offerings. This role is ideal for engineers who are highly collaborative, proactive, adaptable, and capable of turning ambiguous customer requests into working AI\-powered solutions at scale.
**Description**
 In this role you will partner directly with internal customers to understand their use cases, evaluate technical requirements, and build AI\-driven systems and solutions that leverage Apple Cloud AI Platform capabilities. You will work across the stack, from data ingestion to model execution to UI integration, without strict constraints on programming languages or frameworks. You will prototype quickly, harden solutions for production, build services and feed insights back to platform teams to influence roadmap and improve the developer experience.
 You will also act as a bridge between product management, partner platform, and customer teams by helping define best practices, documenting patterns, and working closely with platform engineering groups to drive alignment and deliver systems. Success in this role requires a combination of strong engineering fundamentals, applied ML awareness, platform thinking, customer empathy, and the ability to deliver in fast\-evolving environments.
**Responsibilities**
* Partner with customer teams to understand ML product requirements, identify integration challenges, and drive cross\-lifecycle technical decisions (data, training, evaluation, deployment, monitoring).
* Design and build end\-to\-end ML workflows and services spanning data ingestion, feature computation, training, evaluation, inference, and user\-facing surfaces.
* Develop backend services and interfaces (APIs, CLIs, SDKs, or UIs) supporting scalable ML workloads.
* Integrate with platform systems including orchestration, storage, training/evaluation services, authentication, and monitoring.
**Minimum Qualifications**
* 7\+ years of industry experience building production systems, full\-stack applications, data workflows, ML powered products, or platform tooling.
* Experience leading cross\-team engineering efforts or customer\-facing technical engagements. Experience with modern AI and data stack (Python and at least some of: Spark, Ray, gRPC, GraphQL, REST, Kafka or similar).
* Experience with cloud environments, distributed systems, containers, and CI/CD pipelines.
* Familiarity with ML lifecycle concepts: experiment tracking, model packaging, deployment strategies, evaluation, and data governance.
* Strong communication skills with customer empathy and ability to drive alignment.
* Comfortable working in ambiguous environments with high ownership expectations.
* BS, MS, or PhD in Computer Science, Software Engineering, Machine Learning, or equivalent degree with applicable experience
**Preferred Qualifications**
* Build prototypes, demos, and reference implementations to accelerate platform adoption.
* Influence platform roadmap based on customer lifecycle needs (developer experience, scale, reliability, governance, ML metadata).
* Experience enabling advanced ML workflows such as distributed training, tuning, feedback loops, observability, and evaluation pipelines.
* Experience across multiple languages and execution environments and ability to select appropriate tools.
* Experience with ML frameworks such as PyTorch or TensorFlow.
* Experience with modern frontend frameworks such as React.
* Experience building developer platforms (SDKs, developer tools, agents, internal platforms).
* Ability to represent customer needs to platform engineering and drive cross\-team technical direction.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85">
      <c r="A85" t="inlineStr">
        <is>
          <t>li-4324448514</t>
        </is>
      </c>
      <c r="B85" t="inlineStr">
        <is>
          <t>Senior, ML Engineer - Offline Perception</t>
        </is>
      </c>
      <c r="C85" t="inlineStr">
        <is>
          <t>Torc Robotics</t>
        </is>
      </c>
      <c r="D85" t="inlineStr">
        <is>
          <t>linkedin</t>
        </is>
      </c>
      <c r="E85" t="inlineStr"/>
      <c r="F85" t="inlineStr"/>
      <c r="G85" t="inlineStr">
        <is>
          <t>Ann Arbor, MI</t>
        </is>
      </c>
      <c r="H85" t="inlineStr"/>
      <c r="I85" t="inlineStr">
        <is>
          <t>**About The Company**
 At Torc, we have always believed that autonomous vehicle technology will transform how we travel, move freight, and do business.
 A leader in autonomous driving since 2007, Torc has spent over a decade commercializing our solutions with experienced partners. Now a part of the Daimler family, we are focused solely on developing software for automated trucks to transform how the world moves freight.
 Join us and catapult your career with the company that helped pioneer autonomous technology, and the first AV software company with the vision to partner directly with a truck manufacturer.
**Meet The Team:**
 Pseudo\-Labeling team's goal is to create high quality annotations on sensor data (images, point clouds). The annotations include 2D, 3D bounding boxes, classes, trajectories, lane lines, segmentations, depths etc. The annotations are then used by different downstream users, for example, perception teams use it to train various models and simulation teams use it for generating new data.
**What You’ll Do:**
* Design, implement, test and deploy offline object detection, tracking and fusion modules to automatically create annotations on Cloud Services from logged sensor data (Cameras, Lidars, Radars)
* Demonstrated project management skills, serving as project lead guiding less experienced team members in multiple facets of project execution.
* Stay up to date with the latest developments in AI and ML for autonomous driving.
* Independently develop offline perception models or algorithms using disciplined software development processes, making recommendations for developing new code or re\-using existing code, implementing version control, and maintaining
* Documentation of created applications.
* Define and implement ingestion, data preparation, curation, and governance of large, multi\-faceted data sets supporting analytics models and workflows.
* Proactively assess current capabilities to identify areas for improvement proposing solutions that align with core strategy and operation.
* Measure and track auto labeling quality to meet internal customer requirements.
* Guide and produce information products, supporting visualization and data accessibility in a customer\-centric manner.
* Evaluate and make recommendations regarding technical advances that improve productivity and quality, reduce flow times, and enhance operational surety.
* Develop guidelines and standards for analytics and machine learning models, their deployment, and associated processes.
* Provides technical guidance or business process expertise, technical leadership, coaching and mentoring to team members.
**What You’ll Need to Succeed:** 
* Considered highly skilled and proficient in discipline; conducts complex, important work under minimal supervision and with wide latitude for independent judgment.
* Scope of Influence: Expected to drive alignment across team interfaces to the rest of the organization. Designs, maintains and owns team technical solutions and drives consensus.  Mentors and guides engineers within the group.
* Bachelor’s Degree in Computer Science, Robotics, Electrical Engineering or related technical field plus demonstrates competences and technical proficiencies typically acquired through 6\+ years of experience OR;
* Master’s Degree in Computer Science, Robotics, Electrical Engineering or related technical field plus demonstrates competences and technical proficiencies typically acquired through 3\+ years of experience OR;
* Required Qualifications (some combination of the following skills):
+ Active Learning \&amp; Pseudo\-labeling \- Computer Vision, Deep Learning, Model training.
+ Two of the following: 2D/3D Object Detection, Tracking, Sensor Fusion, Semantic Segmentation, SLAM, BEV.
+ Scaled ML Operations (MLOps) and Tooling – ML Frameworks, experiment tracking, model registry, MLFLow, Weights and Biases, ML Metrics and Evaluation / Quality.
+ Distributed machine learning frameworks \- PyTorch, Lightning, Ray.
+ Model Data Curation \- Parquet data processing (PyArrow, Daft, Pandas, etc).
+ Development Tools \&amp; Eco\-System (at scale) \- Proficiency in Python software development. Also, VDI and cloud\-based development environments, CI Systems (GitHub Actions), and Docker.
**Bonus Points!**
* Data operations and management at scale \- Schema design, AWS storage and processing infra, vector databases / LanceDB, file formats (MCAP, parquet, etc).
* Data Visualization \- Integration with tooling such as OpenGL, 3\.js, foxglove, 51, tableau.
* Cloud Development – Python (proficient level), Terraform, AWS Managed Services (eg S3, ECS, Lambda, Dynamo, Step Functions, Athena).
* Cloud\-based orchestration and resource management \- AWS Hyperpods, Anyscale, Etc. Model Inference Orchestration.
**Perks of Being a Full\-time Torc’r**
 Torc cares about our team members and we strive to provide benefits and resources to support their health, work/life balance, and future. Our culture is collaborative, energetic, and team focused. Torc offers:
* A competitive compensation package that includes a bonus component and stock options
* 100% paid medical, dental, and vision premiums for full\-time employees
* 401K plan with a 6% employer match
* Flexibility in schedule and generous paid vacation (available immediately after start date)
* AD\+D and Life Insurance
 At Torc, we’re committed to building a diverse and inclusive workplace. We celebrate the uniqueness of our Torc’rs and do not discriminate based on race, religion, color, national origin, gender (including pregnancy, childbirth, or related medical conditions), sexual orientation, gender identity, gender expression, age, veteran status, or disabilities.
 Even if you don’t meet 100% of the qualifications listed for this opportunity, we encourage you to apply.
 Our compensation reflects the cost of labor across several geographic markets. Pay is based on a number of factors and may vary depending on job\-related knowledge, skills, and experience. Torc's total compensation package will also include our corporate bonus and stock option plan. Dependent on the position offered, sign\-on payments, relocation, and other forms of compensation may be provided as part of a total compensation package, in addition to a full range of medical, financial, and/or other benefits.
**Hiring Range for Job Opening**
**US Pay Range**
 $199,200 \- $298,800
 Job ID: 102399</t>
        </is>
      </c>
    </row>
    <row r="86">
      <c r="A86" t="inlineStr">
        <is>
          <t>li-4367040321</t>
        </is>
      </c>
      <c r="B86" t="inlineStr">
        <is>
          <t>Senior Data &amp; ML Engineer, MLOps</t>
        </is>
      </c>
      <c r="C86" t="inlineStr">
        <is>
          <t>Corebridge Financial</t>
        </is>
      </c>
      <c r="D86" t="inlineStr">
        <is>
          <t>linkedin</t>
        </is>
      </c>
      <c r="E86" t="inlineStr"/>
      <c r="F86" t="inlineStr"/>
      <c r="G86" t="inlineStr">
        <is>
          <t>Jersey City, NJ</t>
        </is>
      </c>
      <c r="H86" t="inlineStr"/>
      <c r="I86" t="inlineStr">
        <is>
          <t>Who We Are
 At Corebridge Financial, we believe action is everything. That’s why every day we partner with financial professionals and institutions to make it possible for more people to take action in their financial lives, for today and tomorrow.
 We Align To a Set Of Values That Are The Core Pillars That Define Our Culture And Help Bring Our Brand Purpose To Life:
* We are stronger as one: We collaborate across the enterprise, scale what works and act decisively for our customers and partners.
* We deliver on commitments: We are accountable, empower each other and go above and beyond for our stakeholders.
* We learn, improve and innovate: We get better each day by challenging the status quo and equipping ourselves for the future.
* We are inclusive: We embrace different perspectives, enabling our colleagues to make an impact and bring their whole selves to work.
****Who We Are****
 At Corebridge Financial, we believe action is everything. That’s why every day we partner with financial professionals and institutions to make it possible for more people to take action in their financial lives, for today and tomorrow.
 We Align To a Set Of Values That Are The Core Pillars That Define Our Culture And Help Bring Our Brand Purpose To Life:
* We are stronger as one: We collaborate across the enterprise, scale what works and act decisively for our customers and partners
* We deliver on commitments: We are accountable, empower each other and go above and beyond for our stakeholders
* We learn, improve and innovate: We get better each day by challenging the status quo and equipping ourselves for the future
* We are inclusive: We embrace different perspectives, enabling our colleagues to make an impact and bring their whole selves to work
****Who You’ll Work With****
 The Information Technology organization is the technological foundation of our business and works in collaboration with our partners from across the company. The team drives technology and digital transformation, partners with business leaders to design and execute new strategies through IT and operations services and ensures the necessary IT risk management and security measures are in place and aligned with enterprise architecture standards and principles.
****About The Role****
 We are seeking a highly skilled and motivated Senior Data and ML Engineer with a strong focus on MLOps to join our Data Platform Engineering team, focusing on developing and implementing robust Data Engineering and Machine Learning Operations (MLOps) practices. In this role, you will play a critical part in designing, building, and maintaining scalable and reliable infrastructure for the entire Machine learning and GenAI lifecycle, from experimentation to production deployment and monitoring. You will work with cutting\-edge cloud technologies, specifically leveraging the power of AWS SageMaker, Amazon Bedrock, and Snowflake Data Platform to drive innovation in the financial services sector.
****Responsibilities****
* Design and Implement ML Pipelines: Lead the design, Build, and maintenance of end\-to\-end automated MLops pipelines for continuous testing,  training and deployment of ML models.
* Optimize ML Workloads: Optimize AI/ML workloads and build scalable systems using a variety of AWS services, including Amazon SageMaker (for model development, training, and deployment), Amazon Bedrock (for integrating generative AI and large language models), S3, Lambda, and others.
* Manage Data Integration: Collaborate with data scientists and data engineers to design and implement ETL/ELT processes to structure and format data into suitable data warehouses or data lakes for analysis and model training.
* Monitoring and Maintenance: Implement comprehensive monitoring, logging, and alerting for production AI/ML systems to track performance, resource utilization, error rates, and troubleshoot issues as they arise.
* Collaboration \&amp; Governance: Work closely with cross\-functional teams, including data scientists, Data engineers, and business analysts, to translate business requirements into technical solutions. Ensure adherence to data governance, security, and compliance principles.
****Skills And Qualifications****
* Bachelor’s or Master's degree in Computer Science, Engineering, Data science, or a related technical field.
* 15\+ years of IT experience with 10\+ years of experience in Data Engineering, ML engineering, or MLOps role.
* Proven experience using cloud technologies, with significant hands\-on experience in AWS Data \&amp; AI services and Snowflake Data platform.
* Strong background and experience in leveraging MLOps platforms (MLflow, Kubeflow, Sagemaker) and ML CI/CD workflows to manage the ML lifecycle.
* Proficiency in programming languages like Python or PySpark.
* Strong Hands on experience with Amazon SageMaker for ML and  Amazon Bedrock for generative AI solutions.
* Hands\-on experience with ETL/ELT frameworks (e.g., Apache NiFi, Airflow, Talend, dbt, AWS Glue)
* Expertise in big data technologies (e.g., Hadoop, Spark, Kafka, Databricks) and Cloud data warehouses ( Snowflake, Redshift,BigQuery)
* Strong problem\-solving abilities and a passion for  working with cutting\-edge technologies
* Excellent communication and collaboration skills to effectively work within a cross\-functional team.
****Compensation****
 The anticipated salary range for this position is $135,000 to $190,000 at the commencement of employment for the Jersey City, NJ area. Not all candidates will be eligible for the upper end of the salary range. The actual compensation offered will ultimately be dependent on multiple factors, which may include the candidate’s geographic location, skills, experience and other qualifications.
 In addition, the position is eligible for a discretionary bonus in accordance with the terms of the applicable incentive plan.
 Corebridge also offers a range of competitive benefits as part of the total compensation package, as detailed below.
**Work Location**
 This position is based in Corebridge Financial’s Houston, TX or Jersey City, NJ office and is subject to our hybrid working policy, which gives colleagues the benefits of working both in an office and remotely.
**Estimated Travel**
 May include up to 25%.
 Why Corebridge?
 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
****Benefit Offerings Include:****
* Health and Wellness: We offer a range of medical, dental and vision insurance plans, as well as mental health support and wellness initiatives to promote overall well\-being.
* 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
* Employee Assistance Program: Confidential counseling services and resources are available to all employees.
* Matching charitable donations: Corebridge matches donations to tax\-exempt organizations 1:1, up to $5,000\.
* Volunteer Time Off: Employees may use up to 16 volunteer hours annually to support activities that enhance and serve communities where employees live and work.
* Paid Time Off: Eligible employees start off with at least 24 Paid Time Off (PTO) days so they can take time off for themselves and their families when they need it.
 Eligibility for and participation in employer\-sponsored benefit plans and Company programs will be subject to applicable law, governing Plan document(s) and Company policy.
**We are an Equal Opportunity Employer**
 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
 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TalentandInclusion@corebridgefinancial.com. Reasonable accommodations will be determined on a case\-by\-case basis, in accordance with applicable federal, state, and local law.
 We will consider for employment qualified applicants with criminal histories, consistent with applicable law.
 To learn more please visit: www.corebridgefinancial.com
****Functional Area:****
 IT \- Information Technology
 Estimated Travel Percentage (%): No Travel
 Relocation Provided: No
 American General Life Insurance Company</t>
        </is>
      </c>
    </row>
    <row r="87">
      <c r="A87" t="inlineStr">
        <is>
          <t>li-4372713781</t>
        </is>
      </c>
      <c r="B87" t="inlineStr">
        <is>
          <t>AI Engineer</t>
        </is>
      </c>
      <c r="C87" t="inlineStr">
        <is>
          <t>Underdog.io -Apply to top tech jobs in 60 seconds. A place where companies apply to you</t>
        </is>
      </c>
      <c r="D87" t="inlineStr">
        <is>
          <t>linkedin</t>
        </is>
      </c>
      <c r="E87" t="inlineStr"/>
      <c r="F87" t="inlineStr"/>
      <c r="G87" t="inlineStr"/>
      <c r="H87" t="inlineStr"/>
      <c r="I87" t="inlineStr">
        <is>
          <t>**Senior AI Developer** 
**Location:** 
 New York City, NY
 Build AI That Actually Helps Humans
 We’re a fast\-growing automation startup backed by top\-tier investors. Our mission: transform how Managed Service Providers (MSPs) work by eliminating mundane tasks through intelligent tools. We’re seeking an AI engineer who cares about
 *why* 
 AI matters—not just
 *how* 
 to build it. If you’re tired of shipping LLM demos that never help real users, join us to build agentic AI that gives overwhelmed IT engineers their time back.
**What You’ll Do** 
* **Design and ship AI features** 
 that solve real MSP pain points: natural\-language workflow creation, autonomous agents, and context\-aware task automation.
* **Build agentic systems** 
 that act responsibly—knowing when to automate, ask for input, or escalate to humans.
* **Optimize production\-grade AI** 
 : Tune prompts, RAG pipelines, and inference stacks (OpenAI, Claude, open\-source LLMs) for speed, cost, and reliability.
* **Integrate AI into core workflows** 
 using tools like LangChain, LlamaIndex, and custom orchestration layers.
* **Collaborate cross\-functionally** 
 to transform prototypes into features that ship.
* **Solve hard problems** 
 : Balance autonomy with safety, reduce hallucinations, and embed empathy into AI interactions.
**Tech Stack You’ll Use** 
* **Core** 
 : Python, FastAPI, Celery, PostgreSQL, React
* **AI/ML** 
 : OpenAI, Anthropic, Mistral/LLaMA, LangChain, Pinecone
* **Infra** 
 : AWS/Azure, Kubernetes, Docker, Redis
* **Observability** 
 : LLM telemetry, cost optimization
**Who You Are** 
* 5\+ years in software engineering, including
 **2\+ years shipping production AI/ML systems** 
 (not just prototypes).
* **Proven expertise** 
 in:
* LLM integration (RAG, agentic architectures, prompt engineering)
* Designing human\-AI interaction patterns (escalation, guardrails)
* Building with frameworks like LangChain or custom orchestration
* **Builder mindset** 
 : You prioritize user impact over model hype.
* **MSP empathy** 
 : You intuitively grasp IT engineers’ pain points (bonus: RPA/automation experience).
* **Communication skills** 
 : Translate technical complexity into user value.
**Above \&amp; Beyond** 
* Experience fine\-tuning/hosting open\-source LLMs
* Contributions to AI open\-source projects (e.g., LangChain agents)
* Observability and cost optimization for AI inference
* Background in automation, agent\-based systems, or MSP workflows
**Why Join** 
* **Solve meaningful problems** 
 : Your AI features directly help overworked engineers.
* **Ownership \&amp; impact** 
 : Autonomy to shape high\-stakes AI decisions.
* **Competitive comp** 
 : Salary \+ equity \+ benefits in a scaling startup.
* **Remote\-first culture** 
 : Collaborate with execution\-obsessed builders.
* **No fluff, just shipping** 
 : We value clarity and results over demos.
**For AI Builders Who Hate Hallucinations** 
 If you want to build AI that
 *actually works* 
 —and see it change how thousands of IT professionals operate—apply now. Let’s create tools that augment humans, not replace them.
*Note: No visa sponsorship.*</t>
        </is>
      </c>
    </row>
    <row r="88">
      <c r="A88" t="inlineStr">
        <is>
          <t>li-4281883251</t>
        </is>
      </c>
      <c r="B88" t="inlineStr">
        <is>
          <t>Senior AI Engineer – LLM, RAG</t>
        </is>
      </c>
      <c r="C88" t="inlineStr">
        <is>
          <t>BrightAI</t>
        </is>
      </c>
      <c r="D88" t="inlineStr">
        <is>
          <t>linkedin</t>
        </is>
      </c>
      <c r="E88" t="inlineStr"/>
      <c r="F88" t="inlineStr"/>
      <c r="G88" t="inlineStr">
        <is>
          <t>Palo Alto, CA</t>
        </is>
      </c>
      <c r="H88" t="inlineStr"/>
      <c r="I88" t="inlineStr">
        <is>
          <t>Senior AI Engineer – RAG Systems
**Bright.AI** 
 is a high\-growth Physical AI company transforming how businesses interact with the physical world through intelligent automation. Our AI platform processes visual, spatial, and temporal data from billions of real\-world events—captured across edge devices, mobile sensors, and cloud infrastructure—to enable intelligent decision\-making at scale.
 We are now hiring a
 **Senior AI Engineer – LLM, RAG** 
 to lead the development of Retrieval\-Augmented Generation (RAG) systems that harness the power of large language models (LLMs) and real\-world knowledge sources. This role is pivotal to building next\-generation intelligent assistants that help technicians and operators troubleshoot complex issues in industrial settings.
 You’ll work at the intersection of NLP, foundational models, and real\-time information systems—developing intelligent tools that turn manuals, technician notes, and sensor data into actionable, conversational guidance for the physical world.
**Responsibilities**
* Lead the architecture and development of RAG systems that combine LLMs (e.g., LLAMA, Mistral, Claude, GPT) with structured and unstructured external information sources.
* Develop AI\-powered assistants to support technicians in diagnosing and resolving anomalies or failures in factory, plant, or industrial settings.
* Build pipelines to ingest, preprocess, and index large corpora of documents (manuals, logs, notes, procedures) for semantic search and grounding.
* Customize and fine\-tune foundational models to incorporate domain\-specific language, tone, and logic for industrial troubleshooting scenarios.
* Collaborate with product, data, and cloud teams to design scalable, privacy\-compliant, and latency\-sensitive LLM applications.
* Design evaluation strategies to measure performance, accuracy, and user experience of RAG\-enabled systems in production settings.
* Stay up to date with the latest advances in LLM architectures, retrieval methods, and prompt engineering, and integrate emerging techniques into the product roadmap.
**Educational Background**
* M.S. or Ph.D. in Computer Science, AI, Machine Learning, or a related field, with specialization in NLP or deep learning.
* Strong research or applied background in large language models (LLMs) and retrieval\-augmented generation (RAG) systems. Agentic RAG experience is highly desirable.
**Required Skills \&amp; Expertise**
* 5\+ years of experience in machine learning or AI with a strong focus on NLP, LLMs, or conversational AI.
* Fluency with modern LLMs and open\-source foundational models (e.g., LLAMA, Falcon, Mistral, GPT, Claude).
* Experience building RAG pipelines with tools like LangChain, LlamaIndex, or custom vector database integrations, with at least one production grade system was built.
* Fluency with prompt engineering, instruction tuning, or fine\-tuning open\-source models.
* Deep understanding of document retrieval (semantic search, embedding generation, similarity metrics) and vector stores (e.g., FAISS, Weaviate, Pinecone).
* Strong foundation in core machine learning techniques, including experience with reinforcement learning (RL) or decision\-making models.
* Proficiency with ML development frameworks such as PyTorch, Hugging Face Transformers, or similar. Strong Python programming is a must.
* Experience integrating AI systems into real\-world applications with user\-facing interfaces and operational constraints.
* Excellent problem\-solving and critical thinking skills; ability to design solutions for complex, ambiguous problems.
* Strong written and verbal communication skills, with ability to collaborate cross\-functionally with engineers, product managers, and domain experts.
**Bonus Qualifications**
* Experience applying LLMs in industrial or physical infrastructure settings (e.g., manufacturing, logistics, utilities, energy).
* Knowledge of industrial control systems, maintenance workflows, or technician support processes.
* Exposure to multimodal models or integrating textual data with sensor and/or time\-series data.
* Prior experience in a startup or a fast\-paced environment building LLM\-powered products from the ground up.</t>
        </is>
      </c>
    </row>
    <row r="89">
      <c r="A89" t="inlineStr">
        <is>
          <t>li-4281896923</t>
        </is>
      </c>
      <c r="B89" t="inlineStr">
        <is>
          <t>Forward Deployed AI Engineer</t>
        </is>
      </c>
      <c r="C89" t="inlineStr">
        <is>
          <t>Adobe</t>
        </is>
      </c>
      <c r="D89" t="inlineStr">
        <is>
          <t>linkedin</t>
        </is>
      </c>
      <c r="E89" t="inlineStr"/>
      <c r="F89" t="inlineStr"/>
      <c r="G89" t="inlineStr">
        <is>
          <t>San Jose, CA</t>
        </is>
      </c>
      <c r="H89" t="inlineStr"/>
      <c r="I89"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Join our “DevOps for Content” revolution as we partner with global brands and agencies to transform their end\-to\-end creative workflows – from ideation to activation – to deliver AI\-powered content services with speed, scale, and governance.
 Through an AI\-first experimentation approach and deep expertise in both first\-party and third\-party AI models, we develop new applications, platforms, and scalable patterns that unlock the GenAI\-powered Content Supply Chain. We function as a continuous product innovation engine—feeding repeatable customer solutions straight into the product roadmap to accelerate product\-led growth.
 As a Forward Deployed AI Engineer, you will own the end\-to\-end development and launch of GenAI applications through Adobe and third\-party generative models. You are an AI native who will embed directly into customer teams to spin up proof points in days and co\-develop features that enhance customer value. If you thrive in start\-up environments—scaling products from prototype to production, pushing innovative research into real\-world use cases, and owning product \&amp; business outcomes—you’ll fit right in here!
 What You’ll Do
* Collaborate \&amp; Innovate: Partner with Technical Architects, Engagement Managers and Product teams to define customer requirements/use cases, facilitate technical workshops, and co\-create specific GenAI solutions.
* Prototype Rapidly: Apply an AI\-first experimentation mindset—build proof points in days, iterate on feedback, and drive quick wins. UX/UI and rapid prototyping skills are a plus.
* Engineer End\-to\-End: Design, build, and deploy full\-stack applications and microservices—integrating Firefly APIs, Common Extensibility Platform, GenStudio for Performance Marketing, headless CMS architectures and UX/UI Designs.
* Bridge to Product: Capture field\-proven use cases and funnel them back to Product \&amp; Engineering—fueling the Firefly roadmap.
* Automate \&amp; Scale: Develop reusable components, CI/CD pipelines, and governance checks to ensure consistent, repeatable delivery.
* Operate at Speed: Thrive in a constantly evolving, start\-up\-like environment—own delivery sprints, tackle challenges on\-site/remotely, and adapt to evolving AI trends.
* Share \&amp; Elevate: Document your playbooks, prompts, and patterns in our internal knowledge base—helping the whole organization move faster.
 What You Bring
* Full\-Stack Expertise: 3\+ years as a full\-stack developer or technical consultant building and launching production software (React.js/Next.js/Angular; Node.js/Java Spring Boot; REST/GraphQL, HTML, JavaScript, Java, XML).
* GenAI Mastery: Extensive hands\-on experience with modern AI technologies, including: Large Language Models (LLMs) – OpenAI GPT, Anthropic Claude, Meta Llama, Mistral, etc. \|\| Diffusion models (Adobe Firefly, Stable Diffusion, DALL·E, Midjourney) \|\| Retrieval\-Augmented Generation (RAG) pipelines, vector databases (Pinecone, Weaviate, FAISS), and semantic search \|\| Fine\-tuning, prompt engineering, and model optimization \|\| AI agent frameworks (AutoGen, LangChain, LlamaIndex) \|\| Multimodal AI (text, image, video, audio processing)
* Cloud \&amp; DevOps Expertise: Proficient with core services (EC2, S3, Lambda, IAM, CloudFormation) and AI/ML tools (SageMaker, Bedrock) \|\| Azure: Experience with compute (VMs, Functions), storage (Blob), and AI services (Azure OpenAI, Cognitive Services) \|\| Containerization \&amp; Orchestration: Docker, Kubernetes, and serverless deployments \|\| CI/CD \&amp; IaC: GitLab CI/CD, Jenkins, GitHub Actions, Terraform, or equivalent \|\| Monitoring \&amp; Logging: CloudWatch, Azure Monitor, Datadog, or similar
* AI Tinkerer: AI\-native tinkerer who embeds AI in your day\-to\-day workflows and spends your free time inventing and tinkering with the possibilities of AI. You keep ahead of market trends across third\-party models, GPUs, and new AI applications.
* Adobe Fluency: Deep understanding of Adobe Creative Cloud APIs/SDK/CEP, Firefly Services APIs, and nice to have: Adobe Experience Cloud integrations (AEM, Workfront Fusion, AJO or equivalent experience).
* Customer\-Centricity: Always prioritizing the customer and their needs and expectations first in everything you do. You are outstanding at contributing to a culture of customer\-centricity among your team and your extended ecosystem.
* Strong communicator: You translate complex AI concepts for both engineers and executives and guide customers through technical decisions aligned to business objectives.
* Startup DNA: Thrives in fast\-paced, ambiguous environments—relentlessly seeking better, faster, more innovative ways to solve customer objectives and challenges.
* Up to 30% customer related travel
 Our compensation reflects the cost of labor across several  U.S. geographic markets, and we pay differently based on those defined markets. The U.S. pay range for this position is $159,200 \-\- $301,600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$208,300 \- $301,600 In New York, the pay range for this position is $208,300 \- $301,600 In Washington, the pay range for this position is $190,200 \- $275,400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There is no deadline to apply to this job posting because Adobe accepts applications for this role on an ongoing basis. The posting will remain open based on hiring needs and position availability.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90">
      <c r="A90" t="inlineStr">
        <is>
          <t>li-4331511897</t>
        </is>
      </c>
      <c r="B90" t="inlineStr">
        <is>
          <t>Applied AI Engineer (Digital Natives Business)</t>
        </is>
      </c>
      <c r="C90" t="inlineStr">
        <is>
          <t>Anthropic</t>
        </is>
      </c>
      <c r="D90" t="inlineStr">
        <is>
          <t>linkedin</t>
        </is>
      </c>
      <c r="E90" t="inlineStr"/>
      <c r="F90" t="inlineStr"/>
      <c r="G90" t="inlineStr">
        <is>
          <t>New York, NY</t>
        </is>
      </c>
      <c r="H90" t="inlineStr"/>
      <c r="I90"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Anthropic, you will be a technical Product Engineer focused on becoming a trusted technical advisor to Digital Native Businesses \- technology companies adopting the Claude API into their core products. You will work closely with customer product and engineering teams as they ship new products powered by Claude: advising on architecture design decisions, developing evaluation frameworks, and guiding customers through the most cutting\-edge implementation patterns for LLMs.
 Working closely with our Sales, Product, and Engineering teams, you'll guide a focused portfolio of customers from technical discovery through successful deployment. You'll combine deep engineering expertise with customer\-facing skills to help customers unlock the full potential of Claude APIs and move their products closer to the frontier, while maintaining our high standards for safety and reliability.
**Responsibilities**
* Serve as a specialist technical advisor to Anthropic customers as they deploy new products \&amp; workflows with our models: from discovery through deployment, coordinating internally across multiple teams to drive customer success
* Partner with account executives and solutions architects to translate customer business requirements into technical solutions
* Influence technical architecture decisions and customer product strategy by developing customized pilots, prototypes, and evaluation suites
* Lead hands\-on technical workshops and code reviews with customer engineering teams
* Identify common design patterns and contribute insights back to our Product and Engineering teams
* Create scalable public and internal assets, documenting the latest LLM prompting, evaling, agentic, and architecture techniques
* Maintain strong knowledge of the latest developments in LLM capabilities, implementation patterns, and AI product development stacks
* Travel occasionally to customer sites for workshops, implementation support, and building relationships
* Attend conferences, lead speaking engagements, write blog posts and white papers on topics surrounding the AI space
**You May Be a Good Fit If You Have**
* 4\+ years of experience in technical roles such as Forward Deployed Engineer, Software Engineer or Technical Product Manager with a desire to work closely with customers. Former technical founders are also encouraged to apply.
* Production experience with LLMs including advanced prompt engineering, agent development and frameworks, evaluation frameworks, transcript analysis, MCP, and deployment at scale
* Strong programming skills with proficiency in Python or TypeScript and experience building production applications
* Ability to navigate ambiguity and execute across domains with intellectual openness, finding simple solutions to complex problems
* High cooperation mindset for cross\-organizational collaboration, balancing competing priorities with integrity
* Passion for advancing safe, beneficial AI systems through creative technical applications
* Exceptional communication skills to convey technical concepts to diverse stakeholders while maintaining a low ego and collaborative approach
**Deadline to apply:** 
 None. Applications will be reviewed on a rolling basis.
 The annual compensation range for this role is listed below.
 For sales roles, the range provided is the role’s On Target Earnings ("OTE") range, meaning that the range includes both the sales commissions/sales bonuses target and annual base salary for the role.
**Annual Salary**
 $200,000—$320,000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91">
      <c r="A91" t="inlineStr">
        <is>
          <t>li-4331272200</t>
        </is>
      </c>
      <c r="B91" t="inlineStr">
        <is>
          <t>Applied AI Engineer (Digital Natives Business)</t>
        </is>
      </c>
      <c r="C91" t="inlineStr">
        <is>
          <t>Anthropic</t>
        </is>
      </c>
      <c r="D91" t="inlineStr">
        <is>
          <t>linkedin</t>
        </is>
      </c>
      <c r="E91" t="inlineStr"/>
      <c r="F91" t="inlineStr"/>
      <c r="G91" t="inlineStr">
        <is>
          <t>San Francisco, CA</t>
        </is>
      </c>
      <c r="H91" t="inlineStr"/>
      <c r="I91"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Anthropic, you will be a technical Product Engineer focused on becoming a trusted technical advisor to Digital Native Businesses \- technology companies adopting the Claude API into their core products. You will work closely with customer product and engineering teams as they ship new products powered by Claude: advising on architecture design decisions, developing evaluation frameworks, and guiding customers through the most cutting\-edge implementation patterns for LLMs.
 Working closely with our Sales, Product, and Engineering teams, you'll guide a focused portfolio of customers from technical discovery through successful deployment. You'll combine deep engineering expertise with customer\-facing skills to help customers unlock the full potential of Claude APIs and move their products closer to the frontier, while maintaining our high standards for safety and reliability.
**Responsibilities**
* Serve as a specialist technical advisor to Anthropic customers as they deploy new products \&amp; workflows with our models: from discovery through deployment, coordinating internally across multiple teams to drive customer success
* Partner with account executives and solutions architects to translate customer business requirements into technical solutions
* Influence technical architecture decisions and customer product strategy by developing customized pilots, prototypes, and evaluation suites
* Lead hands\-on technical workshops and code reviews with customer engineering teams
* Identify common design patterns and contribute insights back to our Product and Engineering teams
* Create scalable public and internal assets, documenting the latest LLM prompting, evaling, agentic, and architecture techniques
* Maintain strong knowledge of the latest developments in LLM capabilities, implementation patterns, and AI product development stacks
* Travel occasionally to customer sites for workshops, implementation support, and building relationships
* Attend conferences, lead speaking engagements, write blog posts and white papers on topics surrounding the AI space
**You May Be a Good Fit If You Have**
* 4\+ years of experience in technical roles such as Forward Deployed Engineer, Software Engineer or Technical Product Manager with a desire to work closely with customers. Former technical founders are also encouraged to apply.
* Production experience with LLMs including advanced prompt engineering, agent development and frameworks, evaluation frameworks, transcript analysis, MCP, and deployment at scale
* Strong programming skills with proficiency in Python or TypeScript and experience building production applications
* Ability to navigate ambiguity and execute across domains with intellectual openness, finding simple solutions to complex problems
* High cooperation mindset for cross\-organizational collaboration, balancing competing priorities with integrity
* Passion for advancing safe, beneficial AI systems through creative technical applications
* Exceptional communication skills to convey technical concepts to diverse stakeholders while maintaining a low ego and collaborative approach
**Deadline to apply:** 
 None. Applications will be reviewed on a rolling basis.
 The annual compensation range for this role is listed below.
 For sales roles, the range provided is the role’s On Target Earnings ("OTE") range, meaning that the range includes both the sales commissions/sales bonuses target and annual base salary for the role.
**Annual Salary**
 $200,000—$320,000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92">
      <c r="A92" t="inlineStr">
        <is>
          <t>li-4351656991</t>
        </is>
      </c>
      <c r="B92" t="inlineStr">
        <is>
          <t>Senior Forward Deployed AI Engineer</t>
        </is>
      </c>
      <c r="C92" t="inlineStr">
        <is>
          <t>ReSource Pro</t>
        </is>
      </c>
      <c r="D92" t="inlineStr">
        <is>
          <t>linkedin</t>
        </is>
      </c>
      <c r="E92" t="inlineStr"/>
      <c r="F92" t="inlineStr"/>
      <c r="G92" t="inlineStr">
        <is>
          <t>Austin, TX</t>
        </is>
      </c>
      <c r="H92" t="inlineStr"/>
      <c r="I92" t="inlineStr">
        <is>
          <t>***Do you thrive on turning bold ideas into working AI products? Do you want to lead engineering for two new AI products with no legacy code, full ownership, and direct access to customers and the CEO?***
**Come Join the New AI Team At ReSource Pro!**
 This role sits within a brand\-new, 10\-person, autonomous innovation group reporting directly to the CEO. The AI Factory brings together senior engineering, product, and design talent to build two net\-new customer\-facing AI products \- from zero to production \- for the insurance industry. You won’t be inheriting legacy code. You’ll be helping to architect and build new products on a new foundation. This is a hands\-on engineering role in a startup\-like environment, backed by the credibility, reach, and customer base of a 14,000\-person enterprise.
 ReSource Pro has spent two decades becoming a trusted name in insurance operations. This new AI development center is its next chapter, translating deep domain credibility into breakthrough digital products.
**Why This Role Matters**
 The AI Factory is built to prove what’s possible with AI in insurance \- claims, operations, and beyond.
* Build AI products from scratch Not prototypes or internal tools, but real systems customers use daily.
* Operate with startup speed Autonomy, pace, and experimentation, backed by enterprise support.
* Work directly with customers Understanding their workflows, debugging live pilots, and shaping the technical direction from real\-world feedback.
* Set the technical bar Engineering excellence, system design, code quality, observability, and performance for a founding team.
**As The Lead Engineer, You Will**
**Lead Engineering from Concept to Launch**
* Own technical architecture, design, and implementation for new AI driven insurance products.
* Translate open ended opportunities into defined system designs and deliver production grade solutions.
* Make foundational decisions related to architecture, infrastructure, data flows, and scaling.
**Build Fast and Ship Fast**
* Partner closely with product, design, and data science to execute rapid build → test → learn → deploy cycles.
* Develop prototypes and production features using Python, modern frameworks, LLM APIs, vector databases, and cloud native services.
* Work across integrations, backend workflows, orchestration layers, and customer facing features.
**Hands On Engineering Ownership**
* Write full stack code with a focus on quality, reliability, and performance.
* Establish best practices for versioning, CI/CD, monitoring, model evaluation, and customer integrations.
* Lead small pods of engineers while supporting cross functional collaboration.
**Direct Customer Engagement**
* Participate in customer sessions to observe workflows and validate product direction.
* Triages issues in real time and adjust technical direction based on practical use.
* Co design features with early adopters to ensure strong market fit.
**Operate Like a Startup**
* Prioritize aggressively to focus on features that drive customer value or learning.
* Define engineering rituals, coding standards, and team operating norms.
* Partner with executive leadership to communicate milestones and influence strategy.
**What You Bring**
**Experience**
* 7\+ years of hands on engineering experience.
* Expert at leading greenfield or 0→1 product builds required
* Strong background working with AI powered systems, automation, workflow engines, or data intensive architectures.
* Experience collaborating closely with product and design teams.
* Cloud deployment experience, preferably AWS.
* Startup or small team operating experience.
**Skills**
* Strong system design ability across backend, AI workflows, automation, and distributed systems.
* Proficiency in at least one modern programming language with Python preferred.
* Experience integrating LLMs, embeddings, prompt orchestration, and evaluation tools.
* Ability to move rapidly from prototype to reliable production code.
* Strong instincts for reliability, logging, observability, and performance.
* Clear communicator with ability to articulate technical tradeoffs.
**Mindset**
* Builder mindset with drive to turn ideas into working systems.
* Comfortable operating in ambiguity with speed.
* Balances creative problem solving with engineering rigor.
* Passionate about the future of AI in enterprise software.
* High ownership and collaborative approach.
**Compensation**
 Our salary ranges are based on paying competitively for our size and industry, and are one part of the total compensation package that also includes annual bonus eligibility, benefits, and other opportunities at ReSource Pro. Individual pay decisions are based on a number of factors, including qualifications for the role, experience level, skillset, geography, and balancing internal equity relative to other ReSource Pro employees. This is a remote position, and the salary range for most locations for this role is
 **$106,561\-$180,645** 
**annually.** 
 The salary range may vary based on experience and on the specific geographic location in which the candidate resides.
**All remote positions are based in the United States, and candidates must reside within the U.S. to be eligible for consideration.**</t>
        </is>
      </c>
    </row>
    <row r="93">
      <c r="A93" t="inlineStr">
        <is>
          <t>li-4331591807</t>
        </is>
      </c>
      <c r="B93" t="inlineStr">
        <is>
          <t>Applied AI Engineer (Digital Natives Business)</t>
        </is>
      </c>
      <c r="C93" t="inlineStr">
        <is>
          <t>Anthropic</t>
        </is>
      </c>
      <c r="D93" t="inlineStr">
        <is>
          <t>linkedin</t>
        </is>
      </c>
      <c r="E93" t="inlineStr"/>
      <c r="F93" t="inlineStr"/>
      <c r="G93" t="inlineStr">
        <is>
          <t>Seattle, WA</t>
        </is>
      </c>
      <c r="H93" t="inlineStr"/>
      <c r="I93"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Anthropic, you will be a technical Product Engineer focused on becoming a trusted technical advisor to Digital Native Businesses \- technology companies adopting the Claude API into their core products. You will work closely with customer product and engineering teams as they ship new products powered by Claude: advising on architecture design decisions, developing evaluation frameworks, and guiding customers through the most cutting\-edge implementation patterns for LLMs.
 Working closely with our Sales, Product, and Engineering teams, you'll guide a focused portfolio of customers from technical discovery through successful deployment. You'll combine deep engineering expertise with customer\-facing skills to help customers unlock the full potential of Claude APIs and move their products closer to the frontier, while maintaining our high standards for safety and reliability.
**Responsibilities**
* Serve as a specialist technical advisor to Anthropic customers as they deploy new products \&amp; workflows with our models: from discovery through deployment, coordinating internally across multiple teams to drive customer success
* Partner with account executives and solutions architects to translate customer business requirements into technical solutions
* Influence technical architecture decisions and customer product strategy by developing customized pilots, prototypes, and evaluation suites
* Lead hands\-on technical workshops and code reviews with customer engineering teams
* Identify common design patterns and contribute insights back to our Product and Engineering teams
* Create scalable public and internal assets, documenting the latest LLM prompting, evaling, agentic, and architecture techniques
* Maintain strong knowledge of the latest developments in LLM capabilities, implementation patterns, and AI product development stacks
* Travel occasionally to customer sites for workshops, implementation support, and building relationships
* Attend conferences, lead speaking engagements, write blog posts and white papers on topics surrounding the AI space
**You May Be a Good Fit If You Have**
* 4\+ years of experience in technical roles such as Forward Deployed Engineer, Software Engineer or Technical Product Manager with a desire to work closely with customers. Former technical founders are also encouraged to apply.
* Production experience with LLMs including advanced prompt engineering, agent development and frameworks, evaluation frameworks, transcript analysis, MCP, and deployment at scale
* Strong programming skills with proficiency in Python or TypeScript and experience building production applications
* Ability to navigate ambiguity and execute across domains with intellectual openness, finding simple solutions to complex problems
* High cooperation mindset for cross\-organizational collaboration, balancing competing priorities with integrity
* Passion for advancing safe, beneficial AI systems through creative technical applications
* Exceptional communication skills to convey technical concepts to diverse stakeholders while maintaining a low ego and collaborative approach
**Deadline to apply:** 
 None. Applications will be reviewed on a rolling basis.
 The annual compensation range for this role is listed below.
 For sales roles, the range provided is the role’s On Target Earnings ("OTE") range, meaning that the range includes both the sales commissions/sales bonuses target and annual base salary for the role.
**Annual Salary**
 $200,000—$320,000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94">
      <c r="A94" t="inlineStr">
        <is>
          <t>li-4358429681</t>
        </is>
      </c>
      <c r="B94" t="inlineStr">
        <is>
          <t>Senior Data Scientist (ML Engineering)</t>
        </is>
      </c>
      <c r="C94" t="inlineStr">
        <is>
          <t>CLEAR</t>
        </is>
      </c>
      <c r="D94" t="inlineStr">
        <is>
          <t>linkedin</t>
        </is>
      </c>
      <c r="E94">
        <f>HYPERLINK("https://www.linkedin.com/jobs/view/4358429681", "https://www.linkedin.com/jobs/view/4358429681")</f>
        <v/>
      </c>
      <c r="F94" t="inlineStr"/>
      <c r="G94" t="inlineStr">
        <is>
          <t>New York, NY</t>
        </is>
      </c>
      <c r="H94" t="inlineStr"/>
      <c r="I94" t="inlineStr">
        <is>
          <t>Have you ever had that green\-light feeling? When you hit every green light and the day just feels like magic. CLEAR's mission is to create frictionless experiences where every day has that feeling. With more than 30\+ million passionate members and hundreds of partners around the world, CLEAR’s identity platform is transforming the way people live, work, and travel. Whether it’s at the airport, stadium, or right on your phone, CLEAR connects you to the things that make you, you \- unlocking easier, more secure, and more seamless experiences \- making them all feel like magic.
 As CLEAR continues to scale, we’re deepening our investment in the data science ecosystem that powers our products, personalization, and decision\-making. We’re looking for a
 **Senior Data Scientist** 
 to design, develop, and deploy advanced statistical and machine learning models that drive measurable business impact on our digital identity platform. This is a hands\-on senior individual contributor role for someone who blends strong modeling expertise, exceptional Python engineering craft, familiarity with modern ML tooling, and a passion for translating complex data into clear, actionable intelligence. You’ll build and operationalize models that help CLEAR understand, predict, and optimize behavior across our digital identity platform delivering insights and automation that scale.
***What You'll Do:***
* **Own and evolve CLEAR’s predictive modeling ecosystem:** 
 design, train, and optimize statistical and machine learning models for our digital identity platform that support product, risk, fraud, operations, and member experience teams.
* **Develop high\-quality production code** 
 including feature engineering pipelines, model training workflows, and evaluation frameworks that meet reliability and performance standards.
* **Partner with Data Engineering and ML Platform teams** 
 to deploy models into production, define scalable data pipelines, and ensure real\-time and batch inference systems run efficiently.
* **Advance CLEAR’s AI \&amp; ML capabilities** 
 by designing reusable modeling components, improving model documentation, and contributing to a roadmap for integrating ML into core products and decision flows.
* **Improve experimentation and insight generation** 
 by building robust tooling and analytical frameworks, designing statistical tests, and synthesizing results into clear and actionable recommendations for cross\-functional teams.
* **Mentor analysts, data scientists, and ML engineers,** 
 guiding them on Python best practices, model development, data exploration, and communicating insights effectively.
***What You Bring:***
* 6\+ years of experience in data science, machine learning, or applied statistics within a modern cloud data environment like AWS Sagemaker.
* Expert\-level Python with deep experience in scientific libraries (e.g. pandas, NumPy, SciPy, matplotlib), machine learning frameworks (e.g. scikit\-learn, XGBoost, LightGBM, pytorch), and model evaluation tooling.
* Strong SQL skills and experience working with cloud data warehouses (e.g. Snowflake, BigQuery, Redshift).
* Experience with modern ML workflow tools (e.g., Airflow, Dagster, MLflow, Vertex / SageMaker, Voxel 51\).
* Deep understanding of statistical methods, experiment design, data cleansing, feature engineering, and model interpretability.
* Proven ability to turn ambiguous business problems into measurable modeling approaches—balancing analytical rigor with practical business impact.
* Experience deploying production models and maintaining them through their lifecycle (monitoring, retraining, performance management).
* Strong communication, stakeholder influence, and storytelling skills; you can translate complex data science work into insights and decisions.
* A proactive, curious mindset with a passion for standardization, repeatability, and scaling high\-quality modeling practices.
***Why You’ll Love This Role:***
* **High\-impact:** 
 Your models and insights will shape decision\-making and member experiences across CLEAR.
* **Craft \+ influence:** 
 Blend hands\-on modeling with the opportunity to set the bar for data science excellence company\-wide.
* **Mission\-driven culture:** 
 Help build trusted, secure, frictionless experiences for millions.
* **Autonomy:** 
 Lead end\-to\-end initiatives, guide best practices, and mentor others across the data organization.
* **Culture that moves:** 
 We value curiosity, iteration, direct feedback, and bold thinking.
***How You’ll be Rewarded:***
 At CLEAR, we help YOU move forward \- because when you’re at your best, we’re at our best. You’ll work with talented team members motivated by our mission of making experiences safer and easier. Our offices are bright and energetic with an open concept and plenty of conference rooms and casual co\-working spaces. We also offer catered lunches every day and have fully stocked kitchens. Outside of the office, we invest in your well\-being and learning \&amp; development with stipends and reimbursement programs.
 We offer holistic total rewards, including comprehensive healthcare plans, family\-building benefits (fertility and adoption/surrogacy support), flexible time off, annual wellness stipend, free OneMedical memberships for you and your dependents, a CLEAR Plus membership, and a 401(k) retirement plan with employer match. The base salary range for this role is $175,000 \-$215,000, depending on levels of skills and experience.
*The base salary range represents the low and high end of CLEAR’s salary range for this position. Salaries will vary depending on various factors which include, but are not limited to location, education, skills, experience and performance. The range listed is just one component of CLEAR’s total compensation package for employees and other rewards may include annual bonuses, commission, Restricted Stock Units* 
*CLEAR provides reasonable accommodation to qualified individuals with disabilities or protected needs. Please let us know if you require a reasonable accommodation to apply for a job or perform your job. Examples of reasonable accommodation include, but are not limited to, time off, extra breaks, making a change to the application process or work procedures, policy exceptions, providing documents in an alternative format, live captioning or using a sign language interpreter, or using specialized equipment.* 
*We are committed to a transparent and secure hiring process. All communications related to this role will come directly from a CLEAR employee through valid CLEAR channels (e.g., a valid @clearme.com email address or verified CLEAR LinkedIn profile). We encourage candidates to remain alert to job scams and to report any suspicious activity.*</t>
        </is>
      </c>
    </row>
    <row r="95">
      <c r="A95" t="inlineStr">
        <is>
          <t>li-4344337370</t>
        </is>
      </c>
      <c r="B95" t="inlineStr">
        <is>
          <t>AI Applied Scientist</t>
        </is>
      </c>
      <c r="C95" t="inlineStr">
        <is>
          <t>Figma</t>
        </is>
      </c>
      <c r="D95" t="inlineStr">
        <is>
          <t>linkedin</t>
        </is>
      </c>
      <c r="E95">
        <f>HYPERLINK("https://www.linkedin.com/jobs/view/4344337370", "https://www.linkedin.com/jobs/view/4344337370")</f>
        <v/>
      </c>
      <c r="F95">
        <f>HYPERLINK("https://boards.greenhouse.io/figma/jobs/5707966004?gh_jid=5707966004&amp;gh_src=28109e334us&amp;source=LinkedIn&amp;urlHash=8T4k", "https://boards.greenhouse.io/figma/jobs/5707966004?gh_jid=5707966004&amp;gh_src=28109e334us&amp;source=LinkedIn&amp;urlHash=8T4k")</f>
        <v/>
      </c>
      <c r="G95" t="inlineStr">
        <is>
          <t>San Francisco, CA</t>
        </is>
      </c>
      <c r="H95" t="inlineStr"/>
      <c r="I95"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We’re looking for applied scientists with a Machine Learning and Artificial Intelligence background to build AI technologies and make Figma products more magical.. You will be driving fundamental and applied research in this area. You will be combining industry best practices and a first\-principles approach to design and build AI/ML models and systems to improve Figma’s products.
 This is a full time role that can be held from one of our US hubs or remotely in the United States.
**What you’ll do at Figma:**
* You will be driving fundamental and applied research in AI. You will explore the boundaries of what is possible with the current technology set to build best in class models for Figma’s domains
* You will be combining industry best practices and a first\-principles approach to build cutting edge Generative AI models, using techniques like Supervised Finetuning (SFT), Reinforcement Learning (RL), prompt improvements and synthetic data generation
* Work in concert with product and infrastructure engineers to improve Figma’s products through AI powered features
* Collaborate closely with product managers and engineers to transform user feedback into requirements for AI systems
* Build evaluation systems to measure and improve quality of AI features in Figma products
**We'd love to hear from you if you have:**
* Extensive experience in building generative AI features through prompt engineering, and fine tuning models in production environments
* Experience working on deep learning and generative AI frameworks like PyTorch, JAX, HuggingFace etc
* Experience training LLMs with Reinforcement Learning techniques such as preference\-based RL (DPO, PPO) and/or RL with verifiable rewards (RLVR) such as GRPO/DAPO. Experience with RL from execution feedback for Coding, and RL with non\-verifiable rewards will be a plus
* 4\+ years in Generative AI, and 6\+ years of experience in one or more of the following areas: machine learning, natural language processing/understanding, computer vision
* Strong software engineering skills with 5\+ years of experience in programming languages (Python, C\+\+, Java or R)
* Experience communicating and working across functions to drive solutions
**While not required, It’s an added plus if you also have:**
* Proven track record of planning multi\-year roadmap in which shorter\-term projects ladder to the long\-term vision
* Experience in mentoring/influencing senior engineers across organizations
* Expertise working on large scale and distributed AI training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$149,000—$350,000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96">
      <c r="A96" t="inlineStr">
        <is>
          <t>li-4367388611</t>
        </is>
      </c>
      <c r="B96" t="inlineStr">
        <is>
          <t>Applied Scientist II, Amazon, Amazon</t>
        </is>
      </c>
      <c r="C96" t="inlineStr">
        <is>
          <t>Amazon Business</t>
        </is>
      </c>
      <c r="D96" t="inlineStr">
        <is>
          <t>linkedin</t>
        </is>
      </c>
      <c r="E96">
        <f>HYPERLINK("https://www.linkedin.com/jobs/view/4367388611", "https://www.linkedin.com/jobs/view/4367388611")</f>
        <v/>
      </c>
      <c r="F96" t="inlineStr"/>
      <c r="G96" t="inlineStr">
        <is>
          <t>Seattle, WA</t>
        </is>
      </c>
      <c r="H96" t="inlineStr"/>
      <c r="I96" t="inlineStr">
        <is>
          <t>**Description**
 We’re working to improve shopping on Amazon using the conversational capabilities of large language models, and are searching for pioneers who are passionate about technology, innovation, and customer experience, and are ready to make a lasting impact on the industry. In this role, you will be developing Multimodal and Agentic LLMs to unlock new shopping experiences. Experience in Vision\-Language Multimodal Modeling and Reinforcement Learning is preferred. You'll be working with talented scientists, engineers, and technical program managers (TPM) to innovate on behalf of our customers. If you're fired up about being part of a dynamic, driven team, then this is your moment to join us on this exciting journey!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A3148694</t>
        </is>
      </c>
    </row>
    <row r="97">
      <c r="A97" t="inlineStr">
        <is>
          <t>li-4358544243</t>
        </is>
      </c>
      <c r="B97" t="inlineStr">
        <is>
          <t>Senior Applied Scientist, Industrial Robotics Group</t>
        </is>
      </c>
      <c r="C97" t="inlineStr">
        <is>
          <t>Amazon</t>
        </is>
      </c>
      <c r="D97" t="inlineStr">
        <is>
          <t>linkedin</t>
        </is>
      </c>
      <c r="E97">
        <f>HYPERLINK("https://www.linkedin.com/jobs/view/4358544243", "https://www.linkedin.com/jobs/view/4358544243")</f>
        <v/>
      </c>
      <c r="F97" t="inlineStr"/>
      <c r="G97" t="inlineStr">
        <is>
          <t>Middlesex County, MA</t>
        </is>
      </c>
      <c r="H97" t="inlineStr"/>
      <c r="I97" t="inlineStr">
        <is>
          <t>**Description**
 Amazon Industrial Robotics Group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whole body control methods for balance, locomotion, and dexterous manipulation
* Utilize state\-of\-the\-art in methods in learned and model\-based control
* Create robust and safe behaviors for different terrains and tasks
* Implement real\-time controllers with stability guarantees
* Collaborate effectively with multi\-disciplinary teams to co\-design hardware and algorithms for loco\-manipulation
* Mentor junior engineer and scientists
**Basic Qualifications**
* PhD, or Master's degree and 4\+ years of applied research experience
* Experience with methods for whole\-body control such as hierarchical quadratic programming and model\-predictive control
* Experience with imitation learning and reinforcement learning for whole\-body control
* Experience with simulation environments such as IsaacLab, Mujoco, Drake, etc.
* Experience with developing and deploying code for real\-time controllers
* Experience in state estimation from multiple sensor modalities
**Preferred Qualifications**
* Experience programming in Java, C\+\+, Python or related language
* Experience working effectively across cross\-functional teams and partnering well with people at all levels within an organization
* PhD in Robotics, with a focus on whole\-body control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
**Company** 
 \- Amazon.com Services LLC
 Job ID: A3154866</t>
        </is>
      </c>
    </row>
    <row r="98">
      <c r="A98" t="inlineStr">
        <is>
          <t>li-4344552817</t>
        </is>
      </c>
      <c r="B98" t="inlineStr">
        <is>
          <t>Applied Scientist, Customer Behavior Analytics</t>
        </is>
      </c>
      <c r="C98" t="inlineStr">
        <is>
          <t>Amazon</t>
        </is>
      </c>
      <c r="D98" t="inlineStr">
        <is>
          <t>linkedin</t>
        </is>
      </c>
      <c r="E98">
        <f>HYPERLINK("https://www.linkedin.com/jobs/view/4344552817", "https://www.linkedin.com/jobs/view/4344552817")</f>
        <v/>
      </c>
      <c r="F98" t="inlineStr"/>
      <c r="G98" t="inlineStr">
        <is>
          <t>Seattle, WA</t>
        </is>
      </c>
      <c r="H98" t="inlineStr"/>
      <c r="I98" t="inlineStr">
        <is>
          <t>**Description**
 The Customer Behavior Analytics team designs innovative machine learning solutions to enhance customer experiences and strengthen their relationship with Amazon. This interdisciplinary team of scientists and engineers incubates and develops disruptive solutions using state\-of\-the\-art technology to tackle some of the most challenging scientific problems in customer behavior analysis at Amazon. To achieve this, the team utilizes methods from deep learning, large language models (LLMs), natural language models, recommendation systems, affinity models, reinforcement learning, and econometrics to drive personalized experiences throughout the customer journey.
 As a Customer Behavior Analytics Scientist, you will have the opportunity to make a significant business impact, delve into large\-scale problems, drive measurable actions, and collaborate closely with other scientists and engineers. You will be responsible for designing and developing state\-of\-the\-art models and working with business, marketing, and engineering teams to address key challenges in customer behavior analytics.
**Key Responsibilities Include**
* Design and fine\-tune large language and generative models for recommendation and engagement, including continued pre\-training, supervised fine\-tuning, and preference\-based alignment, to optimize for long\-term customer value rather than short\-term clicks.
* Develop generative recommendation and decision models that produce next\-best customer engagement actions (e.g., recommendations, bundles, messaging, incentives, timing), conditioned on structured customer and household\-level behavioral context.
* Build structured, temporal representations of customer behavior (e.g., lifecycle stage, needs, replenishment patterns, engagement history) and integrate them into generative and deep learning models to enable long\-horizon reasoning.
* Experiment scalable representations of customer and household behavior that summarize long engagement history into compact states, supporting efficient, incremental inference in large\-scale inference.
* Design and apply post\-training optimization techniques (e.g., auxiliary objectives, preference modeling, offline reinforcement learning or policy optimization) to align model behavior with long\-term engagement, satisfaction, and retention metrics.
* Develop robust evaluation frameworks combining offline metrics, counterfactual analysis, and online experimentation to measure both immediate impact and long\-term customer outcomes.
 In this role, you will be an analytical problem solver who enjoys exploring data, participating in problem\-solving efforts, developing new frameworks, and engaging in investigations and algorithm development. You should be capable of effectively collaborating with technical teams and business stakeholders, pushing the boundaries of what is scientifically possible, and maintaining a sharp focus on measurable customer satisfaction and business impact.
 Your work will be crucial in shaping the future of customer behavior analytics at Amazon, driving innovation that directly impacts millions of customers worldwide. This position offers a high\-visibility opportunity to contribute to solutions that are vital to improving customer satisfaction and loyalty, serving as a model for customer\-centric solutions across the company.
**Basic Qualifications**
* Experience with programming languages such as Python, Java, C\+\+
* Have publications at top\-tier peer\-reviewed conferences or journals
* PhD, or Master's degree and 3\+ years of practical machine learning experience
* Ability to simplify complex technical concepts and explaining modeling approaches and outcomes to business leaders with the right level of detail.
**Preferred Qualifications**
* Experience using Unix/Linux
* 4\+ years of building machine learning models or developing algorithms for business application experience
* Experience working on recommender systems or personalization within search, e\-commerce, shopping, advertising or other related fields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\- 142,800\.00 \- 193,200\.00 USD annually
**Company** 
 \- Amazon.com Services LLC
 Job ID: A3130119</t>
        </is>
      </c>
    </row>
    <row r="99">
      <c r="A99" t="inlineStr">
        <is>
          <t>li-4359470294</t>
        </is>
      </c>
      <c r="B99" t="inlineStr">
        <is>
          <t>Lead Machine Learning Engineer</t>
        </is>
      </c>
      <c r="C99" t="inlineStr">
        <is>
          <t>Salesforce</t>
        </is>
      </c>
      <c r="D99" t="inlineStr">
        <is>
          <t>linkedin</t>
        </is>
      </c>
      <c r="E99">
        <f>HYPERLINK("https://www.linkedin.com/jobs/view/4359470294", "https://www.linkedin.com/jobs/view/4359470294")</f>
        <v/>
      </c>
      <c r="F99" t="inlineStr"/>
      <c r="G99" t="inlineStr">
        <is>
          <t>New York, NY</t>
        </is>
      </c>
      <c r="H99" t="inlineStr"/>
      <c r="I9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We are a foundation machine learning platform team within the Trust Intelligence Platform organization with a main focus to build and accelerate scalable and resilient machine learning pipelines across the security engineering organization.
 We are looking for a highly motivated, hands\-on lead machine learning engineer with a strong business understanding of cybersecurity problems, who acts as a force multiplier security data scientist for our security organization. The lead will not simply build models; they will architect the data\-driven strategy for our threat detection capabilities.
**Your Impact**
* Shape the Defense Strategy: You will own the decision\-making process—translating vague security threats into concrete mathematical problems. By championing a rapid prototyping culture, you will validate hypotheses in days rather than months, ensuring our engineering resources are focused only on high\-value detections while killing low\-signal ideas early.
* Detect the "Unknown Unknowns": You will lead the evolution of our threat detection, introducing more advanced probabilistic modeling, graph analytics, supervised and unsupervised learing. Your work will expose sophisticated threats—such as active system intrusions, lateral movement, beaconing, and insider attacks—that evade traditional defenses, directly reducing the organization's risk surface.
* Elevate the Organization: You will act as a force multiplier, mentoring junior scientists and engineers, and building the internal tooling, feature stores, and libraries that make the whole team faster. You will influence the broader security engineering roadmap to ensure a closed loop security telemetry that is treated as a first\-class citizen.
* Operationalize Intelligence: By prioritizing engineering rigor (CI/CD, scalable code) and adversarial resilience, you will deliver production\-grade models that the SOC actually trusts—minimizing "alert fatigue" and maximizing analyst efficiency.
**Required Skills**
* Extensive experience (3\-5\+ years) in data science, with at least 2\+ years dedicated to the cybersecurity domain designing, implementing and deploying systems of anomaly detection, clustering, and graph models in production.
* Extended practical knowledge and familiarity with security frameworks such as MITRE ATT\&amp;CK and OCSF.
* Hands\-on comfort with high\-volume logs and proficiency with Spark/Pyspark, Snowflake, Flink and streaming services such as Apache Kafka
* Deep understanding and application of containerization (Docker) and workflow orchestration (Kubernetes, Apache Airflow) for automated ML pipelines.
* Mastery of Python programming, including proficiency in leading ML frameworks (TensorFlow, PyTorch) and adherence to software engineering best practices.
* Demonstrated success in implementing comprehensive MLOps methodologies, encompassing CI/CD pipelines, testing protocols, and model performance monitoring.
* Solid foundation in feature engineering techniques and the implementation of feature stores.
* Experience in formulating ML governance policies and ensuring adherence to data security regulations.
* Ability to explain complex statistical concepts to non\-technical stakeholders and executive leadership.
* Proven ability to manage scope, timelines, and stakeholder expectations across multiple organizations.
* High degree of autonomy with the ability to look at a vague business problem and structure a data\-driven solution without needing a predefined roadmap.
* A related technical degree is required.
**Preferred Skills**
* Masters or PhD in a quantitative field
* Expertise in advanced Natural Language Processing (NLP) methodologies.
* Experience contributing to open\-source security data science tools.
* Presentations at major security conferences (Black Hat, DEF CON, BSides) or data conferences.
* Background in offensive security (Penetration Testing/Red Teaming) with an "attacker's mindset."
* Demonstrated experience conducting research or working collaboratively with Machine Learning (ML) research teams.
* Previous experience in a mentoring role for junior engineers.
* Track record of publications and/or patents in quantitative disciplines.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100">
      <c r="A100" t="inlineStr">
        <is>
          <t>li-4343869530</t>
        </is>
      </c>
      <c r="B100" t="inlineStr">
        <is>
          <t>AI/ML Engineer</t>
        </is>
      </c>
      <c r="C100" t="inlineStr">
        <is>
          <t>Alation</t>
        </is>
      </c>
      <c r="D100" t="inlineStr">
        <is>
          <t>linkedin</t>
        </is>
      </c>
      <c r="E100">
        <f>HYPERLINK("https://www.linkedin.com/jobs/view/4343869530", "https://www.linkedin.com/jobs/view/4343869530")</f>
        <v/>
      </c>
      <c r="F100" t="inlineStr"/>
      <c r="G100" t="inlineStr">
        <is>
          <t>Redwood City, CA</t>
        </is>
      </c>
      <c r="H100" t="inlineStr"/>
      <c r="I100" t="inlineStr">
        <is>
          <t>Alation is pioneering the next era of
 **data intelligence — powered by AI agents and trusted data** 
 . Organizations around the world rely on
 **Alation** 
 to drive self\-service analytics, cloud transformation, data governance, and AI innovation. Our technology helps enterprises connect people and data to make faster, smarter, and more confident decisions. With more than $340M in funding – valued at over $1\.7 billion and more than 650 customers, including 40% of the Fortune 100\.
 As data becomes the foundation of every business, Alation is leading the way in helping organizations unlock their full potential. By bringing intelligence, automation, and trust to every interaction, we empower customers to scale data\-driven innovation with confidence and speed.
 Joining Alation means being part of a
 **winning team shaping the future of AI\-powered data intelligence** 
 . We move fast, think big, and deliver results together.
**Job Description**
*Please note that
 **we do not offer work visa sponsorship at any point for this role.***
*This is a hybrid role working Tuesdays \&amp; Thursdays in our Redwood City, CA office. Local candidates only. No relocation.*
 We’re looking for an
 **AI/ML Engineer** 
 (Software Engineer II) who’s eager to build intelligent systems that help real businesses work smarter. You’ll work closely with senior engineers and enterprise customers to design and prototype AI applications powered by Alation’s data ecosystem.
 This role is ideal for someone who enjoys coding, experimenting with large language models, and learning how to turn ideas into real\-world systems. You’ll get hands\-on experience with modern AI frameworks while developing your skills in data, software engineering, and customer collaboration. One more thing...we work in a hybrid model—you’ll join us in our Redwood City office to collaborate, connect, and enjoy a team atmosphere!
**What You’ll Do**
* Prototype AI Agents: Experiment with modern LLM and agent frameworks (e.g., LangChain, Pydantic\-AI) — evaluate, benchmark, and refine performance with guidance from AI experts and researchers.
* Collaborate with customers: Partner with technical stakeholders to understand real\-world use cases and co\-design practical solutions.
* Build AI\-powered applications: Develop agentic systems that combine structured data, language models, and automation to deliver measurable results.
* Code with care: Write clean, well\-structured Python code for integrations, pipelines, and intelligent systems.
* Grow through teamwork: Work directly with product and platform teams to share insights from real deployments and help improve Alation’s AI platform.
* Contribute reusable tools: Help create templates and patterns that speed up future implementations.
**Required**
* 1 \- 3 years of related experience in a startup or rapidly growing and evolving business.
* B.S. in Computer Science or related field (M.S. in Computer Science or related field preferred)
* Strong Python fundamentals, with experience writing and debugging production\-quality code.
* Curiosity and an understanding of LLMs or AI system development — from prompting to evaluation.
* Comfort working with SQL and relational data; familiarity with tools like Snowflake, BigQuery, or Redshift is a plus.
* Interest in working across the full lifecycle — from problem framing and prototyping to testing and deployment.
* Clear communication skills and an ability to collaborate with both engineers and non\-technical teams.
* A growth mindset — you like learning new frameworks, exploring ideas, and solving open\-ended problems.
**Preferred**
* Experience deploying AI or ML systems in production (e.g., observability, monitoring, and iterative improvement).
* Background in forward deployed engineering, solutions engineering, or AI consulting roles.
* Familiarity with data infrastructure and MLOps concepts — APIs, orchestration, containerization, and cloud environments.
* Understanding of enterprise data governance and access control principles.
**Compensation Pay Range**
 $120,576\.00 \- $162,778\.00
 Salary Information
 The base salary range is specific to the United States. The salary of the final candidate selected for this role will be set based on a variety of factors, including but not limited to internal equity, experience, education, work location, specialty and training. If the final candidate has a different level of experience, the base salary target range may be lower or higher than what is published.
*Alation, Inc. is an Equal Employment Opportunity employer. All qualified applicants will receive consideration for employment without regards to that individual’s race, color, religion or creed, national origin or ancestry, sex (including pregnancy), sexual orientation, gender identity, age, physical or mental disability, veteran status, genetic information, ethnicity, citizenship, or any other characteristic protected by law.*
*The Company will strive to provide reasonable accommodations to permit qualified applicants who have a need for an accommodation to participate in the hiring process (e.g., accommodations for a job interview) if so requested.*
*This company participates in E\-Verify. Click on any of the links below to view or print the full poster.* 
*E\-Verify and Right to Work.*</t>
        </is>
      </c>
    </row>
    <row r="101">
      <c r="A101" t="inlineStr">
        <is>
          <t>li-4375820140</t>
        </is>
      </c>
      <c r="B101" t="inlineStr">
        <is>
          <t>AI Engineer</t>
        </is>
      </c>
      <c r="C101" t="inlineStr">
        <is>
          <t>Influur</t>
        </is>
      </c>
      <c r="D101" t="inlineStr">
        <is>
          <t>linkedin</t>
        </is>
      </c>
      <c r="E101">
        <f>HYPERLINK("https://www.linkedin.com/jobs/view/4375820140", "https://www.linkedin.com/jobs/view/4375820140")</f>
        <v/>
      </c>
      <c r="F101" t="inlineStr"/>
      <c r="G101" t="inlineStr"/>
      <c r="H101" t="inlineStr"/>
      <c r="I101" t="inlineStr">
        <is>
          <t>**About Influur**
 We're building the world's first viral agent. An AI purpose built for influencer marketing.
 Not a tool. Not a platform. An autonomous agent that goes from "I need this campaign to break" to "50 influencers live next week" with minimal human intervention.
 Why this matters: We have 3 years of proprietary data on what makes influencer content go viral. Warner, Sony, and Universal trust us to break their biggest artists. We're backed by the biggest names in entertainment including Sofia Vergara, Karol G, Tommy Mottola, and Tier 1 VCs like Point72 Ventures. We're not building for hypothetical use cases. We're shipping production AI that drives millions in revenue today.
 Why we'll win: We have what no one else has: both the data and the distribution. We have proprietary data on thousands of influencers and what makes content go viral, plus direct relationships with the influencers themselves. In the AI era, having both is the moat. Everyone else has one or the other. We have both.
 Why now: AGI agents will replace middle level work by 2027\. We have a 12 to 18 month window before the market floods with agents. We're building the category defining social media viral agent right now.
 What we're looking for: Young talent ready to go all in. We're offering significant equity to people who want to build something that matters. This isn't a job. It's an opportunity to define the future of AI in influencer marketing and own a meaningful piece of it.
**Your Skillset**
* Solid experience designing multi AI agent architectures with memory, tool use, and feedback loops (LangChain, CrewAI, or custom orchestration), using LLMs such as those from OpenAI, Anthropic, Gemini, etc
* Expertise in full\-stack development (Node.js, Next.js) and scalable systems
* Strong proficiency in Python is a plus
* Ability to reason about API orchestration, error handling, integration complexity
* Experience building RAG systems
* Experience building and integrating APIs (REST) in Node.js
* Hands\-on experience using AI\-powered IDE tools such as Cursor
* Experience properly using LLMs in different parts of a greater system
* Deep knowledge of which models to be used whenCreating and using embeddings
* Strong grasp of API architecture, performance tuning, and database optimization (SQL)
* Technical leadership: from design to deployment
* Deep code quality standards: automation, testing, reviews, and focus on end\-to\-end ownership
* Effective communicator across product, design, and business
* Familiarity with cloud infra (AWS/GCP) and container tools (Docker, Kubernetes)
* Knowledge on social media (especially TikTok), both in a tech perspective and a consumer perspective
* Past experience in video content classification/embeddings/tagging
**You’re The Type Who**
* Builds like an AI native, automates, experiments, and ships at lightning speed
* Brings a generalist mindset, curious, versatile, hands\-on, and comfortable across the stack
* Moves fast, builds with precision, and expects high standards
* Thrives in early\-stage startups where nothing is “someone else’s job”
* Sees ambiguity as an opportunity to lead and learn
* Thinks like a product builder, not just writing code, but shaping how AI enhances user experience and business outcomes
* Is obsessed with pushing what’s possible with AI and scalable systems
 What We Offer
* Competitive equity in a venture\-backed company shaping the future of music influencer marketing
* A seat at the table as we redefine how the most iconic record labels, artists, and brands go viral (think Bad Bunny), with our tech, support, and strategic guidance
* Access to elite tools, AI copilots, and a team that builds daily at top speed
* Hybrid flexibility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2">
      <c r="A102" t="inlineStr">
        <is>
          <t>li-4281817025</t>
        </is>
      </c>
      <c r="B102" t="inlineStr">
        <is>
          <t>AI/ML Engineer</t>
        </is>
      </c>
      <c r="C102" t="inlineStr">
        <is>
          <t>Savant Bio</t>
        </is>
      </c>
      <c r="D102" t="inlineStr">
        <is>
          <t>linkedin</t>
        </is>
      </c>
      <c r="E102">
        <f>HYPERLINK("https://www.linkedin.com/jobs/view/4281817025", "https://www.linkedin.com/jobs/view/4281817025")</f>
        <v/>
      </c>
      <c r="F102" t="inlineStr"/>
      <c r="G102" t="inlineStr">
        <is>
          <t>New York, NY</t>
        </is>
      </c>
      <c r="H102" t="inlineStr"/>
      <c r="I102" t="inlineStr">
        <is>
          <t>**About Us:** 
 Savant is transforming how healthcare and life sciences organizations unlock the value trapped in unstructured medical data. Our platform combines cutting\-edge large language models (LLMs) with domain\-specific quality controls to convert free\-text clinical records into structured, analysis\-ready data — efficiently, accurately, and at scale. We work with leading institutions across healthcare, life sciences, and research, supporting faster studies, sharper insights, and better care. Backed by Roivant (NASDAQ: ROIV), Savant is built for organizations that see structured data not just as an output, but as a foundation for innovation.
**The Opportunity:** 
 We’re hiring an AI/ML Engineer to help build and scale the infrastructure behind Savant’s clinical data structuring platform. In this role, you’ll work at the intersection of LLMs, applied machine learning, and healthcare data to develop production\-grade pipelines that extract structured insights from messy, high\-stakes records. This is a high\-impact engineering role with full\-stack exposure \- from prototyping model workflows to deploying scalable inference systems. You’ll work closely with our product, clinical, and engineering teams to continuously improve model performance and delivery quality. If you’re excited to build real\-world applications of LLMs, shape how AI gets deployed in healthcare, and operate with ownership in a fast\-paced startup environment, we’d love to hear from you.
**Some Things You Might Work On**
* Design and build robust ML pipelines to apply LLMs and other models to unstructured clinical text
* Develop and optimize systems for information extraction, entity resolution, data normalization, and QA
* Build and scale infrastructure for running model inference across large datasets
* Prototype, evaluate, and refine prompt strategies, model configurations, and workflows
* Implement internal tools for monitoring, observability, and iterative model improvement
* Translate research prototypes into reliable, testable, and maintainable production code
* Collaborate cross\-functionally with clinical experts and product leads to embed domain knowledge into model workflows
**What We're Looking For**
* 3\+ years of hands\-on experience building and deploying ML/AI systems
* Strong Python development skills, including experience with production\-quality ML codebases
* Familiarity with modern ML/NLP frameworks (e.g., PyTorch, Hugging Face, spaCy)
* Experience working with large\-scale unstructured or semi\-structured data
* Practical knowledge of LLMs: prompt engineering, evaluation, fine\-tuning, observability
* Comfort working in fast\-paced, ambiguous environments where iteration is key
* Clear communicator with a collaborative mindset
**Bonus Points For**
* Experience working with clinical or healthcare data (EMRs, registries, imaging, labs, etc.)
* Familiarity with model evaluation tooling, quality benchmarking, and drift detection
* Exposure to data privacy or compliance frameworks (HIPAA, de\-ID workflows, etc.)
* Experience in an early\-stage startup or small, fast\-moving technical team
**Why Join Us**
* Full\-Stack AI Impact: Contribute across the ML lifecycle, from data to deployment
* Product\-Embedded Work: Your contributions will ship as part of a real product, not just R\&amp;D
* Tight Collaboration: Work directly with cross\-functional partners across clinical, product, and engineering
* Mission\-Driven: Help unlock better healthcare by solving foundational data problems
 Base salary for this role will be determined during the interview process and will vary based on multiple factors, including but not limited to prior experience, relevant expertise, current business needs, and market conditions. The expected base salary for the role will generally be between $130,000 to $180,000 per year, with meaningful equity. The final salary offered may be outside this range based on individual circumstances and business and market conditions.
 Base salary if hired is only part of the total compensation package, which, depending on the position, may also include other components such as discretionary bonuses and Company\-sponsored benefit programs.
 This position is at\-will and Savant reserves the right to modify base salary (as well as any other discretionary payment or compensation program) at any time, including for reasons related to individual performance and business and market conditions.
 Savant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103">
      <c r="A103" t="inlineStr">
        <is>
          <t>li-4259765111</t>
        </is>
      </c>
      <c r="B103" t="inlineStr">
        <is>
          <t>Machine Learning Engineer - Perception Offline Driving Intelligence</t>
        </is>
      </c>
      <c r="C103" t="inlineStr">
        <is>
          <t>Zoox</t>
        </is>
      </c>
      <c r="D103" t="inlineStr">
        <is>
          <t>linkedin</t>
        </is>
      </c>
      <c r="E103">
        <f>HYPERLINK("https://www.linkedin.com/jobs/view/4259765111", "https://www.linkedin.com/jobs/view/4259765111")</f>
        <v/>
      </c>
      <c r="F103">
        <f>HYPERLINK("https://jobs.lever.co/zoox/03b2ccc5-85ac-4f55-9633-9215451246b2/apply?source=LinkedIn&amp;urlHash=xViu", "https://jobs.lever.co/zoox/03b2ccc5-85ac-4f55-9633-9215451246b2/apply?source=LinkedIn&amp;urlHash=xViu")</f>
        <v/>
      </c>
      <c r="G103" t="inlineStr">
        <is>
          <t>Foster City, CA</t>
        </is>
      </c>
      <c r="H103" t="inlineStr"/>
      <c r="I103" t="inlineStr">
        <is>
          <t>The Offline Driving Intelligence (ODIN) team at Zoox is leveraging the latest in AI to craft algorithms that understand the world. We leverage large models first offline and we devise a path of impact into our self\-driving robot, enabling safe and efficient navigation in complex environments.
 As an engineer in the ODIN team, you will develop advanced multimodal large language models that enhance environmental understanding. You'll develop and fine\-tune these models for off\-vehicle analysis while working with the onboard team to deliver impact in our robotaxi platform, ensuring they can efficiently identify hazards and interpret driving restrictions with minimal latency. Working alongside world\-class engineers and researchers, you'll leverage premium sensor data and cutting\-edge infrastructure to validate your algorithms in real\-world conditions, directly impacting productivity, safety and the capability of Zoox's autonomous system.
**In This Role, You Will**
* Develop multimodal large language models that enhance our robotaxis' understanding of complex urban environments
* Implement model architectures and sophisticated training techniques
* Build large high quality datasets leveraging all the inputs from our sensor stack and the overall large scale data we have at Zoox.
* Drive end\-to\-end ML solutions from research to production, utilizing Zoox's extensive data pipelines and infrastructure to improve autonomous driving capabilities.
* Collaborate with perception, planning, safety, and systems teams to integrate your models into the vehicle's decision\-making pipeline.
* Validate and optimize your solutions using real\-world driving scenarios, directly contributing to the safety and reliability of Zoox's autonomous system
**Qualifications**
* MS or PhD in Computer Science, Machine Learning, or related technical field
* Demonstrated experience training and deploying large language models (LLMs)
* Experience building and maintaining ML training pipelines, including data preprocessing, model training, and evaluation
* Proficiency in Python and ML libraries (PyTorch, NumPy) demonstrated through professional or research projects
* Experience training models with large scale data
**Bonus Qualifications**
* Publications in top\-tier conferences (CVPR, ICCV, RSS, ICRA)
* Experience with autonomous robotics systems
 $189,000 \- $257,000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4">
      <c r="A104" t="inlineStr">
        <is>
          <t>li-4317507136</t>
        </is>
      </c>
      <c r="B104" t="inlineStr">
        <is>
          <t>AI Engineer</t>
        </is>
      </c>
      <c r="C104" t="inlineStr">
        <is>
          <t>Develop Health</t>
        </is>
      </c>
      <c r="D104" t="inlineStr">
        <is>
          <t>linkedin</t>
        </is>
      </c>
      <c r="E104">
        <f>HYPERLINK("https://www.linkedin.com/jobs/view/4317507136", "https://www.linkedin.com/jobs/view/4317507136")</f>
        <v/>
      </c>
      <c r="F104" t="inlineStr"/>
      <c r="G104" t="inlineStr">
        <is>
          <t>Menlo Park, CA</t>
        </is>
      </c>
      <c r="H104" t="inlineStr"/>
      <c r="I104" t="inlineStr">
        <is>
          <t>Develop Health is on a mission to use AI to radically accelerate access to life\-saving medications. By automating complex, manual healthcare processes—like benefit verification and prior authorization—
 **we’ve grown from $0 to \&gt;$10M in annual recurring revenue in less than 2 years, and currently help more than 400,000 new patients every month** 
 .
 We’re partnering with some of the largest pharmacy benefit managers and payers in the nation, revolutionizing how healthcare interactions occur by eliminating human delays and inefficiencies. Our small, elite team of founders and engineers have previously launched and exited successful healthcare startups including Rupa Health and Canvas Medical. We are now scaling rapidly following a major funding round.
**About The Role** 
 We’re hiring an
 **AI Engineer** 
 to take models from prototype to production and drive real clinical impact through applied AI. You’ll have significant autonomy to define high‑value projects, build production‑ready systems, and ensure our models are safe, reliable, and deeply useful in the healthcare workflow.
 You’ll work closely with our product engineers, clinical leaders, and CTO to ensure that our AI delivers measurable improvements in patient access and operational efficiency. This is a hands‑on role that combines cutting‑edge AI development with pragmatic engineering and evaluation.
**What You'll Do \- Impact In Your First 3\-6 Months:** 
* Build and curate datasets and context sources to enable exceptional prompt engineering and evaluation of frontier LLMs, optimizing inputs, retrieval, and context to deliver cutting‑edge performance and reliability.
* Design and maintain evaluation pipelines that rigorously measure model accuracy, reliability, and real‑world clinical value.
* Prompt, test, and iterate on LLM workflows—including retrieval, agent logic, and tool use—to achieve industry‑leading performance.
* Deploy models into production: design APIs, integrate inference into our Python‑based backend, and implement observability and monitoring.
* Stay on the frontier of AI research, evaluating and incorporating advancements that enhance our platform.
**What You’ll Own – Driving Growth Beyond 12 Months:** 
* Develop and scale systems for continuous model improvement and learning, informed by real production feedback.
* Build AI infrastructure and tooling to enable other teams to safely prototype and deploy models.
* Collaborate with engineering leadership to architect the next‑generation AI platform that supports 100× transaction volume.
* Advance the AI‑driven features of our product—making our automation smarter, faster, and more context‑aware.
* Mentor future AI hires and help shape the company’s applied AI roadmap.
**What You’ll Bring On Day 1:** 
* 3\+ years of experience in applied AI or machine learning engineering.
* Deep, hands‑on experience with LLMs, modern AI frameworks, and evaluation techniques.
* Strong proficiency in Python, including API design and integration of AI models into production systems.
* Demonstrated ability to independently identify impactful projects and deliver them end‑to‑end.
* A mindset oriented toward ownership, autonomy, and measurable outcomes, not ticket‑driven work.
* Comfort operating in a fast‑paced, high‑autonomy startup environment.
* Availability to work on‑site in Menlo Park at least three days per week.
**What You’ll Need To Learn Quickly:** 
* How our AI systems integrate with benefit verification and prior authorization workflows, and develop a deep understanding of the healthcare ecosystem—how data moves through payers, providers, and patients, and how our automation fits into these processes.
* Our internal data sources, operational rhythms, and model evaluation standards.
* Emerging AI techniques relevant to retrieval‑augmented generation, fine‑tuning, and evaluation automation.
**Bonus Points:** 
* Experience in healthcare or health‑tech environments.
* Prior startup or founding‑team experience.
* Familiarity with observability and monitoring frameworks for production ML systems.
* Contributions to open‑source AI projects or applied research.
**What We Offer:** 
* Competitive salary \+ meaningful equity in a company growing 10× year‑over‑year.
* Health, dental, and vision coverage; flexible PTO.
* High‑end workstation \&amp; tooling budget.
* The opportunity to build AI that directly improves access to care for millions of patients.</t>
        </is>
      </c>
    </row>
    <row r="105">
      <c r="A105" t="inlineStr">
        <is>
          <t>li-4344515839</t>
        </is>
      </c>
      <c r="B105" t="inlineStr">
        <is>
          <t>AI/ML Engineer</t>
        </is>
      </c>
      <c r="C105" t="inlineStr">
        <is>
          <t>Smith &amp; Associates</t>
        </is>
      </c>
      <c r="D105" t="inlineStr">
        <is>
          <t>linkedin</t>
        </is>
      </c>
      <c r="E105">
        <f>HYPERLINK("https://www.linkedin.com/jobs/view/4344515839", "https://www.linkedin.com/jobs/view/4344515839")</f>
        <v/>
      </c>
      <c r="F105" t="inlineStr"/>
      <c r="G105" t="inlineStr">
        <is>
          <t>Houston, TX</t>
        </is>
      </c>
      <c r="H105" t="inlineStr"/>
      <c r="I105" t="inlineStr">
        <is>
          <t>In this role, you will contribute to building and shipping AI features end\-to\-end: data prep, modeling, evaluation, deployment, and iteration. Additionally, collaborate with the engineering team to translate ideas and research into reliable, production\-grade systems.
**What You’ll Do**
* Build LLM\-powered features (prompt design, RAG pipelines, tools/plug\-ins, evaluations, guardrails).
* Experiment with agentic AI patterns (tool use, planning/re\-planning, multi\-agent workflows) and ship reliable agents.
* Implement and evaluate machine\-learning models (classification, regression, clustering, NLP, CV) from prototype to production.
* Write clean, well\-tested Python code for data processing, modeling, and service APIs.
* Package and deploy models/services on AWS (e.g., S3, Lambda, ECS/EKS, SageMaker) with basic CI/CD.
* Design simple, efficient data pipelines and integrate with databases (SQL/NoSQL) and vector stores.
* Monitor models in production (latency, drift, quality) and iterate based on telemetry and user feedback.
* Read papers/blogs/specs and quickly translate ideas into working prototypes.
**What You’ll Bring**
* Strong foundation in algorithms and data structures; able to analyze time/space complexity and choose the right approach.
* Solid understanding of core ML principles: bias/variance, feature engineering, cross\-validation, regularization, evaluation metrics.
* Familiarity with LLMs: tokenization basics, model families, fine\-tuning concepts, RAG patterns, and LLM evaluations.
* Exposure to agentic AI concepts: tool calling, planning, memory, and simple multi\-agent orchestration.
* Knowledge of Model Context Protocol (MCP) for context sharing, secure integrations, and tool orchestration.
* Proficiency in Python and common libraries (NumPy, pandas, scikit\-learn; plus, PyTorch or TensorFlow preferred).
* Comfort with AWS fundamentals (IAM, S3, compute/container runtimes) or equivalent cloud experience.
* Experience with databases: writing efficient SQL, understanding normalization/indices; basic NoSQL (e.g., DynamoDB) awareness.
* Familiarity with vector databases (e.g., FAISS, Pinecone, Milvus) is a plus.
* Version control (Git) and basic software craftsmanship (testing, linting, code reviews).
**Nice to have**
* Data engineering basics: Airflow/Prefect, message queues, data validation.
* API development (FastAPI/Flask) and simple observability (logs/metrics/traces).
* Security, privacy, and responsible\-AI awareness (PII handling, prompt injection basics, red\-teaming mindset).
* Math comfort: linear algebra, probability, calculus.
**How You Work**
* Strong ability to adapt to new technologies and rapidly learn by reading docs/papers and implementing new ideas.
* Bias for action: iterate quickly, measure results, and improve based on evidence.
* Clear communication and collaborative mindset; comfortable receiving and giving feedback.
**Qualifications**
* Bachelor’s or master's in computer science, Data Science, EE, or related field (or equivalent projects/internships).
* 0–2 years of professional experience; internships, open\-source, or notable personal projects count.
 Smith is an equal opportunity employer
 VEVIRAA Federal Contractor
*We are an Equal Opportunity/Affirmative Action Employer.*</t>
        </is>
      </c>
    </row>
    <row r="106">
      <c r="A106" t="inlineStr">
        <is>
          <t>li-4333923633</t>
        </is>
      </c>
      <c r="B106" t="inlineStr">
        <is>
          <t>Senior AI/ML Engineer</t>
        </is>
      </c>
      <c r="C106" t="inlineStr">
        <is>
          <t>General Motors</t>
        </is>
      </c>
      <c r="D106" t="inlineStr">
        <is>
          <t>linkedin</t>
        </is>
      </c>
      <c r="E106">
        <f>HYPERLINK("https://www.linkedin.com/jobs/view/4333923633", "https://www.linkedin.com/jobs/view/4333923633")</f>
        <v/>
      </c>
      <c r="F106" t="inlineStr"/>
      <c r="G106" t="inlineStr">
        <is>
          <t>Mountain View, CA</t>
        </is>
      </c>
      <c r="H106" t="inlineStr"/>
      <c r="I106"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**Role:**
 As a Senior AI/ML Engineer within the Onboard Embodied AI organization, you will be a senior individual contributor driving cutting\-edge end\-to\-end machine learning solutions directly impacting autonomous driving performance. Your role is pivotal in designing, architecting, and deploying advanced ML models that translate raw sensor data into actionable driving behaviors, enabling vehicles to robustly navigate diverse real\-world scenarios and conditions. You'll lead critical technical initiatives, collaborate closely with cross\-functional teams, mentor ML engineers, and significantly shape the future of onboard ML capabilities.
 The Onboard Embodied AI team is at the forefront of developing groundbreaking onboard ML systems powering fully autonomous vehicles. We leverage modern end\-to\-end machine learning approaches with sophisticated neural networks trained from large\-scale driving data and using state\-of\-the\-art alignment approaches. Our solutions enable vehicles to understand complex, dynamic driving environments, handle uncertainty gracefully, and adapt seamlessly to changing conditions. Join a collaborative and innovative team redefining autonomy through state\-of\-the\-art machine learning, delivering solutions that move beyond current technological boundaries.
**Key Responsibilities:**
* Drive the design, development, and deployment of advanced onboard ML models, delivering end\-to\-end solutions capable of real\-time inference and robust autonomous driving performance.
* Lead and architect complex machine learning projects, from conception through validation to onboard implementation, emphasizing scalability, robustness, and safety\-critical operation.
* Champion innovation in neural network architectures, training methodologies, and inference optimization strategies suited for real\-time onboard deployment.
* Provide technical mentorship and thought leadership, elevating engineering practices, and fostering ML innovation across teams.
* Collaborate closely with multidisciplinary engineering groups, ensuring seamless integration of ML capabilities into autonomous vehicle systems.
* Influence technical roadmaps, shaping strategic ML priorities aligned with company objectives and product milestones.
**Your Skills \&amp; Abilities:**
* Master's or Ph.D. in Machine Learning, Robotics, Computer Science, Electrical Engineering, or a related technical field.
* 3\+ years of modern machine learning techniques
* Extensive experience developing and deploying advanced ML systems, particularly in end\-to\-end real\-time onboard applications.
* Proven track record as a technical leader and expert in developing robust deep learning models that directly map sensor data to actionable outputs within safety\-critical systems.
* Deep expertise in state\-of\-the\-art computer vision techniques, neural architectures, representation learning, real\-time inference, model optimization, and robustness under uncertainty.
* Strong software engineering proficiency, particularly Python and C\+\+, alongside extensive hands\-on experience with modern ML frameworks (PyTorch, TensorFlow, JAX).
* Excellent communication, collaboration, and mentoring abilities, comfortable influencing technical strategy and guiding ML engineering excellence across the organization.
**Bonus:**
* AV/ADAS experience is a big plus
*Compensation* 
 :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$158,000\.00 to $241,900\.00\.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07">
      <c r="A107" t="inlineStr">
        <is>
          <t>li-4375667738</t>
        </is>
      </c>
      <c r="B107" t="inlineStr">
        <is>
          <t>AI/ML Engineer</t>
        </is>
      </c>
      <c r="C107" t="inlineStr">
        <is>
          <t>Wiraa</t>
        </is>
      </c>
      <c r="D107" t="inlineStr">
        <is>
          <t>linkedin</t>
        </is>
      </c>
      <c r="E107">
        <f>HYPERLINK("https://www.linkedin.com/jobs/view/4375667738", "https://www.linkedin.com/jobs/view/4375667738")</f>
        <v/>
      </c>
      <c r="F107" t="inlineStr"/>
      <c r="G107" t="inlineStr"/>
      <c r="H107" t="inlineStr"/>
      <c r="I107" t="inlineStr">
        <is>
          <t>**About The Company**
 At General Motors, our product teams are at the forefront of redefining mobility and transportation solutions worldwide. We are committed to transforming the future of driving through innovative, human\-centered design processes that focus on creating vehicles and experiences that resonate deeply with users. Our dedication to innovation spans across advanced hardware, battery systems, intuitive software, and next\-generation safety and entertainment features. With a global presence, we aim to make driving safer, smarter, and more connected, impacting millions of lives daily. Our culture fosters collaboration, continuous learning, and a passion for pushing the boundaries of what is possible in the automotive industry.
**About The Role**
 As a Principal Technical Lead in the Embodied AI organization at General Motors, you will play a critical role in shaping the future of autonomous driving technology. This senior individual contributor position involves driving the development of cutting\-edge machine learning solutions that directly influence vehicle performance and safety. You will be responsible for designing, architecting, and deploying advanced ML models capable of navigating complex real\-world scenarios reliably and securely. Your leadership will be essential in guiding technical initiatives, collaborating with cross\-functional teams, mentoring junior engineers, and advancing onboard ML capabilities. This role offers an exciting opportunity to work at the intersection of AI research and practical automotive applications, contributing to innovations that will define the future of transportation.
**Qualifications**
* Bachelor’s, Master’s, or PhD degree in Computer Science, Robotics, Machine Learning, or a related field
* Proven experience working with large\-scale Foundation Models and alignment methods
* Experience translating research into real\-world impact through applied projects
* Proficiency in AI frameworks such as PyTorch and programming languages like Python
* Experience building and scaling large model training pipelines for performance and efficiency
* Strong data processing skills using tools such as Numpy, Pandas, and Apache Spark
* Experience deploying foundation models into production environments
* Previous experience in Robotics or Autonomous Driving domains
* Excellent communication and collaboration skills for working with diverse teams
**Responsibilities**
* Design and implement AI technologies aligned with GM’s mission to advance autonomous driving capabilities
* Apply techniques such as unsupervised pre\-training, imitation learning, reinforcement learning, guidance, and model selection to enhance model safety and reliability
* Collaborate with cross\-functional teams to integrate and align foundation model distillation recipes for onboard driving systems
* Conduct research and stay updated on the latest advancements in AI frameworks, libraries, and methodologies
* Lead projects from ideation through deployment, ensuring best practices and documentation of learnings
* Mentor junior team members, fostering a culture of knowledge sharing and continuous improvement
* Participate in the end\-to\-end process of deploying foundation models into production environments
**Benefits**
* Comprehensive health and wellbeing programs including medical, dental, and vision coverage
* Health Savings Accounts (HSA) and Flexible Spending Accounts (FSA)
* Retirement savings plans and financial planning resources
* Sickness and accident benefits, life insurance, and paid vacation and holidays
* Tuition assistance programs and employee assistance programs
* GM vehicle discounts and potential relocation benefits
* Participation in a company vehicle evaluation program, subject to eligibility
 Equal Opportunity
 General Motors is an equal opportunity employer. We celebrate diversity and are committed to creating an inclusive environment for all employees. All qualified applicants will receive consideration for employment without regard to race, color, religion, sex, national origin, age, disability, or any other protected status in accordance with applicable laws.</t>
        </is>
      </c>
    </row>
    <row r="108">
      <c r="A108" t="inlineStr">
        <is>
          <t>li-4373445797</t>
        </is>
      </c>
      <c r="B108" t="inlineStr">
        <is>
          <t>AI/ML Engineer</t>
        </is>
      </c>
      <c r="C108" t="inlineStr">
        <is>
          <t>Air Apps</t>
        </is>
      </c>
      <c r="D108" t="inlineStr">
        <is>
          <t>linkedin</t>
        </is>
      </c>
      <c r="E108">
        <f>HYPERLINK("https://www.linkedin.com/jobs/view/4373445797", "https://www.linkedin.com/jobs/view/4373445797")</f>
        <v/>
      </c>
      <c r="F108">
        <f>HYPERLINK("https://jobs.ashbyhq.com/airapps/8b5ea42b-aa23-48ba-b05a-f2c2e524e044?src=LinkedIn&amp;urlHash=r4OU", "https://jobs.ashbyhq.com/airapps/8b5ea42b-aa23-48ba-b05a-f2c2e524e044?src=LinkedIn&amp;urlHash=r4OU")</f>
        <v/>
      </c>
      <c r="G108" t="inlineStr">
        <is>
          <t>San Francisco, CA</t>
        </is>
      </c>
      <c r="H108" t="inlineStr"/>
      <c r="I108" t="inlineStr">
        <is>
          <t>**About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 in both Lisbon and San Francisco—we’ve remained self\-funded while reaching over 100 million downloads worldwide.
 Our long\-term focus drives us to challenge the status quo every day, pushing the boundaries of AI\-driven solutions that truly make a difference. Here, you’ll be a creative force, shaping products that empower people across the globe.
 Join us on this journey to redefine resource management—and change lives along the way.
**The Role**
 As an
 **AI/ML Engineer** 
 , you will play a crucial role in designing, developing, and optimizing machine learning models to power our mobile applications. You will work closely with product managers, engineers, and designers to create intelligent, data\-driven features that enhance user experiences. Your expertise in artificial intelligence and deep learning will help us innovate and stay ahead in the mobile app industry.
 Please note that this post serves the purpose of enhancing our talent pool while we prepare to launch the official job. As soon as it gets posted we will get in touch with you.
**Responsibilities**
* Develop, train, and optimize machine learning models for various mobile app features.
* Research and implement state\-of\-the\-art AI techniques to improve user engagement and app performance.
* Collaborate with cross\-functional teams to integrate AI\-driven solutions into our applications.
* Design and maintain scalable ML pipelines, ensuring efficient model deployment and monitoring.
* Analyze large datasets to derive insights and drive data\-driven decision\-making.
* Stay updated with the latest AI trends and best practices, incorporating them into our development processes.
* Optimize AI models for mobile environments to ensure high performance and low latency.
**Requirements**
* Around 3\+ years of experience in AI/ML development, preferably in mobile applications.
* Proficiency in Python, TensorFlow, PyTorch, or other ML frameworks.
* Experience with deep learning, NLP, computer vision, and statistical modeling.
* Familiarity with cloud\-based ML services (AWS, Google Cloud, or Azure).
* Strong understanding of data structures, algorithms, and software engineering best practices.
* Experience in deploying and maintaining ML models in production.
* Ability to work collaboratively in a remote team environment.
* Strong problem\-solving skills and a passion for innovation.
**What benefits do we offer?**
* Apple hardware ecosystem for work.
* Annual Bonus.
* Medical Insurance (including vision \&amp; dental).
* Disability insurance \- short and long\-term.
* 401k up to 4% contribution.
* Air Conference – an opportunity to meet the team, collaborate, and grow together.
* Transportation budget
* Free meals at the hub
* Gym membership
**Diversity \&amp; Inclusion**
 At Air Apps, we are committed to fostering a diverse, inclusive, and equitable workplace. We enthusiastically welcome applicants from all backgrounds, experiences, and perspectives. We celebrate diversity in all its forms and believe that varied voices and experiences make us stronger.
**Application Disclaimer**
 At Air Apps, we value transparency and integrity in our hiring process. Applicants must submit their own work without any AI\-generated assistance. Any use of AI in application materials, assessments, or interviews will result in disqualification.</t>
        </is>
      </c>
    </row>
    <row r="109">
      <c r="A109" t="inlineStr">
        <is>
          <t>li-4344389451</t>
        </is>
      </c>
      <c r="B109" t="inlineStr">
        <is>
          <t>Senior AI Engineer</t>
        </is>
      </c>
      <c r="C109" t="inlineStr">
        <is>
          <t>Oracle</t>
        </is>
      </c>
      <c r="D109" t="inlineStr">
        <is>
          <t>linkedin</t>
        </is>
      </c>
      <c r="E109">
        <f>HYPERLINK("https://www.linkedin.com/jobs/view/4344389451", "https://www.linkedin.com/jobs/view/4344389451")</f>
        <v/>
      </c>
      <c r="F109" t="inlineStr"/>
      <c r="G109" t="inlineStr">
        <is>
          <t>Redwood City, CA</t>
        </is>
      </c>
      <c r="H109" t="inlineStr"/>
      <c r="I109" t="inlineStr">
        <is>
          <t>**Job Description**
 Design, develop, troubleshoot and debug software programs for databases, applications, tools, networks etc.
 As part of this team you will be designing and developing new applications that will serve as the base line for own standard products here in Oracle. As a leading developer you will work with an international team to come up with solutions that solve our business needs on the best way possible, with increase emphasis on optimization and AI integration.
 You will work with new technologies, languages and design patterns like
* Micro services
* Kafka
* Helidon
* Groovy
* AI Agents
 This role requires 3 to 5 year of experience on the field and a BS or MS degree relevant to the functional area. Proven experience with Java or Python development is required. Experience with AI design and development is good to have.
**Responsibilities**
 As a member of the software engineering division, you will assist in
* Defining and developing software for tasks associated to our business users and the required software applications on the area.
* Provide technical leadership to other software developers.
* Specify, design and implement modest changes to existing software architecture to meet changing needs.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10">
      <c r="A110" t="inlineStr">
        <is>
          <t>li-4374378695</t>
        </is>
      </c>
      <c r="B110" t="inlineStr">
        <is>
          <t>Junior ML Engineer</t>
        </is>
      </c>
      <c r="C110" t="inlineStr">
        <is>
          <t>Tech Consulting</t>
        </is>
      </c>
      <c r="D110" t="inlineStr">
        <is>
          <t>linkedin</t>
        </is>
      </c>
      <c r="E110">
        <f>HYPERLINK("https://www.linkedin.com/jobs/view/4374378695", "https://www.linkedin.com/jobs/view/4374378695")</f>
        <v/>
      </c>
      <c r="F110" t="inlineStr"/>
      <c r="G110" t="inlineStr">
        <is>
          <t>Pennsylvania, United States</t>
        </is>
      </c>
      <c r="H110" t="inlineStr"/>
      <c r="I110" t="inlineStr">
        <is>
          <t>**Job Title:** 
 Junior ML Engineer
 **(\*\*Immediate Joining\*\*)** 
**Location:** 
 \[Anywhere in USA]
**Experience:** 
 1–3 years
**Employment Type:** 
 Full\-Time
 Are you excited about taking your technical career to new heights with a full\-time, W\-2 role as a consultant in a dynamic and rapidly growing company? If you are, let's get in touch –
 *your interest is the first step to starting the conversation.* 
**What This Role Requires:** 
* 1\-4 years of data analyst/ML/AI engineering work experience after your degree.
* Must have experience with
 both
 Python programming \&amp; SQL language developer.
* Should demonstrate experience developing end\-to\-end solutions.
* Demonstrated SQL experience.
* Additional experience with
 at least one
 : AWS, Azure or Databricks is preferred.
* Additional experience with Pyspark, AWS S3, Lambda, EC2/AZ, Data bricks, Machine learning (ML), GenAI/ Computer Vision, Theory of Probability, GitLab, R Programming, GCP \&amp; Airflow will be preferred.
**To Qualify:** 
* You should be willing to relocate anywhere in the US on a client project\-to\-project basis, as this is an
 **onsite, in\-office position** 
 .
* Strong English communication skills, both written and verbal.
* **Bachelor’s Degree** 
 in Computer Science, Information Systems, Electrical Engineering, Mathematics, or a related quantitative field. Additional relevant
 **Master’s degree** 
 is highly desirable for this role.
* **What’s In It For YOU?**
* Gain valuable, career\-enhancing experience working with our Fortune 1,000 clients.
* Receive relocation support for training and project assignments, as required.
* Enjoy comprehensive W2 employee benefits.
**Who Are We?** 
 We are a premier IT consulting firm specializing in delivering top\-tier Data Science solutions to companies across various sectors such as
 **finance, energy, e\-commerce, logistics, travel, retail, entertainment, automotive, and healthcare** 
 .</t>
        </is>
      </c>
    </row>
    <row r="111">
      <c r="A111" t="inlineStr">
        <is>
          <t>li-4375663923</t>
        </is>
      </c>
      <c r="B111" t="inlineStr">
        <is>
          <t>Machine Learning Engineer</t>
        </is>
      </c>
      <c r="C111" t="inlineStr">
        <is>
          <t>Wiraa</t>
        </is>
      </c>
      <c r="D111" t="inlineStr">
        <is>
          <t>linkedin</t>
        </is>
      </c>
      <c r="E111">
        <f>HYPERLINK("https://www.linkedin.com/jobs/view/4375663923", "https://www.linkedin.com/jobs/view/4375663923")</f>
        <v/>
      </c>
      <c r="F111" t="inlineStr"/>
      <c r="G111" t="inlineStr"/>
      <c r="H111" t="inlineStr"/>
      <c r="I111" t="inlineStr">
        <is>
          <t>**About The Company**
 Waymo is a leading autonomous driving technology company dedicated to transforming mobility through innovative solutions. Established as the Google Self\-Driving Car Project in 2009, Waymo has continuously advanced its mission to be the world's most trusted driver. With a focus on safety, efficiency, and accessibility, Waymo has developed the Waymo Driver, a sophisticated autonomous driving system that powers its fully autonomous ride\-hail service. The company’s technology has accumulated over ten million rider\-only trips, driven more than 100 million miles on public roads across over 15 states, and simulated tens of billions of miles to ensure safety and reliability. Waymo's commitment to leveraging cutting\-edge machine learning and robotics positions it at the forefront of autonomous vehicle innovation, aiming to save lives and improve transportation for all.
**About The Role**
 We are seeking a highly skilled Machine Learning Engineer to join our Predictive Planning team (PrePlan). In this hybrid role, you will be instrumental in developing next\-generation machine learning\-powered prediction and planning systems that enhance the capabilities of the Waymo Driver. Your work will directly contribute to scaling Waymo’s autonomous vehicle technology, enabling safer and more efficient navigation in complex environments. You will collaborate with world\-class researchers, engineers, and product teams to create robust, real\-world solutions that meet stringent safety and performance standards. This position offers an exciting opportunity to work on open\-ended, real\-world challenges by framing them as machine learning problems, applying state\-of\-the\-art techniques including foundation models and reinforcement learning, and integrating large models into production systems to impact millions of users.
**Qualifications**
* BS in Computer Science, Machine Learning, Robotics, or a related technical field, or equivalent practical experience
* Demonstrated contributions to the machine learning community through publications, open\-source projects, or significant industry impact
* Hands\-on experience with modern deep learning libraries such as TensorFlow, JAX, or PyTorch
* Proficient programming skills in Python and C/C\+\+
* Strong analytical and debugging skills
* 5\+ years of experience in machine learning modeling and/or autonomous vehicles
**Responsibilities**
* Develop advanced ML\-powered prediction and planning systems to improve the performance and scalability of Waymo’s autonomous driving technology
* Frame complex, real\-world challenges as well\-defined machine learning problems and research innovative solutions
* Research, develop, and apply cutting\-edge ML techniques, including foundation models and reinforcement learning, for autonomous vehicle planning and prediction tasks
* Collaborate closely with research, engineering, and product teams to create safe, smooth, and reliable planning behaviors for all road users
* Design, develop, and evaluate large models, integrating them into Waymo’s production planning software for real\-world deployment
* Participate in cross\-functional projects to optimize system performance and robustness in diverse environments
**Benefits**
* Comprehensive health care coverage including medical, dental, and vision plans
* Generous maternity and parental leave policies
* Retirement savings plans with company matching
* Competitive salary and annual discretionary bonus opportunities
* Equity incentive plans to share in the company's success
* Access to ongoing professional development and career growth programs
* Inclusive and collaborative work environment with flexible hybrid work arrangements
 Equal Opportunity
 Waymo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age, disability, or any other protected status under applicable law.</t>
        </is>
      </c>
    </row>
    <row r="112">
      <c r="A112" t="inlineStr">
        <is>
          <t>li-4374397000</t>
        </is>
      </c>
      <c r="B112" t="inlineStr">
        <is>
          <t>Machine Learning Engineer</t>
        </is>
      </c>
      <c r="C112" t="inlineStr">
        <is>
          <t>TRC Talent Solutions</t>
        </is>
      </c>
      <c r="D112" t="inlineStr">
        <is>
          <t>linkedin</t>
        </is>
      </c>
      <c r="E112">
        <f>HYPERLINK("https://www.linkedin.com/jobs/view/4374397000", "https://www.linkedin.com/jobs/view/4374397000")</f>
        <v/>
      </c>
      <c r="F112" t="inlineStr"/>
      <c r="G112" t="inlineStr">
        <is>
          <t>Duluth, GA</t>
        </is>
      </c>
      <c r="H112" t="inlineStr"/>
      <c r="I112" t="inlineStr">
        <is>
          <t>**TRC’s client has a high\-priority, direct\-hire opportunity for a Machine Learning Engineer to join their Tools and Architecture Engineering group!** 
 This is a pivotal role for an engineer who wants to move beyond cloud\-based "GPT wrappers" and build
 **Sovereign AI** 
 —domain\-specific, high\-performance models that run entirely in local, on\-premise, and air\-gapped environments. Our client is the world leader in firmware, and this role is dedicated to transforming 40 years of proprietary computing data into a secure, offline product for global customers.
**Location:** 
 Hybrid (2 days onsite in Duluth/Norcross, GA preferred). Exceptional candidates may be considered for Remote, but first priority for the client is Hybrid.
**Target Start:** 
 April 2026
**Why You Want This Role:** 
* **🚀 Build at the Foundation:** 
 Work where hardware, firmware, and AI intersect. You aren't just building chatbots; you’re building AI that understands the very foundation of computing.
* **🔍 Real Product Impact:** 
 This is a production\-focused role, not an R\&amp;D experiment. You will design, train, and deploy models that solve immediate, high\-stakes problems for global OEMs.
* **🛡️ Sovereign AI Innovation:** 
 Be a leader in the "local AI" wave. You will solve the challenge of running massive models on local hardware with
 **zero cloud access** 
 , ensuring total security and privacy.
* **📈 Stability Meets Innovation:** 
 Join a company with 40 years of industry longevity that views AI as a massive wave of opportunity.
**Key Responsibilities:** 
* **Model Design \&amp; Fine\-Tuning:** 
 Design, train, and fine\-tune LLMs using techniques like SFT, LoRA/QLoRA, and RLHF.
* **Data Pipeline Architecture:** 
 Build and maintain pipelines to process 40 years of proprietary domain data, curating what to include to ensure high\-accuracy, domain\-specific outputs.
* **Optimization for the Edge:** 
 Optimize models for local inference through quantization, pruning, and distillation (using tools like
 **llama.cpp, vLLM, or TensorRT\-LLM** 
 ).
* **Production Deployment:** 
 Lead the full ML lifecycle, from data preparation to low\-latency inference and production deployment in resource\-constrained environments.
* **Autonomous Agents:** 
 Architect multi\-agent systems (LangGraph, CrewAI, AutoGen) to convert complex manual processes into autonomous, local workflows.
* **Security \&amp; Compliance:** 
 Ensure all models meet rigorous privacy and security standards, specifically for restricted or offline environments.
**Required Technical Qualifications**
**Machine Learning \&amp; LLM Expertise:** 
* **3\+ years of industry experience** 
 in AI/ML (post\-degree).
* **2\+ years specialized experience** 
 working with LLMs, code generation, RAG, or AI\-powered automation.
* **Hands\-on experience** 
 with open\-weight models (LLaMA, Mistral, etc.) and fine\-tuning at scale.
* **Local Inference Mastery:** 
 Proven experience deploying models in resource\-constrained or air\-gapped environments.
* **Vector Databases:** 
 Expertise in FAISS, Weaviate, Chroma, or similar retrieval models for RAG systems.
* **Agentic Frameworks:** 
 Hands\-on experience with multi\-agent AI systems for autonomous task execution.
**Software Engineering \&amp; Systems:** 
* **Python Mastery:** 
 Strong proficiency in Python and ML frameworks (PyTorch or TensorFlow) is a must.
* **Production Focus:** 
 Experience moving models from a laptop/research phase into a scalable, customer\-facing product.
* **Linux \&amp; Infrastructure:** 
 Familiarity with Linux, containers (Docker), and on\-prem infrastructure concepts.
**Education \&amp; General Requirements:** 
* **Master’s Degree required** 
 in Computer Science, Engineering, or a related field (PhD highly preferred).
* **Experience Level:** 
 Must have industry hands\-on experience (this is not a "fresh grad" role).
* **Communication:** 
 Excellent verbal and written skills; ability to collaborate with global teams across various time zones.
* **Product Mindset:** 
 Ability to work closely with business stakeholders to define KPIs and deliver multi\-modal and ensemble models.
**What’s Next?** 
 If you are a builder who thrives on solving "impossible" constraints and wants to define the future of local AI, we want to hear from you.
 **Please apply today for immediate consideration!**</t>
        </is>
      </c>
    </row>
    <row r="113">
      <c r="A113" t="inlineStr">
        <is>
          <t>li-4344339500</t>
        </is>
      </c>
      <c r="B113" t="inlineStr">
        <is>
          <t>Senior AI Engineer</t>
        </is>
      </c>
      <c r="C113" t="inlineStr">
        <is>
          <t>Oracle</t>
        </is>
      </c>
      <c r="D113" t="inlineStr">
        <is>
          <t>linkedin</t>
        </is>
      </c>
      <c r="E113">
        <f>HYPERLINK("https://www.linkedin.com/jobs/view/4344339500", "https://www.linkedin.com/jobs/view/4344339500")</f>
        <v/>
      </c>
      <c r="F113" t="inlineStr"/>
      <c r="G113" t="inlineStr"/>
      <c r="H113" t="inlineStr"/>
      <c r="I113" t="inlineStr">
        <is>
          <t>**Job Description**
 Design, develop, troubleshoot and debug software programs for databases, applications, tools, networks etc.
 As part of this team you will be designing and developing new applications that will serve as the base line for own standard products here in Oracle. As a leading developer you will work with an international team to come up with solutions that solve our business needs on the best way possible, with increase emphasis on optimization and AI integration.
 You will work with new technologies, languages and design patterns like
* Micro services
* Kafka
* Helidon
* Groovy
* AI Agents
 This role requires 3 to 5 year of experience on the field and a BS or MS degree relevant to the functional area. Proven experience with Java or Python development is required. Experience with AI design and development is good to have.
**Responsibilities**
 As a member of the software engineering division, you will assist in
* Defining and developing software for tasks associated to our business users and the required software applications on the area.
* Provide technical leadership to other software developers.
* Specify, design and implement modest changes to existing software architecture to meet changing needs.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14">
      <c r="A114" t="inlineStr">
        <is>
          <t>li-4304443783</t>
        </is>
      </c>
      <c r="B114" t="inlineStr">
        <is>
          <t>Applied Machine Learning Engineer</t>
        </is>
      </c>
      <c r="C114" t="inlineStr">
        <is>
          <t>DataAnnotation</t>
        </is>
      </c>
      <c r="D114" t="inlineStr">
        <is>
          <t>linkedin</t>
        </is>
      </c>
      <c r="E114">
        <f>HYPERLINK("https://www.linkedin.com/jobs/view/4304443783", "https://www.linkedin.com/jobs/view/4304443783")</f>
        <v/>
      </c>
      <c r="F114">
        <f>HYPERLINK("https://app.dataannotation.tech/worker_signup?projects=PROG_SA&amp;worker_src=L&amp;utm_source=linkedin&amp;utm_medium=listing&amp;utm_campaign=coder&amp;utm_adgroup=applied_machine_learning_engineer&amp;utm_content=united_states&amp;jt=Applied%20Machine%20Learning%20Engineer&amp;urlHash=pA_r", "https://app.dataannotation.tech/worker_signup?projects=PROG_SA&amp;worker_src=L&amp;utm_source=linkedin&amp;utm_medium=listing&amp;utm_campaign=coder&amp;utm_adgroup=applied_machine_learning_engineer&amp;utm_content=united_states&amp;jt=Applied%20Machine%20Learning%20Engineer&amp;urlHash=pA_r")</f>
        <v/>
      </c>
      <c r="G114" t="inlineStr">
        <is>
          <t>Massachusetts, United States</t>
        </is>
      </c>
      <c r="H114" t="inlineStr"/>
      <c r="I114" t="inlineStr">
        <is>
          <t>We are looking for an Applied Machine Learning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115">
      <c r="A115" t="inlineStr">
        <is>
          <t>li-4304436921</t>
        </is>
      </c>
      <c r="B115" t="inlineStr">
        <is>
          <t>Applied Machine Learning Engineer</t>
        </is>
      </c>
      <c r="C115" t="inlineStr">
        <is>
          <t>DataAnnotation</t>
        </is>
      </c>
      <c r="D115" t="inlineStr">
        <is>
          <t>linkedin</t>
        </is>
      </c>
      <c r="E115">
        <f>HYPERLINK("https://www.linkedin.com/jobs/view/4304436921", "https://www.linkedin.com/jobs/view/4304436921")</f>
        <v/>
      </c>
      <c r="F115" t="inlineStr"/>
      <c r="G115" t="inlineStr">
        <is>
          <t>Maryland, United States</t>
        </is>
      </c>
      <c r="H115" t="inlineStr"/>
      <c r="I115" t="inlineStr">
        <is>
          <t>We are looking for an Applied Machine Learning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116">
      <c r="A116" t="inlineStr">
        <is>
          <t>li-4304447603</t>
        </is>
      </c>
      <c r="B116" t="inlineStr">
        <is>
          <t>Applied Machine Learning Engineer</t>
        </is>
      </c>
      <c r="C116" t="inlineStr">
        <is>
          <t>DataAnnotation</t>
        </is>
      </c>
      <c r="D116" t="inlineStr">
        <is>
          <t>linkedin</t>
        </is>
      </c>
      <c r="E116">
        <f>HYPERLINK("https://www.linkedin.com/jobs/view/4304447603", "https://www.linkedin.com/jobs/view/4304447603")</f>
        <v/>
      </c>
      <c r="F116">
        <f>HYPERLINK("https://app.dataannotation.tech/worker_signup?projects=PROG_SA&amp;worker_src=L&amp;utm_source=linkedin&amp;utm_medium=listing&amp;utm_campaign=coder&amp;utm_adgroup=applied_machine_learning_engineer&amp;utm_content=united_states&amp;jt=Applied%20Machine%20Learning%20Engineer&amp;urlHash=pA_r", "https://app.dataannotation.tech/worker_signup?projects=PROG_SA&amp;worker_src=L&amp;utm_source=linkedin&amp;utm_medium=listing&amp;utm_campaign=coder&amp;utm_adgroup=applied_machine_learning_engineer&amp;utm_content=united_states&amp;jt=Applied%20Machine%20Learning%20Engineer&amp;urlHash=pA_r")</f>
        <v/>
      </c>
      <c r="G116" t="inlineStr">
        <is>
          <t>Indiana, United States</t>
        </is>
      </c>
      <c r="H116" t="inlineStr"/>
      <c r="I116" t="inlineStr">
        <is>
          <t>We are looking for an Applied Machine Learning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117">
      <c r="A117" t="inlineStr">
        <is>
          <t>li-4304441771</t>
        </is>
      </c>
      <c r="B117" t="inlineStr">
        <is>
          <t>Applied Machine Learning Engineer</t>
        </is>
      </c>
      <c r="C117" t="inlineStr">
        <is>
          <t>DataAnnotation</t>
        </is>
      </c>
      <c r="D117" t="inlineStr">
        <is>
          <t>linkedin</t>
        </is>
      </c>
      <c r="E117">
        <f>HYPERLINK("https://www.linkedin.com/jobs/view/4304441771", "https://www.linkedin.com/jobs/view/4304441771")</f>
        <v/>
      </c>
      <c r="F117" t="inlineStr"/>
      <c r="G117" t="inlineStr">
        <is>
          <t>Colorado, United States</t>
        </is>
      </c>
      <c r="H117" t="inlineStr"/>
      <c r="I117" t="inlineStr">
        <is>
          <t>We are looking for an Applied Machine Learning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118">
      <c r="A118" t="inlineStr">
        <is>
          <t>li-4304445720</t>
        </is>
      </c>
      <c r="B118" t="inlineStr">
        <is>
          <t>Applied Machine Learning Engineer</t>
        </is>
      </c>
      <c r="C118" t="inlineStr">
        <is>
          <t>DataAnnotation</t>
        </is>
      </c>
      <c r="D118" t="inlineStr">
        <is>
          <t>linkedin</t>
        </is>
      </c>
      <c r="E118">
        <f>HYPERLINK("https://www.linkedin.com/jobs/view/4304445720", "https://www.linkedin.com/jobs/view/4304445720")</f>
        <v/>
      </c>
      <c r="F118">
        <f>HYPERLINK("https://app.dataannotation.tech/worker_signup?projects=PROG_SA&amp;worker_src=L&amp;utm_source=linkedin&amp;utm_medium=listing&amp;utm_campaign=coder&amp;utm_adgroup=applied_machine_learning_engineer&amp;utm_content=united_states&amp;jt=Applied%20Machine%20Learning%20Engineer&amp;urlHash=pA_r", "https://app.dataannotation.tech/worker_signup?projects=PROG_SA&amp;worker_src=L&amp;utm_source=linkedin&amp;utm_medium=listing&amp;utm_campaign=coder&amp;utm_adgroup=applied_machine_learning_engineer&amp;utm_content=united_states&amp;jt=Applied%20Machine%20Learning%20Engineer&amp;urlHash=pA_r")</f>
        <v/>
      </c>
      <c r="G118" t="inlineStr">
        <is>
          <t>Montana, United States</t>
        </is>
      </c>
      <c r="H118" t="inlineStr"/>
      <c r="I118" t="inlineStr">
        <is>
          <t>We are looking for an Applied Machine Learning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119">
      <c r="A119" t="inlineStr">
        <is>
          <t>li-4304436856</t>
        </is>
      </c>
      <c r="B119" t="inlineStr">
        <is>
          <t>Applied Machine Learning Engineer</t>
        </is>
      </c>
      <c r="C119" t="inlineStr">
        <is>
          <t>DataAnnotation</t>
        </is>
      </c>
      <c r="D119" t="inlineStr">
        <is>
          <t>linkedin</t>
        </is>
      </c>
      <c r="E119">
        <f>HYPERLINK("https://www.linkedin.com/jobs/view/4304436856", "https://www.linkedin.com/jobs/view/4304436856")</f>
        <v/>
      </c>
      <c r="F119">
        <f>HYPERLINK("https://app.dataannotation.tech/worker_signup?projects=PROG_SA&amp;worker_src=L&amp;utm_source=linkedin&amp;utm_medium=listing&amp;utm_campaign=coder&amp;utm_adgroup=applied_machine_learning_engineer&amp;utm_content=united_states&amp;jt=Applied%20Machine%20Learning%20Engineer&amp;urlHash=pA_r", "https://app.dataannotation.tech/worker_signup?projects=PROG_SA&amp;worker_src=L&amp;utm_source=linkedin&amp;utm_medium=listing&amp;utm_campaign=coder&amp;utm_adgroup=applied_machine_learning_engineer&amp;utm_content=united_states&amp;jt=Applied%20Machine%20Learning%20Engineer&amp;urlHash=pA_r")</f>
        <v/>
      </c>
      <c r="G119" t="inlineStr">
        <is>
          <t>Georgia, United States</t>
        </is>
      </c>
      <c r="H119" t="inlineStr"/>
      <c r="I119" t="inlineStr">
        <is>
          <t>We are looking for an Applied Machine Learning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120">
      <c r="A120" t="inlineStr">
        <is>
          <t>li-4344672305</t>
        </is>
      </c>
      <c r="B120" t="inlineStr">
        <is>
          <t>Senior ML/AI Engineer - Developer Experience</t>
        </is>
      </c>
      <c r="C120" t="inlineStr">
        <is>
          <t>General Motors</t>
        </is>
      </c>
      <c r="D120" t="inlineStr">
        <is>
          <t>linkedin</t>
        </is>
      </c>
      <c r="E120">
        <f>HYPERLINK("https://www.linkedin.com/jobs/view/4344672305", "https://www.linkedin.com/jobs/view/4344672305")</f>
        <v/>
      </c>
      <c r="F120" t="inlineStr"/>
      <c r="G120" t="inlineStr">
        <is>
          <t>Austin, TX</t>
        </is>
      </c>
      <c r="H120" t="inlineStr"/>
      <c r="I120" t="inlineStr">
        <is>
          <t>**Job Description**
*This role is categorized as hybrid. This means the successful candidate is expected to report to the office in \[Austin, Detroit, Warren, Milford, Mountain View or Sunnyvale] a minimum of 3 days per week. This position can be considered Remote if the successful candidate is in the Seattle, Washington area.*
**About Us**
 The AI Cloud and Developer Infrastructure organization is responsible for delivering and maintaining the tools and services engineers here at GM use every day to do their best work and drive our cars forward. Tools and services we work on enhancing the entire development process of engineers at GM — how/where code is checked out, modified, compiled, tested, merged, and eventually deployed. Our goal is to ensure our AV engineers and others here have world class tools and a seamless development experience so that they can focus on the problems that matter most in their domain.
**The Role**
 We are looking for a Senior Engineer with an extensive engineering background, experience using a variety of developer tools and technologies, and who is passionate about developer productivity. As an IC leader on this team, we are looking for someone who cares deeply about the technical development of other engineers on the team and can effectively balance the needs and priorities of the business, our users, and the growth of our engineers.
**The Team**
 As a part of the AV Developer Productivity Org, the AV Developer Experience is responsible for creating and maintaining a robust, reliable, and cohesive inner loop development experience for AV developers at GM to optimize the rate at which quality code is produced at Cruise. We achieve through a combination of internally developed tools, vendor tools, and vendor tool integrations.
 The way this engineer will deliver impact may vary depending on the situation, but they will be expected to be able to identify how they can best have impact with minimal guidance.
**What You’ll Do**
* Identify engineering pain points and propose/design/implement solutions that are reliable, scalable, and maintainable
* Synthesize large amounts of company, org, customer information and context to establish priorities and influence the team’s technical roadmap
* Evaluate new tools and technologies through PoCs
* Ship improvements to our AV development toolchains and services which have a measurable and direct impact on engineering productivity and our core company metrics
* Drive software engineering best practices within your team, and create tooling which encourages these
* Help steer the engineering culture on the team
* Guide the team to find the right balance between delivering impact and addressing technical debt
* Mentor and grow engineers on the team
* Set the example for high levels of accountability
* Execute and deliver impact both individually and through the team
* Set strong boundaries when selecting external requests and pushing back on requests that do not align with our team vision
**Your Skills \&amp; Abilities (Required Qualifications)**
* 3\+ years of experience designing, building, and operating production systems at scale in the cloud
* Bachelors Degree in Computer Science or related field or equivalent work experience
* Understanding of AI Engineering principles and concepts
* Experience designing highly scalable, reliable, and maintainable services
* Experience writing in effective Go or other equivalent languages at production scale
* Understanding of Unix/Linux, SSH, and networking fundamentals
* Attention to detail, and a desire to improve processes and systems around you
* Ability to lead and influence others, both internal and external to the team
* Principled reasoning and the ability to research, document, communicate, and defend proposals, and provide and take critical feedback
* Ability to effectively make trade\-offs and communicate the reasoning
* Ability to manage competing priorities, focus on shipping, and work effectively under pressure
* Passion for mentoring and growing junior engineers
* Passion for leveling up the overall efficiency and effectiveness of the team
* Passion for self\-driving technology and its potential impact on the world
**What Will Give You a Competitive Edge (Preferred Qualifications)**
* Experience designing, building, and operating production systems at scale in the cloud
* Experience working with GCP
* Experience working with gPRC, Docker, and Kubernetes
* Experience owning or contributing to Open\-Source projects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$108,420 to $161,500\.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may be eligible for relocation benefits.
*Remote/Hybrid: This role is based remotely but if you live within a 50\-mile radius of Mountain View, you are expected to report to that location three times a week, at minimum.*
 This role is categorized as hybrid. This means the selected candidate is expected to report to a specific location at least 3 times a week {or other frequency dictated by their manager}. The selected candidate will be required to travel \&lt;25% for this role.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21">
      <c r="A121" t="inlineStr">
        <is>
          <t>li-4304437849</t>
        </is>
      </c>
      <c r="B121" t="inlineStr">
        <is>
          <t>Applied Machine Learning Engineer</t>
        </is>
      </c>
      <c r="C121" t="inlineStr">
        <is>
          <t>DataAnnotation</t>
        </is>
      </c>
      <c r="D121" t="inlineStr">
        <is>
          <t>linkedin</t>
        </is>
      </c>
      <c r="E121">
        <f>HYPERLINK("https://www.linkedin.com/jobs/view/4304437849", "https://www.linkedin.com/jobs/view/4304437849")</f>
        <v/>
      </c>
      <c r="F121" t="inlineStr"/>
      <c r="G121" t="inlineStr">
        <is>
          <t>Minnesota, United States</t>
        </is>
      </c>
      <c r="H121" t="inlineStr"/>
      <c r="I121" t="inlineStr">
        <is>
          <t>We are looking for an Applied Machine Learning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122">
      <c r="A122" t="inlineStr">
        <is>
          <t>li-4340805191</t>
        </is>
      </c>
      <c r="B122" t="inlineStr">
        <is>
          <t>Applied AI Engineer - AI Solutions</t>
        </is>
      </c>
      <c r="C122" t="inlineStr">
        <is>
          <t>Snorkel AI</t>
        </is>
      </c>
      <c r="D122" t="inlineStr">
        <is>
          <t>linkedin</t>
        </is>
      </c>
      <c r="E122">
        <f>HYPERLINK("https://www.linkedin.com/jobs/view/4340805191", "https://www.linkedin.com/jobs/view/4340805191")</f>
        <v/>
      </c>
      <c r="F122" t="inlineStr"/>
      <c r="G122" t="inlineStr">
        <is>
          <t>San Francisco, CA</t>
        </is>
      </c>
      <c r="H122" t="inlineStr"/>
      <c r="I122" t="inlineStr">
        <is>
          <t>****About Snorkel****
 At Snorkel, we believe meaningful AI doesn’t start with the model, it starts with the data.
 We’re on a mission to help enterprises transform expert knowledge into specialized AI at scale. The AI landscape has gone through incredible changes between 2015, when Snorkel started as a research project in the Stanford AI Lab, to the generative AI breakthroughs of today. But one thing has remained constant: the data you use to build AI is the key to achieving differentiation, high performance, and production\-ready systems. We work with some of the world’s largest organizations to empower scientists, engineers, financial experts, product creators, journalists, and more to build custom AI with their data faster than ever before. Excited to help us redefine how AI is built? Apply to be the newest Snorkeler!
**About Snorkel**
 We’re on a mission to democratize AI by building the definitive AI data development platform. The AI landscape has gone through incredible change between 2016, when Snorkel started as a research project in the Stanford AI Lab, to the generative AI breakthroughs of today. But one thing has remained constant: the data you use to build AI is the key to achieving differentiation, high performance, and production\-ready systems. We work with some of the world’s largest organizations to empower scientists, engineers, financial experts, product creators, journalists, and more to build custom AI with their data faster than ever before. Excited to help us redefine how AI is built? Apply to be the newest Snorkeler!
 As an Applied AI Engineer, you’ll research and utilize state\-of\-the\-art Gen AI and machine learning (ML) techniques to successfully deliver solutions to our customers. You will work directly with our customers to understand their business and technical needs and design and deliver AI solutions to solve them \- either by leveraging Snorkel Flow or developing custom approaches when needed. You will also help define Snorkel’s Applied AI tooling by translating repeatable real\-world challenges into reusable solution recipes, workflows, best practices, and platform\-level capabilities that become part of Snorkel Flow’s next generation of AI tooling. We move fast and are constantly prototyping and innovating new ways to deliver value to our customers. This position is ideal for someone who enjoys solving complex problems, bridging the gap between AI technology and business value, working directly with customers, keeping up\-to date with AI research, and standardizing bespoke solutions into internal recipes and staying naturally curious about the infrastructure that underpin the Applied AI stack end\-to\-end.
 Main Responsibilities
* Partner with customers to build and deploy impactful Gen AI and machine learning solutions, from use case scoping and data exploration to model development and deployment. This may involve leveraging Snorkel Flow or designing custom approaches using state\-of\-the\-art tools, with the goal of delivering real business value and informing the evolution of the Snorkel platform.
* Develop and implement state of the art AI systems such as retrieval\-augmented generation (RAG), fine\-tuning pipelines, prompt engineering recipes and agentic workflows.
* Create augmented real\-world datasets and comprehensive evaluation workflows to ensure model reliability, transparency, and stakeholder trust. A data\- and evaluation\-first mindset is essential for success in this role.
* Forge and manage relationships with our customers’ leadership and stakeholders to ensure successful development and deployment of AI projects with Snorkel Flow.
* Collaborate closely with pre\-sales Solutions and Product teams to map customer needs to existing capabilities, prioritize roadmap gaps, and guide successful project setup.
* Work with other Applied AI Engineers to standardize solutions and contribute to internal tooling and best practices.
* Lead stakeholder education on quantitative capabilities, helping them to understand the strengths and weaknesses of different approaches and what problems are best\-suited for Snorkel AI.
* Serve as the voice of our customers for new AI paradigms, data science workflows, and share customer feedback to product teams.
* Conduct one\-to\-few and one\-to\-many enablement workshops to transfer knowledge to customers considering or already using Snorkel AI.
* Annual travel up to 25%.
**Preferred Qualifications**
* B.S. degree in a quantitative field such as Computer Science, Engineering, Mathematics, Statistics, or comparable degree/experience.
* 3\+ years of customer\-facing experience in the design and implementation of AI/ML solutions.
* Proficiency in Python, including strong grounding in software engineering fundamentals (e.g., modular design, testing, profiling, packaging) and experience with modern Python constructs and libraries for type validation and typed data modeling (e.g., pydantic), building type\-safe systems (e.g., mypy), testing (e.g., pytest), packaging and environment configuration (e.g., poetry), API and service frameworks (e.g., FastAPI), serialization and structured data handling (e.g., msgspec), and orchestration tooling relevant to ML deployment (e.g., Ray, Airflow).
* Expertise across the Applied AI stack, spanning classical ML libraries (e.g., scikit\-learn), deep learning frameworks (e.g., PyTorch), foundation\-model ecosystems (e.g., Hugging Face Transformers), vector/embedding tooling (e.g., FAISS), data processing frameworks (e.g., pandas, Spark), retrieval/RAG tooling (e.g., Chroma, Weaviate), synthetic dataset curation, evaluation workflows, and LLM orchestration, workflow, agent authoring tools (e.g., LlamaIndex, LangGraph, CrewAI).
* Experience leading strategic, customer\-facing initiatives and collaborating with business stakeholders to ensure ML solutions drive successful business outcomes, with a strong focus on teaching and enablement.
* Outstanding presentation skills to technical and executive audiences, whether impromptu on a whiteboard or using presentations and demos.
* Ability to work in a fast\-paced environment and balance priorities across multiple projects at once.
 Compensation range for Tier 1 locations of San Francisco Bay Area $172K \- $300K OTE. All offers also include equity in the form of employee stock options. Our compensation ranges are determined by role, level, and location. Within the range, individual pay is determined by work location and additional factors, including job\-related skills, experience, and relevant education or training.
**Locations**
 Redwood City, CA \- Hybrid; San Francisco, CA \- Hybrid \- US
 Salary Range
 $172,000—$300,000 USD
**Be Your Best at Snorkel**
 Joining Snorkel AI means becoming part of a company that has market proven solutions, robust funding, and is scaling rapidly—offering a unique combination of stability and the excitement of high growth. As a member of our team, you’ll have meaningful opportunities to shape priorities and initiatives, influence key strategic decisions, and directly impact our ongoing success. Whether you’re looking to deepen your technical expertise, explore leadership opportunities, or learn new skills across multiple functions, you’re fully supported in building your career in an environment designed for growth, learning, and shared success.
*Snorkel AI is proud to be an Equal Employment Opportunity employer and is committed to building a team that represents a variety of backgrounds, perspectives, and skills. Snorkel AI embraces diversity and provides equal employment opportunities to all employees and applicants for employment. Snorkel AI prohibits discrimination and harassment of any type on the basis of race, color, religion, age, sex, national origin, disability status, genetics, protected veteran status, sexual orientation, gender identity or expression, or any other characteristic protected by federal, state, or local law. All employment is decided on the basis of qualifications, performance, merit, and business need.*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123">
      <c r="A123" t="inlineStr">
        <is>
          <t>li-4375680432</t>
        </is>
      </c>
      <c r="B123" t="inlineStr">
        <is>
          <t>AI Engineer x4</t>
        </is>
      </c>
      <c r="C123" t="inlineStr">
        <is>
          <t>Aventis Solutions</t>
        </is>
      </c>
      <c r="D123" t="inlineStr">
        <is>
          <t>linkedin</t>
        </is>
      </c>
      <c r="E123">
        <f>HYPERLINK("https://www.linkedin.com/jobs/view/4375680432", "https://www.linkedin.com/jobs/view/4375680432")</f>
        <v/>
      </c>
      <c r="F123" t="inlineStr"/>
      <c r="G123" t="inlineStr">
        <is>
          <t>Dallas, TX</t>
        </is>
      </c>
      <c r="H123" t="inlineStr"/>
      <c r="I123" t="inlineStr">
        <is>
          <t>Aventis Solutions is igniting the AI revolution: The AI Executive Podcast is now live online via:
* **YouTube**
* **Spotify**
* **Amazon Music**
 In other news, Aventis Solutions is supporting a fully remote, fast\-scaling US FinTech firm in hiring 4x AI Engineers or MLOps Data Engineers to help build production\-ready AI systems and modern data platforms. These roles are fully remote across the US, with a collaborative team culture, strong engineering leadership, and a mission to bring advanced AI capabilities into real\-world products.
**Key Details:** 
* **Salary Bracket:** 
 $130,000 to $190,000 base plus performance bonuses and comprehensive benefits
* **Location:** 
 Fully remote within the US, HQ in Dallas Texas and New York
* **Career Outlook:** 
 Opportunities to grow vertically up the ranks as an AI Engineer or AI Lead, or team leadership, business/technology strategy or architecture roles as the company expands
**Key Responsibilities:** 
* Design, build, and maintain scalable data pipelines and ML infrastructure in a cloud\-native environment
* Integrate AI and LLM\-based solutions into production systems, working closely with software engineering and product teams
* Implement CI/CD for ML workflows and manage containerised deployments
* Support data governance, monitoring, and reliability of machine learning systems
* Collaborate on applied AI use cases, from predictive analytics to generative AI integrations
**Tech Stacks:** 
* **Languages:** 
 Python, SQL, JavaScript (Node.js/TypeScript) for APIs
* **Data Engineering:** 
 Snowflake, Databricks, dbt, Kafka, Spark
* **MLOps and Cloud:** 
 AWS (SageMaker, S3, Lambda), Azure ML, Terraform, Kubernetes, Docker
* **ML/AI Frameworks:** 
 scikit\-learn, TensorFlow, PyTorch, LangChain, OpenAI API integrations
* **Workflow and Orchestration:** 
 Airflow, Prefect, MLflow, Metaflow
* **Version Control and CI/CD:** 
 Git, GitHub Actions, GitLab, Azure DevOps
**What the Team is Looking For:** 
* Python programming skills for data pipelines, ML experimentation, and API integrations
* Experience working in cloud environments such as AWS, GCP, or Azure
* Familiarity with containerisation, microservices, and infrastructure as code
* Knowledge of ML lifecycle management and deployment best practices
* Interest in LLMs and generative AI tooling, with an appetite to learn and experiment
* Good communication skills and the ability to collaborate across engineering, product, and data science teams
**Example Backgrounds:** 
* Data Engineers with cloud\-scale experience looking to add ML or AI integrations to their work
* Machine Learning Engineers who want to productionise models and scale pipelines
* Software Engineers (Python or JavaScript) with interest in data\-centric AI products
* Cloud or DevOps Engineers with MLOps experience
* AI Engineers with applied experience in LLM integrations or agentic frameworks
**Roles Overview:** 
 You will join a growing engineering team delivering real\-world AI solutions. Projects span predictive models, LLM\-enhanced applications, recommendation systems, and large\-scale data integrations. You will help the team build robust, maintainable, production\-ready AI services that deliver business value quickly.
 These roles are perfect for engineers who love solving complex problems, enjoy collaborating in cross\-functional teams, and want to stay on the leading edge of applied AI and MLOps.
 If you want to work fully remotely in a company that values autonomy, learning, and high\-quality engineering, this is your opportunity.
 Believe the hype!
**Interested?** 
 Please submit your CV via LinkedIn or message Billy Hall for further information.
 Aventis Solutions is acting on behalf of our partner.</t>
        </is>
      </c>
    </row>
    <row r="124">
      <c r="A124" t="inlineStr">
        <is>
          <t>li-4344642590</t>
        </is>
      </c>
      <c r="B124" t="inlineStr">
        <is>
          <t>Senior ML/AI Engineer - Developer Experience</t>
        </is>
      </c>
      <c r="C124" t="inlineStr">
        <is>
          <t>General Motors</t>
        </is>
      </c>
      <c r="D124" t="inlineStr">
        <is>
          <t>linkedin</t>
        </is>
      </c>
      <c r="E124">
        <f>HYPERLINK("https://www.linkedin.com/jobs/view/4344642590", "https://www.linkedin.com/jobs/view/4344642590")</f>
        <v/>
      </c>
      <c r="F124">
        <f>HYPERLINK("https://generalmotors.wd5.myworkdayjobs.com/Careers_GM/job/Mountain-View-California-United-States-of-America/Senior-ML-AI-Engineer\u002d\u002d-Developer-Experience_JR-202524527-1?source=LinkedIn&amp;urlHash=l-IW", "https://generalmotors.wd5.myworkdayjobs.com/Careers_GM/job/Mountain-View-California-United-States-of-America/Senior-ML-AI-Engineer\u002d\u002d-Developer-Experience_JR-202524527-1?source=LinkedIn&amp;urlHash=l-IW")</f>
        <v/>
      </c>
      <c r="G124" t="inlineStr">
        <is>
          <t>Washington, United States</t>
        </is>
      </c>
      <c r="H124" t="inlineStr"/>
      <c r="I124" t="inlineStr">
        <is>
          <t>**Job Description**
*This role is categorized as hybrid. This means the successful candidate is expected to report to the office in \[Austin, Detroit, Warren, Milford, Mountain View or Sunnyvale] a minimum of 3 days per week. This position can be considered Remote if the successful candidate is in the Seattle, Washington area.*
**About Us**
 The AI Cloud and Developer Infrastructure organization is responsible for delivering and maintaining the tools and services engineers here at GM use every day to do their best work and drive our cars forward. Tools and services we work on enhancing the entire development process of engineers at GM — how/where code is checked out, modified, compiled, tested, merged, and eventually deployed. Our goal is to ensure our AV engineers and others here have world class tools and a seamless development experience so that they can focus on the problems that matter most in their domain.
**The Role**
 We are looking for a Senior Engineer with an extensive engineering background, experience using a variety of developer tools and technologies, and who is passionate about developer productivity. As an IC leader on this team, we are looking for someone who cares deeply about the technical development of other engineers on the team and can effectively balance the needs and priorities of the business, our users, and the growth of our engineers.
**The Team**
 As a part of the AV Developer Productivity Org, the AV Developer Experience is responsible for creating and maintaining a robust, reliable, and cohesive inner loop development experience for AV developers at GM to optimize the rate at which quality code is produced at Cruise. We achieve through a combination of internally developed tools, vendor tools, and vendor tool integrations.
 The way this engineer will deliver impact may vary depending on the situation, but they will be expected to be able to identify how they can best have impact with minimal guidance.
**What You’ll Do**
* Identify engineering pain points and propose/design/implement solutions that are reliable, scalable, and maintainable
* Synthesize large amounts of company, org, customer information and context to establish priorities and influence the team’s technical roadmap
* Evaluate new tools and technologies through PoCs
* Ship improvements to our AV development toolchains and services which have a measurable and direct impact on engineering productivity and our core company metrics
* Drive software engineering best practices within your team, and create tooling which encourages these
* Help steer the engineering culture on the team
* Guide the team to find the right balance between delivering impact and addressing technical debt
* Mentor and grow engineers on the team
* Set the example for high levels of accountability
* Execute and deliver impact both individually and through the team
* Set strong boundaries when selecting external requests and pushing back on requests that do not align with our team vision
**Your Skills \&amp; Abilities (Required Qualifications)**
* 3\+ years of experience designing, building, and operating production systems at scale in the cloud
* Bachelors Degree in Computer Science or related field or equivalent work experience
* Understanding of AI Engineering principles and concepts
* Experience designing highly scalable, reliable, and maintainable services
* Experience writing in effective Go or other equivalent languages at production scale
* Understanding of Unix/Linux, SSH, and networking fundamentals
* Attention to detail, and a desire to improve processes and systems around you
* Ability to lead and influence others, both internal and external to the team
* Principled reasoning and the ability to research, document, communicate, and defend proposals, and provide and take critical feedback
* Ability to effectively make trade\-offs and communicate the reasoning
* Ability to manage competing priorities, focus on shipping, and work effectively under pressure
* Passion for mentoring and growing junior engineers
* Passion for leveling up the overall efficiency and effectiveness of the team
* Passion for self\-driving technology and its potential impact on the world
**What Will Give You a Competitive Edge (Preferred Qualifications)**
* Experience designing, building, and operating production systems at scale in the cloud
* Experience working with GCP
* Experience working with gPRC, Docker, and Kubernetes
* Experience owning or contributing to Open\-Source projects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$108,420 to $161,500\.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may be eligible for relocation benefits.
*Remote/Hybrid: This role is based remotely but if you live within a 50\-mile radius of Mountain View, you are expected to report to that location three times a week, at minimum.*
 This role is categorized as hybrid. This means the selected candidate is expected to report to a specific location at least 3 times a week {or other frequency dictated by their manager}. The selected candidate will be required to travel \&lt;25% for this role.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25">
      <c r="A125" t="inlineStr">
        <is>
          <t>li-4340625628</t>
        </is>
      </c>
      <c r="B125" t="inlineStr">
        <is>
          <t>Applied AI Engineer - AI Solutions</t>
        </is>
      </c>
      <c r="C125" t="inlineStr">
        <is>
          <t>Snorkel AI</t>
        </is>
      </c>
      <c r="D125" t="inlineStr">
        <is>
          <t>linkedin</t>
        </is>
      </c>
      <c r="E125">
        <f>HYPERLINK("https://www.linkedin.com/jobs/view/4340625628", "https://www.linkedin.com/jobs/view/4340625628")</f>
        <v/>
      </c>
      <c r="F125" t="inlineStr"/>
      <c r="G125" t="inlineStr">
        <is>
          <t>Redwood City, CA</t>
        </is>
      </c>
      <c r="H125" t="inlineStr"/>
      <c r="I125" t="inlineStr">
        <is>
          <t>****About Snorkel****
 At Snorkel, we believe meaningful AI doesn’t start with the model, it starts with the data.
 We’re on a mission to help enterprises transform expert knowledge into specialized AI at scale. The AI landscape has gone through incredible changes between 2015, when Snorkel started as a research project in the Stanford AI Lab, to the generative AI breakthroughs of today. But one thing has remained constant: the data you use to build AI is the key to achieving differentiation, high performance, and production\-ready systems. We work with some of the world’s largest organizations to empower scientists, engineers, financial experts, product creators, journalists, and more to build custom AI with their data faster than ever before. Excited to help us redefine how AI is built? Apply to be the newest Snorkeler!
**About Snorkel**
 We’re on a mission to democratize AI by building the definitive AI data development platform. The AI landscape has gone through incredible change between 2016, when Snorkel started as a research project in the Stanford AI Lab, to the generative AI breakthroughs of today. But one thing has remained constant: the data you use to build AI is the key to achieving differentiation, high performance, and production\-ready systems. We work with some of the world’s largest organizations to empower scientists, engineers, financial experts, product creators, journalists, and more to build custom AI with their data faster than ever before. Excited to help us redefine how AI is built? Apply to be the newest Snorkeler!
 As an Applied AI Engineer, you’ll research and utilize state\-of\-the\-art Gen AI and machine learning (ML) techniques to successfully deliver solutions to our customers. You will work directly with our customers to understand their business and technical needs and design and deliver AI solutions to solve them \- either by leveraging Snorkel Flow or developing custom approaches when needed. You will also help define Snorkel’s Applied AI tooling by translating repeatable real\-world challenges into reusable solution recipes, workflows, best practices, and platform\-level capabilities that become part of Snorkel Flow’s next generation of AI tooling. We move fast and are constantly prototyping and innovating new ways to deliver value to our customers. This position is ideal for someone who enjoys solving complex problems, bridging the gap between AI technology and business value, working directly with customers, keeping up\-to date with AI research, and standardizing bespoke solutions into internal recipes and staying naturally curious about the infrastructure that underpin the Applied AI stack end\-to\-end.
 Main Responsibilities
* Partner with customers to build and deploy impactful Gen AI and machine learning solutions, from use case scoping and data exploration to model development and deployment. This may involve leveraging Snorkel Flow or designing custom approaches using state\-of\-the\-art tools, with the goal of delivering real business value and informing the evolution of the Snorkel platform.
* Develop and implement state of the art AI systems such as retrieval\-augmented generation (RAG), fine\-tuning pipelines, prompt engineering recipes and agentic workflows.
* Create augmented real\-world datasets and comprehensive evaluation workflows to ensure model reliability, transparency, and stakeholder trust. A data\- and evaluation\-first mindset is essential for success in this role.
* Forge and manage relationships with our customers’ leadership and stakeholders to ensure successful development and deployment of AI projects with Snorkel Flow.
* Collaborate closely with pre\-sales Solutions and Product teams to map customer needs to existing capabilities, prioritize roadmap gaps, and guide successful project setup.
* Work with other Applied AI Engineers to standardize solutions and contribute to internal tooling and best practices.
* Lead stakeholder education on quantitative capabilities, helping them to understand the strengths and weaknesses of different approaches and what problems are best\-suited for Snorkel AI.
* Serve as the voice of our customers for new AI paradigms, data science workflows, and share customer feedback to product teams.
* Conduct one\-to\-few and one\-to\-many enablement workshops to transfer knowledge to customers considering or already using Snorkel AI.
* Annual travel up to 25%.
**Preferred Qualifications**
* B.S. degree in a quantitative field such as Computer Science, Engineering, Mathematics, Statistics, or comparable degree/experience.
* 3\+ years of customer\-facing experience in the design and implementation of AI/ML solutions.
* Proficiency in Python, including strong grounding in software engineering fundamentals (e.g., modular design, testing, profiling, packaging) and experience with modern Python constructs and libraries for type validation and typed data modeling (e.g., pydantic), building type\-safe systems (e.g., mypy), testing (e.g., pytest), packaging and environment configuration (e.g., poetry), API and service frameworks (e.g., FastAPI), serialization and structured data handling (e.g., msgspec), and orchestration tooling relevant to ML deployment (e.g., Ray, Airflow).
* Expertise across the Applied AI stack, spanning classical ML libraries (e.g., scikit\-learn), deep learning frameworks (e.g., PyTorch), foundation\-model ecosystems (e.g., Hugging Face Transformers), vector/embedding tooling (e.g., FAISS), data processing frameworks (e.g., pandas, Spark), retrieval/RAG tooling (e.g., Chroma, Weaviate), synthetic dataset curation, evaluation workflows, and LLM orchestration, workflow, agent authoring tools (e.g., LlamaIndex, LangGraph, CrewAI).
* Experience leading strategic, customer\-facing initiatives and collaborating with business stakeholders to ensure ML solutions drive successful business outcomes, with a strong focus on teaching and enablement.
* Outstanding presentation skills to technical and executive audiences, whether impromptu on a whiteboard or using presentations and demos.
* Ability to work in a fast\-paced environment and balance priorities across multiple projects at once.
 Compensation range for Tier 1 locations of San Francisco Bay Area $172K \- $300K OTE. All offers also include equity in the form of employee stock options. Our compensation ranges are determined by role, level, and location. Within the range, individual pay is determined by work location and additional factors, including job\-related skills, experience, and relevant education or training.
**Locations**
 Redwood City, CA \- Hybrid; San Francisco, CA \- Hybrid \- US
 Salary Range
 $172,000—$300,000 USD
**Be Your Best at Snorkel**
 Joining Snorkel AI means becoming part of a company that has market proven solutions, robust funding, and is scaling rapidly—offering a unique combination of stability and the excitement of high growth. As a member of our team, you’ll have meaningful opportunities to shape priorities and initiatives, influence key strategic decisions, and directly impact our ongoing success. Whether you’re looking to deepen your technical expertise, explore leadership opportunities, or learn new skills across multiple functions, you’re fully supported in building your career in an environment designed for growth, learning, and shared success.
*Snorkel AI is proud to be an Equal Employment Opportunity employer and is committed to building a team that represents a variety of backgrounds, perspectives, and skills. Snorkel AI embraces diversity and provides equal employment opportunities to all employees and applicants for employment. Snorkel AI prohibits discrimination and harassment of any type on the basis of race, color, religion, age, sex, national origin, disability status, genetics, protected veteran status, sexual orientation, gender identity or expression, or any other characteristic protected by federal, state, or local law. All employment is decided on the basis of qualifications, performance, merit, and business need.*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126">
      <c r="A126" t="inlineStr">
        <is>
          <t>li-4344662344</t>
        </is>
      </c>
      <c r="B126" t="inlineStr">
        <is>
          <t>Senior ML/AI Engineer - Developer Experience</t>
        </is>
      </c>
      <c r="C126" t="inlineStr">
        <is>
          <t>General Motors</t>
        </is>
      </c>
      <c r="D126" t="inlineStr">
        <is>
          <t>linkedin</t>
        </is>
      </c>
      <c r="E126">
        <f>HYPERLINK("https://www.linkedin.com/jobs/view/4344662344", "https://www.linkedin.com/jobs/view/4344662344")</f>
        <v/>
      </c>
      <c r="F126">
        <f>HYPERLINK("https://generalmotors.wd5.myworkdayjobs.com/Careers_GM/job/Mountain-View-California-United-States-of-America/Senior-ML-AI-Engineer\u002d\u002d-Developer-Experience_JR-202524527-1?source=LinkedIn&amp;urlHash=l-IW", "https://generalmotors.wd5.myworkdayjobs.com/Careers_GM/job/Mountain-View-California-United-States-of-America/Senior-ML-AI-Engineer\u002d\u002d-Developer-Experience_JR-202524527-1?source=LinkedIn&amp;urlHash=l-IW")</f>
        <v/>
      </c>
      <c r="G126" t="inlineStr">
        <is>
          <t>Warren, MI</t>
        </is>
      </c>
      <c r="H126" t="inlineStr"/>
      <c r="I126" t="inlineStr">
        <is>
          <t>**Job Description**
*This role is categorized as hybrid. This means the successful candidate is expected to report to the office in \[Austin, Detroit, Warren, Milford, Mountain View or Sunnyvale] a minimum of 3 days per week. This position can be considered Remote if the successful candidate is in the Seattle, Washington area.*
**About Us**
 The AI Cloud and Developer Infrastructure organization is responsible for delivering and maintaining the tools and services engineers here at GM use every day to do their best work and drive our cars forward. Tools and services we work on enhancing the entire development process of engineers at GM — how/where code is checked out, modified, compiled, tested, merged, and eventually deployed. Our goal is to ensure our AV engineers and others here have world class tools and a seamless development experience so that they can focus on the problems that matter most in their domain.
**The Role**
 We are looking for a Senior Engineer with an extensive engineering background, experience using a variety of developer tools and technologies, and who is passionate about developer productivity. As an IC leader on this team, we are looking for someone who cares deeply about the technical development of other engineers on the team and can effectively balance the needs and priorities of the business, our users, and the growth of our engineers.
**The Team**
 As a part of the AV Developer Productivity Org, the AV Developer Experience is responsible for creating and maintaining a robust, reliable, and cohesive inner loop development experience for AV developers at GM to optimize the rate at which quality code is produced at Cruise. We achieve through a combination of internally developed tools, vendor tools, and vendor tool integrations.
 The way this engineer will deliver impact may vary depending on the situation, but they will be expected to be able to identify how they can best have impact with minimal guidance.
**What You’ll Do**
* Identify engineering pain points and propose/design/implement solutions that are reliable, scalable, and maintainable
* Synthesize large amounts of company, org, customer information and context to establish priorities and influence the team’s technical roadmap
* Evaluate new tools and technologies through PoCs
* Ship improvements to our AV development toolchains and services which have a measurable and direct impact on engineering productivity and our core company metrics
* Drive software engineering best practices within your team, and create tooling which encourages these
* Help steer the engineering culture on the team
* Guide the team to find the right balance between delivering impact and addressing technical debt
* Mentor and grow engineers on the team
* Set the example for high levels of accountability
* Execute and deliver impact both individually and through the team
* Set strong boundaries when selecting external requests and pushing back on requests that do not align with our team vision
**Your Skills \&amp; Abilities (Required Qualifications)**
* 3\+ years of experience designing, building, and operating production systems at scale in the cloud
* Bachelors Degree in Computer Science or related field or equivalent work experience
* Understanding of AI Engineering principles and concepts
* Experience designing highly scalable, reliable, and maintainable services
* Experience writing in effective Go or other equivalent languages at production scale
* Understanding of Unix/Linux, SSH, and networking fundamentals
* Attention to detail, and a desire to improve processes and systems around you
* Ability to lead and influence others, both internal and external to the team
* Principled reasoning and the ability to research, document, communicate, and defend proposals, and provide and take critical feedback
* Ability to effectively make trade\-offs and communicate the reasoning
* Ability to manage competing priorities, focus on shipping, and work effectively under pressure
* Passion for mentoring and growing junior engineers
* Passion for leveling up the overall efficiency and effectiveness of the team
* Passion for self\-driving technology and its potential impact on the world
**What Will Give You a Competitive Edge (Preferred Qualifications)**
* Experience designing, building, and operating production systems at scale in the cloud
* Experience working with GCP
* Experience working with gPRC, Docker, and Kubernetes
* Experience owning or contributing to Open\-Source projects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$108,420 to $161,500\.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may be eligible for relocation benefits.
*Remote/Hybrid: This role is based remotely but if you live within a 50\-mile radius of Mountain View, you are expected to report to that location three times a week, at minimum.*
 This role is categorized as hybrid. This means the selected candidate is expected to report to a specific location at least 3 times a week {or other frequency dictated by their manager}. The selected candidate will be required to travel \&lt;25% for this role.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27">
      <c r="A127" t="inlineStr">
        <is>
          <t>li-4375698078</t>
        </is>
      </c>
      <c r="B127" t="inlineStr">
        <is>
          <t>AI/ML Engineer</t>
        </is>
      </c>
      <c r="C127" t="inlineStr">
        <is>
          <t>micro1</t>
        </is>
      </c>
      <c r="D127" t="inlineStr">
        <is>
          <t>linkedin</t>
        </is>
      </c>
      <c r="E127">
        <f>HYPERLINK("https://www.linkedin.com/jobs/view/4375698078", "https://www.linkedin.com/jobs/view/4375698078")</f>
        <v/>
      </c>
      <c r="F127" t="inlineStr"/>
      <c r="G127" t="inlineStr"/>
      <c r="H127" t="inlineStr"/>
      <c r="I127" t="inlineStr">
        <is>
          <t>**Job Title:** 
 AI/ML Engineer
**Job Type:** 
 Full\-time, Contractual
**Job Summary:** 
 Join our customer's team as a AI/ML Engineer and play a pivotal role in driving mission\-critical government initiatives while also contributing to micro1’s proprietary AI infrastructure, you’ll harness advanced large language models (LLMs), retrieval\-augmented generation (RAG), and multi\-agent orchestration to deliver secure, scalable, and impactful machine learning systems. You’ll work closely with cross\-functional experts, leveraging frontier AI platforms and the latest in agentic AI tooling.
**Key Responsibilities:** 
* Design, implement, and optimize AI/ML models particularly leveraging LLMs, RAG, and prompt engineering for production grade applications.
* Develop and orchestrate multi\-agent systems using frameworks such as LangGraph and LangChain.
* Integrate and deploy solutions on secure cloud environments, including AWS GovCloud, Google GovCloud, Azure IL5\+, Vertex AI, and AWS Bedrock.
* Build robust data pipelines, manage ETL processes, and develop metadata catalogs and ontologies to ensure high\-quality data for AI training and inference.
* Create and maintain REST APIs and SDK integrations to facilitate seamless data and model interactions.
* Collaborate with product, security, and engineering teams to ensure best\-in\-class delivery, following secure coding and DevOps best practices (CI/CD).
* Document technical decisions and communicate complex concepts clearly to both technical and non\-technical stakeholders.
**Required Skills and Qualifications:** 
* Proficiency in Python for AI/ML development, including experience with REST APIs and SDK integration.
* Hands\-on experience with LLMs, RAG systems, and prompt engineering in production environments.
* Familiarity with multi\-agent orchestration, tool use, and frameworks like LangGraph and LangChain.
* Deep understanding of cloud AI services (AWS GovCloud, Google GovCloud, Azure IL5\+, Vertex AI, AWS Bedrock).
* Background in building and maintaining data pipelines, ontologies, metadata catalogs, and ETL processes.
* Strong grasp of secure coding and modern DevOps practices (CI/CD pipelines).
* Exceptional written and verbal communication skills for effective collaboration and documentation.
**Preferred Qualifications:** 
* Experience with AI/agentic platforms, such as Anthropic for Gov, OpenAI Enterprise, Gemini Enterprise, or Grok Enterprise.
* Knowledge of metadata catalog platforms (MCP) and advanced API development techniques.
* Prior exposure to government or highly regulated cloud environments and compliance standards.</t>
        </is>
      </c>
    </row>
    <row r="128">
      <c r="A128" t="inlineStr">
        <is>
          <t>li-4097040290</t>
        </is>
      </c>
      <c r="B128" t="inlineStr">
        <is>
          <t>Machine Learning Engineer</t>
        </is>
      </c>
      <c r="C128" t="inlineStr">
        <is>
          <t>Neuralink</t>
        </is>
      </c>
      <c r="D128" t="inlineStr">
        <is>
          <t>linkedin</t>
        </is>
      </c>
      <c r="E128">
        <f>HYPERLINK("https://www.linkedin.com/jobs/view/4097040290", "https://www.linkedin.com/jobs/view/4097040290")</f>
        <v/>
      </c>
      <c r="F128" t="inlineStr"/>
      <c r="G128" t="inlineStr">
        <is>
          <t>Fremont, CA</t>
        </is>
      </c>
      <c r="H128" t="inlineStr"/>
      <c r="I128" t="inlineStr">
        <is>
          <t>**About Neuralink:**
 We are creating devices that enable a bi\-directional interface with the brain. These devices allow us to restore movement to the paralyzed, restore sight to the blind, and revolutionize how humans interact with their digital world.
**About the Team:**
 The BCI team develops the software and systems that communicate with the brain. These systems decode raw neural signals into useful actions, such as moving a cursor, typing, or actuating a robotic arm. Additionally, real\-world data, such as video feeds, can be encoded into neural data to project images into the visual cortex. We also work closely with users to gather feedback, make improvements, and fundamentally reshape the user experience and interface of the BCI.
**About the Role:**
 Engineers on the BCI team utilize signal processing and machine learning to communicate with the brain. You will have access to the most cutting\-edge neural interface hardware and develop state\-of\-the\-art neural encoders and decoders. No prior knowledge of neuroscience is required; we value simple solutions grounded in first principles.
 Neuralink designs all hardware in\-house, from custom ASICs to thin\-film arrays. There is no part of the technical design that cannot change. Learnings from your work will directly influence next\-generation device architecture.
**Job Responsibilities:**
* Telepathy Product: Develop and refine models that decode neural data, enabling individuals with paralysis to reliably type at 35 words per minute or control robotics arms for activities of daily living.
* Blindsight Product: Formulate research questions to guide the development of neural networks and signal processing algorithms that will restore vision to those affected by blindness.
* Utilize your fundamental understanding of neural networks and data science to develop models that serve as the foundation for machine learning applications for BCI.
* Lead the team by performing at a high standard, setting the bar for how we build and operate our systems.
* Inform our hardware roadmap by understanding users and identifying the product features that would have the greatest impact on their quality of life.
**About You:**
* Experience writing production\-level C/C\+\+/Rust and Python
* Proven track record of designing, building, and shipping real\-time ML products
* Strong foundation in signal processing, algorithms, and software engineering principles
* Bachelor's degree in relevant field or equivalent experience
 Fast forward to 40:32 to learn more about neural decoding:
**Expected Compensation:**
 The anticipated base salary for this position is expected to be within the following range. Your actual base pay will be determined by your job\-related skills, experience, and relevant education or training. We also believe in aligning our employees' success with the company's long\-term growth. As such, in addition to base salary, Neuralink offers equity compensation (in the form of Restricted Stock Units (RSU)) for all full\-time employees.
 Base Salary Range:
 $199,000—$331,000 USD
**What We Offer:**
 Full\-time employees are eligible for the following benefits listed below.
* An opportunity to change the world and work with some of the smartest and most talented experts from different fields
* Growth potential; we rapidly advance team members who have an outsized impact
* Excellent medical, dental, and vision insurance through a PPO plan
* Paid holidays
* Commuter benefits
* Meals provided
* Equity (RSUs) \*Temporary Employees \&amp; Interns excluded
* 401(k) plan \*Interns initially excluded until they work 1,000 hours
* Parental leave \*Temporary Employees \&amp; Interns excluded
* Flexible time off \*Temporary Employees \&amp; Interns excluded</t>
        </is>
      </c>
    </row>
    <row r="129">
      <c r="A129" t="inlineStr">
        <is>
          <t>li-4373439867</t>
        </is>
      </c>
      <c r="B129" t="inlineStr">
        <is>
          <t>Founding AI/ML Engineer (Production) - NYC - $250k-$500k+ + Founding Equity</t>
        </is>
      </c>
      <c r="C129" t="inlineStr">
        <is>
          <t>Open Talent</t>
        </is>
      </c>
      <c r="D129" t="inlineStr">
        <is>
          <t>linkedin</t>
        </is>
      </c>
      <c r="E129">
        <f>HYPERLINK("https://www.linkedin.com/jobs/view/4373439867", "https://www.linkedin.com/jobs/view/4373439867")</f>
        <v/>
      </c>
      <c r="F129" t="inlineStr"/>
      <c r="G129" t="inlineStr">
        <is>
          <t>New York, NY</t>
        </is>
      </c>
      <c r="H129" t="inlineStr"/>
      <c r="I129" t="inlineStr">
        <is>
          <t>**Founding AI/ML Engineer (Production) \- NYC \- $250k\-$500k\+ \+ Founding Equity** 
*We’re hiring for one of NYC’s top 10 robotics startups. If you’re an elite engineer looking to join an A squad\-builders from SpaceX, Palantir, Google \&amp; Anduril \- this is where you want to be.* 
 \*
 Most AI roles are currently focused on generating pixels or text. This team are using LLMs to command multi\-ton autonomous machines.
***Must be based in NYC \&amp; role requires US citizenship due to regulatory constraints.***
 We need a
 **Founding AI/ML Engineer** 
 to build the production intelligence layer for autonomous heavy machinery. This isn't a research lab. We have real robots, real customers, and systems operating in the field 24/7\. Your work won't just generate tokens; it will drive physical outcomes.
**The Work** 
 This is a 100% production role focused on critical AI infrastructure. You are responsible for the intelligence that allows multi\-ton machines to act on complex environments.
* **Production LLMs:** 
 Fine\-tuning and deploying models that handle mission\-critical operational logic.
* **Systems \&amp; Infra:** 
 Building the RAG pipelines and data flywheels that power our fleet’s intelligence.
* **Evals \&amp; Determinism:** 
 Designing evaluation frameworks to ensure model outputs are safe and reliable enough for heavy hardware.
* **Problem Solving:** 
 Moving from raw telemetry to deployed models. You own the pipeline, the tuning, and the performance in the field.
**The Team** 
 You’ll be joining a high\-density team from
 **SpaceX, Palantir, and Anduril** 
 . We’ve stripped away the typical corporate friction\-no bloated meetings or research for the sake of research. We hire for high agency and low ego. As a founding hire, you aren't just training models; you’re architecting the intelligence of the company.
**What we're looking for** 
 We want high\-signal builders who are bored with "wrapper" apps and want to solve hard problems grounded in physics.
* **Production Grit:** 
 You’ve shipped ML systems at scale. You care about inference latency and reliability more than "vibe checks."
* **LLM Mastery:** 
 Deep experience with fine\-tuning, RAG, and prompt engineering in high\-stakes environments.
* **Systems Thinker:** 
 You understand the full stack. You know how to optimize models to run efficiently and how to build the infra that supports them.
* **High\-Bar Pedigree:** 
 You’ve worked in environments where the standard for "production\-ready" is exceptionally high.
**Stack \&amp; Comp** 
* **Stack:** 
 Python, PyTorch, LLMs, RAG, Vector DBs, Kubernetes.
* **Location:** 
 NYC (Manhattan) \- On\-site/Hybrid.
* **Comp:** 
 $250k \- $500k\+ base \+
 **Founding Member Equity** 
 .
**The Process:** 
**1 Week \&amp; 0 Take\-Homes** 
 We move as fast as we ship. We can go from first touch to offer in one week:
1. **(Founders) Technical Deep Dive:** 
 A conversation about the most complex AI system you’ve actually shipped.
2. **(Team)Practical Pairing:** 
 Solving a real\-world production ML or data infra problem together.
 **No Leetcode.**
3. **(Exec) Founding Team Chat:** 
 A focus on judgment, trade\-offs \&amp; vision.
 If you’re ready to put AI into the physical world, let’s talk.
**TL;DR** 
* **Role:** 
 Founding AI/ML Engineer (Production)
* **Focus:** 
 Fine\-tuning, Evals, and RAG for Robotics
* **Team:** 
 Ex\-SpaceX, Palantir, Anduril, Google
* **Comp:** 
 $250k \- $500k\+ base \+ Founding Equity
* **Process:** 
 1 week. 3 rounds.
**Equal Opportunity** 
 We're hiring for an Equal Opportunity Employer.
 \*All our new jobs are posted here 1st:
**linkedin.com/in/sufyanbashir/**</t>
        </is>
      </c>
    </row>
    <row r="130">
      <c r="A130" t="inlineStr">
        <is>
          <t>li-4344572850</t>
        </is>
      </c>
      <c r="B130" t="inlineStr">
        <is>
          <t>Senior ML/AI Engineer - Developer Experience</t>
        </is>
      </c>
      <c r="C130" t="inlineStr">
        <is>
          <t>General Motors</t>
        </is>
      </c>
      <c r="D130" t="inlineStr">
        <is>
          <t>linkedin</t>
        </is>
      </c>
      <c r="E130">
        <f>HYPERLINK("https://www.linkedin.com/jobs/view/4344572850", "https://www.linkedin.com/jobs/view/4344572850")</f>
        <v/>
      </c>
      <c r="F130" t="inlineStr"/>
      <c r="G130" t="inlineStr">
        <is>
          <t>Mountain View, CA</t>
        </is>
      </c>
      <c r="H130" t="inlineStr"/>
      <c r="I130" t="inlineStr">
        <is>
          <t>**Job Description**
*This role is categorized as hybrid. This means the successful candidate is expected to report to the office in \[Austin, Detroit, Warren, Milford, Mountain View or Sunnyvale] a minimum of 3 days per week. This position can be considered Remote if the successful candidate is in the Seattle, Washington area.*
**About Us**
 The AI Cloud and Developer Infrastructure organization is responsible for delivering and maintaining the tools and services engineers here at GM use every day to do their best work and drive our cars forward. Tools and services we work on enhancing the entire development process of engineers at GM — how/where code is checked out, modified, compiled, tested, merged, and eventually deployed. Our goal is to ensure our AV engineers and others here have world class tools and a seamless development experience so that they can focus on the problems that matter most in their domain.
**The Role**
 We are looking for a Senior Engineer with an extensive engineering background, experience using a variety of developer tools and technologies, and who is passionate about developer productivity. As an IC leader on this team, we are looking for someone who cares deeply about the technical development of other engineers on the team and can effectively balance the needs and priorities of the business, our users, and the growth of our engineers.
**The Team**
 As a part of the AV Developer Productivity Org, the AV Developer Experience is responsible for creating and maintaining a robust, reliable, and cohesive inner loop development experience for AV developers at GM to optimize the rate at which quality code is produced at Cruise. We achieve through a combination of internally developed tools, vendor tools, and vendor tool integrations.
 The way this engineer will deliver impact may vary depending on the situation, but they will be expected to be able to identify how they can best have impact with minimal guidance.
**What You’ll Do**
* Identify engineering pain points and propose/design/implement solutions that are reliable, scalable, and maintainable
* Synthesize large amounts of company, org, customer information and context to establish priorities and influence the team’s technical roadmap
* Evaluate new tools and technologies through PoCs
* Ship improvements to our AV development toolchains and services which have a measurable and direct impact on engineering productivity and our core company metrics
* Drive software engineering best practices within your team, and create tooling which encourages these
* Help steer the engineering culture on the team
* Guide the team to find the right balance between delivering impact and addressing technical debt
* Mentor and grow engineers on the team
* Set the example for high levels of accountability
* Execute and deliver impact both individually and through the team
* Set strong boundaries when selecting external requests and pushing back on requests that do not align with our team vision
**Your Skills \&amp; Abilities (Required Qualifications)**
* 3\+ years of experience designing, building, and operating production systems at scale in the cloud
* Bachelors Degree in Computer Science or related field or equivalent work experience
* Understanding of AI Engineering principles and concepts
* Experience designing highly scalable, reliable, and maintainable services
* Experience writing in effective Go or other equivalent languages at production scale
* Understanding of Unix/Linux, SSH, and networking fundamentals
* Attention to detail, and a desire to improve processes and systems around you
* Ability to lead and influence others, both internal and external to the team
* Principled reasoning and the ability to research, document, communicate, and defend proposals, and provide and take critical feedback
* Ability to effectively make trade\-offs and communicate the reasoning
* Ability to manage competing priorities, focus on shipping, and work effectively under pressure
* Passion for mentoring and growing junior engineers
* Passion for leveling up the overall efficiency and effectiveness of the team
* Passion for self\-driving technology and its potential impact on the world
**What Will Give You a Competitive Edge (Preferred Qualifications)**
* Experience designing, building, and operating production systems at scale in the cloud
* Experience working with GCP
* Experience working with gPRC, Docker, and Kubernetes
* Experience owning or contributing to Open\-Source projects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$108,420 to $161,500\.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may be eligible for relocation benefits.
*Remote/Hybrid: This role is based remotely but if you live within a 50\-mile radius of Mountain View, you are expected to report to that location three times a week, at minimum.*
 This role is categorized as hybrid. This means the selected candidate is expected to report to a specific location at least 3 times a week {or other frequency dictated by their manager}. The selected candidate will be required to travel \&lt;25% for this role.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31">
      <c r="A131" t="inlineStr">
        <is>
          <t>li-4344553024</t>
        </is>
      </c>
      <c r="B131" t="inlineStr">
        <is>
          <t>Senior ML/AI Engineer - Developer Experience</t>
        </is>
      </c>
      <c r="C131" t="inlineStr">
        <is>
          <t>General Motors</t>
        </is>
      </c>
      <c r="D131" t="inlineStr">
        <is>
          <t>linkedin</t>
        </is>
      </c>
      <c r="E131">
        <f>HYPERLINK("https://www.linkedin.com/jobs/view/4344553024", "https://www.linkedin.com/jobs/view/4344553024")</f>
        <v/>
      </c>
      <c r="F131">
        <f>HYPERLINK("https://generalmotors.wd5.myworkdayjobs.com/Careers_GM/job/Mountain-View-California-United-States-of-America/Senior-ML-AI-Engineer\u002d\u002d-Developer-Experience_JR-202524527-1?source=LinkedIn&amp;urlHash=l-IW", "https://generalmotors.wd5.myworkdayjobs.com/Careers_GM/job/Mountain-View-California-United-States-of-America/Senior-ML-AI-Engineer\u002d\u002d-Developer-Experience_JR-202524527-1?source=LinkedIn&amp;urlHash=l-IW")</f>
        <v/>
      </c>
      <c r="G131" t="inlineStr">
        <is>
          <t>Sunnyvale, CA</t>
        </is>
      </c>
      <c r="H131" t="inlineStr"/>
      <c r="I131" t="inlineStr">
        <is>
          <t>**Job Description**
*This role is categorized as hybrid. This means the successful candidate is expected to report to the office in \[Austin, Detroit, Warren, Milford, Mountain View or Sunnyvale] a minimum of 3 days per week. This position can be considered Remote if the successful candidate is in the Seattle, Washington area.*
**About Us**
 The AI Cloud and Developer Infrastructure organization is responsible for delivering and maintaining the tools and services engineers here at GM use every day to do their best work and drive our cars forward. Tools and services we work on enhancing the entire development process of engineers at GM — how/where code is checked out, modified, compiled, tested, merged, and eventually deployed. Our goal is to ensure our AV engineers and others here have world class tools and a seamless development experience so that they can focus on the problems that matter most in their domain.
**The Role**
 We are looking for a Senior Engineer with an extensive engineering background, experience using a variety of developer tools and technologies, and who is passionate about developer productivity. As an IC leader on this team, we are looking for someone who cares deeply about the technical development of other engineers on the team and can effectively balance the needs and priorities of the business, our users, and the growth of our engineers.
**The Team**
 As a part of the AV Developer Productivity Org, the AV Developer Experience is responsible for creating and maintaining a robust, reliable, and cohesive inner loop development experience for AV developers at GM to optimize the rate at which quality code is produced at Cruise. We achieve through a combination of internally developed tools, vendor tools, and vendor tool integrations.
 The way this engineer will deliver impact may vary depending on the situation, but they will be expected to be able to identify how they can best have impact with minimal guidance.
**What You’ll Do**
* Identify engineering pain points and propose/design/implement solutions that are reliable, scalable, and maintainable
* Synthesize large amounts of company, org, customer information and context to establish priorities and influence the team’s technical roadmap
* Evaluate new tools and technologies through PoCs
* Ship improvements to our AV development toolchains and services which have a measurable and direct impact on engineering productivity and our core company metrics
* Drive software engineering best practices within your team, and create tooling which encourages these
* Help steer the engineering culture on the team
* Guide the team to find the right balance between delivering impact and addressing technical debt
* Mentor and grow engineers on the team
* Set the example for high levels of accountability
* Execute and deliver impact both individually and through the team
* Set strong boundaries when selecting external requests and pushing back on requests that do not align with our team vision
**Your Skills \&amp; Abilities (Required Qualifications)**
* 3\+ years of experience designing, building, and operating production systems at scale in the cloud
* Bachelors Degree in Computer Science or related field or equivalent work experience
* Understanding of AI Engineering principles and concepts
* Experience designing highly scalable, reliable, and maintainable services
* Experience writing in effective Go or other equivalent languages at production scale
* Understanding of Unix/Linux, SSH, and networking fundamentals
* Attention to detail, and a desire to improve processes and systems around you
* Ability to lead and influence others, both internal and external to the team
* Principled reasoning and the ability to research, document, communicate, and defend proposals, and provide and take critical feedback
* Ability to effectively make trade\-offs and communicate the reasoning
* Ability to manage competing priorities, focus on shipping, and work effectively under pressure
* Passion for mentoring and growing junior engineers
* Passion for leveling up the overall efficiency and effectiveness of the team
* Passion for self\-driving technology and its potential impact on the world
**What Will Give You a Competitive Edge (Preferred Qualifications)**
* Experience designing, building, and operating production systems at scale in the cloud
* Experience working with GCP
* Experience working with gPRC, Docker, and Kubernetes
* Experience owning or contributing to Open\-Source projects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$108,420 to $161,500\.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may be eligible for relocation benefits.
*Remote/Hybrid: This role is based remotely but if you live within a 50\-mile radius of Mountain View, you are expected to report to that location three times a week, at minimum.*
 This role is categorized as hybrid. This means the selected candidate is expected to report to a specific location at least 3 times a week {or other frequency dictated by their manager}. The selected candidate will be required to travel \&lt;25% for this role.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32">
      <c r="A132" t="inlineStr">
        <is>
          <t>li-4294672022</t>
        </is>
      </c>
      <c r="B132" t="inlineStr">
        <is>
          <t>Machine Learning Engineer, Foundation Models (Prescient / AI for Drug Discovery)</t>
        </is>
      </c>
      <c r="C132" t="inlineStr">
        <is>
          <t>Genentech</t>
        </is>
      </c>
      <c r="D132" t="inlineStr">
        <is>
          <t>linkedin</t>
        </is>
      </c>
      <c r="E132">
        <f>HYPERLINK("https://www.linkedin.com/jobs/view/4294672022", "https://www.linkedin.com/jobs/view/4294672022")</f>
        <v/>
      </c>
      <c r="F132" t="inlineStr"/>
      <c r="G132" t="inlineStr">
        <is>
          <t>New York, NY</t>
        </is>
      </c>
      <c r="H132" t="inlineStr"/>
      <c r="I132" t="inlineStr">
        <is>
          <t>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how these technologies accelerate R\&amp;D, leveraging data and novel computational models to drive impact. Seamless data sharing and access to models across gRED and pRED are essential to maximising these opportunities. The new Computational Sciences Center of Excellence (CoE) is a strategic, unified group whose goal is to harness this transformative power of data and Artificial Intelligence (AI) to assist our scientists in both pRED and gRED to deliver more innovative and transformative medicines for patients worldwide.
**The Opportunity**
 At Roche's AI for Drug Discovery (AIDD) group (Prescient Design), we are revolutionizing drug discovery with cutting\-edge machine learning techniques. We are seeking talented engineers with a passion for building large\-scale, distributed machine learning algorithms and systems that will transform the drug discovery process. AIDD’s Foundation Model team is seeking an exceptional Machine Learning Engineer to develop the backend of our internal agents platform and enable the next generation of AI/ML\-powered drug discovery applications as part of our broader Lab\-in\-the\-Loop approach. We are looking for someone who is not only passionate about technical problem\-solving but also has a proven track record of delivering innovative solutions in AI/ML. The ideal candidate should have extensive experience in leading and managing a team of engineers and scientists, and be able to foster a culture of innovation, collaboration, and excellence across the broader Roche organization. The group provides a dynamic and challenging environment for multidisciplinary research, including access to heterogeneous data sources, close links to top academic institutions around the world, as well as collaborations with internal Genentech and Roche teams.
**In this role, you will:**
* Develop various, cutting\-edge internal AI/ML\-based applications for drug discovery and development.
* Develop across the lifecycle of LLMs including data engineering, pre\-training, fine\-tuning, post\-training, and evaluation
* Deploy models in production environments, working closely with other engineers to ensure scalability and reliability
* Solve core backend challenges in ML and engineering including the design, implementation, and scaling of our data, training, and deployment pipeline
* Collaborate closely with cross\-functional teams across both AIDD and Roche to solve complex problems in the life sciences
**Who You Are**
* You have a BS/MS in Computer Science, Statistics, related field, or equivalent experience and 2\+ years of industry experience in machine learning; or a PhD in Computer Science and related field and 0\+ years of industry experience.
* You have demonstrated success in technical capabilities deploying machine learning models in industry\-grade production environments
* Experience in back\-end development for LLM\-powered agents and tools, or working with Model Context Protocol (MCP).
* You have experience in developing LLM/GenAI products and are familiar with open\-source AI frameworks like Open WebUI.
* Strong interest in solving problems in drug discovery and biomedical science.
* You have strong programming skills in Python and using deep learning frameworks like PyTorch
* You have extensive experience with deep learning \&amp; LLMs.
* A collaborative and open\-minded team player who values constructive feedback, refrains from judgment, and fosters a positive and respectful team environment.
* Strong communication skills, with the ability to effectively communicate technical concepts to both technical and non\-technical audiences as well as interfacing with scientific and engineering leadership
* A passion for solving complex technical problems and a commitment to staying up\-to\-date with the latest developments in machine learning
* An extensive track record of delivering innovative solutions in machine learning
 Relocation benefits are available for this job posting
 The expected salary range for this position, based on the primary location of New York City, is $141,100 \- $262,100 of hiring range.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\#ComputationCoE
 \#tech4lifeComputationalScience
 \#tech4lifeAI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133">
      <c r="A133" t="inlineStr">
        <is>
          <t>li-4374376988</t>
        </is>
      </c>
      <c r="B133" t="inlineStr">
        <is>
          <t>Senior Machine Learning Engineer</t>
        </is>
      </c>
      <c r="C133" t="inlineStr">
        <is>
          <t>Robert Half</t>
        </is>
      </c>
      <c r="D133" t="inlineStr">
        <is>
          <t>linkedin</t>
        </is>
      </c>
      <c r="E133">
        <f>HYPERLINK("https://www.linkedin.com/jobs/view/4374376988", "https://www.linkedin.com/jobs/view/4374376988")</f>
        <v/>
      </c>
      <c r="F133" t="inlineStr"/>
      <c r="G133" t="inlineStr"/>
      <c r="H133" t="inlineStr"/>
      <c r="I133" t="inlineStr">
        <is>
          <t>We’re searching for a
 **hands\-on, highly technical AI/ML leader** 
 to help establish and scale our enterprise AI capabilities. If you’re passionate about building real\-world AI solutions (not research roles!) and have grown your career through data engineering, architecture, or applied data science, this role is for you.
 ⭐
 **What You’ll Do** 
 As the
 **Director, Artificial Intelligence** 
 , you will lead a team of data and AI professionals responsible for designing, developing, and deploying AI/ML solutions that accelerate business growth and improve customer and operational outcomes.
 You will:
* Lead, mentor, and scale a high\-performing AI/ML team
* Drive end‑to‑end development of AI/ML systems aligned with business strategy
* Collaborate across the organization to design and deliver AI\-powered solutions
* Oversee data engineering, model development, deployment, and optimization
* Introduce best practices, standards, and emerging AI technologies
* Serve as a strategic advisor to senior leadership on AI opportunities
* Foster a culture of innovation, learning, and continuous improvement
 🎯
 **Must\-Have Qualifications** 
* **Hands\-on AI/ML engineering experience** 
 (latest tools \+ modern techniques)
* Strong foundation in
 **Python** 
 ,
 **SQL** 
 , and applied machine learning
* Background growing through data roles: data engineer, data architect, or technical data scientist
* Proven experience
 **building and deploying AI/ML solutions in production**
* Experience with
 **cloud AI/ML tools** 
 (AWS / Azure / GCP — any is fine)
* Ability to lead technical teams (team lead or comparable leadership welcomed)
* Bachelor’s degree in computer science
 **, Engineering, Mathematics, Statistics, or related technical field**
* Strong technical depth in algorithms, data modeling, and data engineering
 💡
 **Nice to Have** 
* Healthcare industry experience
* Formal management experience
 🚀
 **Why You’ll Love This Role** 
* Be at the forefront of
 **building our AI capabilities from the ground up**
* Highly flexible
 **remote\-first work environment**
* Generous retirement benefits:
 **Pension \+ 401(k) match**
* Work with cutting\-edge AI tech, including
 **GenAI (Llama, Mistral, etc.)** 
 and modern ML frameworks
 🧠
 **What You Bring** 
* Expertise with AI/ML platforms (TensorFlow, PyTorch, GenAI models, etc.)
* Strong strategic thinking and problem‑solving skills
* Excellent communication skills—comfortable explaining complex AI concepts to non\-technical teams
* Experience resolving complex technical and organizational challenges
* Demonstrated success delivering AI/ML solutions in real business environments
 If you're a forward\-thinking AI leader ready to build impactful solutions and shape an organization’s AI future, we’d love to connect.</t>
        </is>
      </c>
    </row>
    <row r="134">
      <c r="A134" t="inlineStr">
        <is>
          <t>li-4346975749</t>
        </is>
      </c>
      <c r="B134" t="inlineStr">
        <is>
          <t>AI Engineer</t>
        </is>
      </c>
      <c r="C134" t="inlineStr">
        <is>
          <t>Kforce Inc</t>
        </is>
      </c>
      <c r="D134" t="inlineStr">
        <is>
          <t>linkedin</t>
        </is>
      </c>
      <c r="E134">
        <f>HYPERLINK("https://www.linkedin.com/jobs/view/4346975749", "https://www.linkedin.com/jobs/view/4346975749")</f>
        <v/>
      </c>
      <c r="F134" t="inlineStr"/>
      <c r="G134" t="inlineStr">
        <is>
          <t>Chantilly, VA</t>
        </is>
      </c>
      <c r="H134" t="inlineStr"/>
      <c r="I134" t="inlineStr">
        <is>
          <t>**Responsibilities**
 Kforce has a client that is seeking an AI Engineer in Chantilly, VA. Responsibilities:
* AI Engineer will design, train, fine\-tune, and deploy AI/ML models (LLMs, embeddings, classification models, RAG pipelines)
* Build secure, scalable APIs and services to integrate AI capabilities into business systems
* Design and implement agentic AI workflows that coordinate multiple models or services to achieve mission objectives
* Integrate retrieval\-augmented generation (RAG) and agentic reasoning into production environments
* Implement and maintain automated CI/CD pipelines for model development, testing, deployment, and rollback
* Design and implement containerized applications and services that can be deployed across multiple cloud environments
* As an AI Engineer, you will build portable AI pipelines with containerization to ensure future\-proof deployments and migration flexibility
* Integrate security and compliance controls into all phases of development (DevSecOps), code scans, dependency management, vulnerability assessment, etc.
* Use Infrastructure as Code (IaC) tools to provision, configure, and maintain cloud resources
**Requirements**
* B.S. in Computer Science, Engineering, Mathematics, or a related discipline
* Equivalent experience may be accepted in lieu of formal education
* Active CompTIA Security\+ certification
* Microsoft Certified: Azure AI Engineer Associate, Google Cloud Professional Machine Learning Engineer, OR similar AI certification
* Applicants selected will be subject to a government security investigation and must meet eligibility requirements for access to classified information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135">
      <c r="A135" t="inlineStr">
        <is>
          <t>li-4375694309</t>
        </is>
      </c>
      <c r="B135" t="inlineStr">
        <is>
          <t>AI Engineer</t>
        </is>
      </c>
      <c r="C135" t="inlineStr">
        <is>
          <t>micro1</t>
        </is>
      </c>
      <c r="D135" t="inlineStr">
        <is>
          <t>linkedin</t>
        </is>
      </c>
      <c r="E135">
        <f>HYPERLINK("https://www.linkedin.com/jobs/view/4375694309", "https://www.linkedin.com/jobs/view/4375694309")</f>
        <v/>
      </c>
      <c r="F135" t="inlineStr"/>
      <c r="G135" t="inlineStr"/>
      <c r="H135" t="inlineStr"/>
      <c r="I135" t="inlineStr">
        <is>
          <t>**Job Title:** 
 AI/ML Engineer
**Job Type:** 
 Full\-time, Contractual
**Job Summary:** 
 Join our customer's team as a AI Engineer and play a pivotal role in driving mission\-critical government initiatives while also contributing to micro1’s proprietary AI infrastructure, you’ll harness advanced large language models (LLMs), retrieval\-augmented generation (RAG), and multi\-agent orchestration to deliver secure, scalable, and impactful machine learning systems. You’ll work closely with cross\-functional experts, leveraging frontier AI platforms and the latest in agentic AI tooling.
**Key Responsibilities:** 
* Design, implement, and optimize AI/ML models particularly leveraging LLMs, RAG, and prompt engineering for production grade applications.
* Develop and orchestrate multi\-agent systems using frameworks such as LangGraph and LangChain.
* Integrate and deploy solutions on secure cloud environments, including AWS GovCloud, Google GovCloud, Azure IL5\+, Vertex AI, and AWS Bedrock.
* Build robust data pipelines, manage ETL processes, and develop metadata catalogs and ontologies to ensure high\-quality data for AI training and inference.
* Create and maintain REST APIs and SDK integrations to facilitate seamless data and model interactions.
* Collaborate with product, security, and engineering teams to ensure best\-in\-class delivery, following secure coding and DevOps best practices (CI/CD).
* Document technical decisions and communicate complex concepts clearly to both technical and non\-technical stakeholders.
**Required Skills and Qualifications:** 
* Proficiency in Python for AI/ML development, including experience with REST APIs and SDK integration.
* Hands\-on experience with LLMs, RAG systems, and prompt engineering in production environments.
* Familiarity with multi\-agent orchestration, tool use, and frameworks like LangGraph and LangChain.
* Deep understanding of cloud AI services (AWS GovCloud, Google GovCloud, Azure IL5\+, Vertex AI, AWS Bedrock).
* Background in building and maintaining data pipelines, ontologies, metadata catalogs, and ETL processes.
* Strong grasp of secure coding and modern DevOps practices (CI/CD pipelines).
* Exceptional written and verbal communication skills for effective collaboration and documentation.
**Preferred Qualifications:** 
* Experience with AI/agentic platforms, such as Anthropic for Gov, OpenAI Enterprise, Gemini Enterprise, or Grok Enterprise.
* Knowledge of metadata catalog platforms (MCP) and advanced API development techniques.
* Prior exposure to government or highly regulated cloud environments and compliance standards.</t>
        </is>
      </c>
    </row>
    <row r="136">
      <c r="A136" t="inlineStr">
        <is>
          <t>li-4367177263</t>
        </is>
      </c>
      <c r="B136" t="inlineStr">
        <is>
          <t>Staff Machine Learning Engineer</t>
        </is>
      </c>
      <c r="C136" t="inlineStr">
        <is>
          <t>Intuit</t>
        </is>
      </c>
      <c r="D136" t="inlineStr">
        <is>
          <t>linkedin</t>
        </is>
      </c>
      <c r="E136">
        <f>HYPERLINK("https://www.linkedin.com/jobs/view/4367177263", "https://www.linkedin.com/jobs/view/4367177263")</f>
        <v/>
      </c>
      <c r="F136">
        <f>HYPERLINK("https://dsp.prng.co/3Y2lTYb&amp;urlHash=Ay4L", "https://dsp.prng.co/3Y2lTYb&amp;urlHash=Ay4L")</f>
        <v/>
      </c>
      <c r="G136" t="inlineStr">
        <is>
          <t>Mountain View, CA</t>
        </is>
      </c>
      <c r="H136" t="inlineStr"/>
      <c r="I136" t="inlineStr">
        <is>
          <t>**Overview**
 Come join the Consumer Group (CG) AI Team as a Staff Machine Learning Engineer. The CG AI team focuses on bringing the top\-notch AI features to Intuit’s TurboTax customers for their delight. In this role, you’ll be embedded inside a vibrant team of AI scientists. You’ll be expected to help conceive, code, and deploy classic Machine Learning models, GenAI applications such as AI agents, at scale using the latest industry tools. Important skills include data wrangling, feature engineering, developing classic machine learning models, GenAI applications, integrating with other software services and testing metrics. You will get the chance to work on the cutting\-edge AI technologies, as well as collaborate across organizations and functions with our partners in the engineering, product management, analytics and design departments to ensure that we are building a pleasant customer experience, striving for more money, less work and complete confidence for our TurboTax customers.
**Responsibilities**
* Discover data sources, get access to them, import them, clean them up, and make them machine learning ready.
* Work with AI scientists to create and refine features from the underlying data and build pipelines to train and deploy machine learning models.
* Partner with AI scientists to understand, implement, refine and design machine learning and other algorithms.
* Partner with AI scientists to build GenAI applications, such as AI agents.
* Run regular A/B tests and performance evaluation pipelines to gather data, perform statistical analysis, draw conclusions on the impact of your ML models and GenAI applications.
* Work cross functionally with product managers, AI scientists and product engineers, and communicate results to peers and leaders.
* Explore new technology shifts in order to determine how they might connect with the customer benefits we wish to deliver
**Qualifications**
* BS, MS, or PhD degree in Computer Science or related field, or equivalent practical experience.
* 6\+ years of experience working in software development domain. AI/ML related areas preferred.
* Knowledgeable with Data Science tools and frameworks (i.e. Python, Scikit, NLTK, Numpy, Pandas, TensorFlow, Keras, R, Spark).
* Basic knowledge of machine learning techniques (i.e. classification, regression, and clustering).
* Knowledge and experience of GenAI application development
* Understand machine learning principles (training, validation, etc.)
* Knowledge of data query and data processing tools (i.e. SQL)
* Computer science fundamentals: data structures, algorithms, performance complexity, and implications of computer architecture on software performance (e.g., I/O and memory tuning).
* Software engineering fundamentals: version control systems (i.e. Git, GitHub) and workflows, and ability to write production\-ready code.
* Experience deploying highly scalable software supporting millions or more users
* Experience with GPU acceleration (i.e. CUDA and cuDNN)
* Experience with integrating applications and platforms with cloud technologies (i.e. AWS and GCP)
* Strong oral and written communication skills. Ability to conduct meetings and make professional presentations, and to explain complex concepts and technical material to non\-technical users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$197,000 \- $266,500
 San Diego, California: $184,500 \- $250,000</t>
        </is>
      </c>
    </row>
    <row r="137">
      <c r="A137" t="inlineStr">
        <is>
          <t>li-4374373593</t>
        </is>
      </c>
      <c r="B137" t="inlineStr">
        <is>
          <t>Senior Machine Learning Engineer (Applications)</t>
        </is>
      </c>
      <c r="C137" t="inlineStr">
        <is>
          <t>RemoteHunter</t>
        </is>
      </c>
      <c r="D137" t="inlineStr">
        <is>
          <t>linkedin</t>
        </is>
      </c>
      <c r="E137">
        <f>HYPERLINK("https://www.linkedin.com/jobs/view/4374373593", "https://www.linkedin.com/jobs/view/4374373593")</f>
        <v/>
      </c>
      <c r="F137">
        <f>HYPERLINK("https://www.remotehunter.com/apply-with-ai/06a9cea5-56ea-4078-9c49-0b25992a3fbd?utm_medium=job_posting&amp;utm_source=linkedin&amp;utm_campaign=software_engineer&amp;utm_category=software_engineer&amp;utm_term=senior_machine_learning_engineer_applications&amp;urlHash=MYak", "https://www.remotehunter.com/apply-with-ai/06a9cea5-56ea-4078-9c49-0b25992a3fbd?utm_medium=job_posting&amp;utm_source=linkedin&amp;utm_campaign=software_engineer&amp;utm_category=software_engineer&amp;utm_term=senior_machine_learning_engineer_applications&amp;urlHash=MYak")</f>
        <v/>
      </c>
      <c r="G137" t="inlineStr"/>
      <c r="H137" t="inlineStr"/>
      <c r="I137" t="inlineStr">
        <is>
          <t>**About the Opportunity:** 
**A rapidly growing, venture\-backed Health\-Tech organization is transforming the Pharmacy Benefit Management (PBM) sector by developing a next\-generation drug acquisition platform driven by advanced technology and cost\-saving tools. This role focuses on driving AI innovation and implementing AI\-powered solutions to improve business outcomes. The position requires at least 5 years of experience in machine learning and AI development with proven leadership in AI initiatives.** 
**Responsibilities:** 
**• Design generative AI solutions for information retrieval and summary generation in support and operations** 
**• Collaborate with software engineering teams to build and deploy generative AI applications** 
**• Explore and ideate opportunities for deploying generative AI technologies in customer\-facing experiences** 
**• Advocate for and drive the adoption and scalability of generative AI capabilities within the organization** 
**Requirements:** 
**• 5\+ years of experience in data science, machine learning, and AI development, with leadership in AI initiatives** 
**• MS or PhD in Computer Science, Electrical Engineering, Statistics, Robotics, or related fields** 
**• Applied machine learning experience including regression, classification, supervised, and unsupervised learning** 
**• Strong mathematical foundation in linear algebra, calculus, probability, and statistics** 
**• Proficiency in Python and object\-oriented programming** 
**• Experience with machine learning and natural language processing techniques and tools** 
**• Expertise in generative AI models and deep learning classes such as GPT, VAE, and GANs, including hyperparameter tuning** 
**• Experience with retrieval methods using embeddings** 
**• Proficiency with Python packages like pandas, sklearn, TensorFlow, PyTorch, transformers, LangChain** 
**• Experience in prompt engineering and few\-shot learning techniques for enhancing LLM performance** 
**• Experience training and fine\-tuning deep learning models, especially LLMs, with hyperparameter tuning for generalization** 
**• Ability to lead projects and work independently and collaboratively across cross\-functional teams** 
**• Strong verbal and written communication skills to convey complex concepts to non\-technical audiences** 
**Preferred Qualifications:** 
**• Experience with embedding model training and retrieval method evaluation** 
**• Knowledge of LLM architectures, adapters, Mixture of Experts pretraining, and fine\-tuning techniques** 
**• Experience designing, deploying, and evaluating LLM\-powered agents and orchestration systems** 
**• Experience with reinforcement learning for fine\-tuning LLM outputs** 
**• Experience in time series analysis and multivariate time series modeling** 
**Benefits \&amp; Perks:** 
**• Comprehensive wellness benefits including medical, pharmacy, dental, vision, life, and AD\&amp;D insurance** 
**• Flexible spending accounts** 
**• 401(k) retirement savings program** 
**• Short\-term and long\-term disability coverage** 
**• Discretionary paid time off** 
**• 12 paid company holidays** 
**• Commuter benefits** 
**• Paid parental leave** 
**• Employee assistance program** 
**• Well\-stocked kitchen in office locations** 
**• Professional development and training opportunities**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38">
      <c r="A138" t="inlineStr">
        <is>
          <t>li-4311480627</t>
        </is>
      </c>
      <c r="B138" t="inlineStr">
        <is>
          <t>AI Engineer - Front-End &amp; UX (Hybrid)</t>
        </is>
      </c>
      <c r="C138" t="inlineStr">
        <is>
          <t>OneStream Software</t>
        </is>
      </c>
      <c r="D138" t="inlineStr">
        <is>
          <t>linkedin</t>
        </is>
      </c>
      <c r="E138">
        <f>HYPERLINK("https://www.linkedin.com/jobs/view/4311480627", "https://www.linkedin.com/jobs/view/4311480627")</f>
        <v/>
      </c>
      <c r="F138">
        <f>HYPERLINK("https://recruiting.ultipro.com/ONE1018ONSO/JobBoard/1955ffa6-bda6-4c95-8412-2c731d693ab2/OpportunityDetail?opportunityId=690643ce-b2f8-4aab-8a53-91f2e049ec09&amp;source=LinkedIn&amp;utm_source=LINKEDIN&amp;urlHash=uoVp", "https://recruiting.ultipro.com/ONE1018ONSO/JobBoard/1955ffa6-bda6-4c95-8412-2c731d693ab2/OpportunityDetail?opportunityId=690643ce-b2f8-4aab-8a53-91f2e049ec09&amp;source=LinkedIn&amp;utm_source=LINKEDIN&amp;urlHash=uoVp")</f>
        <v/>
      </c>
      <c r="G138" t="inlineStr"/>
      <c r="H138" t="inlineStr"/>
      <c r="I138" t="inlineStr">
        <is>
          <t>**AI Engineer**
**Location:** 
 Hybrid, USA
**Employment Type:** 
 Full\-Time
**Compensation:** 
 $100,000 \- $140,000 (Range applies to US candidates only) \+ Benefits/Variable Comp/Equity \- Range may vary based on experience.
**Benefits Offered:** 
 Vision, Medical, Life, Dental, 401K
**This role requires the candidate to work from one of the following OneStream office locations: Birmingham, MI, Fort Lauderdale, FL, New York, NY, or Chicago, IL.**
**Summary**
 The AI Engineer on the AI Product \&amp; Engineering team is responsible for crafting, building, and overseeing AI\-powered solutions tailored for the OneStream platform. This position involves continuously converting business problems into polished, commercially viable applications leveraging AI and computer science techniques. This position requires a robust grasp of modern software design principles, including frontend design and web frameworks, alongside proficiency in UX/UI design methodology and best practices. Collaboration with diverse engineering and services teams is essential to deliver comprehensive product support, ensure product cycle maintenance, and drive continuous product improvements. The AI Product and Engineering team is focused on bridging the gap between AI research and AI products, bringing tangible and quantifiable value to our end users. Our AI solutions incorporate AI and machine learning spectrum, including (but not limited to) time series forecasting, anomaly detection, and natural language processing. Our mission is to lower the barrier for organizations and people to get value out of AI capabilities.
**Primary Duties And Responsibilities**
* Build and enhance user interfaces using both native OneStream capabilities and modern web frameworks.
* Write and upkeep code that is efficient, reusable, dependable, and abides by modern software design principles.
* Own the end\-to\-end UI/UX process: from wireframing and prototyping to implementation.
* Guarantee peak performance, rendering, and responsiveness of AI Services solutions.
* Identify and address bottlenecks and bugs, and devise solutions to mitigate or eliminate these issues.
* Help to preserve code quality, organization, and automation.
* Write and define software bugs, enhancements, and story tickets in a software issue\-tracking system.
* Collaborate with Product Specialists and Quality Assurance Testers to effectively.
* Write documentation in the form of how\-to guides to get other stakeholders familiar with the products you develop.
**Required Education And Experience**
* Bachelors Degree or similar work experience.
* CS/DS/EE/CE Degree or similar experience.
* 1\-2 years of experience with object\-oriented programming.
* 1\-2 years of strong programming experience with one of the following: C\+\+, C\#, Java.
* Experience with relational databases.
**Preferred Education And Experience**
* Experience with modern web development frameworks (React preferred).
* Experience with design tools such as Figma (or similar) for creating wireframes, prototypes, and high\-fidelity UI mockups.
* Familiarity with Microsoft Azure and related technologies.
* Familiarity with AI systems, algorithms, and subdomains (time\-series, classifications, clustering, anomaly, etc.).
* Experience with Consolidation Software, such as: OneStream, HFM, SAP BOFC, SAP, IBM Cognos, etc.
* Recent focus on Microsoft technologies.
**Knowledge, Skills, And Abilities**
* Self\-Starter to decompose a problem and plan a solution.
* Knowledgeable about modern user interface design principles aimed at optimizing user experience.
* Capable of effectively communicating technical issues, leading discussions, and influencing product\-related decisions.
* Ability to quickly learn new technologies and adapt to changes in technology and the business environment.
* Highly adaptive to changing circumstances, with the ability to tackle problems quickly.
* Excellent written and verbal interpersonal skills.
* Excellent organization, scheduling, project management, and multi\-tasking skills.
* Capable and comfortable effectively presenting in front of your peers.
* Ability to write clean, efficient, and well\-documented code.
* Interest in continuous learning opportunities as the space continues to evolve.
* Proficient in effectively prioritizing and executing tasks in fast\-paced, high\-pressure environments.
* Highly self\-motivated and proactive.
* Demonstrates meticulous attention to detail.
* Comfortable engaging with C\-level executives.
**Travel (remove if not applicable)**
* Minimal travel will be required.
**Who We Are**
 OneStream is how today’s Finance teams can go beyond just reporting on the past and Take Finance Further™ by steering the business to the future. It’s the only enterprise finance platform that unifies financial and operational data, embeds AI for better decisions and productivity, and empowers the CFO to become a critical driver of business strategy and execution. Our vision is to be the operating system for modern finance, digitizing core financial functions and empowering the CFO to become a critical driver of business strategy. To learn more visit www.onestream.com.
**Why Join The OneStream Team**
* Transparency around corporate structure, salary, and benefits
* Core value of customer success
* Variety of project work (not industry\-specific)
* Strong culture and camaraderie
* Multiple training opportunities
**Benefits At OneStream**
 OneStream employees are passionate, hardworking individuals who go above and beyond to keep our customers happy and follow through on our mission statement. They consistently deliver the best and in turn, we make every effort to keep them cared for and happy. A sample of the benefits we provide are:
* Excellent Medical Plan
* Dental \&amp; Vision Insurance
* Life Insurance
* Short \&amp; Long Term Disability
* Vacation Time
* Paid Holidays
* Professional Development
* Retirement Plan
 All candidates must be legally authorized to work for any company in the country where this position is located without sponsorship.
 OneStream is an Equal Opportunity Employer.</t>
        </is>
      </c>
    </row>
    <row r="139">
      <c r="A139" t="inlineStr">
        <is>
          <t>li-4320911834</t>
        </is>
      </c>
      <c r="B139" t="inlineStr">
        <is>
          <t>Senior Machine Learning Engineer, Dev Platform Data and Discovery</t>
        </is>
      </c>
      <c r="C139" t="inlineStr">
        <is>
          <t>Reddit, Inc.</t>
        </is>
      </c>
      <c r="D139" t="inlineStr">
        <is>
          <t>linkedin</t>
        </is>
      </c>
      <c r="E139">
        <f>HYPERLINK("https://www.linkedin.com/jobs/view/4320911834", "https://www.linkedin.com/jobs/view/4320911834")</f>
        <v/>
      </c>
      <c r="F139">
        <f>HYPERLINK("https://job-boards.greenhouse.io/reddit/jobs/7377109?gh_src=8a8a4d8a1us&amp;urlHash=pR69", "https://job-boards.greenhouse.io/reddit/jobs/7377109?gh_src=8a8a4d8a1us&amp;urlHash=pR69")</f>
        <v/>
      </c>
      <c r="G139" t="inlineStr"/>
      <c r="H139" t="inlineStr"/>
      <c r="I139"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121 million daily active unique visitors, Reddit is one of the internet’s largest sources of information. For more information, visit www.redditinc.com.
 The Developer Platform team empowers developers to create engaging interactive experiences for Reddit communities, such as asynchronous or real\-time multiplayer games, live stock tickers, and live scoreboards. If you have a background in ranking and are excited about connecting Redditors with their next favorite game, this highly collaborative and impactful team wants your expertise!
 You will own projects from ideation to production instead of being stuck making small incremental gains on enterprise systems. You’ll work with a super talented, cross\-functional team to solve hard problems in order to create experiences that users will love. We are a team of builders that value impact, personal growth, openness and kindness.
****Responsibilities:****
* Lead projects from concept, design, implementation, to rollout, ensuring the highest quality and performance.
* Identify opportunities to enhance ranking capabilities by diving deep into our platform and understanding the needs of our customers.
* Design and develop applied machine learning models for modeled personalization, game taxonomy, and more, from ideation to production deployment.
* Collaborate with data scientists, product managers and backend software engineers.
* Mentor junior team members, share knowledge, and contribute to the technical growth of the team. Provide guidance on machine learning best practices and methodologies.
* Conduct A/B tests and experiments to iterate and fine\-tune algorithms and models.
* Stay updated on state\-of\-the\-art algorithmic techniques and recognize promising innovations, adapting them to Reddit's unique platform and community.
* Design, implement, and maintain reliable, high\-performance distributed systems.
****Minimum Qualifications:****
* 5\+ years of experience in a relevant industry or academic background, preferably in a quantitative/modeling or highly scalable computing environment.
* Prior experience with personalized feed ranking.
* Proven track record of delivering complex machine learning projects from conception to deployment, preferably in real\-world applications.
* Ability to lead and mentor machine learning engineers or data scientists.
* Strong communication skills to collaborate effectively with cross\-functional teams and stakeholders.
* Demonstrated ability to innovate and stay updated with the latest advancements in machine learning and AI.
****Preferred Qualifications:****
* Experience of orchestrating complicated data pipelines and system engineering on large\-scale dataset
* Proficiency with programming languages and statistical analysis
* Prior experience with Sequence Modeling, Reinforcement Learning, or Transformer Architecture is a big plus
* Experience in Bayesian methodology and experimentation is a plus
 Reddit has a flexible workforce! If you happen to live close to one of our physical office locations our doors are open for you to come into the office as often as you'd like. Don't live near one of our offices? No worries: You can apply to work remotely in any country in which we have a physical presence.
****Benefits:****
* Comprehensive Healthcare Benefits and Income Replacement Programs
* 401k Match
* Family Planning Support
* Gender\-Affirming Care
* Mental Health \&amp; Coaching Benefits
* Flexible Vacation \&amp; Reddit Global Days off
* Generous paid Parental Leave
* Paid Volunteer time off
****Benefits:****
* Comprehensive Healthcare Benefits and Income Replacement Programs
* 401k with Employer Match
* Global Benefit programs that fit your lifestyle, from workspace to professional development to caregiving support
* Family Planning Support
* Gender\-Affirming Care
* Mental Health \&amp; Coaching Benefits
* Flexible Vacation \&amp; Paid Volunteer Time Off
* Generous Paid Parental Leave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$216,700—$303,400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row>
    <row r="140">
      <c r="A140" t="inlineStr">
        <is>
          <t>li-4367195130</t>
        </is>
      </c>
      <c r="B140" t="inlineStr">
        <is>
          <t>Staff Machine Learning Engineer</t>
        </is>
      </c>
      <c r="C140" t="inlineStr">
        <is>
          <t>Intuit</t>
        </is>
      </c>
      <c r="D140" t="inlineStr">
        <is>
          <t>linkedin</t>
        </is>
      </c>
      <c r="E140">
        <f>HYPERLINK("https://www.linkedin.com/jobs/view/4367195130", "https://www.linkedin.com/jobs/view/4367195130")</f>
        <v/>
      </c>
      <c r="F140">
        <f>HYPERLINK("https://dsp.prng.co/p2GX2Zb&amp;urlHash=sf_J", "https://dsp.prng.co/p2GX2Zb&amp;urlHash=sf_J")</f>
        <v/>
      </c>
      <c r="G140" t="inlineStr">
        <is>
          <t>San Diego, CA</t>
        </is>
      </c>
      <c r="H140" t="inlineStr"/>
      <c r="I140" t="inlineStr">
        <is>
          <t>**Overview**
 Come join the Consumer Group (CG) AI Team as a Staff Machine Learning Engineer. The CG AI team focuses on bringing the top\-notch AI features to Intuit’s TurboTax customers for their delight. In this role, you’ll be embedded inside a vibrant team of AI scientists. You’ll be expected to help conceive, code, and deploy classic Machine Learning models, GenAI applications such as AI agents, at scale using the latest industry tools. Important skills include data wrangling, feature engineering, developing classic machine learning models, GenAI applications, integrating with other software services and testing metrics. You will get the chance to work on the cutting\-edge AI technologies, as well as collaborate across organizations and functions with our partners in the engineering, product management, analytics and design departments to ensure that we are building a pleasant customer experience, striving for more money, less work and complete confidence for our TurboTax customers.
**Responsibilities**
* Discover data sources, get access to them, import them, clean them up, and make them machine learning ready.
* Work with AI scientists to create and refine features from the underlying data and build pipelines to train and deploy machine learning models.
* Partner with AI scientists to understand, implement, refine and design machine learning and other algorithms.
* Partner with AI scientists to build GenAI applications, such as AI agents.
* Run regular A/B tests and performance evaluation pipelines to gather data, perform statistical analysis, draw conclusions on the impact of your ML models and GenAI applications.
* Work cross functionally with product managers, AI scientists and product engineers, and communicate results to peers and leaders.
* Explore new technology shifts in order to determine how they might connect with the customer benefits we wish to deliver
**Qualifications**
* BS, MS, or PhD degree in Computer Science or related field, or equivalent practical experience.
* 6\+ years of experience working in software development domain. AI/ML related areas preferred.
* Knowledgeable with Data Science tools and frameworks (i.e. Python, Scikit, NLTK, Numpy, Pandas, TensorFlow, Keras, R, Spark).
* Basic knowledge of machine learning techniques (i.e. classification, regression, and clustering).
* Knowledge and experience of GenAI application development
* Understand machine learning principles (training, validation, etc.)
* Knowledge of data query and data processing tools (i.e. SQL)
* Computer science fundamentals: data structures, algorithms, performance complexity, and implications of computer architecture on software performance (e.g., I/O and memory tuning).
* Software engineering fundamentals: version control systems (i.e. Git, GitHub) and workflows, and ability to write production\-ready code.
* Experience deploying highly scalable software supporting millions or more users
* Experience with GPU acceleration (i.e. CUDA and cuDNN)
* Experience with integrating applications and platforms with cloud technologies (i.e. AWS and GCP)
* Strong oral and written communication skills. Ability to conduct meetings and make professional presentations, and to explain complex concepts and technical material to non\-technical users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$197,000 \- $266,500
 San Diego, California: $184,500 \- $250,000</t>
        </is>
      </c>
    </row>
    <row r="141">
      <c r="A141" t="inlineStr">
        <is>
          <t>li-4374355988</t>
        </is>
      </c>
      <c r="B141" t="inlineStr">
        <is>
          <t>Senior / Staff ML Engineer, Apple Cloud AI Platform</t>
        </is>
      </c>
      <c r="C141" t="inlineStr">
        <is>
          <t>Apple</t>
        </is>
      </c>
      <c r="D141" t="inlineStr">
        <is>
          <t>linkedin</t>
        </is>
      </c>
      <c r="E141">
        <f>HYPERLINK("https://www.linkedin.com/jobs/view/4374355988", "https://www.linkedin.com/jobs/view/4374355988")</f>
        <v/>
      </c>
      <c r="F141">
        <f>HYPERLINK("https://jobs.apple.com/en-us/details/200647956?board_id=17682&amp;urlHash=mQXO", "https://jobs.apple.com/en-us/details/200647956?board_id=17682&amp;urlHash=mQXO")</f>
        <v/>
      </c>
      <c r="G141" t="inlineStr">
        <is>
          <t>Cupertino, CA</t>
        </is>
      </c>
      <c r="H141" t="inlineStr"/>
      <c r="I141" t="inlineStr">
        <is>
          <t>**Summary**
 Apple Cloud AI Platform powers the machine learning, AI, and data systems that enable intelligent experiences across Apple consumer products. We are looking for a Software Engineer who is excited to work directly with Apple product teams and translate real\-world AI needs into production\-ready solutions. You will operate at the intersection of full\-stack engineering, data and ML platforms, backend systems and applied AI, using customer requirements to build end\-to\-end solutions and workflows as part of our platform offerings. This role is ideal for engineers who are highly collaborative, proactive, adaptable, and capable of turning ambiguous customer requests into working AI\-powered solutions at scale.
**Description**
 In this role you will partner directly with internal customers to understand their use cases, evaluate technical requirements, and build AI\-driven systems and solutions that leverage Apple Cloud AI Platform capabilities. You will work across the stack, from data ingestion to model execution to UI integration, without strict constraints on programming languages or frameworks. You will prototype quickly, harden solutions for production, build services and feed insights back to platform teams to influence roadmap and improve the developer experience.
 You will also act as a bridge between product management, partner platform, and customer teams by helping define best practices, documenting patterns, and working closely with platform engineering groups to drive alignment and deliver systems. Success in this role requires a combination of strong engineering fundamentals, applied ML awareness, platform thinking, customer empathy, and the ability to deliver in fast\-evolving environments.
**Responsibilities**
* Partner with customer teams to understand ML product requirements, identify integration challenges, and drive cross\-lifecycle technical decisions (data, training, evaluation, deployment, monitoring).
* Design and build end\-to\-end ML workflows and services spanning data ingestion, feature computation, training, evaluation, inference, and user\-facing surfaces.
* Develop backend services and interfaces (APIs, CLIs, SDKs, or UIs) supporting scalable ML workloads.
* Integrate with platform systems including orchestration, storage, training/evaluation services, authentication, and monitoring.
**Minimum Qualifications**
* 7\+ years of industry experience building production systems, full\-stack applications, data workflows, ML powered products, or platform tooling.
* Experience leading cross\-team engineering efforts or customer\-facing technical engagements. Experience with modern AI and data stack (Python and at least some of: Spark, Ray, gRPC, GraphQL, REST, Kafka or similar).
* Experience with cloud environments, distributed systems, containers, and CI/CD pipelines.
* Familiarity with ML lifecycle concepts: experiment tracking, model packaging, deployment strategies, evaluation, and data governance.
* Strong communication skills with customer empathy and ability to drive alignment.
* Comfortable working in ambiguous environments with high ownership expectations.
* BS, MS, or PhD in Computer Science, Software Engineering, Machine Learning, or equivalent degree with applicable experience
**Preferred Qualifications**
* Build prototypes, demos, and reference implementations to accelerate platform adoption.
* Influence platform roadmap based on customer lifecycle needs (developer experience, scale, reliability, governance, ML metadata).
* Experience enabling advanced ML workflows such as distributed training, tuning, feedback loops, observability, and evaluation pipelines.
* Experience across multiple languages and execution environments and ability to select appropriate tools.
* Experience with ML frameworks such as PyTorch or TensorFlow.
* Experience with modern frontend frameworks such as React.
* Experience building developer platforms (SDKs, developer tools, agents, internal platforms).
* Ability to represent customer needs to platform engineering and drive cross\-team technical direction.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42">
      <c r="A142" t="inlineStr">
        <is>
          <t>li-4324448514</t>
        </is>
      </c>
      <c r="B142" t="inlineStr">
        <is>
          <t>Senior, ML Engineer - Offline Perception</t>
        </is>
      </c>
      <c r="C142" t="inlineStr">
        <is>
          <t>Torc Robotics</t>
        </is>
      </c>
      <c r="D142" t="inlineStr">
        <is>
          <t>linkedin</t>
        </is>
      </c>
      <c r="E142">
        <f>HYPERLINK("https://www.linkedin.com/jobs/view/4324448514", "https://www.linkedin.com/jobs/view/4324448514")</f>
        <v/>
      </c>
      <c r="F142">
        <f>HYPERLINK("https://job-boards.greenhouse.io/torcrobotics/jobs/8304659002?gh_src=b42ae2b92us&amp;urlHash=Oq_t", "https://job-boards.greenhouse.io/torcrobotics/jobs/8304659002?gh_src=b42ae2b92us&amp;urlHash=Oq_t")</f>
        <v/>
      </c>
      <c r="G142" t="inlineStr">
        <is>
          <t>Ann Arbor, MI</t>
        </is>
      </c>
      <c r="H142" t="inlineStr"/>
      <c r="I142" t="inlineStr">
        <is>
          <t>**About The Company**
 At Torc, we have always believed that autonomous vehicle technology will transform how we travel, move freight, and do business.
 A leader in autonomous driving since 2007, Torc has spent over a decade commercializing our solutions with experienced partners. Now a part of the Daimler family, we are focused solely on developing software for automated trucks to transform how the world moves freight.
 Join us and catapult your career with the company that helped pioneer autonomous technology, and the first AV software company with the vision to partner directly with a truck manufacturer.
**Meet The Team:**
 Pseudo\-Labeling team's goal is to create high quality annotations on sensor data (images, point clouds). The annotations include 2D, 3D bounding boxes, classes, trajectories, lane lines, segmentations, depths etc. The annotations are then used by different downstream users, for example, perception teams use it to train various models and simulation teams use it for generating new data.
**What You’ll Do:**
* Design, implement, test and deploy offline object detection, tracking and fusion modules to automatically create annotations on Cloud Services from logged sensor data (Cameras, Lidars, Radars)
* Demonstrated project management skills, serving as project lead guiding less experienced team members in multiple facets of project execution.
* Stay up to date with the latest developments in AI and ML for autonomous driving.
* Independently develop offline perception models or algorithms using disciplined software development processes, making recommendations for developing new code or re\-using existing code, implementing version control, and maintaining
* Documentation of created applications.
* Define and implement ingestion, data preparation, curation, and governance of large, multi\-faceted data sets supporting analytics models and workflows.
* Proactively assess current capabilities to identify areas for improvement proposing solutions that align with core strategy and operation.
* Measure and track auto labeling quality to meet internal customer requirements.
* Guide and produce information products, supporting visualization and data accessibility in a customer\-centric manner.
* Evaluate and make recommendations regarding technical advances that improve productivity and quality, reduce flow times, and enhance operational surety.
* Develop guidelines and standards for analytics and machine learning models, their deployment, and associated processes.
* Provides technical guidance or business process expertise, technical leadership, coaching and mentoring to team members.
**What You’ll Need to Succeed:** 
* Considered highly skilled and proficient in discipline; conducts complex, important work under minimal supervision and with wide latitude for independent judgment.
* Scope of Influence: Expected to drive alignment across team interfaces to the rest of the organization. Designs, maintains and owns team technical solutions and drives consensus.  Mentors and guides engineers within the group.
* Bachelor’s Degree in Computer Science, Robotics, Electrical Engineering or related technical field plus demonstrates competences and technical proficiencies typically acquired through 6\+ years of experience OR;
* Master’s Degree in Computer Science, Robotics, Electrical Engineering or related technical field plus demonstrates competences and technical proficiencies typically acquired through 3\+ years of experience OR;
* Required Qualifications (some combination of the following skills):
+ Active Learning \&amp; Pseudo\-labeling \- Computer Vision, Deep Learning, Model training.
+ Two of the following: 2D/3D Object Detection, Tracking, Sensor Fusion, Semantic Segmentation, SLAM, BEV.
+ Scaled ML Operations (MLOps) and Tooling – ML Frameworks, experiment tracking, model registry, MLFLow, Weights and Biases, ML Metrics and Evaluation / Quality.
+ Distributed machine learning frameworks \- PyTorch, Lightning, Ray.
+ Model Data Curation \- Parquet data processing (PyArrow, Daft, Pandas, etc).
+ Development Tools \&amp; Eco\-System (at scale) \- Proficiency in Python software development. Also, VDI and cloud\-based development environments, CI Systems (GitHub Actions), and Docker.
**Bonus Points!**
* Data operations and management at scale \- Schema design, AWS storage and processing infra, vector databases / LanceDB, file formats (MCAP, parquet, etc).
* Data Visualization \- Integration with tooling such as OpenGL, 3\.js, foxglove, 51, tableau.
* Cloud Development – Python (proficient level), Terraform, AWS Managed Services (eg S3, ECS, Lambda, Dynamo, Step Functions, Athena).
* Cloud\-based orchestration and resource management \- AWS Hyperpods, Anyscale, Etc. Model Inference Orchestration.
**Perks of Being a Full\-time Torc’r**
 Torc cares about our team members and we strive to provide benefits and resources to support their health, work/life balance, and future. Our culture is collaborative, energetic, and team focused. Torc offers:
* A competitive compensation package that includes a bonus component and stock options
* 100% paid medical, dental, and vision premiums for full\-time employees
* 401K plan with a 6% employer match
* Flexibility in schedule and generous paid vacation (available immediately after start date)
* AD\+D and Life Insurance
 At Torc, we’re committed to building a diverse and inclusive workplace. We celebrate the uniqueness of our Torc’rs and do not discriminate based on race, religion, color, national origin, gender (including pregnancy, childbirth, or related medical conditions), sexual orientation, gender identity, gender expression, age, veteran status, or disabilities.
 Even if you don’t meet 100% of the qualifications listed for this opportunity, we encourage you to apply.
 Our compensation reflects the cost of labor across several geographic markets. Pay is based on a number of factors and may vary depending on job\-related knowledge, skills, and experience. Torc's total compensation package will also include our corporate bonus and stock option plan. Dependent on the position offered, sign\-on payments, relocation, and other forms of compensation may be provided as part of a total compensation package, in addition to a full range of medical, financial, and/or other benefits.
**Hiring Range for Job Opening**
**US Pay Range**
 $199,200 \- $298,800
 Job ID: 102399</t>
        </is>
      </c>
    </row>
    <row r="143">
      <c r="A143" t="inlineStr">
        <is>
          <t>li-4367044245</t>
        </is>
      </c>
      <c r="B143" t="inlineStr">
        <is>
          <t>Staff Machine Learning Engineer</t>
        </is>
      </c>
      <c r="C143" t="inlineStr">
        <is>
          <t>GEICO</t>
        </is>
      </c>
      <c r="D143" t="inlineStr">
        <is>
          <t>linkedin</t>
        </is>
      </c>
      <c r="E143">
        <f>HYPERLINK("https://www.linkedin.com/jobs/view/4367044245", "https://www.linkedin.com/jobs/view/4367044245")</f>
        <v/>
      </c>
      <c r="F143">
        <f>HYPERLINK("https://click.appcast.io/t/mITHTLkuWcmhQZi5Wk7kG46Cyd9FMfyBD3uF1\u002d\u002dmomI=?source=LinkedIn&amp;urlHash=qtXl", "https://click.appcast.io/t/mITHTLkuWcmhQZi5Wk7kG46Cyd9FMfyBD3uF1\u002d\u002dmomI=?source=LinkedIn&amp;urlHash=qtXl")</f>
        <v/>
      </c>
      <c r="G143" t="inlineStr">
        <is>
          <t>New York, NY</t>
        </is>
      </c>
      <c r="H143" t="inlineStr"/>
      <c r="I14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**Staff Machine Learning Engineer**
**Overview:** 
 As a Staff Machine Learning Engineer, you will be the overall tech lead of a
 *single* 
 AI/Machine Learning team, responsible for the tech design and tech health of the team. You will build and architect scalable and reliable AIML solutions that align with the company's tech paved path and stakeholder requirements. This role requires a minimum of 6 years of relevant experience.
**Key Responsibilities**
**System development** 
 : Architect scalable and reliable AIML solutions that align with the company's tech paved path and stakeholder requirements.
**Establish ML Best Practice:** 
 Develop and implement Software Development Lifecycle (SDLC) best practices for machine learning projects, ensuring scalable, secure, and reliable systems from model development to production deployment. Expected to stay hands\-on coding about 70% of the time.
**Product Leadership \&amp; Feature Backlogs** 
 : Define the product roadmap for machine learning solutions and establish feature backlogs. Prioritize key ML features in collaboration with product managers, aligning them with business objectives and technical feasibility.
**Optimize Model Performance and Reliability** 
 Debug and troubleshoot model performance issues, track key metrics, and continuously enhance model reliability, speed, and efficiency in production environments.
**End\-to\-End Model Lifecycle Management:** 
 Own the complete lifecycle of ML models, including monitoring, retraining, finetuning and managing versions of models to ensure they continue to meet business needs over time.
**Leadership and Mentorship:** 
 Guide and mentor machine learning engineers, promote best practices in software engineering, model development, and deployment. Lead technical decision\-making processes and foster collaboration within the team.
**Minimal Qualifications**
* Bachelor’s degree in Machine Learning, Computer Science, Statistics, Mathematics, or a related field; an advanced degree (master’s or Ph.D.) is highly desirable
* At least 6 years of hands\-on experience in machine learning and software engineering.
* Technical Skills:
* Deep proficiency in programming languages such as Python, Java, or similar, with a strong emphasis on coding excellence.
* Proficiency in AIML frameworks such as TensorFlow, PyTorch, Scikit\-learn, Langchain, langraph, etc.
* Experience with SQL, Spark, and scripting languages such as Python for data processing and model development.
* Expertise in cloud platforms (AWS, Azure, GCP) and containerization technologies such as Docker, as well as orchestration tools like Kubernetes.
* Proven experience in deploying machine learning systems in a production environment, ensuring scalability, reliability, and high availability.
* Core Engineering Skills:
* Extensive experience with object\-oriented design (OOD), design patterns, and writing clean, maintainable code.
* Solid understanding of distributed systems and the challenges associated with scaling machine learning models in production.
* Expertise in implementing MLOps practices, including setting up continuous integration (CI), continuous delivery (CD), automated testing, and deployment pipelines for machine learning models.
* Strong understanding of system architecture, performance optimization, and the ability to design fault\-tolerant systems that handle large\-scale data and high\-volume requests.
* Experience designing, building, and maintaining ETL pipelines, streamlining data collection, transformation, and storage for model development.
* Proficient in containerizing applications using Docker and managing deployment and scaling using Kubernetes or similar orchestrators.
* Experience setting up monitoring and logging systems for tracking model performance in production environments and ensuring efficient resource utilization.
**Preferred** 
**Qualifications** 
**:**
* 3 years interfacing directly with internal business stakeholders and/or external stakeholders on AIML initiatives
* Working experience with cloud provider solutions such as Azure and AWS
* Experience utilizing both open source (e.g. llama, Qwen, Mistral) and proprietary (e.g. GPT, Claude) LLMs for appropriate tasks
* Experience with tools that power LLM\-based AI agents: eval frameworks, agent tooling, RAG pipelines, prompt engineering, etc.
* Experience building LLM\-based AI agent workflows via both no code/low code and traditional high\-code development environments
* Experience in ideating, integrating, and designing applications and frontends using React or similar.
 If you are passionate about pushing the boundaries of machine learning technology, thrive in a hands\-on technical leadership role, and enjoy solving complex, large\-scale problems, we encourage you to apply.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44">
      <c r="A144" t="inlineStr">
        <is>
          <t>li-4335888171</t>
        </is>
      </c>
      <c r="B144" t="inlineStr">
        <is>
          <t>Senior AI Engineer</t>
        </is>
      </c>
      <c r="C144" t="inlineStr">
        <is>
          <t>Morrison Foerster</t>
        </is>
      </c>
      <c r="D144" t="inlineStr">
        <is>
          <t>linkedin</t>
        </is>
      </c>
      <c r="E144">
        <f>HYPERLINK("https://www.linkedin.com/jobs/view/4335888171", "https://www.linkedin.com/jobs/view/4335888171")</f>
        <v/>
      </c>
      <c r="F144" t="inlineStr"/>
      <c r="G144" t="inlineStr">
        <is>
          <t>New York, NY</t>
        </is>
      </c>
      <c r="H144" t="inlineStr"/>
      <c r="I144" t="inlineStr">
        <is>
          <t>**Overview**
**At MoFo, we couldn’t write our own success story without yours.** 
**Ready to write your story?**
 Join MoFo as a
 **SENIOR AI ENGINEER** 
 on our Information Technology Team!
 This role can be based in Boston, New York or Washington, D.C.
 https://www.mofo.com/offices
**About The Role**
 The Senior AI Engineer, aligned with department and firmwide objectives and priorities and under the direction of the Director of Data Science Analytics, designs, integrates, operates, and continuously improves the Firm’s generative\-AI platform built on third\-party providers (e.g., ChatGPT Enterprise). The role also leads structured evaluations of additional providers (e.g., Harvey, Legora). Focus is on building reliable, secure, and compliant services that connect these providers to Firm systems (ServiceNow, Salesforce, SharePoint/OneDrive, iManage, Workday, Microsoft 365\), along with custom GPTs and enterprise connectors. Success is measured by developer and attorney adoption, measurable productivity gains, service reliability, and adherence to Responsible AI and client obligations.
**Platform Engineering \&amp; Integration**
* Co\-own the strategy, roadmap, and daily operations of the Firm’s generative\-AI platform in partnership with the Director of Data Science Analytics.
* Design, implement, document, and maintain scalable, secure REST/GraphQL services and SDKs that wrap third\-party LLMs and expose agentic and RAG functionality for internal developers.
* Integrate AI services with enterprise platforms including ServiceNow, Salesforce, SharePoint/OneDrive, iManage Cloud, Workday, and Microsoft 365/Copilot \&amp; Copilot Studio.
* Build and operate Model Context Protocol (MCP)\-compliant tools and servers; define resource schemas, capability negotiation, and authentication/authorization patterns.
* Maintain vector and embedding stores (e.g., Azure AI Search, pgvector, Pinecone) and RAG pipelines; tune chunking, metadata enrichment, and re\-ranking for legal\-grade accuracy.
* Provide reference implementations, SDK snippets, and quick\-start examples to accelerate adoption by IT and development teams.
**ChatGPT Enterprise: Custom GPTs \&amp; Connectors**
* Partner with attorneys, Knowledge Management, and business staff to identify high\-value use cases; co\-design custom GPTs with clear instructions, approved knowledge sources, and guardrails.
* Build and maintain custom connectors (Actions/OpenAPI and enterprise connectors) to systems such as ServiceNow, Salesforce, iManage, SharePoint/Graph, and internal APIs.
* Establish governance for GPTs, including naming, versioning, review workflows, RBAC/workspace scoping, and data partitioning; manage release channels and deprecations.
* Develop evaluation and safety checks (offline test sets, red\-team prompts, accuracy/latency/cost KPIs) and instrument usage analytics with feedback loops.
* Deliver templates, prompts, and “starter GPTs”; run enablement sessions and office hours for safe self\-service by attorneys and staff.
* Maintain runbooks and support processes for GPT incidents, drift, and provider updates.
**Third\-Party AI Platform Evaluation \&amp; Selection**
* Lead structured evaluations and bake\-offs against ChatGPT Enterprise baselines, defining decision criteria with AI/KM Consultants, Information Security, Governance, Risk, Procurement, and Compliance teams.
* Design representative test suites (accuracy, hallucination rate, retrieval fidelity, tool\-use reliability, latency, throughput, cost) and implement automated evaluation harnesses.
* Support Information Security in performing security and privacy due diligence (SOC 2/ISO mappings, encryption, retention, auditability, incident response), and align with client guidelines.
* Assess interoperability (MCP support, Actions/OpenAPI, webhooks, SSO/RBAC, logging/observability) and integration effort with Firm systems and RAG pipelines.
* Build proofs of concept with attorneys and staff, document ROI and risk, and recommend go/no\-go and migration plans.
* Produce decision memos detailing evaluation criteria, results, mitigations, financial impacts, and vendor lock\-in strategies.
**Safety, Security, and Compliance**
* Implement policy and technical controls for privacy, confidentiality, privilege, and data residency in coordination with Information Security and Governance.
* Build guardrails against prompt injection, data exfiltration, and PII exposure; ensure auditability and eDiscovery readiness.
* Manage vendor diligence, provider SLAs, roadmap feedback, and incident escalation.
* Implement observability (structured logs, tracing, metrics, audit trails) and automated regressions and canary testing for APIs, GPTs, and connectors.
**Productization \&amp; Change Management**
* Evaluate and prototype new AI use cases for feasibility, risk, and ROI; productionize successful pilots.
* Lead enablement for developers and non\-technical users through training, style guides, API contracts, and prompt engineering best practices.
* Contribute to Firm Responsible AI standards, guidance, and communications with technical and non\-technical stakeholders.
**About You**
* Bachelor’s degree in Computer Science, Software Engineering, Data Science, or a related field required; Master’s preferred.
* 8\+ years of professional experience in software or AI engineering, including at least 3 years building LLM\-powered applications.
* Deep experience with cloud and DevOps technologies (Docker/Kubernetes, CI/CD, IaC) and one or more major cloud AI stacks (Azure strongly preferred).
* Strong working knowledge of retrieval systems, vector databases, embeddings, and agent frameworks such as Semantic Kernel or LangChain.
* Proven experience with ChatGPT Enterprise, custom GPT design, and secure tool integration.
**Domain And Compliance (Preferred)**
* Experience in legal or other highly regulated industries with familiarity in confidentiality, privilege, retention, and client OCGs.
* Exposure to Microsoft 365 Copilot, Copilot Studio, Microsoft Graph connectors, and Teams/SharePoint extensibility.
* Understanding of SOC 2 and ISO 27001 controls, DLP, eDiscovery, and data\-classification best practices.
**Teamwork And Applied Skills**
* Strong ownership mindset with the ability to drive initiatives from inception to completion.
* Excellent organizational and project management skills, balancing multiple priorities under deadlines.
* Exceptional analytical and communication skills with the ability to simplify complex ideas for diverse audiences.
* High attention to detail, proactive problem\-solving approach, and strong technical aptitude.
* Collaborative team player who thrives in a dynamic, cross\-functional environment.
* Demonstrated commitment to client service excellence and continuous improvement.
**About Mofo**
 At MoFo, we collaborate as one firm, across borders, practice areas, and business functions and value fresh ideas and innovation over conformity and competition.
* About Us: https://www.mofo.com/about
* Inclusion \+ Engagement: https://www.mofo.com/community/we\-at\-mofo
* Commitment to Pro Bono: https://careers.mofo.com/careers\-pro\-bono
* The MoFo Foundation: https://www.mofo.com/culture/mofo\-foundation
**About Our Benefits**
 MoFo offers a comprehensive benefits package starting on your first day.
* A variety of options for medical, dental, vision, life and disability coverage to meet the needs of you and your family.
* Industry\-leading parental leave and family benefits including adoption and fertility treatment options and backup child and elder care.
* Global wellness program, including free access to Talkspace and Calm apps.
* Annual community service day to make an impact on your community and a birthday holiday just for fun.
* Education reimbursement annually.
* Dedicated Talent Development team.
* Competitive annual profit\-sharing contribution.
*Where required by law, salary ranges are stated below. Additional compensation may include a discretionary bonus, overtime as applicable, health/welfare benefits, retirement contributions, paid holidays, and PTO. The range displayed is specifically for positions performed in those cities/states and may vary based on factors including but not limited to the following: local market data and ranges; an applicant's skills and prior relevant experience; and certain degrees, licensing, and certifications. The application deadline is* 
*May 13, 2026\.*
*New York salary range: $140k to $195k*
*Boston, Washington, D.C. salary range: $133k to $186k*
 For questions regarding this position, please e\-mail jobs@mofo.com</t>
        </is>
      </c>
    </row>
    <row r="145">
      <c r="A145" t="inlineStr">
        <is>
          <t>li-4304382481</t>
        </is>
      </c>
      <c r="B145" t="inlineStr">
        <is>
          <t>Principal Machine Learning Engineer, Ads Delivery</t>
        </is>
      </c>
      <c r="C145" t="inlineStr">
        <is>
          <t>Pinterest</t>
        </is>
      </c>
      <c r="D145" t="inlineStr">
        <is>
          <t>linkedin</t>
        </is>
      </c>
      <c r="E145">
        <f>HYPERLINK("https://www.linkedin.com/jobs/view/4304382481", "https://www.linkedin.com/jobs/view/4304382481")</f>
        <v/>
      </c>
      <c r="F145" t="inlineStr"/>
      <c r="G145" t="inlineStr">
        <is>
          <t>San Francisco, CA</t>
        </is>
      </c>
      <c r="H145" t="inlineStr"/>
      <c r="I145"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Within the Ads Delivery team, we try to connect the dots between the aspirations of pinners and the products offered by our partners. In this role, you will be responsible for developing and executing a vision for the evolution of the Pinterest marketplace. You will design and implement systems that improve the ads delivery funnel, experiments that shape the utility function, auction mechanism design, ad allocation and for deriving new insights through analysis of the marketplace dynamics. In short, this is a unique position, where you’ll get the freedom to work to bring together pinners and partners in this unique marketplace.
**What You’ll Do**
* Build and improve backend systems and statistical models that underlay the marketplace to maximize value for Pinners, Partners and Pinterest.
* Define and implement experiments to understand long term Marketplace effects.
* Develop strategies to balance long and short term business objectives.
* Drive multi\-functional collaboration with peers and partners across the company to improve knowledge of marketplace design and operations.
**What We’re Looking For**
* Degree in Computer Science, Machine Learning, Statistics or related field.
* 10\+ years of professional experience as a hands\-on engineer and technical leader leading multiple projects.
* Strong software engineering and mathematical skills with knowledge of statistical methods.
* Hands\-on experience with large\-scale online e\-commerce systems is a plus.
* Background in computational advertising is preferred.
**In\-Office Requirement Statement**
* We let the type of work you do guide the collaboration style. That means we're not always working in an office, but we continue to gather for key moments of collaboration and connection.
* This role will need to be in the office for in\-person collaboration 1\-2 times/month, and therefore needs to be in a commutable distance from one of the following offices: San Francisco, Palo Alto, Seattle.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$314,580—$550,515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146">
      <c r="A146" t="inlineStr">
        <is>
          <t>li-4344307491</t>
        </is>
      </c>
      <c r="B146" t="inlineStr">
        <is>
          <t>Lead AI Engineer</t>
        </is>
      </c>
      <c r="C146" t="inlineStr">
        <is>
          <t>MassMutual</t>
        </is>
      </c>
      <c r="D146" t="inlineStr">
        <is>
          <t>linkedin</t>
        </is>
      </c>
      <c r="E146">
        <f>HYPERLINK("https://www.linkedin.com/jobs/view/4344307491", "https://www.linkedin.com/jobs/view/4344307491")</f>
        <v/>
      </c>
      <c r="F146" t="inlineStr"/>
      <c r="G146" t="inlineStr">
        <is>
          <t>Springfield, MA</t>
        </is>
      </c>
      <c r="H146" t="inlineStr"/>
      <c r="I146" t="inlineStr">
        <is>
          <t>MassMutual’s Data Science team is seeking an impact\-driven Lead AI Engineer to join our high\-performing, cross\-functional team. In this role, you will lead the design and deployment of advanced AI solutions that drive strategic decision\-making and business transformation. You’ll apply cutting\-edge techniques in machine learning, generative AI, and large language models (LLMs) to solve complex, high\-value problems across the enterprise.
 This is a unique opportunity to work alongside experts in applied mathematics, statistics, computer science, and physics—collaborating on initiatives that shape the future of MassMutual and the life insurance industry at large.
**Overall Responsibilities**
* Architect and lead end\-to\-end ML/AI solutions supporting various use cases for a large enterprise using LLMs, deep learning, and probabilistic modeling—from ideation to production.
* Deploy scalable GenAI and Agentic AI systems that directly support business goals.
* Establish and promote best practices in AI development and responsible AI deployment.
* Drive innovation by identifying emerging technologies and translating research into practical applications.
* Collaborate with engineering teams to build robust, production\-grade AI pipelines and APIs.
* Prototype and deliver AI\-powered applications (e.g., web apps, dashboards, visualizations) that enable data\-driven decisions.
* Influence senior leadership by aligning AI initiatives with enterprise strategy and communicating insights effectively.
* Mentor and develop junior talent, fostering a culture of technical excellence and continuous learning.
**Candidate Requirements**
* Recognized industry expertise in AI/ML, with a track record of delivering impactful solutions.
* 7\+ years of experience in data science, machine learning, or AI engineering roles.
* Deep understanding of machine learning, statistics, NLP, optimization, and LLMs.
* Hands\-on experience with AI deployment and orchestration frameworks and protocols (e.g., MLflow, llama\-index, MCP).
* Extensive experience testing LLM behavior across a variety of foundation models and benchmarks.
* Experience building AI\-powered applications and collaborating with software engineers and product managers.
* Strong programming skills in Python. Proficiency in R is a plus.
* Proficiency in SQL and database design; familiarity with cloud\-native data platforms, vector databases, and semantic search is a plus.
* Exceptional communication skills, with the ability to explain complex concepts to non\-technical stakeholders.
**Education**
 M.S. or Ph.D. in Computer Science, Statistics, Applied Mathematics, Electrical Engineering, Physics, or a related quantitative field.
 MassMutual is an equal employment opportunity employer. We welcome all persons to apply.
 If you need an accommodation to complete the application process, please contact us and share the specifics of the assistance you need.
 California residents: For detailed information about your rights under the California Consumer Privacy Act (CCPA), please visit our California Consumer Privacy Act Disclosures page.</t>
        </is>
      </c>
    </row>
    <row r="147">
      <c r="A147" t="inlineStr">
        <is>
          <t>li-4372713781</t>
        </is>
      </c>
      <c r="B147" t="inlineStr">
        <is>
          <t>AI Engineer</t>
        </is>
      </c>
      <c r="C147" t="inlineStr">
        <is>
          <t>Underdog.io -Apply to top tech jobs in 60 seconds. A place where companies apply to you</t>
        </is>
      </c>
      <c r="D147" t="inlineStr">
        <is>
          <t>linkedin</t>
        </is>
      </c>
      <c r="E147">
        <f>HYPERLINK("https://www.linkedin.com/jobs/view/4372713781", "https://www.linkedin.com/jobs/view/4372713781")</f>
        <v/>
      </c>
      <c r="F147">
        <f>HYPERLINK("https://underdog.io/candidates/apply&amp;urlHash=eOE4", "https://underdog.io/candidates/apply&amp;urlHash=eOE4")</f>
        <v/>
      </c>
      <c r="G147" t="inlineStr"/>
      <c r="H147" t="inlineStr"/>
      <c r="I147" t="inlineStr">
        <is>
          <t>**Senior AI Developer** 
**Location:** 
 New York City, NY
 Build AI That Actually Helps Humans
 We’re a fast\-growing automation startup backed by top\-tier investors. Our mission: transform how Managed Service Providers (MSPs) work by eliminating mundane tasks through intelligent tools. We’re seeking an AI engineer who cares about
 *why* 
 AI matters—not just
 *how* 
 to build it. If you’re tired of shipping LLM demos that never help real users, join us to build agentic AI that gives overwhelmed IT engineers their time back.
**What You’ll Do** 
* **Design and ship AI features** 
 that solve real MSP pain points: natural\-language workflow creation, autonomous agents, and context\-aware task automation.
* **Build agentic systems** 
 that act responsibly—knowing when to automate, ask for input, or escalate to humans.
* **Optimize production\-grade AI** 
 : Tune prompts, RAG pipelines, and inference stacks (OpenAI, Claude, open\-source LLMs) for speed, cost, and reliability.
* **Integrate AI into core workflows** 
 using tools like LangChain, LlamaIndex, and custom orchestration layers.
* **Collaborate cross\-functionally** 
 to transform prototypes into features that ship.
* **Solve hard problems** 
 : Balance autonomy with safety, reduce hallucinations, and embed empathy into AI interactions.
**Tech Stack You’ll Use** 
* **Core** 
 : Python, FastAPI, Celery, PostgreSQL, React
* **AI/ML** 
 : OpenAI, Anthropic, Mistral/LLaMA, LangChain, Pinecone
* **Infra** 
 : AWS/Azure, Kubernetes, Docker, Redis
* **Observability** 
 : LLM telemetry, cost optimization
**Who You Are** 
* 5\+ years in software engineering, including
 **2\+ years shipping production AI/ML systems** 
 (not just prototypes).
* **Proven expertise** 
 in:
* LLM integration (RAG, agentic architectures, prompt engineering)
* Designing human\-AI interaction patterns (escalation, guardrails)
* Building with frameworks like LangChain or custom orchestration
* **Builder mindset** 
 : You prioritize user impact over model hype.
* **MSP empathy** 
 : You intuitively grasp IT engineers’ pain points (bonus: RPA/automation experience).
* **Communication skills** 
 : Translate technical complexity into user value.
**Above \&amp; Beyond** 
* Experience fine\-tuning/hosting open\-source LLMs
* Contributions to AI open\-source projects (e.g., LangChain agents)
* Observability and cost optimization for AI inference
* Background in automation, agent\-based systems, or MSP workflows
**Why Join** 
* **Solve meaningful problems** 
 : Your AI features directly help overworked engineers.
* **Ownership \&amp; impact** 
 : Autonomy to shape high\-stakes AI decisions.
* **Competitive comp** 
 : Salary \+ equity \+ benefits in a scaling startup.
* **Remote\-first culture** 
 : Collaborate with execution\-obsessed builders.
* **No fluff, just shipping** 
 : We value clarity and results over demos.
**For AI Builders Who Hate Hallucinations** 
 If you want to build AI that
 *actually works* 
 —and see it change how thousands of IT professionals operate—apply now. Let’s create tools that augment humans, not replace them.
*Note: No visa sponsorship.*</t>
        </is>
      </c>
    </row>
    <row r="148">
      <c r="A148" t="inlineStr">
        <is>
          <t>li-4281883251</t>
        </is>
      </c>
      <c r="B148" t="inlineStr">
        <is>
          <t>Senior AI Engineer – LLM, RAG</t>
        </is>
      </c>
      <c r="C148" t="inlineStr">
        <is>
          <t>BrightAI</t>
        </is>
      </c>
      <c r="D148" t="inlineStr">
        <is>
          <t>linkedin</t>
        </is>
      </c>
      <c r="E148">
        <f>HYPERLINK("https://www.linkedin.com/jobs/view/4281883251", "https://www.linkedin.com/jobs/view/4281883251")</f>
        <v/>
      </c>
      <c r="F148">
        <f>HYPERLINK("https://job-boards.greenhouse.io/brightai/jobs/5616545004?gh_src=23f23e5b4us&amp;urlHash=jMId", "https://job-boards.greenhouse.io/brightai/jobs/5616545004?gh_src=23f23e5b4us&amp;urlHash=jMId")</f>
        <v/>
      </c>
      <c r="G148" t="inlineStr">
        <is>
          <t>Palo Alto, CA</t>
        </is>
      </c>
      <c r="H148" t="inlineStr"/>
      <c r="I148" t="inlineStr">
        <is>
          <t>Senior AI Engineer – RAG Systems
**Bright.AI** 
 is a high\-growth Physical AI company transforming how businesses interact with the physical world through intelligent automation. Our AI platform processes visual, spatial, and temporal data from billions of real\-world events—captured across edge devices, mobile sensors, and cloud infrastructure—to enable intelligent decision\-making at scale.
 We are now hiring a
 **Senior AI Engineer – LLM, RAG** 
 to lead the development of Retrieval\-Augmented Generation (RAG) systems that harness the power of large language models (LLMs) and real\-world knowledge sources. This role is pivotal to building next\-generation intelligent assistants that help technicians and operators troubleshoot complex issues in industrial settings.
 You’ll work at the intersection of NLP, foundational models, and real\-time information systems—developing intelligent tools that turn manuals, technician notes, and sensor data into actionable, conversational guidance for the physical world.
**Responsibilities**
* Lead the architecture and development of RAG systems that combine LLMs (e.g., LLAMA, Mistral, Claude, GPT) with structured and unstructured external information sources.
* Develop AI\-powered assistants to support technicians in diagnosing and resolving anomalies or failures in factory, plant, or industrial settings.
* Build pipelines to ingest, preprocess, and index large corpora of documents (manuals, logs, notes, procedures) for semantic search and grounding.
* Customize and fine\-tune foundational models to incorporate domain\-specific language, tone, and logic for industrial troubleshooting scenarios.
* Collaborate with product, data, and cloud teams to design scalable, privacy\-compliant, and latency\-sensitive LLM applications.
* Design evaluation strategies to measure performance, accuracy, and user experience of RAG\-enabled systems in production settings.
* Stay up to date with the latest advances in LLM architectures, retrieval methods, and prompt engineering, and integrate emerging techniques into the product roadmap.
**Educational Background**
* M.S. or Ph.D. in Computer Science, AI, Machine Learning, or a related field, with specialization in NLP or deep learning.
* Strong research or applied background in large language models (LLMs) and retrieval\-augmented generation (RAG) systems. Agentic RAG experience is highly desirable.
**Required Skills \&amp; Expertise**
* 5\+ years of experience in machine learning or AI with a strong focus on NLP, LLMs, or conversational AI.
* Fluency with modern LLMs and open\-source foundational models (e.g., LLAMA, Falcon, Mistral, GPT, Claude).
* Experience building RAG pipelines with tools like LangChain, LlamaIndex, or custom vector database integrations, with at least one production grade system was built.
* Fluency with prompt engineering, instruction tuning, or fine\-tuning open\-source models.
* Deep understanding of document retrieval (semantic search, embedding generation, similarity metrics) and vector stores (e.g., FAISS, Weaviate, Pinecone).
* Strong foundation in core machine learning techniques, including experience with reinforcement learning (RL) or decision\-making models.
* Proficiency with ML development frameworks such as PyTorch, Hugging Face Transformers, or similar. Strong Python programming is a must.
* Experience integrating AI systems into real\-world applications with user\-facing interfaces and operational constraints.
* Excellent problem\-solving and critical thinking skills; ability to design solutions for complex, ambiguous problems.
* Strong written and verbal communication skills, with ability to collaborate cross\-functionally with engineers, product managers, and domain experts.
**Bonus Qualifications**
* Experience applying LLMs in industrial or physical infrastructure settings (e.g., manufacturing, logistics, utilities, energy).
* Knowledge of industrial control systems, maintenance workflows, or technician support processes.
* Exposure to multimodal models or integrating textual data with sensor and/or time\-series data.
* Prior experience in a startup or a fast\-paced environment building LLM\-powered products from the ground up.</t>
        </is>
      </c>
    </row>
    <row r="149">
      <c r="A149" t="inlineStr">
        <is>
          <t>li-4281896923</t>
        </is>
      </c>
      <c r="B149" t="inlineStr">
        <is>
          <t>Forward Deployed AI Engineer</t>
        </is>
      </c>
      <c r="C149" t="inlineStr">
        <is>
          <t>Adobe</t>
        </is>
      </c>
      <c r="D149" t="inlineStr">
        <is>
          <t>linkedin</t>
        </is>
      </c>
      <c r="E149">
        <f>HYPERLINK("https://www.linkedin.com/jobs/view/4281896923", "https://www.linkedin.com/jobs/view/4281896923")</f>
        <v/>
      </c>
      <c r="F149">
        <f>HYPERLINK("https://careers.adobe.com/us/en/job/ADOBUSR158364EXTERNALENUS/Forward-Deployed-AI-Engineer?utm_source=linkedin&amp;utm_medium=phenom-feeds&amp;source=LinkedIn&amp;urlHash=Ejvj", "https://careers.adobe.com/us/en/job/ADOBUSR158364EXTERNALENUS/Forward-Deployed-AI-Engineer?utm_source=linkedin&amp;utm_medium=phenom-feeds&amp;source=LinkedIn&amp;urlHash=Ejvj")</f>
        <v/>
      </c>
      <c r="G149" t="inlineStr">
        <is>
          <t>San Jose, CA</t>
        </is>
      </c>
      <c r="H149" t="inlineStr"/>
      <c r="I149"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Join our “DevOps for Content” revolution as we partner with global brands and agencies to transform their end\-to\-end creative workflows – from ideation to activation – to deliver AI\-powered content services with speed, scale, and governance.
 Through an AI\-first experimentation approach and deep expertise in both first\-party and third\-party AI models, we develop new applications, platforms, and scalable patterns that unlock the GenAI\-powered Content Supply Chain. We function as a continuous product innovation engine—feeding repeatable customer solutions straight into the product roadmap to accelerate product\-led growth.
 As a Forward Deployed AI Engineer, you will own the end\-to\-end development and launch of GenAI applications through Adobe and third\-party generative models. You are an AI native who will embed directly into customer teams to spin up proof points in days and co\-develop features that enhance customer value. If you thrive in start\-up environments—scaling products from prototype to production, pushing innovative research into real\-world use cases, and owning product \&amp; business outcomes—you’ll fit right in here!
 What You’ll Do
* Collaborate \&amp; Innovate: Partner with Technical Architects, Engagement Managers and Product teams to define customer requirements/use cases, facilitate technical workshops, and co\-create specific GenAI solutions.
* Prototype Rapidly: Apply an AI\-first experimentation mindset—build proof points in days, iterate on feedback, and drive quick wins. UX/UI and rapid prototyping skills are a plus.
* Engineer End\-to\-End: Design, build, and deploy full\-stack applications and microservices—integrating Firefly APIs, Common Extensibility Platform, GenStudio for Performance Marketing, headless CMS architectures and UX/UI Designs.
* Bridge to Product: Capture field\-proven use cases and funnel them back to Product \&amp; Engineering—fueling the Firefly roadmap.
* Automate \&amp; Scale: Develop reusable components, CI/CD pipelines, and governance checks to ensure consistent, repeatable delivery.
* Operate at Speed: Thrive in a constantly evolving, start\-up\-like environment—own delivery sprints, tackle challenges on\-site/remotely, and adapt to evolving AI trends.
* Share \&amp; Elevate: Document your playbooks, prompts, and patterns in our internal knowledge base—helping the whole organization move faster.
 What You Bring
* Full\-Stack Expertise: 3\+ years as a full\-stack developer or technical consultant building and launching production software (React.js/Next.js/Angular; Node.js/Java Spring Boot; REST/GraphQL, HTML, JavaScript, Java, XML).
* GenAI Mastery: Extensive hands\-on experience with modern AI technologies, including: Large Language Models (LLMs) – OpenAI GPT, Anthropic Claude, Meta Llama, Mistral, etc. \|\| Diffusion models (Adobe Firefly, Stable Diffusion, DALL·E, Midjourney) \|\| Retrieval\-Augmented Generation (RAG) pipelines, vector databases (Pinecone, Weaviate, FAISS), and semantic search \|\| Fine\-tuning, prompt engineering, and model optimization \|\| AI agent frameworks (AutoGen, LangChain, LlamaIndex) \|\| Multimodal AI (text, image, video, audio processing)
* Cloud \&amp; DevOps Expertise: Proficient with core services (EC2, S3, Lambda, IAM, CloudFormation) and AI/ML tools (SageMaker, Bedrock) \|\| Azure: Experience with compute (VMs, Functions), storage (Blob), and AI services (Azure OpenAI, Cognitive Services) \|\| Containerization \&amp; Orchestration: Docker, Kubernetes, and serverless deployments \|\| CI/CD \&amp; IaC: GitLab CI/CD, Jenkins, GitHub Actions, Terraform, or equivalent \|\| Monitoring \&amp; Logging: CloudWatch, Azure Monitor, Datadog, or similar
* AI Tinkerer: AI\-native tinkerer who embeds AI in your day\-to\-day workflows and spends your free time inventing and tinkering with the possibilities of AI. You keep ahead of market trends across third\-party models, GPUs, and new AI applications.
* Adobe Fluency: Deep understanding of Adobe Creative Cloud APIs/SDK/CEP, Firefly Services APIs, and nice to have: Adobe Experience Cloud integrations (AEM, Workfront Fusion, AJO or equivalent experience).
* Customer\-Centricity: Always prioritizing the customer and their needs and expectations first in everything you do. You are outstanding at contributing to a culture of customer\-centricity among your team and your extended ecosystem.
* Strong communicator: You translate complex AI concepts for both engineers and executives and guide customers through technical decisions aligned to business objectives.
* Startup DNA: Thrives in fast\-paced, ambiguous environments—relentlessly seeking better, faster, more innovative ways to solve customer objectives and challenges.
* Up to 30% customer related travel
 Our compensation reflects the cost of labor across several  U.S. geographic markets, and we pay differently based on those defined markets. The U.S. pay range for this position is $159,200 \-\- $301,600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$208,300 \- $301,600 In New York, the pay range for this position is $208,300 \- $301,600 In Washington, the pay range for this position is $190,200 \- $275,400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There is no deadline to apply to this job posting because Adobe accepts applications for this role on an ongoing basis. The posting will remain open based on hiring needs and position availability.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150">
      <c r="A150" t="inlineStr">
        <is>
          <t>li-4331511897</t>
        </is>
      </c>
      <c r="B150" t="inlineStr">
        <is>
          <t>Applied AI Engineer (Digital Natives Business)</t>
        </is>
      </c>
      <c r="C150" t="inlineStr">
        <is>
          <t>Anthropic</t>
        </is>
      </c>
      <c r="D150" t="inlineStr">
        <is>
          <t>linkedin</t>
        </is>
      </c>
      <c r="E150">
        <f>HYPERLINK("https://www.linkedin.com/jobs/view/4331511897", "https://www.linkedin.com/jobs/view/4331511897")</f>
        <v/>
      </c>
      <c r="F150">
        <f>HYPERLINK("https://job-boards.greenhouse.io/anthropic/jobs/5057647008?gh_src=LinkedIn&amp;urlHash=-mmf", "https://job-boards.greenhouse.io/anthropic/jobs/5057647008?gh_src=LinkedIn&amp;urlHash=-mmf")</f>
        <v/>
      </c>
      <c r="G150" t="inlineStr">
        <is>
          <t>New York, NY</t>
        </is>
      </c>
      <c r="H150" t="inlineStr"/>
      <c r="I150"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Anthropic, you will be a technical Product Engineer focused on becoming a trusted technical advisor to Digital Native Businesses \- technology companies adopting the Claude API into their core products. You will work closely with customer product and engineering teams as they ship new products powered by Claude: advising on architecture design decisions, developing evaluation frameworks, and guiding customers through the most cutting\-edge implementation patterns for LLMs.
 Working closely with our Sales, Product, and Engineering teams, you'll guide a focused portfolio of customers from technical discovery through successful deployment. You'll combine deep engineering expertise with customer\-facing skills to help customers unlock the full potential of Claude APIs and move their products closer to the frontier, while maintaining our high standards for safety and reliability.
**Responsibilities**
* Serve as a specialist technical advisor to Anthropic customers as they deploy new products \&amp; workflows with our models: from discovery through deployment, coordinating internally across multiple teams to drive customer success
* Partner with account executives and solutions architects to translate customer business requirements into technical solutions
* Influence technical architecture decisions and customer product strategy by developing customized pilots, prototypes, and evaluation suites
* Lead hands\-on technical workshops and code reviews with customer engineering teams
* Identify common design patterns and contribute insights back to our Product and Engineering teams
* Create scalable public and internal assets, documenting the latest LLM prompting, evaling, agentic, and architecture techniques
* Maintain strong knowledge of the latest developments in LLM capabilities, implementation patterns, and AI product development stacks
* Travel occasionally to customer sites for workshops, implementation support, and building relationships
* Attend conferences, lead speaking engagements, write blog posts and white papers on topics surrounding the AI space
**You May Be a Good Fit If You Have**
* 4\+ years of experience in technical roles such as Forward Deployed Engineer, Software Engineer or Technical Product Manager with a desire to work closely with customers. Former technical founders are also encouraged to apply.
* Production experience with LLMs including advanced prompt engineering, agent development and frameworks, evaluation frameworks, transcript analysis, MCP, and deployment at scale
* Strong programming skills with proficiency in Python or TypeScript and experience building production applications
* Ability to navigate ambiguity and execute across domains with intellectual openness, finding simple solutions to complex problems
* High cooperation mindset for cross\-organizational collaboration, balancing competing priorities with integrity
* Passion for advancing safe, beneficial AI systems through creative technical applications
* Exceptional communication skills to convey technical concepts to diverse stakeholders while maintaining a low ego and collaborative approach
**Deadline to apply:** 
 None. Applications will be reviewed on a rolling basis.
 The annual compensation range for this role is listed below.
 For sales roles, the range provided is the role’s On Target Earnings ("OTE") range, meaning that the range includes both the sales commissions/sales bonuses target and annual base salary for the role.
**Annual Salary**
 $200,000—$320,000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151">
      <c r="A151" t="inlineStr">
        <is>
          <t>li-4331272200</t>
        </is>
      </c>
      <c r="B151" t="inlineStr">
        <is>
          <t>Applied AI Engineer (Digital Natives Business)</t>
        </is>
      </c>
      <c r="C151" t="inlineStr">
        <is>
          <t>Anthropic</t>
        </is>
      </c>
      <c r="D151" t="inlineStr">
        <is>
          <t>linkedin</t>
        </is>
      </c>
      <c r="E151">
        <f>HYPERLINK("https://www.linkedin.com/jobs/view/4331272200", "https://www.linkedin.com/jobs/view/4331272200")</f>
        <v/>
      </c>
      <c r="F151" t="inlineStr"/>
      <c r="G151" t="inlineStr">
        <is>
          <t>San Francisco, CA</t>
        </is>
      </c>
      <c r="H151" t="inlineStr"/>
      <c r="I151"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Anthropic, you will be a technical Product Engineer focused on becoming a trusted technical advisor to Digital Native Businesses \- technology companies adopting the Claude API into their core products. You will work closely with customer product and engineering teams as they ship new products powered by Claude: advising on architecture design decisions, developing evaluation frameworks, and guiding customers through the most cutting\-edge implementation patterns for LLMs.
 Working closely with our Sales, Product, and Engineering teams, you'll guide a focused portfolio of customers from technical discovery through successful deployment. You'll combine deep engineering expertise with customer\-facing skills to help customers unlock the full potential of Claude APIs and move their products closer to the frontier, while maintaining our high standards for safety and reliability.
**Responsibilities**
* Serve as a specialist technical advisor to Anthropic customers as they deploy new products \&amp; workflows with our models: from discovery through deployment, coordinating internally across multiple teams to drive customer success
* Partner with account executives and solutions architects to translate customer business requirements into technical solutions
* Influence technical architecture decisions and customer product strategy by developing customized pilots, prototypes, and evaluation suites
* Lead hands\-on technical workshops and code reviews with customer engineering teams
* Identify common design patterns and contribute insights back to our Product and Engineering teams
* Create scalable public and internal assets, documenting the latest LLM prompting, evaling, agentic, and architecture techniques
* Maintain strong knowledge of the latest developments in LLM capabilities, implementation patterns, and AI product development stacks
* Travel occasionally to customer sites for workshops, implementation support, and building relationships
* Attend conferences, lead speaking engagements, write blog posts and white papers on topics surrounding the AI space
**You May Be a Good Fit If You Have**
* 4\+ years of experience in technical roles such as Forward Deployed Engineer, Software Engineer or Technical Product Manager with a desire to work closely with customers. Former technical founders are also encouraged to apply.
* Production experience with LLMs including advanced prompt engineering, agent development and frameworks, evaluation frameworks, transcript analysis, MCP, and deployment at scale
* Strong programming skills with proficiency in Python or TypeScript and experience building production applications
* Ability to navigate ambiguity and execute across domains with intellectual openness, finding simple solutions to complex problems
* High cooperation mindset for cross\-organizational collaboration, balancing competing priorities with integrity
* Passion for advancing safe, beneficial AI systems through creative technical applications
* Exceptional communication skills to convey technical concepts to diverse stakeholders while maintaining a low ego and collaborative approach
**Deadline to apply:** 
 None. Applications will be reviewed on a rolling basis.
 The annual compensation range for this role is listed below.
 For sales roles, the range provided is the role’s On Target Earnings ("OTE") range, meaning that the range includes both the sales commissions/sales bonuses target and annual base salary for the role.
**Annual Salary**
 $200,000—$320,000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2026-02-20T15:12:31Z</dcterms:created>
  <dcterms:modified xsi:type="dcterms:W3CDTF">2026-02-20T15:12:31Z</dcterms:modified>
</cp:coreProperties>
</file>