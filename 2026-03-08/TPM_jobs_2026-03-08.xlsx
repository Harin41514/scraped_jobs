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3"/>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in-678498f0312d51c6</t>
        </is>
      </c>
      <c r="B2" t="inlineStr">
        <is>
          <t>AI/ML Program Manager</t>
        </is>
      </c>
      <c r="C2" t="inlineStr">
        <is>
          <t>Openkyber</t>
        </is>
      </c>
      <c r="D2" t="inlineStr">
        <is>
          <t>indeed</t>
        </is>
      </c>
      <c r="E2" t="inlineStr"/>
      <c r="F2" t="inlineStr"/>
      <c r="G2" t="inlineStr">
        <is>
          <t>GA, US</t>
        </is>
      </c>
      <c r="H2" s="1" t="n">
        <v>46088</v>
      </c>
      <c r="I2" t="inlineStr">
        <is>
          <t>Position: Junior AI/ML Analytics Engineer Location: Denver, CO (Locals Highly Preferred) Duration: Long Term Interview: Internal Video Screening\-\&gt; Client Webex Interview \-\&gt; Final In person Interview with Client About OpenKyber: OpenKyber is a leading digital product engineering company that designs and develops chip\-to\-cloud software products, platforms, and digital experiences that empower its clients to achieve higher revenues and operational efficiency. Our product mindset and engineering capabilities in Cloud, Data, AI, and CX enable us to serve key players in the high\-tech industry, including ISVs, SaaS, and Internet companies, as well as product companies in telecom, media, finance, manufacturing, and health verticals. We Are Great Place to Work Certified in 10 countries with a full\-time workforce \[India, USA, Canada, Poland, Romania, Moldova, Indonesia, Singapore, Malaysia \&amp; Thailand]! We are recognized as one of the Best Tech Brands 2024 by the Times Group and India's Top 500 Value Creators 2023 by Dun \&amp; Bradstreet. Company Link : Job Requirement: Brief Job Summary/ Role Description: The Jr.AI Analytics Engineer will design and optimize AI/ML models to enhance OpenKyber's decision\-making capabilities. This role involves creating scalable solutions, managing data pipelines, and integrating advanced analytics into business processes. The ideal candidate will have expertise in machine learning, data engineering, and OpenKyber's objectives. Additionally, they will leverage Large Language Models (LLMs) for natural language processing, improving customer interactions and automating content generation. Staying updated on LLM advancements to innovate solutions that align with OpenKyber's goals is essential. Technical Skills: Strong proficiency in machine learning and data engineering 2\. Expertise in developing and deploying AI/ML models 3\. Experience with Large Language Models (LLMs) and natural language processing 4\. Proficiency in programming languages such as Python or R 5\. Advanced SQL skills for data manipulation and querying 6\. Familiarity with data pipeline tools and frameworks 7\. Ability to collaborate with cross\-functional teams 8\. Strong problem\-solving and analytical skills 9\. Knowledge of cloud platforms and services 10\. Understanding of OpenKyber's business objectives and strategy 11\. Robust prompting strategies and results validation. Good to Have: Call Center Experience 2\. Telecommunication / Cable experience. 3\. Agile 4\. React and interface experience. 5\. Experience in sentiment analysis and text analytics 6\. Knowledge of AI\-driven automation tools 7\. Experience with AI model interpretability and explainability. 8\. Understanding of data privacy regulations related to AI 9\. Graph Analytics: Employing graph\-based models to analyze relationships and patterns in complex networks. 10\. Natural Language Processing (NLP) Advances: Utilizing state\-of\-the\-art NLP for sentiment analysis, chatbots, and language translation. 11\. Explainable AI (XAI): Enhancing transparency by making AI model decisions understandable to humans. 12\. Graph Analytics: Employing graph\-based models to analyze relationships and patterns in complex networks. 13\. Automated Machine Learning (AutoML): Streamlining model development by automating feature selection, model selection, and hyperparameter tuning. Other Skill combination requirement: Excellent communication skills and ability to present to an executive audience. 2\. Critical Thinking: Ability to analyze complex problems and develop innovative solutions. 3\. Collaboration: Teamwork skills to work effectively with diverse groups. 4\. Adaptability: Flexibility to adjust to new challenges and technologies. 5\. Project Management: Capability to manage projects, meet deadlines, and ensure quality. 6\. Leadership: Ability to guide teams and projects towards successful outcomes. 7\. Problem\-Solving: Skill in identifying issues and implementing practical solutions. 8\. Time Management: Efficiently managing time and resources to maximize productivity. 9\. Cultural Awareness: Understanding and respecting diversity in a global work environment. 10\. Ethical Judgment: Commitment to ethical practices and data privacy. 11\. Mentor and support junior analyst on AI / ML practices. Education \&amp; Years of Experience: 5 to 8 years working experience in Data Analytics, AI /ML / Development. Bachelors Required / Masters or PHD preferred. Why Join OpenKyber? Frequent Internal Hackathons : Engage in dynamic competitions with exciting prizes to keep your skills sharp. Cultural Celebrations : Strengthen our familial bonds through shared celebrations, fostering a sense of community. Diverse Project Exposure : Work on a variety of projects across sectors like Healthcare, Banking, e\-commerce, and Retail, collaborating with leading global brands. Centre of Excellence (COE): Benefit from technical guidance and upskilling opportunities provided by our team of technology experts, helping you navigate your career path. E\-Learning Platform: Gain access to comprehensive e\-learning platforms coupled with a robust mentorship program to enhance your skills. Open Door Policy: Embrace a culture of mutual support, respect, and open dialogue, promoting a collaborative work environment. If you are passionate and excited about working in a fast\-paced, innovative environment, we would love to hear from you! OpenKyber is an equal opportunity employer that does not discriminate against any employee or job applicant because of race, color, religion, national origin, sex, physical or mental disability, age, or any other characteristic protected by law. We strive to build a team that reflects the diverse communities we serve, and we actively encourage applications from individuals of all backgrounds and experiences. Our commitment to equal opportunity extends to all aspects of employment, including recruitment, hiring, training, promotion, and benefits. \#LI\-RC1
**For applications and inquiries, contact:** hirings@openkyber.com</t>
        </is>
      </c>
    </row>
    <row r="3">
      <c r="A3" t="inlineStr">
        <is>
          <t>in-6524421f18575676</t>
        </is>
      </c>
      <c r="B3" t="inlineStr">
        <is>
          <t>AI/ML Program Manager</t>
        </is>
      </c>
      <c r="C3" t="inlineStr">
        <is>
          <t>Openkyber</t>
        </is>
      </c>
      <c r="D3" t="inlineStr">
        <is>
          <t>indeed</t>
        </is>
      </c>
      <c r="E3" t="inlineStr"/>
      <c r="F3" t="inlineStr"/>
      <c r="G3" t="inlineStr">
        <is>
          <t>Washington, DC, US</t>
        </is>
      </c>
      <c r="H3" s="1" t="n">
        <v>46088</v>
      </c>
      <c r="I3" t="inlineStr">
        <is>
          <t>OpenKyber is searching for a Senior Program Manager for a Contract assignment with one of our premier Regulatory clients in Rockville, MD. This position is hybrid (3 days per week onsite) \- Tysons or Rockville (preferred) office Must be local to DC Metro area.
**Responsibilities :**
* Strategy \- Help frame program strategy, aligned to organizational goals and objectives, including measurement (OKRs, KPIs).
* Governance \- Maintain program governance structure and related mechanisms for steering, decision\-making, and escalation.
* Engagement \- Coordinate program conversations at the right level and cadence . Publish notes and action items.
* Sense\-making \- Own program narrative; synthesize details into high\-impact artifacts tuned to audience and purpose.
* Monitoring \- Enable comprehensive program health and status monitoring, including a framework for aggregating key results from multiple projects across the enterprise.
* Schedule management \- Ensure roadmap / schedule integrity, including process for "business critical milestones" and key results reported at the CxO level. Monitor for and resolve items near or past due, date changes, stoplight changes, etc.
* Financials \- Support capital planning, budgeting, forecasting, variance tracking, and related reporting including labor, cloud, vendor, software license, and other costs for initiatives. Coordinate setup of project codes.
* Exceptions \- Facilitate risk, issue, change, dependency, and critical decisions management.
* Business cases \- Drive end\-to\-end business case process \- initiative funding pipeline ( "FITS"), template utilization, incremental dates leading to each monthly business case review, stakeholder touchpoints, and feedback / approval forums.
* Vendor management \- Support third\-party due diligence, selection, contract execution, and oversight.
* Collaboration \- Organize and maintain program collaboration and knowledge / work management infrastructure \- example tools: Jira, Confluence, SharePoint, Teams, Miro.
* Administration \- Provide administrative and logistical support such as roster and cost center management, meeting scheduling, team calendar management, conference planning, distribution list maintenance, etc.
**Required Skills :**
* Has bachelor's degree, preferably with a STEM or Finance element.
* Has 5\+ years of experience and demonstrated proficiency in technology portfolio / program / project management.
* Has 3\+ years of experience with agile (Scrum, SAFe , LESS, Kanban, etc.).
* Demonstrates strong interpersonal skills and high emotional intelligence
* Demonstrates strong analysis, synthesis, and communication skills, and delivers high quality work product.
* Can navigate between big picture and detail, abstractions and specifics.
* Is adaptable, independent, and thrives in a hybrid environment without a central PMO.
* Is hands\-on with collaboration infrastructure \- expected to work directly in knowledge repositories (Confluence, SharePoint), work management systems (Jira, MS\-Dynamics), BI and analytics tools (Excel, PowerBI), digital whiteboarding (Miro), communications tech (Zoom, Teams).
* Domain experience a plus: financial services, big data, data science, advanced analytics, AI / ML / LLM.
OpenKyber is a technology and resource solutions provider driven to stand out. We are a women\-owned business. Our mission: to solve big IT problems with a more personal, boutique approach.
Each year, we match consultants like you to more than 1,000 engagements. When we say let's work better together, we mean it. You'll join a diverse team built on these core values: customer service, employee development, and quality and integrity in everything we do. Be yourself, love what you do and find your passion at work.
OpenKyber is an Equal Opportunity Employer and does not discriminate on the basis of Race, Color, Sex, Sexual Orientation, Gender Identity, Religion, National Origin, Disability, Veteran Status, Age, Marital Status, Pregnancy, Genetic Information, or Other Legally Protected Status. We are committed to providing access, equal opportunity, and reasonable accommodation for individuals with disabilities in employment, and our services, programs, and activities.
Please visit our company to request an accommodation or assistance regarding our policy.
**For applications and inquiries, contact:** hirings@openkyber.com</t>
        </is>
      </c>
    </row>
    <row r="4">
      <c r="A4" t="inlineStr">
        <is>
          <t>in-54c72403ce82e06c</t>
        </is>
      </c>
      <c r="B4" t="inlineStr">
        <is>
          <t>AI/ML Program Manager</t>
        </is>
      </c>
      <c r="C4" t="inlineStr">
        <is>
          <t>Openkyber</t>
        </is>
      </c>
      <c r="D4" t="inlineStr">
        <is>
          <t>indeed</t>
        </is>
      </c>
      <c r="E4" t="inlineStr"/>
      <c r="F4" t="inlineStr"/>
      <c r="G4" t="inlineStr">
        <is>
          <t>CA, US</t>
        </is>
      </c>
      <c r="H4" s="1" t="n">
        <v>46088</v>
      </c>
      <c r="I4" t="inlineStr">
        <is>
          <t>We are looking for Senior Technical Program Manager \- Remote / Telecommute for our client in San Francisco, CA Job Title: Senior Technical Program Manager \- Remote / Telecommute Job Location: San Francisco, CA Job Type: Contract Job Description: Pay Range: $63\.96hr \- $68\.96hr Develop a portfolio view of Payments programs scope and objectives and collaborate with stakeholders to ensure technical feasibility while driving projects end\-to\-end. Provide leadership with visibility into execution status, issues, and decisions. Lead planning, execution, and delivery of large cross\-functional initiatives aimed at increasing the productivity of technical teams. Enable teams to deliver against the roadmap by identifying technical dependencies and aligning with stakeholders to manage dependencies that may impact program success. Support quarterly and bi\-annual release planning, resourcing, and risk mitigation activities. Manage effective communication with leadership and cross\-functional teams regarding key decisions, status updates, and risks to ensure accountability and timeline management. Define and align success criteria with relevant stakeholders and regularly assess risks while identifying mitigation strategies. Partner with developer teams to develop and enforce high\-quality internal documentation. Collaborate with leadership to implement best practices and align priorities across Payments programs. Provide visibility into key performance indicators to help leaders understand risks and opportunities. Work independently with stakeholders and cross\-functional leadership while maintaining focus on priorities and project details. Build a culture of trust within the team and help remove impediments that affect productivity. Identify opportunities for process improvement and drive operational simplification and productivity. **Skills:** Demonstrated ability to work through ambiguity and convert complex problems into structured solutions. Strong analytical and problem\-solving abilities with the capability to influence stakeholders. Ability to work proactively and adapt to teams with different operating cadences. Experience developing new processes and frameworks where limited structure exists. Detail\-oriented mindset with the ability to balance technical depth and strategic perspective. Experience working in highly cross\-functional environments requiring collaboration with multiple teams. Excellent written and verbal communication skills with the ability to influence stakeholders. Working knowledge of project management tools such as Asana, Jira, or similar task management platforms. Experience: 10\+ years of experience in the software development industry. At least 7 years of experience working as a Technical Project Manager. Should Have: Experience working with large\-scale ML or AI platforms. Experience contributing to AI\-powered product development. Interest in building and maintaining products that leverage AI models. Qualification And Education: Bachelor s degree in Computer Science or a related technical discipline, or equivalent experience.
**For applications and inquiries, contact:** hirings@openkyber.com</t>
        </is>
      </c>
    </row>
    <row r="5">
      <c r="A5" t="inlineStr">
        <is>
          <t>in-3d02b1a231d739c1</t>
        </is>
      </c>
      <c r="B5" t="inlineStr">
        <is>
          <t>AI/ML Program Manager</t>
        </is>
      </c>
      <c r="C5" t="inlineStr">
        <is>
          <t>Openkyber</t>
        </is>
      </c>
      <c r="D5" t="inlineStr">
        <is>
          <t>indeed</t>
        </is>
      </c>
      <c r="E5" t="inlineStr"/>
      <c r="F5" t="inlineStr"/>
      <c r="G5" t="inlineStr">
        <is>
          <t>GA, US</t>
        </is>
      </c>
      <c r="H5" s="1" t="n">
        <v>46088</v>
      </c>
      <c r="I5" t="inlineStr">
        <is>
          <t>We are looking for a Senior Data \&amp; Analytics Architect who can act as a trusted advisor and strategic leader, driving enterprise data, analytics, and AI transformation for a large customer engagement. This role is not just architecture design it requires strong customer engagement, solution visioning, and commercial impact to help shape downstream delivery opportunities.
**Key Responsibilities:**
* Lead and anchor discussions with customer IT and business leadership
* Assess and rationalize the current state data \&amp; analytics landscape
* Design future\-state architecture covering: Unified data platform Data integration \&amp; pipelines Analytics, dashboards, and reporting AI\-driven insights and communication
* Address product fulfilment lifecycle visibility challenges
* Shape AI\-enabled use cases such as forecasting and decision intelligence
* Translate architecture vision into phased delivery opportunities
* Partner with sales and delivery teams to drive downstream revenue
**Required Experience:**
* 12 18\+ years in Data / Analytics / Platform Architecture
* 8\+ years in customer\-facing or consultative roles
* Experience driving enterprise data transformation initiatives
* Strong stakeholder influence and executive communication skills
**Preferred Experience:**
* Retail / Supply Chain / Fulfilment analytics
* Forecasting \&amp; planning platforms (e.g., o9, Relex)
* Experience working in fast\-paced, ambiguous environments.
OpenKyber is an Equal Opportunity Employer. We encourage professionals from all backgrounds to apply.
**For applications and inquiries, contact:** hirings@openkyber.com</t>
        </is>
      </c>
    </row>
    <row r="6">
      <c r="A6" t="inlineStr">
        <is>
          <t>in-195927e62cafb1e2</t>
        </is>
      </c>
      <c r="B6" t="inlineStr">
        <is>
          <t>AI/ML Program Manager</t>
        </is>
      </c>
      <c r="C6" t="inlineStr">
        <is>
          <t>Openkyber</t>
        </is>
      </c>
      <c r="D6" t="inlineStr">
        <is>
          <t>indeed</t>
        </is>
      </c>
      <c r="E6" t="inlineStr"/>
      <c r="F6" t="inlineStr"/>
      <c r="G6" t="inlineStr">
        <is>
          <t>TX, US</t>
        </is>
      </c>
      <c r="H6" s="1" t="n">
        <v>46088</v>
      </c>
      <c r="I6" t="inlineStr">
        <is>
          <t>Role\-Need Machine Learning Engineer (Generative AI \&amp; LLMs) Profile Location\-Austin, Tx or Sunnyvale, CA\- Onsite from Day 1 Duration :12\+ Months
Job Description: The Machine Learning Engineer is responsible for designing, developing, and deploying machine learning solutions with a strong focus on Generative AI and Large Language Models (LLMs). The role involves building end\-to\-end AI workflows, developing LLM\-powered applications, performing prompt engineering, optimizing model outputs, and supporting model migration and deployment. The engineer works closely with stakeholders to understand problem statements, identify effective solutions, and deliver reliable, high\-quality AI results.
**Key Responsibilities:**
* Develop and maintain machine learning and LLM\-based applications using Python
* Design and implement end\-to\-end workflows for LLM use cases, from problem understanding to solution delivery
* Build applications for NLP tasks such as translation, summarization, and text processing using LLMs
* Perform prompt engineering, including prompt design, testing, iteration, and optimization for improved outputs
* Write clean, modular, and reusable Python functions and code
* Optimize models, prompts, and workflows for better performance, accuracy, and reliability
* Analyze problem statements and identify effective AI\-driven solutions
* Support model migration across environments or platforms
* Assist with model deployment and integration into applications or systems
* Use Git for version control and collaborative development
* Document solutions, provide regular updates, and communicate results clearly
**Required Skills \&amp; Competencies:**
* Proficiency in Python
* Strong understanding of Machine Learning concepts and methodologies
* Hands\-on experience with Generative AI and Large Language Models (LLMs)
* Experience in Natural Language Processing (NLP)
* Knowledge of Prompt Engineering techniques and best practices
* Familiarity with model migration and deployment processes
* Experience with Git and version control systems
* Strong problem\-solving, analytical, and communication skills
**Preferred / Additional Skills:**
* Exposure to multiple LLM frameworks, APIs, or platforms
* Understanding of ML or LLM optimization techniques
* Familiarity with production ML workflows or MLOps concepts
**For applications and inquiries, contact:** hirings@openkyber.com</t>
        </is>
      </c>
    </row>
    <row r="7">
      <c r="A7" t="inlineStr">
        <is>
          <t>in-28f14328df6a589b</t>
        </is>
      </c>
      <c r="B7" t="inlineStr">
        <is>
          <t>AI/ML Program Manager</t>
        </is>
      </c>
      <c r="C7" t="inlineStr">
        <is>
          <t>Openkyber</t>
        </is>
      </c>
      <c r="D7" t="inlineStr">
        <is>
          <t>indeed</t>
        </is>
      </c>
      <c r="E7" t="inlineStr"/>
      <c r="F7" t="inlineStr"/>
      <c r="G7" t="inlineStr">
        <is>
          <t>GA, US</t>
        </is>
      </c>
      <c r="H7" s="1" t="n">
        <v>46088</v>
      </c>
      <c r="I7" t="inlineStr">
        <is>
          <t>Python(3\.11\+) hands\-on experience building robust applications and agentic logic.
Hands\-on experience with Amazon SageMaker for building, training, and deploying machine learning models.
Proficiency in data preparation and analytics using Dataiku.
Solid understanding of core Machine Learning concepts and model lifecycle management.
AWS Bedrock AgentCore (2025\): Familiarity with the latest ecosystem, specifically the Agent Runtime, Memory, Identity, and Tool Gateway layers.
Multi\-Agent Orchestration: Experience building or enabling collaborative systems using frameworks like LangGraph, CrewAI, or AutoGen.
Model Context Protocol (MCP): Strong understanding of MCP and modern tool/API integration patterns for AI agents.
AWS Certification: Must hold at least one of the following: AWS Certified Solutions Architect Associate, AWS Certified Developer Associate, or AWS Certified AI Practitioner.
Willingness to learn emerging AI technologies, frameworks, and evolving cloud services.
**For applications and inquiries, contact:** hirings@openkyber.com</t>
        </is>
      </c>
    </row>
    <row r="8">
      <c r="A8" t="inlineStr">
        <is>
          <t>in-174fcfe77a620c21</t>
        </is>
      </c>
      <c r="B8" t="inlineStr">
        <is>
          <t>Product Manager - Warehouse Management System</t>
        </is>
      </c>
      <c r="C8" t="inlineStr">
        <is>
          <t>Staples</t>
        </is>
      </c>
      <c r="D8" t="inlineStr">
        <is>
          <t>indeed</t>
        </is>
      </c>
      <c r="E8" t="inlineStr"/>
      <c r="F8" t="inlineStr"/>
      <c r="G8" t="inlineStr">
        <is>
          <t>Framingham, MA, US</t>
        </is>
      </c>
      <c r="H8" s="1" t="n">
        <v>46087</v>
      </c>
      <c r="I8" t="inlineStr">
        <is>
          <t>**Staples is business to business. You’re what binds us together.**
Our eCommerce team delivers customer\-centric site experiences to position Staples as a digital selling platform of choice. Our team ensures that our mobile, desktop, and app platforms deliver the digital experience that our customers expect. We do this through customer insights, analytics, and testing to build a strong innovation pipeline for the future and to bring products and solutions to market seamlessly. We utilize online merchandising and campaigns executed by both humans and automated tools to convert new and returning website visitors into customers. We work end\-to\-end with our sales, merchandising, finance, logistics, marketing, and technology teams to provide a world\-class, holistic digital experience, growing profitable results in a fun and rewarding work environment. We are inclusive, customer\-obsessed, and are looking for well\-rounded professionals with strong eCommerce business acumen to join our team.
The Product Manager plays a critical role in shaping the future of our eCommerce platforms. This individual is responsible for leveraging customer insights, analytics, and market trends to define and prioritize product backlogs, ensuring our mobile, desktop and app platforms deliver exceptional digital experiences. This role collaborates closely with engineering teams to bring innovative products and solutions to market, driving growth and enhancing customer satisfaction.
 **What You’ll Be Doing:**
* Collaborate with leadership to define the product vision and align it with the overarching business and digital strategy.
* Own the product backlog, meticulously managing and prioritizing user stories, bugs and tasks based on strategic business goals, customer value, and team capacity.
* Serve as the key point of contact between the development team and stakeholders.
* Craft detailed user stories and acceptance criteria to guide the development process.
* Champion a mindset of continuous improvement, encouraging the team to experiment with new ideas and approaches to solve customer problems.
 **What You Bring To The Table:**
* Strong analytical and problem\-solving skills, with the ability to make data\-driven decisions.
* Excellent communication and interpersonal skills, capable of working effectively with technical and non\-technical teams.
* Agile and adaptable, with a proactive approach to addressing challenges and seizing opportunities.
* Leadership and mentorship capabilities, with a passion for fostering team growth and development.
* Deep product ownership in Warehouse Management Systems (WMS), including order lifecycle visibility, picking/packing workflows, inventory state changes, labeling, and carrier integrations across fulfillment centers and last‑mile delivery.
* Strong supply‑chain domain fluency, with experience building and launching warehousing or other operational products (inbound, outbound, receiving, exception workflows).
* Data‑driven; leverage data to prioritize roadmaps and solve problems in complex fulfillment environments. Skilled at combining data across various sources to diagnose issues, assess impacts, and inform product decisions across dependent systems.
 **What’s needed\- Basic Qualifications:**
* Bachelor's degree in Business, Technology, or a related field, or equivalent work experience.
* 5\+ years of related experience in product management, with a focus on eCommerce or digital products.
* Manage the end\-to\-end lifecycle of digital products from conception through development, launch, and iteration
* Comprehensive understanding and practical application of Agile methodologies, tools, and systems
 **What’s needed\- Preferred Qualifications:**
* Master’s degree in a related field
* Professional certifications in Agile methodologies (e.g., Certified Scrum Master (CSM), SAFe Agilist, or PMI Agile Certified Practitioner (PMI\-ACP)) or product management certifications (e.g., AIPMM Certified Product Manager)
* Experience in the specific industry (e.g. B2B, supply chain, office supplies)
* Experience with WMS platforms and fulfillment technology ecosystems, including supporting or integrating with third‑party solutions (e.g., Manhattan).
* Exposure to physical‑digital systems such as robotics, automation, or handheld/mobile warehouse applications, with an understanding of how hardware constraints impact software development, testing, and experimentation.
* Proven ability to manage external vendors and platform dependencies, including navigating “black‑box” systems, build‑vs‑buy decisions, and ROI tradeoffs in supply‑chain technology investments.
 **We Offer:**
* Inclusive culture with associate\-led Business Resource Groups
* 22 days of PTO and Holiday Schedule (7 observed paid holidays \+ 1 floating holiday)
* Online and Retail Discounts, Company Match 401(k), Physical and Mental Health Wellness programs, and more!
The salary range represents the expected compensation for this role at the time of posting. The specific base pay may be influenced by a variety of factors to include the candidate's experience, skill set, education, geography, business considerations, and internal equity. In addition to base pay, this role may be eligible for bonuses, or other forms of variable compensation.
\#LI\-MR1</t>
        </is>
      </c>
    </row>
    <row r="9">
      <c r="A9" t="inlineStr">
        <is>
          <t>in-4f2337970dba35d8</t>
        </is>
      </c>
      <c r="B9" t="inlineStr">
        <is>
          <t>Product Manager - Order Fulfillment Logic</t>
        </is>
      </c>
      <c r="C9" t="inlineStr">
        <is>
          <t>Staples</t>
        </is>
      </c>
      <c r="D9" t="inlineStr">
        <is>
          <t>indeed</t>
        </is>
      </c>
      <c r="E9" t="inlineStr"/>
      <c r="F9" t="inlineStr"/>
      <c r="G9" t="inlineStr">
        <is>
          <t>Framingham, MA, US</t>
        </is>
      </c>
      <c r="H9" s="1" t="n">
        <v>46087</v>
      </c>
      <c r="I9" t="inlineStr">
        <is>
          <t>**Staples is business to business. You’re what binds us together.**
Our eCommerce team delivers customer\-centric site experiences to position Staples as a digital selling platform of choice. Our team ensures that our mobile, desktop, and app platforms deliver the digital experience that our customers expect. We do this through customer insights, analytics, and testing to build a strong innovation pipeline for the future and to bring products and solutions to market seamlessly. We utilize online merchandising and campaigns executed by both humans and automated tools to convert new and returning website visitors into customers. We work end\-to\-end with our sales, merchandising, finance, logistics, marketing, and technology teams to provide a world\-class, holistic digital experience, growing profitable results in a fun and rewarding work environment. We are inclusive, customer\-obsessed, and are looking for well\-rounded professionals with strong eCommerce business acumen to join our team.
The Product Manager plays a critical role in shaping the future of our eCommerce platforms. This individual is responsible for leveraging customer insights, analytics, and market trends to define and prioritize product backlogs, ensuring our mobile, desktop and app platforms deliver exceptional digital experiences. This role collaborates closely with engineering teams to bring innovative products and solutions to market, driving growth and enhancing customer satisfaction.
 **What You’ll Be Doing:**
* Collaborate with leadership to define the product vision and align it with the overarching business and digital strategy.
* Own the product backlog, meticulously managing and prioritizing user stories, bugs and tasks based on strategic business goals, customer value, and team capacity.
* Serve as the key point of contact between the development team and stakeholders.
* Craft detailed user stories and acceptance criteria to guide the development process.
* Champion a mindset of continuous improvement, encouraging the team to experiment with new ideas and approaches to solve customer problems.
 **What You Bring To The Table:**
* Strong analytical and problem\-solving skills, with the ability to make data\-driven decisions.
* Excellent communication and interpersonal skills, capable of working effectively with technical and non\-technical teams.
* Agile and adaptable, with a proactive approach to addressing challenges and seizing opportunities.
* Leadership and mentorship capabilities, with a passion for fostering team growth and development.
* Ability to translate complex algorithmic or machine‑learning–driven insights into clear product decisions that improve delivery speed, cost, and customer outcomes.
* Strong technical fluency with data\-intensive backend systems, enabling confident partnership with engineering, data science, and research teams.
* A proactive mindset for identifying network inefficiencies and uncovering optimization opportunities across routing, carrier selection, inventory availability, and delivery promises.
 **What’s needed\- Basic Qualifications:**
* Bachelor's degree in Business, Technology, or a related field, or equivalent work experience.
* 5\+ years of related experience in product management, with a focus on eCommerce or digital products.
* Manage the end\-to\-end lifecycle of digital products from conception through development, launch, and iteration
* Comprehensive understanding and practical application of Agile methodologies, tools, and systems
 **What’s needed\- Preferred Qualifications:**
* Master’s degree in a related field
* Professional certifications in Agile methodologies (e.g., Certified Scrum Master (CSM), SAFe Agilist, or PMI Agile Certified Practitioner (PMI\-ACP)) or product management certifications (e.g., AIPMM Certified Product Manager)
* Experience in the specific industry (e.g. B2B, supply chain, office supplies)
* Hands\-on experience working with data analytics tools and languages such as SQL, Python, Snowflake, or Power BI to support product discovery and decision\-making.
* Familiarity with machine learning concepts, routing algorithms, or network optimization models in fulfillment, transportation, or logistics environments.
* Background in backend\-focused digital product development, particularly within order fulfillment, delivery networks, or predictive/algorithmic decision systems.
 **We Offer:**
* Inclusive culture with associate\-led Business Resource Groups
* 22 days of PTO and Holiday Schedule (7 observed paid holidays \+ 1 floating holiday)
* Online and Retail Discounts, Company Match 401(k), Physical and Mental Health Wellness programs, and more!
The salary range represents the expected compensation for this role at the time of posting. The specific base pay may be influenced by a variety of factors to include the candidate's experience, skill set, education, geography, business considerations, and internal equity. In addition to base pay, this role may be eligible for bonuses, or other forms of variable compensation.
\#LI\-MR1</t>
        </is>
      </c>
    </row>
    <row r="10">
      <c r="A10" t="inlineStr">
        <is>
          <t>in-8f652b70702abe62</t>
        </is>
      </c>
      <c r="B10" t="inlineStr">
        <is>
          <t>Java Technical Program Manager</t>
        </is>
      </c>
      <c r="C10" t="inlineStr">
        <is>
          <t>Openkyber</t>
        </is>
      </c>
      <c r="D10" t="inlineStr">
        <is>
          <t>indeed</t>
        </is>
      </c>
      <c r="E10" t="inlineStr"/>
      <c r="F10" t="inlineStr"/>
      <c r="G10" t="inlineStr">
        <is>
          <t>TX, US</t>
        </is>
      </c>
      <c r="H10" s="1" t="n">
        <v>46087</v>
      </c>
      <c r="I10" t="inlineStr">
        <is>
          <t>Senior Java Developer Austin, TX Hybrid Only Locals 5 months contract Please do not submit profiles of candidates who are not local to Texas (TX). Candidates with prior experience working for State Government clients are preferred. Position is ONSITE/Hybrid at the location listed above (with some hybrid work determined by the hiring manager). The program will only accept LOCAL ONLY candidates for this position. The program will only allow candidates who are LOCAL TO THE AUSTIN AREA ONLY. Please do not submit candidates who are currently out of state and are planning to move to Texas. Candidates must already reside in Texas. Level Description 8 or more years of experience, relies on experience and judgment to plan and accomplish goals, independently performs a variety of complicated tasks, may lead and direct the work of others, a wide degree of creativity and latitude is expected. Job Description Develops software solutions by studying information needs, conferring with users, and studying systems flow, data usage, and work processes. Investigates problem areas. Prepares and installs solutions by determining and designing system specifications, standards, and programming. Additional job details and special considerations These contractor roles are for Senior Java Developers, and the positions will work on the SCOR BAU EI parallel initiative. These roles will be responsible for making updates to the SCOR Java. Updates include changes to business logic, updates to the user interface and business logic as well as extending reporting capabilities and the system data model. Support application enhancements and defect corrections in maintenance mode. Support applications in multiple environments with coding testing, peer reviews, documentation, defect root cause analysis, and troubleshooting as required. Maintaining code coverage, testing, and security policies and procedures is required. Available for on\-call support as needed. Other duties as assigned and required by the unit operations. II. CANDIDATE SKILLS AND QUALIFICATIONS Minimum Requirements: Candidates that do not meet or exceed the minimum stated requirements (skills/experience) will be displayed to customers but may not be chosen for this opportunity. Years Required/Preferred Experience 8 Required Experience in Object Oriented Programming (OOP) in Java programming language 8 Required Experience in applications development on J2EE platform 8 Required Experience in writing SQL for relational databases 8 Required Experience in RESTful web services on Spring platform 8 Required Experience working on Spring Aspect Oriented Programming like transaction management and security 8 Required Experience with JUnit and Unit Test development 4 Preferred Experience with Angular UI Framework 4 Preferred Experience with Crystal Reports 4 Preferred Experience with Power BI
**For applications and inquiries, contact:** hirings@openkyber.com</t>
        </is>
      </c>
    </row>
    <row r="11">
      <c r="A11" t="inlineStr">
        <is>
          <t>in-abd684a94aad191c</t>
        </is>
      </c>
      <c r="B11" t="inlineStr">
        <is>
          <t>Senior Product Manager - Xbox Data Analytics</t>
        </is>
      </c>
      <c r="C11" t="inlineStr">
        <is>
          <t>Microsoft</t>
        </is>
      </c>
      <c r="D11" t="inlineStr">
        <is>
          <t>indeed</t>
        </is>
      </c>
      <c r="E11" t="inlineStr"/>
      <c r="F11" t="inlineStr"/>
      <c r="G11" t="inlineStr">
        <is>
          <t>Redmond, WA, US</t>
        </is>
      </c>
      <c r="H11" s="1" t="n">
        <v>46083</v>
      </c>
      <c r="I11" t="inlineStr">
        <is>
          <t>**Overview**  
On Team Xbox, we aspire to empower the world’s 3 billion gamers to play the games they want, with the people they want, anywhere they want. Gaming, the largest and fastest growing category in media \&amp; entertainment, represents an important growth opportunity for Microsoft. We are leading with innovation, as highlighted by bringing Xbox to new devices with Cloud Gaming, bringing the Game Pass subscription to PC, and our recent acquisition of Activision Blizzard King creating exciting new possibilities for players.
The Xbox Platform team is home to the engineering work that makes this vision possible, building the developer tools and services that enable game creators to craft incredible experiences, the commerce systems that connect publishers with their audience and help gamers engage with their next favorite games, the platforms on which those games play at their best, and the experiences that turn every screen into an Xbox.
Do you want to influence product engineering teams to shape the next generation of data and analytics capabilities for Xbox? The Xbox Platform Data Intelligence team is looking for a highly\-motivated Senior Product Manager with data platform experience. You will work closely with Product Managers across the Xbox Platform team in designing, implementing, and evolving innovative capabilities tailored to drive analytics and insights on engineering features. You will also partner with business stakeholders to understand data requirements to support business intelligence. Our capabilities influence data\-driven decision making across Xbox Leadership, Finance, Business Planning, and Engineering teams. Collaboration, diversity, \&amp; self\-direction are valued here. Expect to be given room and support to grow personally and professionally. Technically challenging projects, a healthy and high\-caliber team, game\-changing products for excited fans… don’t miss this rewarding opportunity!
 **Responsibilities**  
* Work within and across teams to solve complex technical challenges
* Develop engineering best\-practices – continuously evaluate our processes to identify opportunities to improve, enhance, and automate existing and new capabilities with a fundamental understanding of the end\-to\-end scenario
* Drive new projects from idea inception to completion
* Balance technical and business requirements as input to establishing a solid roadmap
* Regularly engage with various levels of Gaming Leadership to provide roadmap/progress updates against commitments
* Measure the success and usage patterns of the product / feature at various levels as well as key engineering metrics
* Provide thought leadership, creation, and execution on data platform capabilities
* Grow \&amp; foster an inclusive, creative, high\-performance team culture
* Coach \&amp; mentor other team members
**Qualifications** **Required Qualfication:**
* Bachelor's Degree AND 5\+ years experience in product/service/program management or software development OR equivalent experience.
**Preferred Qualfications:**
* 5\+ years of data analytics or data science experience
* Experience working with cloud\-based technologies, including relational databases, data warehouse, big data (e.g., Hadoop, Spark), orchestration/data pipeline tools, data lakes.
* Self\-motivated and organized to deliver results
* Experience engineering new platforms requiring 3rd party integration, operational standards, and/or data insights
* Passion for large\-scale distributed system engineering such as Azure or Xbox Live
* Ability to use judgement and rating schemes to turn qualitative information into quantitative estimates
* Proficiency in scenario analytics, mining for insights
* Experience with any or similar technologies: Azure Data Explorer (Kusto), Azure Cosmos DB, Reporting applications (Power BI, Tableau, Grafana), Applied LLM to local data stores
* Motivated to learn challenging technical domains
* Good interpersonal and communications (verbal and written) skills, including the ability to effectively communicate with both business and technical teams
* Drives Clarity \- Can you take a complex system with multiple moving parts and be able to understand and explain the output succinctly?
* Collaborates \- Partnering with others is at the heart of this role, so top\-notch collaboration skills are essential. Great collaborators aren't just easy to work with \- they also raise tough questions, deliver bad news with grace, challenge others as necessary and negotiate win/win solutions
* Self\-starter who not only deals well with but thrives in ambiguity and has the ability to successfully execute across a complex environment to deliver a great product
\#gamingjobs
Product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2">
      <c r="A12" t="inlineStr">
        <is>
          <t>in-75c01d24ed134e6f</t>
        </is>
      </c>
      <c r="B12" t="inlineStr">
        <is>
          <t>Principal Product Manager - Tech, Recommender Systems, Prime Video Personalization &amp; Discovery</t>
        </is>
      </c>
      <c r="C12" t="inlineStr">
        <is>
          <t>Amazon.com</t>
        </is>
      </c>
      <c r="D12" t="inlineStr">
        <is>
          <t>indeed</t>
        </is>
      </c>
      <c r="E12" t="inlineStr"/>
      <c r="F12" t="inlineStr"/>
      <c r="G12" t="inlineStr">
        <is>
          <t>Washington, DC, US</t>
        </is>
      </c>
      <c r="H12" s="1" t="n">
        <v>45753</v>
      </c>
      <c r="I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in-21f4799f08b226a2</t>
        </is>
      </c>
      <c r="B13" t="inlineStr">
        <is>
          <t>Principal Product Manager - Tech, Recommender Systems, Prime Video Personalization &amp; Discovery</t>
        </is>
      </c>
      <c r="C13" t="inlineStr">
        <is>
          <t>Amazon.com</t>
        </is>
      </c>
      <c r="D13" t="inlineStr">
        <is>
          <t>indeed</t>
        </is>
      </c>
      <c r="E13" t="inlineStr"/>
      <c r="F13" t="inlineStr"/>
      <c r="G13" t="inlineStr">
        <is>
          <t>Seattle, WA, US</t>
        </is>
      </c>
      <c r="H13" s="1" t="n">
        <v>45753</v>
      </c>
      <c r="I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in-415f2fe1bfb25624</t>
        </is>
      </c>
      <c r="B14" t="inlineStr">
        <is>
          <t>Program Specialist / Program Manager - ODP IDD Home Care</t>
        </is>
      </c>
      <c r="C14" t="inlineStr">
        <is>
          <t>Miracle Makers Home Care</t>
        </is>
      </c>
      <c r="D14" t="inlineStr">
        <is>
          <t>indeed</t>
        </is>
      </c>
      <c r="E14">
        <f>HYPERLINK("https://www.indeed.com/viewjob?jk=415f2fe1bfb25624", "https://www.indeed.com/viewjob?jk=415f2fe1bfb25624")</f>
        <v/>
      </c>
      <c r="F14">
        <f>HYPERLINK("http://www.indeed.com/job/program-specialist-program-manager-odp-idd-home-care-415f2fe1bfb25624", "http://www.indeed.com/job/program-specialist-program-manager-odp-idd-home-care-415f2fe1bfb25624")</f>
        <v/>
      </c>
      <c r="G14" t="inlineStr">
        <is>
          <t>Philadelphia, PA, US</t>
        </is>
      </c>
      <c r="H14" s="2" t="n">
        <v>46089</v>
      </c>
      <c r="I14" t="inlineStr">
        <is>
          <t>**Overview**  
Join our dedicated team as a Program Specialist / Program Manager for ODP IDD Home Care, where you will play a vital role in coordinating and overseeing home and community\-based services for individuals with intellectual and developmental disabilities (IDD). This dynamic position offers an opportunity to make a meaningful difference by supporting individuals with diverse needs, including autism, behavioral health challenges, and disabilities. You will lead efforts to ensure personalized care plans are implemented effectively, promote independence, and enhance quality of life through compassionate support and meticulous program management. Your energetic approach will help empower individuals to thrive in their communities while fostering collaboration among families, caregivers, and service providers.
**Responsibilities**
* Develop, implement, and monitor individualized care plans tailored to each person’s unique needs, including assistance with activities of daily living (ADLs) such as bathing, dressing, and medication management
* Coordinate services across multiple providers to ensure seamless delivery of home and community\-based supports
* Conduct regular assessments and data collection to evaluate progress, adjust care strategies, and ensure compliance with program standards
* Provide direct support and training to caregivers and families on behavioral health strategies, behavior management techniques, communication skills—including American Sign Language—and other caregiving best practices
* Assist individuals with social integration by facilitating community outings, childcare activities, and educational opportunities while promoting independence
* Maintain detailed documentation related to service delivery, medication administration records, incident reports, and progress notes in accordance with regulatory requirements
* Drive program success by collaborating with interdisciplinary teams—including social workers, special educators, and behavioral health specialists—to optimize outcomes
**Requirements**
* Proven experience working with individuals with developmental disabilities, autism spectrum disorder, or other disabilities in home or community settings
* Strong understanding of special education principles and behavioral health interventions
* Excellent communication skills to effectively engage with clients, families, caregivers, and team members
* Ability to assist with ADLs and provide compassionate caregiving in various environments
* Experience in data collection, documentation accuracy, and maintaining compliance standards
* Valid driver’s license with reliable transportation for community outings and home visits
* Knowledge of medication administration procedures and safety protocols is preferred
* Bilingual abilities such as American Sign Language or additional languages are a plus
Join us in creating empowering environments where individuals with disabilities can flourish! This paid position offers the chance to develop your skills while making a lasting impact on lives every day. We value energetic professionals committed to compassionate support and continuous improvement.
**Must have a valid Driver's License and be willing to drive to client's homes and experience with ODP!** 
www.miraclemakershomecare.com
@miraclemakershomecare on IG.
Email Bill@miraclemakershomecare.com directly if you have experience and want to chat with our ODP Director.
Pay: $25\.08 \- $30\.21 per hour
Benefits:
* Dental insurance
* Health insurance
* Mileage reimbursement
* Paid time off
Work Location: Hybrid remote in Philadelphia, PA 19114</t>
        </is>
      </c>
    </row>
    <row r="15">
      <c r="A15" t="inlineStr">
        <is>
          <t>in-fa46699c3a9f8221</t>
        </is>
      </c>
      <c r="B15" t="inlineStr">
        <is>
          <t>Sr. Supply Chain Program Manager, Global Field Operations Supply Chain</t>
        </is>
      </c>
      <c r="C15" t="inlineStr">
        <is>
          <t>Amazon.com</t>
        </is>
      </c>
      <c r="D15" t="inlineStr">
        <is>
          <t>indeed</t>
        </is>
      </c>
      <c r="E15">
        <f>HYPERLINK("https://www.indeed.com/viewjob?jk=fa46699c3a9f8221", "https://www.indeed.com/viewjob?jk=fa46699c3a9f8221")</f>
        <v/>
      </c>
      <c r="F15">
        <f>HYPERLINK("https://www.amazon.jobs/jobs/3165771/sr-supply-chain-program-manager-global-field-operations-supply-chain?cmpid=DA_INAD200785B", "https://www.amazon.jobs/jobs/3165771/sr-supply-chain-program-manager-global-field-operations-supply-chain?cmpid=DA_INAD200785B")</f>
        <v/>
      </c>
      <c r="G15" t="inlineStr">
        <is>
          <t>Arlington, VA, US</t>
        </is>
      </c>
      <c r="H15" s="2" t="n">
        <v>46041</v>
      </c>
      <c r="I15" t="inlineStr">
        <is>
          <t>**DESCRIPTION**
---------------
Global Field Operations is a dynamic team within AWS that manages all cloud infrastructure deployments outside of AWS Data Centers. We are looking for the right individual who will continue the work of building supply chain processes that delight our diverse customer base. In the role, the Supply Chain PM will work with vendors, internal customers and peer teams to identify areas to improve, create high\-impact/large\-scope plans and drive execution of the plans. The Supply Chain PM has global impact in their work supporting customer deployments in over 60 countries around the world.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Key job responsibilities  
In this role, the PM will be responsible for the following:  
* Developing, and implementing, plans to improve the efficiency and scalability of the GFO supply chain
* Working with internal and external stakeholders to determine the root cause and resolution of problems, and proactively prevent future issues
* Document, and share, best practices for GFO supply chain
* Create robust standard work for their role, enabling program growth
A day in the life  
A typical day for a GFO Supply Chain PM consists of two parts:  
1\. Monitoring relevant metrics for their role to ensure seamless delivery for our customers. Where there are issues, they quickly react to contain and correct issues to prevent recurrence.  
2\. Building a roadmap to improve the processes they own to deliver better performance for our customers. This can come in many forms; from small process improvements to full\-scale redesigns.  
About the team  
The Global Field Operations (GFO) Supply Chain team manages all supply chain activities from hardware production through field spares. Within the team are also PMs that manage projects like integrating new programs into GFO, driving improved automation and coordinating with other teams on launching new types of hardware. Because of the breadth of GFO Supply Chain's responsibilities, our PMs have the opportunity to work on varied projects that challenge them to be creative to optimize processes for our customers.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Bachelor's degree in Supply Chain, Business, Engineering, or a related field
* 5\+ years of program, project or product management, or leading product implementation experience
* 8\+ years of data analysis using tools such as Excel, Pivot Tables, SQL, Tableau, or equivalent experience
* 8\+ years of high volume manufacturing operations or sourcing environments experience
* 5\+ years of 3rd party management (suppliers, logistics or similar)
**PREFERRED QUALIFICATIONS**
----------------------------
* Experience in data centers, infrastructure service providers, or related technology companies
* Experience in procurement practices working with engineering, supply chain and Tier 1 OEM partners
* Experience in global supply chain management, managing cross\-functional teams in a fast\-paced consumer electronics product company
* Experience in negotiations with global suppliers with a proven track record in cost reduction
* Experience practicing best\-in\-class procurement processes (category management, benchmarking, should\-cost models, RFX, reverse auction, contracting, or equivalent)
* Experience in global inventory management, including stocking levels logic, in\-bound / out\-bound, forecast creation and supplier management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\- 147,900\.00 \- 200,100\.00 USD annually  
USA, VA, Herndon \- 147,900\.00 \- 200,100\.00 USD annually  
USA, WA, Bellevue \- 147,900\.00 \- 200,100\.00 USD annually  
USA, WA, Seattle \- 147,900\.00 \- 200,100\.00 USD annually</t>
        </is>
      </c>
    </row>
    <row r="16">
      <c r="A16" t="inlineStr">
        <is>
          <t>in-b834d9825d235c28</t>
        </is>
      </c>
      <c r="B16" t="inlineStr">
        <is>
          <t>Sr. Supply Chain Program Manager, Global Field Operations Supply Chain</t>
        </is>
      </c>
      <c r="C16" t="inlineStr">
        <is>
          <t>Amazon.com</t>
        </is>
      </c>
      <c r="D16" t="inlineStr">
        <is>
          <t>indeed</t>
        </is>
      </c>
      <c r="E16">
        <f>HYPERLINK("https://www.indeed.com/viewjob?jk=b834d9825d235c28", "https://www.indeed.com/viewjob?jk=b834d9825d235c28")</f>
        <v/>
      </c>
      <c r="F16">
        <f>HYPERLINK("https://www.amazon.jobs/jobs/3165771/sr-supply-chain-program-manager-global-field-operations-supply-chain?cmpid=DA_INAD200785B", "https://www.amazon.jobs/jobs/3165771/sr-supply-chain-program-manager-global-field-operations-supply-chain?cmpid=DA_INAD200785B")</f>
        <v/>
      </c>
      <c r="G16" t="inlineStr">
        <is>
          <t>Bellevue, WA, US</t>
        </is>
      </c>
      <c r="H16" s="2" t="n">
        <v>46041</v>
      </c>
      <c r="I16" t="inlineStr">
        <is>
          <t>**DESCRIPTION**
---------------
Global Field Operations is a dynamic team within AWS that manages all cloud infrastructure deployments outside of AWS Data Centers. We are looking for the right individual who will continue the work of building supply chain processes that delight our diverse customer base. In the role, the Supply Chain PM will work with vendors, internal customers and peer teams to identify areas to improve, create high\-impact/large\-scope plans and drive execution of the plans. The Supply Chain PM has global impact in their work supporting customer deployments in over 60 countries around the world.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Key job responsibilities  
In this role, the PM will be responsible for the following:  
* Developing, and implementing, plans to improve the efficiency and scalability of the GFO supply chain
* Working with internal and external stakeholders to determine the root cause and resolution of problems, and proactively prevent future issues
* Document, and share, best practices for GFO supply chain
* Create robust standard work for their role, enabling program growth
A day in the life  
A typical day for a GFO Supply Chain PM consists of two parts:  
1\. Monitoring relevant metrics for their role to ensure seamless delivery for our customers. Where there are issues, they quickly react to contain and correct issues to prevent recurrence.  
2\. Building a roadmap to improve the processes they own to deliver better performance for our customers. This can come in many forms; from small process improvements to full\-scale redesigns.  
About the team  
The Global Field Operations (GFO) Supply Chain team manages all supply chain activities from hardware production through field spares. Within the team are also PMs that manage projects like integrating new programs into GFO, driving improved automation and coordinating with other teams on launching new types of hardware. Because of the breadth of GFO Supply Chain's responsibilities, our PMs have the opportunity to work on varied projects that challenge them to be creative to optimize processes for our customers.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Bachelor's degree in Supply Chain, Business, Engineering, or a related field
* 5\+ years of program, project or product management, or leading product implementation experience
* 8\+ years of data analysis using tools such as Excel, Pivot Tables, SQL, Tableau, or equivalent experience
* 8\+ years of high volume manufacturing operations or sourcing environments experience
* 5\+ years of 3rd party management (suppliers, logistics or similar)
**PREFERRED QUALIFICATIONS**
----------------------------
* Experience in data centers, infrastructure service providers, or related technology companies
* Experience in procurement practices working with engineering, supply chain and Tier 1 OEM partners
* Experience in global supply chain management, managing cross\-functional teams in a fast\-paced consumer electronics product company
* Experience in negotiations with global suppliers with a proven track record in cost reduction
* Experience practicing best\-in\-class procurement processes (category management, benchmarking, should\-cost models, RFX, reverse auction, contracting, or equivalent)
* Experience in global inventory management, including stocking levels logic, in\-bound / out\-bound, forecast creation and supplier management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\- 147,900\.00 \- 200,100\.00 USD annually  
USA, VA, Herndon \- 147,900\.00 \- 200,100\.00 USD annually  
USA, WA, Bellevue \- 147,900\.00 \- 200,100\.00 USD annually  
USA, WA, Seattle \- 147,900\.00 \- 200,100\.00 USD annually</t>
        </is>
      </c>
    </row>
    <row r="17">
      <c r="A17" t="inlineStr">
        <is>
          <t>in-251005fab3d9df40</t>
        </is>
      </c>
      <c r="B17" t="inlineStr">
        <is>
          <t>Sr. Supply Chain Program Manager, Global Field Operations Supply Chain</t>
        </is>
      </c>
      <c r="C17" t="inlineStr">
        <is>
          <t>Amazon.com</t>
        </is>
      </c>
      <c r="D17" t="inlineStr">
        <is>
          <t>indeed</t>
        </is>
      </c>
      <c r="E17">
        <f>HYPERLINK("https://www.indeed.com/viewjob?jk=251005fab3d9df40", "https://www.indeed.com/viewjob?jk=251005fab3d9df40")</f>
        <v/>
      </c>
      <c r="F17">
        <f>HYPERLINK("https://www.amazon.jobs/jobs/3165771/sr-supply-chain-program-manager-global-field-operations-supply-chain?cmpid=DA_INAD200785B", "https://www.amazon.jobs/jobs/3165771/sr-supply-chain-program-manager-global-field-operations-supply-chain?cmpid=DA_INAD200785B")</f>
        <v/>
      </c>
      <c r="G17" t="inlineStr">
        <is>
          <t>Seattle, WA, US</t>
        </is>
      </c>
      <c r="H17" s="2" t="n">
        <v>46041</v>
      </c>
      <c r="I17" t="inlineStr">
        <is>
          <t>**DESCRIPTION**
---------------
Global Field Operations is a dynamic team within AWS that manages all cloud infrastructure deployments outside of AWS Data Centers. We are looking for the right individual who will continue the work of building supply chain processes that delight our diverse customer base. In the role, the Supply Chain PM will work with vendors, internal customers and peer teams to identify areas to improve, create high\-impact/large\-scope plans and drive execution of the plans. The Supply Chain PM has global impact in their work supporting customer deployments in over 60 countries around the world.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Key job responsibilities  
In this role, the PM will be responsible for the following:  
* Developing, and implementing, plans to improve the efficiency and scalability of the GFO supply chain
* Working with internal and external stakeholders to determine the root cause and resolution of problems, and proactively prevent future issues
* Document, and share, best practices for GFO supply chain
* Create robust standard work for their role, enabling program growth
A day in the life  
A typical day for a GFO Supply Chain PM consists of two parts:  
1\. Monitoring relevant metrics for their role to ensure seamless delivery for our customers. Where there are issues, they quickly react to contain and correct issues to prevent recurrence.  
2\. Building a roadmap to improve the processes they own to deliver better performance for our customers. This can come in many forms; from small process improvements to full\-scale redesigns.  
About the team  
The Global Field Operations (GFO) Supply Chain team manages all supply chain activities from hardware production through field spares. Within the team are also PMs that manage projects like integrating new programs into GFO, driving improved automation and coordinating with other teams on launching new types of hardware. Because of the breadth of GFO Supply Chain's responsibilities, our PMs have the opportunity to work on varied projects that challenge them to be creative to optimize processes for our customers.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Bachelor's degree in Supply Chain, Business, Engineering, or a related field
* 5\+ years of program, project or product management, or leading product implementation experience
* 8\+ years of data analysis using tools such as Excel, Pivot Tables, SQL, Tableau, or equivalent experience
* 8\+ years of high volume manufacturing operations or sourcing environments experience
* 5\+ years of 3rd party management (suppliers, logistics or similar)
**PREFERRED QUALIFICATIONS**
----------------------------
* Experience in data centers, infrastructure service providers, or related technology companies
* Experience in procurement practices working with engineering, supply chain and Tier 1 OEM partners
* Experience in global supply chain management, managing cross\-functional teams in a fast\-paced consumer electronics product company
* Experience in negotiations with global suppliers with a proven track record in cost reduction
* Experience practicing best\-in\-class procurement processes (category management, benchmarking, should\-cost models, RFX, reverse auction, contracting, or equivalent)
* Experience in global inventory management, including stocking levels logic, in\-bound / out\-bound, forecast creation and supplier management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\- 147,900\.00 \- 200,100\.00 USD annually  
USA, VA, Herndon \- 147,900\.00 \- 200,100\.00 USD annually  
USA, WA, Bellevue \- 147,900\.00 \- 200,100\.00 USD annually  
USA, WA, Seattle \- 147,900\.00 \- 200,100\.00 USD annually</t>
        </is>
      </c>
    </row>
    <row r="18">
      <c r="A18" t="inlineStr">
        <is>
          <t>in-b0f09351098c7de3</t>
        </is>
      </c>
      <c r="B18" t="inlineStr">
        <is>
          <t>Sr. Supply Chain Program Manager, Global Field Operations Supply Chain</t>
        </is>
      </c>
      <c r="C18" t="inlineStr">
        <is>
          <t>Amazon.com</t>
        </is>
      </c>
      <c r="D18" t="inlineStr">
        <is>
          <t>indeed</t>
        </is>
      </c>
      <c r="E18">
        <f>HYPERLINK("https://www.indeed.com/viewjob?jk=b0f09351098c7de3", "https://www.indeed.com/viewjob?jk=b0f09351098c7de3")</f>
        <v/>
      </c>
      <c r="F18">
        <f>HYPERLINK("https://www.amazon.jobs/jobs/3165771/sr-supply-chain-program-manager-global-field-operations-supply-chain?cmpid=DA_INAD200785B", "https://www.amazon.jobs/jobs/3165771/sr-supply-chain-program-manager-global-field-operations-supply-chain?cmpid=DA_INAD200785B")</f>
        <v/>
      </c>
      <c r="G18" t="inlineStr">
        <is>
          <t>Herndon, VA, US</t>
        </is>
      </c>
      <c r="H18" s="2" t="n">
        <v>46041</v>
      </c>
      <c r="I18" t="inlineStr">
        <is>
          <t>**DESCRIPTION**
---------------
Global Field Operations is a dynamic team within AWS that manages all cloud infrastructure deployments outside of AWS Data Centers. We are looking for the right individual who will continue the work of building supply chain processes that delight our diverse customer base. In the role, the Supply Chain PM will work with vendors, internal customers and peer teams to identify areas to improve, create high\-impact/large\-scope plans and drive execution of the plans. The Supply Chain PM has global impact in their work supporting customer deployments in over 60 countries around the world.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Key job responsibilities  
In this role, the PM will be responsible for the following:  
* Developing, and implementing, plans to improve the efficiency and scalability of the GFO supply chain
* Working with internal and external stakeholders to determine the root cause and resolution of problems, and proactively prevent future issues
* Document, and share, best practices for GFO supply chain
* Create robust standard work for their role, enabling program growth
A day in the life  
A typical day for a GFO Supply Chain PM consists of two parts:  
1\. Monitoring relevant metrics for their role to ensure seamless delivery for our customers. Where there are issues, they quickly react to contain and correct issues to prevent recurrence.  
2\. Building a roadmap to improve the processes they own to deliver better performance for our customers. This can come in many forms; from small process improvements to full\-scale redesigns.  
About the team  
The Global Field Operations (GFO) Supply Chain team manages all supply chain activities from hardware production through field spares. Within the team are also PMs that manage projects like integrating new programs into GFO, driving improved automation and coordinating with other teams on launching new types of hardware. Because of the breadth of GFO Supply Chain's responsibilities, our PMs have the opportunity to work on varied projects that challenge them to be creative to optimize processes for our customers.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Bachelor's degree in Supply Chain, Business, Engineering, or a related field
* 5\+ years of program, project or product management, or leading product implementation experience
* 8\+ years of data analysis using tools such as Excel, Pivot Tables, SQL, Tableau, or equivalent experience
* 8\+ years of high volume manufacturing operations or sourcing environments experience
* 5\+ years of 3rd party management (suppliers, logistics or similar)
**PREFERRED QUALIFICATIONS**
----------------------------
* Experience in data centers, infrastructure service providers, or related technology companies
* Experience in procurement practices working with engineering, supply chain and Tier 1 OEM partners
* Experience in global supply chain management, managing cross\-functional teams in a fast\-paced consumer electronics product company
* Experience in negotiations with global suppliers with a proven track record in cost reduction
* Experience practicing best\-in\-class procurement processes (category management, benchmarking, should\-cost models, RFX, reverse auction, contracting, or equivalent)
* Experience in global inventory management, including stocking levels logic, in\-bound / out\-bound, forecast creation and supplier management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\- 147,900\.00 \- 200,100\.00 USD annually  
USA, VA, Herndon \- 147,900\.00 \- 200,100\.00 USD annually  
USA, WA, Bellevue \- 147,900\.00 \- 200,100\.00 USD annually  
USA, WA, Seattle \- 147,900\.00 \- 200,100\.00 USD annually</t>
        </is>
      </c>
    </row>
    <row r="19">
      <c r="A19" t="inlineStr">
        <is>
          <t>in-ff12051392a09513</t>
        </is>
      </c>
      <c r="B19" t="inlineStr">
        <is>
          <t>Senior Product Manager-Tech , Fire TV - Partner-Branded TVs</t>
        </is>
      </c>
      <c r="C19" t="inlineStr">
        <is>
          <t>Amazon.com</t>
        </is>
      </c>
      <c r="D19" t="inlineStr">
        <is>
          <t>indeed</t>
        </is>
      </c>
      <c r="E19">
        <f>HYPERLINK("https://www.indeed.com/viewjob?jk=ff12051392a09513", "https://www.indeed.com/viewjob?jk=ff12051392a09513")</f>
        <v/>
      </c>
      <c r="F19">
        <f>HYPERLINK("https://www.amazon.jobs/jobs/3163007/senior-product-managertech--fire-tv--partnerbranded-tvs?cmpid=DA_INAD200785B", "https://www.amazon.jobs/jobs/3163007/senior-product-managertech--fire-tv--partnerbranded-tvs?cmpid=DA_INAD200785B")</f>
        <v/>
      </c>
      <c r="G19" t="inlineStr">
        <is>
          <t>Austin, TX, US</t>
        </is>
      </c>
      <c r="H19" s="2" t="n">
        <v>46036</v>
      </c>
      <c r="I19" t="inlineStr">
        <is>
          <t>**DESCRIPTION**
---------------
Join Amazon's Fire TV organization as a Senior Product Manager \- Technical, where you'll act as the Chief Product Officer (CPO) for a prestigious and renowned brand's entire Fire TV lineup. This is your opportunity to drive product strategy and innovation for a world\-class partner whose devices deliver entertainment experiences to millions of customers across the globe.  
Key job responsibilities  
* Understand the needs and related trends for customers, TV partners, and offline consumer electronics retailers
* Keep abreast with the technologies and trends related to TVs
* Work closely with the TV partner to define a strategy that drives growth, innovation and delights customers
* Define the global roadmap for TVs including TV line\-up, specifications, software features working backwards from customers, partners, industry and business needs
* Develop detailed, crisp business requirements and user stories that can be used to create product specifications and architecture for each product and application
* Work closely with engineering, program management, and QA teams to implement and deliver the product, on\-time and exceeding a high\-quality bar
* Drive decisions across cross\-functional teams that include engineering, UX and commercial teams.
* Drive product launches in concert with Engineering, Go to Market, operations, PR and other teams
A day in the life  
* Work with TV partners on defining the product roadmap, product requirements
* Write BRDs, strategy docs, or PRFAQs
* Work with engineering and other tech teams to build the product and see them through launch
* Work with go\-to\-market, business development, finance, PR and other internal teams on the launch of TVs
About the team  
We power Fire TV's expansion across the global smart TV landscape by building the enterprise tools and services that enable TV manufacturers to bring Fire TV to millions of customers. Our diverse, international team embodies Amazon's "Day 1" mindset – we're scrappy problem\-solvers who find creative ways to deliver results, but we never lose our sense of humor along the way. Whether we're streamlining factory processes in China or debugging validation tools in Bengaluru, we're laser focused on our partners' success. If you're energized by complex challenges and passionate about building tools that scale, we'd love to have you join us.**BASIC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3\+ years of consumer electronics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MN, Minneapolis \- 151,200\.00 \- 204,600\.00 USD annually  
USA, TX, Austin \- 151,200\.00 \- 204,600\.00 USD annually</t>
        </is>
      </c>
    </row>
    <row r="20">
      <c r="A20" t="inlineStr">
        <is>
          <t>in-f2d7175996e8b88f</t>
        </is>
      </c>
      <c r="B20" t="inlineStr">
        <is>
          <t>Senior Product Manager-Tech , Fire TV - Partner-Branded TVs</t>
        </is>
      </c>
      <c r="C20" t="inlineStr">
        <is>
          <t>Amazon.com</t>
        </is>
      </c>
      <c r="D20" t="inlineStr">
        <is>
          <t>indeed</t>
        </is>
      </c>
      <c r="E20">
        <f>HYPERLINK("https://www.indeed.com/viewjob?jk=f2d7175996e8b88f", "https://www.indeed.com/viewjob?jk=f2d7175996e8b88f")</f>
        <v/>
      </c>
      <c r="F20">
        <f>HYPERLINK("https://www.amazon.jobs/jobs/3163007/senior-product-managertech--fire-tv--partnerbranded-tvs?cmpid=DA_INAD200785B", "https://www.amazon.jobs/jobs/3163007/senior-product-managertech--fire-tv--partnerbranded-tvs?cmpid=DA_INAD200785B")</f>
        <v/>
      </c>
      <c r="G20" t="inlineStr">
        <is>
          <t>Minneapolis, MN, US</t>
        </is>
      </c>
      <c r="H20" s="2" t="n">
        <v>46036</v>
      </c>
      <c r="I20" t="inlineStr">
        <is>
          <t>**DESCRIPTION**
---------------
Join Amazon's Fire TV organization as a Senior Product Manager \- Technical, where you'll act as the Chief Product Officer (CPO) for a prestigious and renowned brand's entire Fire TV lineup. This is your opportunity to drive product strategy and innovation for a world\-class partner whose devices deliver entertainment experiences to millions of customers across the globe.  
Key job responsibilities  
* Understand the needs and related trends for customers, TV partners, and offline consumer electronics retailers
* Keep abreast with the technologies and trends related to TVs
* Work closely with the TV partner to define a strategy that drives growth, innovation and delights customers
* Define the global roadmap for TVs including TV line\-up, specifications, software features working backwards from customers, partners, industry and business needs
* Develop detailed, crisp business requirements and user stories that can be used to create product specifications and architecture for each product and application
* Work closely with engineering, program management, and QA teams to implement and deliver the product, on\-time and exceeding a high\-quality bar
* Drive decisions across cross\-functional teams that include engineering, UX and commercial teams.
* Drive product launches in concert with Engineering, Go to Market, operations, PR and other teams
A day in the life  
* Work with TV partners on defining the product roadmap, product requirements
* Write BRDs, strategy docs, or PRFAQs
* Work with engineering and other tech teams to build the product and see them through launch
* Work with go\-to\-market, business development, finance, PR and other internal teams on the launch of TVs
About the team  
We power Fire TV's expansion across the global smart TV landscape by building the enterprise tools and services that enable TV manufacturers to bring Fire TV to millions of customers. Our diverse, international team embodies Amazon's "Day 1" mindset – we're scrappy problem\-solvers who find creative ways to deliver results, but we never lose our sense of humor along the way. Whether we're streamlining factory processes in China or debugging validation tools in Bengaluru, we're laser focused on our partners' success. If you're energized by complex challenges and passionate about building tools that scale, we'd love to have you join us.**BASIC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3\+ years of consumer electronics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MN, Minneapolis \- 151,200\.00 \- 204,600\.00 USD annually  
USA, TX, Austin \- 151,200\.00 \- 204,600\.00 USD annually</t>
        </is>
      </c>
    </row>
    <row r="21">
      <c r="A21" t="inlineStr">
        <is>
          <t>in-712f4b9636b590c2</t>
        </is>
      </c>
      <c r="B21" t="inlineStr">
        <is>
          <t>Principal Product Manager - Tech, Personalization and Discovery Systems, Fire TV Experience</t>
        </is>
      </c>
      <c r="C21" t="inlineStr">
        <is>
          <t>Amazon.com</t>
        </is>
      </c>
      <c r="D21" t="inlineStr">
        <is>
          <t>indeed</t>
        </is>
      </c>
      <c r="E21">
        <f>HYPERLINK("https://www.indeed.com/viewjob?jk=712f4b9636b590c2", "https://www.indeed.com/viewjob?jk=712f4b9636b590c2")</f>
        <v/>
      </c>
      <c r="F21">
        <f>HYPERLINK("https://www.amazon.jobs/jobs/3163938/principal-product-manager--tech-personalization-and-discovery-systems-fire-tv-experience-?cmpid=DA_INAD200785B", "https://www.amazon.jobs/jobs/3163938/principal-product-manager--tech-personalization-and-discovery-systems-fire-tv-experience-?cmpid=DA_INAD200785B")</f>
        <v/>
      </c>
      <c r="G21" t="inlineStr">
        <is>
          <t>Seattle, WA, US</t>
        </is>
      </c>
      <c r="H21" s="2" t="n">
        <v>46032</v>
      </c>
      <c r="I21" t="inlineStr">
        <is>
          <t>**DESCRIPTION**
---------------
Fire TV is transforming how millions of customers discover and engage with entertainment content every day. We're bringing TV into the AI era—revolutionizing discovery to help customers find 'what's next' and making TV the intelligent heart of the home.  
We are seeking a Principal Product Manager \- Tech to lead intelligent discovery and personalization for Fire TV. In this role, you will define and execute the vision for AI\-powered discovery systems and personalization primitives that help customers find content they love. You will drive the development of recommendation systems, intelligent discovery features, and the foundational signals and frameworks that power experiences across Fire TV.  
This role requires deep expertise in building discovery systems at scale, proficiency with AI/ML technologies, and a proven track record of delivering customer\-obsessed experiences in consumer technology products. You will partner with engineering, data science, design, Prime Video, Alexa, and advertising teams to create the most intelligent content discovery experience in the industry.  
Key job responsibilities  
* Define and own the long\-term product vision and strategy for hyper\-personalized recommendations across Fire TV's global footprint.
* Drive the development of personalization primitives, signals, and frameworks that power experiences across search, browse, recommendations, and AI\-powered interfaces; partnering with data science, product management, and engineering teams.
* Build and launch customer\-facing discovery experiences including content rows, recommendation surfaces, and AI\-driven features that directly impact how customers find and engage with content.
* Translate complex strategies into clear product requirements, user stories, and technical specifications.
* Manage prioritization and trade\-offs among customer experience, technical complexity, performance, and business impact.
* Own key metrics including customer engagement, content discovery success rates, conversion, and satisfaction scores.
* Stay at the forefront of AI/ML advancements in discovery, recommendation systems, and content intelligence.
**BASIC QUALIFICATIONS**
------------------------
* Bachelor's degree
* Experience owning/driving roadmap strategy and definition
* Experience with feature delivery and tradeoffs of a product
* 8\+ years of technical product or program management experience
* Experience using managed ML/AI solutions
* Experience demonstrating strong analytical abilities and confidence in the use of data
* Experience influencing multiple stakeholders and leading cross functional teams across geographies and business units
**PREFERRED QUALIFICATIONS**
----------------------------
* Experience working directly with Engineers on product enhancements
* Experience in project management methodologies, business analysis, or process improvement
* Experience interpreting and communicating analytics
* Bachelor's degree, or MBA in business, data science, public administration, finance, engineering, human resources or related field
* Experience working effectively with science, data processing, and software engineering teams
* Experience with digital products and interactive entertainment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\- 206,900\.00 \- 279,900\.00 USD annually  
USA, WA, Seattle \- 179,900\.00 \- 243,400\.00 USD annually</t>
        </is>
      </c>
    </row>
    <row r="22">
      <c r="A22" t="inlineStr">
        <is>
          <t>in-feea85e72bc23f3a</t>
        </is>
      </c>
      <c r="B22" t="inlineStr">
        <is>
          <t>Principal Product Manager - Tech, Personalization and Discovery Systems, Fire TV Experience</t>
        </is>
      </c>
      <c r="C22" t="inlineStr">
        <is>
          <t>Amazon.com</t>
        </is>
      </c>
      <c r="D22" t="inlineStr">
        <is>
          <t>indeed</t>
        </is>
      </c>
      <c r="E22">
        <f>HYPERLINK("https://www.indeed.com/viewjob?jk=feea85e72bc23f3a", "https://www.indeed.com/viewjob?jk=feea85e72bc23f3a")</f>
        <v/>
      </c>
      <c r="F22">
        <f>HYPERLINK("https://www.amazon.jobs/jobs/3163938/principal-product-manager--tech-personalization-and-discovery-systems-fire-tv-experience-?cmpid=DA_INAD200785B", "https://www.amazon.jobs/jobs/3163938/principal-product-manager--tech-personalization-and-discovery-systems-fire-tv-experience-?cmpid=DA_INAD200785B")</f>
        <v/>
      </c>
      <c r="G22" t="inlineStr">
        <is>
          <t>Sunnyvale, CA, US</t>
        </is>
      </c>
      <c r="H22" s="2" t="n">
        <v>46032</v>
      </c>
      <c r="I22" t="inlineStr">
        <is>
          <t>**DESCRIPTION**
---------------
Fire TV is transforming how millions of customers discover and engage with entertainment content every day. We're bringing TV into the AI era—revolutionizing discovery to help customers find 'what's next' and making TV the intelligent heart of the home.  
We are seeking a Principal Product Manager \- Tech to lead intelligent discovery and personalization for Fire TV. In this role, you will define and execute the vision for AI\-powered discovery systems and personalization primitives that help customers find content they love. You will drive the development of recommendation systems, intelligent discovery features, and the foundational signals and frameworks that power experiences across Fire TV.  
This role requires deep expertise in building discovery systems at scale, proficiency with AI/ML technologies, and a proven track record of delivering customer\-obsessed experiences in consumer technology products. You will partner with engineering, data science, design, Prime Video, Alexa, and advertising teams to create the most intelligent content discovery experience in the industry.  
Key job responsibilities  
* Define and own the long\-term product vision and strategy for hyper\-personalized recommendations across Fire TV's global footprint.
* Drive the development of personalization primitives, signals, and frameworks that power experiences across search, browse, recommendations, and AI\-powered interfaces; partnering with data science, product management, and engineering teams.
* Build and launch customer\-facing discovery experiences including content rows, recommendation surfaces, and AI\-driven features that directly impact how customers find and engage with content.
* Translate complex strategies into clear product requirements, user stories, and technical specifications.
* Manage prioritization and trade\-offs among customer experience, technical complexity, performance, and business impact.
* Own key metrics including customer engagement, content discovery success rates, conversion, and satisfaction scores.
* Stay at the forefront of AI/ML advancements in discovery, recommendation systems, and content intelligence.
**BASIC QUALIFICATIONS**
------------------------
* Bachelor's degree
* Experience owning/driving roadmap strategy and definition
* Experience with feature delivery and tradeoffs of a product
* 8\+ years of technical product or program management experience
* Experience using managed ML/AI solutions
* Experience demonstrating strong analytical abilities and confidence in the use of data
* Experience influencing multiple stakeholders and leading cross functional teams across geographies and business units
**PREFERRED QUALIFICATIONS**
----------------------------
* Experience working directly with Engineers on product enhancements
* Experience in project management methodologies, business analysis, or process improvement
* Experience interpreting and communicating analytics
* Bachelor's degree, or MBA in business, data science, public administration, finance, engineering, human resources or related field
* Experience working effectively with science, data processing, and software engineering teams
* Experience with digital products and interactive entertainment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\- 206,900\.00 \- 279,900\.00 USD annually  
USA, WA, Seattle \- 179,900\.00 \- 243,400\.00 USD annually</t>
        </is>
      </c>
    </row>
    <row r="23">
      <c r="A23" t="inlineStr">
        <is>
          <t>in-3179557a330824b3</t>
        </is>
      </c>
      <c r="B23" t="inlineStr">
        <is>
          <t>Sr Program Manager, Devices Trade Compliance</t>
        </is>
      </c>
      <c r="C23" t="inlineStr">
        <is>
          <t>Amazon.com</t>
        </is>
      </c>
      <c r="D23" t="inlineStr">
        <is>
          <t>indeed</t>
        </is>
      </c>
      <c r="E23">
        <f>HYPERLINK("https://www.indeed.com/viewjob?jk=3179557a330824b3", "https://www.indeed.com/viewjob?jk=3179557a330824b3")</f>
        <v/>
      </c>
      <c r="F23">
        <f>HYPERLINK("https://www.amazon.jobs/jobs/3158400/sr-program-manager-devices-trade-compliance?cmpid=DA_INAD200785B", "https://www.amazon.jobs/jobs/3158400/sr-program-manager-devices-trade-compliance?cmpid=DA_INAD200785B")</f>
        <v/>
      </c>
      <c r="G23" t="inlineStr">
        <is>
          <t>Seattle, WA, US</t>
        </is>
      </c>
      <c r="H23" s="2" t="n">
        <v>46030</v>
      </c>
      <c r="I23" t="inlineStr">
        <is>
          <t>**DESCRIPTION**
---------------
The Devices Trade Compliance (DTC) team enables Amazon Devices to move products seamlessly through global customs and regulatory regimes while maintaining the highest standards of compliance, accuracy, and operational excellence.
We support new product introductions (NPI), large\-scale global launches, and complex supply chains across dozens of countries and thousands of ASINs.  
We are seeking a Senior Program Manager to own and scale core trade compliance programs for Amazon Devices. This role will lead end\-to\-end compliance initiatives that support the Product Development Process, while building durable processes, dashboards, and controls to support a rapidly growing and evolving device portfolio.  
This role requires strong compliance judgment and the ability to translate complex regulatory frameworks into scalable operational programs that support dynamic product offerings and business growth.  
Key job responsibilities  
* Own and drive trade compliance programs for Amazon Devices, including HS classification, ECCN/export classification, COO determinations, and FTA eligibility validation.
* Partner with Product, Hardware, Supply Chain, and Legal teams to embed classification, COO, and FTA requirements into NPI and launch processes.
* Design and continuously improve governance models, SOPs, and controls.
* Build and maintain dashboards and monitoring mechanisms to track compliance status, launch readiness, FTA utilization, and risk indicators.
* Communicate risk, tradeoffs, and recommendations clearly to senior stakeholders and leadership.
About the team  
Devices Trade Compliance (DTC) enables Amazon Devices to move seamlessly from factory to customer by guiding products through global customs and regulatory requirements with speed, precision, and integrity. We blend deep trade expertise with business\-first thinking to unlock opportunities, manage risk, and ensure innovative devices reach their destinations around the world compliantly.**BASIC QUALIFICATIONS**
------------------------
* Bachelor's degree or equivalent
* 6\+ years of compliance, audit or risk management experience
* 5\+ years of program or project Management experience
* Knowledge of Microsoft Office products and applications at an advanced level
**PREFERRED QUALIFICATIONS**
----------------------------
* Project Management Professional (PMP) or equivalent certification
* Experience leveraging technology and implementing lean principles / Six Sigma methodologies to drive process improvements or equivalent
* Master's degree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\- 133,300\.00 \- 185,000\.00 USD annually  
USA, WA, Seattle \- 121,200\.00 \- 163,900\.00 USD annually</t>
        </is>
      </c>
    </row>
    <row r="24">
      <c r="A24" t="inlineStr">
        <is>
          <t>in-722b9cb6f745a6a5</t>
        </is>
      </c>
      <c r="B24" t="inlineStr">
        <is>
          <t>Sr Program Manager, Devices Trade Compliance</t>
        </is>
      </c>
      <c r="C24" t="inlineStr">
        <is>
          <t>Amazon.com</t>
        </is>
      </c>
      <c r="D24" t="inlineStr">
        <is>
          <t>indeed</t>
        </is>
      </c>
      <c r="E24">
        <f>HYPERLINK("https://www.indeed.com/viewjob?jk=722b9cb6f745a6a5", "https://www.indeed.com/viewjob?jk=722b9cb6f745a6a5")</f>
        <v/>
      </c>
      <c r="F24">
        <f>HYPERLINK("https://www.amazon.jobs/jobs/3158400/sr-program-manager-devices-trade-compliance?cmpid=DA_INAD200785B", "https://www.amazon.jobs/jobs/3158400/sr-program-manager-devices-trade-compliance?cmpid=DA_INAD200785B")</f>
        <v/>
      </c>
      <c r="G24" t="inlineStr">
        <is>
          <t>Sunnyvale, CA, US</t>
        </is>
      </c>
      <c r="H24" s="2" t="n">
        <v>46030</v>
      </c>
      <c r="I24" t="inlineStr">
        <is>
          <t>**DESCRIPTION**
---------------
The Devices Trade Compliance (DTC) team enables Amazon Devices to move products seamlessly through global customs and regulatory regimes while maintaining the highest standards of compliance, accuracy, and operational excellence.
We support new product introductions (NPI), large\-scale global launches, and complex supply chains across dozens of countries and thousands of ASINs.  
We are seeking a Senior Program Manager to own and scale core trade compliance programs for Amazon Devices. This role will lead end\-to\-end compliance initiatives that support the Product Development Process, while building durable processes, dashboards, and controls to support a rapidly growing and evolving device portfolio.  
This role requires strong compliance judgment and the ability to translate complex regulatory frameworks into scalable operational programs that support dynamic product offerings and business growth.  
Key job responsibilities  
* Own and drive trade compliance programs for Amazon Devices, including HS classification, ECCN/export classification, COO determinations, and FTA eligibility validation.
* Partner with Product, Hardware, Supply Chain, and Legal teams to embed classification, COO, and FTA requirements into NPI and launch processes.
* Design and continuously improve governance models, SOPs, and controls.
* Build and maintain dashboards and monitoring mechanisms to track compliance status, launch readiness, FTA utilization, and risk indicators.
* Communicate risk, tradeoffs, and recommendations clearly to senior stakeholders and leadership.
About the team  
Devices Trade Compliance (DTC) enables Amazon Devices to move seamlessly from factory to customer by guiding products through global customs and regulatory requirements with speed, precision, and integrity. We blend deep trade expertise with business\-first thinking to unlock opportunities, manage risk, and ensure innovative devices reach their destinations around the world compliantly.**BASIC QUALIFICATIONS**
------------------------
* Bachelor's degree or equivalent
* 6\+ years of compliance, audit or risk management experience
* 5\+ years of program or project Management experience
* Knowledge of Microsoft Office products and applications at an advanced level
**PREFERRED QUALIFICATIONS**
----------------------------
* Project Management Professional (PMP) or equivalent certification
* Experience leveraging technology and implementing lean principles / Six Sigma methodologies to drive process improvements or equivalent
* Master's degree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\- 133,300\.00 \- 185,000\.00 USD annually  
USA, WA, Seattle \- 121,200\.00 \- 163,900\.00 USD annually</t>
        </is>
      </c>
    </row>
    <row r="25">
      <c r="A25" t="inlineStr">
        <is>
          <t>in-e3c3a53ec13b67a5</t>
        </is>
      </c>
      <c r="B25" t="inlineStr">
        <is>
          <t>Sr. Technical Program Manager , Prime Video Sports Linear and News</t>
        </is>
      </c>
      <c r="C25" t="inlineStr">
        <is>
          <t>Amazon.com</t>
        </is>
      </c>
      <c r="D25" t="inlineStr">
        <is>
          <t>indeed</t>
        </is>
      </c>
      <c r="E25">
        <f>HYPERLINK("https://www.indeed.com/viewjob?jk=e3c3a53ec13b67a5", "https://www.indeed.com/viewjob?jk=e3c3a53ec13b67a5")</f>
        <v/>
      </c>
      <c r="F25">
        <f>HYPERLINK("https://www.amazon.jobs/jobs/3157902/sr-technical-program-manager--prime-video-sports-linear-and-news?cmpid=DA_INAD200785B", "https://www.amazon.jobs/jobs/3157902/sr-technical-program-manager--prime-video-sports-linear-and-news?cmpid=DA_INAD200785B")</f>
        <v/>
      </c>
      <c r="G25" t="inlineStr">
        <is>
          <t>Arlington, VA, US</t>
        </is>
      </c>
      <c r="H25" s="2" t="n">
        <v>46030</v>
      </c>
      <c r="I25" t="inlineStr">
        <is>
          <t>**DESCRIPTION**
---------------
Love sports? Want to change the world? Prime Video is re\-inventing the live sports experience by merging high\-quality live streaming, immersive interactive features, and exclusive access to some of the world's most loved sports properties \- including the NFL, NBA, English Premier League and UEFA Champions League soccer, Rolland\-Garros (French Open), the US Open and more. Every day we face the challenges of a fast\-paced market and expanding technology set. And we're building at a scale only Amazon is capable of. The Prime Video Sports team is a single\-threaded\-owner, uniquely positioned to execute our vision across the entire Prime Video stack to deliver the most compelling new experiences to our customers. If this sounds like the type of experience you'd like to help build \- apply here and let's chat!  
Who we are:  
We are deeply connected with the idea that live sports events are fundamentally different: there is only one shot at delivering the moment until it is forever lost. Our mission is to make sure that our customers never miss a single moment of the sports they love. To do this we need to deliver best\-in\-class live sports infrastructure, testing, monitoring, and operations to optimize the delivery of live sports experiences at scale. Our team engineers for speed, quality, availability, and scale. As Prime Video has grown, we've increased the depth and breadth of video products we support, with a corresponding increase in the associated size and complexity of our engineering activity and the load on our services. Our goal is to adapt our architecture to maintain and improve our velocity of delivery for customers in the face of these changes, and for our services to be on and error\-free 24/7, especially for high\-profile, exclusive content. With AI as a transformative force, we're at an inflection point that enables us to unlock new opportunities in predictive analytics, automated defect analysis and mitigation, and automated operations that were previously beyond our reach.  
What we're looking for:  
We need a highly talented Senior Technical Program Manager to build resilient, highly available, and operationally excellent systems that power our vision. You'll anticipate availability risks, manage critical incidents and escalations, and balance business SLA commitments against technical constraints and operational trade\-offs.  
You must break down complex reliability initiatives into manageable operational improvements, develop comprehensive availability specifications, and deliver measurable enhancements to system uptime and operational health. We seek someone with a strong curiosity to build and nurture an operationally mature, reliability\-focused engineering culture—fostering proactive monitoring practices, blameless post\-mortem disciplines, and integrating emerging observability and chaos engineering technologies into our operational excellence framework.  
What you will do here:
Manage complex, high\-impact availability and operational excellence initiatives spanning multiple teams. Balance competing priorities while maintaining focus on system reliability, operational health, and measurable availability outcomes.  
Transform operational incidents, availability gaps, and reliability concerns into prioritized technical specifications by partnering with engineering and operations teams to identify high\-impact reliability requirements.  
Help teams distinguish between tactical incident fixes and strategic availability solutions, consolidating related operational needs into cohesive reliability improvement projects with clear business value and customer impact.  
Quantify operational and availability impact of proposed solutions by establishing and tracking key reliability metrics including uptime SLAs, MTTR (Mean Time To Recovery), MTBF (Mean Time Between Failures), error rates, and customer\-impacting incidents that demonstrate business value and justify engineering resources.  
Develop comprehensive measurement frameworks that track improvements in system availability, operational efficiency, incident reduction, and service reliability. Establish baseline metrics and drive continuous improvement through data\-driven decision making.  
Establish clear timelines with measurable milestones for availability improvements, operational runbook development, monitoring enhancements, and incident response optimization that align with business SLA commitments.  
Track cross\-team commitments for operational readiness, document action items from incident reviews and COE (Correction of Error) investigations, and provide concise status updates to leadership that highlight availability trends, operational risks, mitigation strategies, and progress toward reliability goals.  
Drive operational excellence practices including blameless post\-mortems, proactive monitoring and alarming strategies, capacity planning, and disaster recovery preparedness across engineering teams.  
What you will get from us:
A great team to work with and the chance to build a top tier services at a proven top tier company. You will get a startup like culture with the stability of an established industry leader. You will get support and resources from some of the smartest people in the industry to continue learning.  
Key job responsibilities  
1\. Define, design, and implement multi\-tier distributed services and customer experiences  
2\. Be involved in designing, implementing, and testing of major features  
3\. Estimate engineering effort, plan implementation, and rollout system changes that meet requirements for functionality, performance, scalability, reliability, and adherence to development goals and principles.  
4\. Effectively collaborate in a fast\-paced environment with multiple teams in large organization (software development, QA, Project/Release Management, Build and Release, etc).  
A day in the life  
* Interact with leaders from product and/or other partner tech teams and stakeholders for conceptualizing, scoping and/or planning delivery.
* Assist with project planning, task break\-down, delivery and track status with your team
* Communicate delivery status to stakeholders
* Contribute to the vision, goals, and technical strategy in alignment with customer needs and market opportunities.
* Provide leadership on complex technical issues, design trade\-offs, and feature and schedule prioritization.
* Innovate on behalf of customer
About the team  
* We are a team who value diversity, respect, and inclusiveness. We love mentoring and helping each other grow.
* Our technology choices and designs are driven from the engineers, not handed down from above.
* We have a lot of say for what goes into our product. We get to pitch our ideas up the chain, not the other way around.
**BASIC QUALIFICATIONS**
------------------------
* 5\+ years of technical product or program management experience
* 3\+ years of software development experience
* 5\+ years of technical program management working directly with software engineering teams experience
* Experience managing programs across cross functional teams, building processes and coordinating release schedules
* Experience building and evaluating system\-level technical design
* Experience developing and executing/delivering product and technical roadmaps
**PREFERRED QUALIFICATIONS**
----------------------------
* 5\+ years of project management disciplines including scope, schedule, budget, quality, along with risk and critical path management experience
* Experience defining KPI's/SLA's used to drive multi\-million dollar businesses and reporting to senior leadership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\- 148,700\.00 \- 201,200\.00 USD annually</t>
        </is>
      </c>
    </row>
    <row r="26">
      <c r="A26" t="inlineStr">
        <is>
          <t>in-5accf42d1efefd6c</t>
        </is>
      </c>
      <c r="B26" t="inlineStr">
        <is>
          <t>Sr. Technical Program Manager , Prime Video Sports Linear and News</t>
        </is>
      </c>
      <c r="C26" t="inlineStr">
        <is>
          <t>Amazon.com</t>
        </is>
      </c>
      <c r="D26" t="inlineStr">
        <is>
          <t>indeed</t>
        </is>
      </c>
      <c r="E26">
        <f>HYPERLINK("https://www.indeed.com/viewjob?jk=5accf42d1efefd6c", "https://www.indeed.com/viewjob?jk=5accf42d1efefd6c")</f>
        <v/>
      </c>
      <c r="F26">
        <f>HYPERLINK("https://www.amazon.jobs/jobs/3157902/sr-technical-program-manager--prime-video-sports-linear-and-news?cmpid=DA_INAD200785B", "https://www.amazon.jobs/jobs/3157902/sr-technical-program-manager--prime-video-sports-linear-and-news?cmpid=DA_INAD200785B")</f>
        <v/>
      </c>
      <c r="G26" t="inlineStr">
        <is>
          <t>Austin, TX, US</t>
        </is>
      </c>
      <c r="H26" s="2" t="n">
        <v>46030</v>
      </c>
      <c r="I26" t="inlineStr">
        <is>
          <t>**DESCRIPTION**
---------------
Love sports? Want to change the world? Prime Video is re\-inventing the live sports experience by merging high\-quality live streaming, immersive interactive features, and exclusive access to some of the world's most loved sports properties \- including the NFL, NBA, English Premier League and UEFA Champions League soccer, Rolland\-Garros (French Open), the US Open and more. Every day we face the challenges of a fast\-paced market and expanding technology set. And we're building at a scale only Amazon is capable of. The Prime Video Sports team is a single\-threaded\-owner, uniquely positioned to execute our vision across the entire Prime Video stack to deliver the most compelling new experiences to our customers. If this sounds like the type of experience you'd like to help build \- apply here and let's chat!  
Who we are:  
We are deeply connected with the idea that live sports events are fundamentally different: there is only one shot at delivering the moment until it is forever lost. Our mission is to make sure that our customers never miss a single moment of the sports they love. To do this we need to deliver best\-in\-class live sports infrastructure, testing, monitoring, and operations to optimize the delivery of live sports experiences at scale. Our team engineers for speed, quality, availability, and scale. As Prime Video has grown, we've increased the depth and breadth of video products we support, with a corresponding increase in the associated size and complexity of our engineering activity and the load on our services. Our goal is to adapt our architecture to maintain and improve our velocity of delivery for customers in the face of these changes, and for our services to be on and error\-free 24/7, especially for high\-profile, exclusive content. With AI as a transformative force, we're at an inflection point that enables us to unlock new opportunities in predictive analytics, automated defect analysis and mitigation, and automated operations that were previously beyond our reach.  
What we're looking for:  
We need a highly talented Senior Technical Program Manager to build resilient, highly available, and operationally excellent systems that power our vision. You'll anticipate availability risks, manage critical incidents and escalations, and balance business SLA commitments against technical constraints and operational trade\-offs.  
You must break down complex reliability initiatives into manageable operational improvements, develop comprehensive availability specifications, and deliver measurable enhancements to system uptime and operational health. We seek someone with a strong curiosity to build and nurture an operationally mature, reliability\-focused engineering culture—fostering proactive monitoring practices, blameless post\-mortem disciplines, and integrating emerging observability and chaos engineering technologies into our operational excellence framework.  
What you will do here:
Manage complex, high\-impact availability and operational excellence initiatives spanning multiple teams. Balance competing priorities while maintaining focus on system reliability, operational health, and measurable availability outcomes.  
Transform operational incidents, availability gaps, and reliability concerns into prioritized technical specifications by partnering with engineering and operations teams to identify high\-impact reliability requirements.  
Help teams distinguish between tactical incident fixes and strategic availability solutions, consolidating related operational needs into cohesive reliability improvement projects with clear business value and customer impact.  
Quantify operational and availability impact of proposed solutions by establishing and tracking key reliability metrics including uptime SLAs, MTTR (Mean Time To Recovery), MTBF (Mean Time Between Failures), error rates, and customer\-impacting incidents that demonstrate business value and justify engineering resources.  
Develop comprehensive measurement frameworks that track improvements in system availability, operational efficiency, incident reduction, and service reliability. Establish baseline metrics and drive continuous improvement through data\-driven decision making.  
Establish clear timelines with measurable milestones for availability improvements, operational runbook development, monitoring enhancements, and incident response optimization that align with business SLA commitments.  
Track cross\-team commitments for operational readiness, document action items from incident reviews and COE (Correction of Error) investigations, and provide concise status updates to leadership that highlight availability trends, operational risks, mitigation strategies, and progress toward reliability goals.  
Drive operational excellence practices including blameless post\-mortems, proactive monitoring and alarming strategies, capacity planning, and disaster recovery preparedness across engineering teams.  
What you will get from us:
A great team to work with and the chance to build a top tier services at a proven top tier company. You will get a startup like culture with the stability of an established industry leader. You will get support and resources from some of the smartest people in the industry to continue learning.  
Key job responsibilities  
1\. Define, design, and implement multi\-tier distributed services and customer experiences  
2\. Be involved in designing, implementing, and testing of major features  
3\. Estimate engineering effort, plan implementation, and rollout system changes that meet requirements for functionality, performance, scalability, reliability, and adherence to development goals and principles.  
4\. Effectively collaborate in a fast\-paced environment with multiple teams in large organization (software development, QA, Project/Release Management, Build and Release, etc).  
A day in the life  
* Interact with leaders from product and/or other partner tech teams and stakeholders for conceptualizing, scoping and/or planning delivery.
* Assist with project planning, task break\-down, delivery and track status with your team
* Communicate delivery status to stakeholders
* Contribute to the vision, goals, and technical strategy in alignment with customer needs and market opportunities.
* Provide leadership on complex technical issues, design trade\-offs, and feature and schedule prioritization.
* Innovate on behalf of customer
About the team  
* We are a team who value diversity, respect, and inclusiveness. We love mentoring and helping each other grow.
* Our technology choices and designs are driven from the engineers, not handed down from above.
* We have a lot of say for what goes into our product. We get to pitch our ideas up the chain, not the other way around.
**BASIC QUALIFICATIONS**
------------------------
* 5\+ years of technical product or program management experience
* 3\+ years of software development experience
* 5\+ years of technical program management working directly with software engineering teams experience
* Experience managing programs across cross functional teams, building processes and coordinating release schedules
* Experience building and evaluating system\-level technical design
* Experience developing and executing/delivering product and technical roadmaps
**PREFERRED QUALIFICATIONS**
----------------------------
* 5\+ years of project management disciplines including scope, schedule, budget, quality, along with risk and critical path management experience
* Experience defining KPI's/SLA's used to drive multi\-million dollar businesses and reporting to senior leadership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\- 148,700\.00 \- 201,200\.00 USD annually</t>
        </is>
      </c>
    </row>
    <row r="27">
      <c r="A27" t="inlineStr">
        <is>
          <t>in-5dc8c8649c440377</t>
        </is>
      </c>
      <c r="B27" t="inlineStr">
        <is>
          <t>Sr. Technical Program Manager , Prime Video Sports Linear and News</t>
        </is>
      </c>
      <c r="C27" t="inlineStr">
        <is>
          <t>Amazon.com</t>
        </is>
      </c>
      <c r="D27" t="inlineStr">
        <is>
          <t>indeed</t>
        </is>
      </c>
      <c r="E27">
        <f>HYPERLINK("https://www.indeed.com/viewjob?jk=5dc8c8649c440377", "https://www.indeed.com/viewjob?jk=5dc8c8649c440377")</f>
        <v/>
      </c>
      <c r="F27">
        <f>HYPERLINK("https://www.amazon.jobs/jobs/3157902/sr-technical-program-manager--prime-video-sports-linear-and-news?cmpid=DA_INAD200785B", "https://www.amazon.jobs/jobs/3157902/sr-technical-program-manager--prime-video-sports-linear-and-news?cmpid=DA_INAD200785B")</f>
        <v/>
      </c>
      <c r="G27" t="inlineStr">
        <is>
          <t>Seattle, WA, US</t>
        </is>
      </c>
      <c r="H27" s="2" t="n">
        <v>46030</v>
      </c>
      <c r="I27" t="inlineStr">
        <is>
          <t>**DESCRIPTION**
---------------
Love sports? Want to change the world? Prime Video is re\-inventing the live sports experience by merging high\-quality live streaming, immersive interactive features, and exclusive access to some of the world's most loved sports properties \- including the NFL, NBA, English Premier League and UEFA Champions League soccer, Rolland\-Garros (French Open), the US Open and more. Every day we face the challenges of a fast\-paced market and expanding technology set. And we're building at a scale only Amazon is capable of. The Prime Video Sports team is a single\-threaded\-owner, uniquely positioned to execute our vision across the entire Prime Video stack to deliver the most compelling new experiences to our customers. If this sounds like the type of experience you'd like to help build \- apply here and let's chat!  
Who we are:  
We are deeply connected with the idea that live sports events are fundamentally different: there is only one shot at delivering the moment until it is forever lost. Our mission is to make sure that our customers never miss a single moment of the sports they love. To do this we need to deliver best\-in\-class live sports infrastructure, testing, monitoring, and operations to optimize the delivery of live sports experiences at scale. Our team engineers for speed, quality, availability, and scale. As Prime Video has grown, we've increased the depth and breadth of video products we support, with a corresponding increase in the associated size and complexity of our engineering activity and the load on our services. Our goal is to adapt our architecture to maintain and improve our velocity of delivery for customers in the face of these changes, and for our services to be on and error\-free 24/7, especially for high\-profile, exclusive content. With AI as a transformative force, we're at an inflection point that enables us to unlock new opportunities in predictive analytics, automated defect analysis and mitigation, and automated operations that were previously beyond our reach.  
What we're looking for:  
We need a highly talented Senior Technical Program Manager to build resilient, highly available, and operationally excellent systems that power our vision. You'll anticipate availability risks, manage critical incidents and escalations, and balance business SLA commitments against technical constraints and operational trade\-offs.  
You must break down complex reliability initiatives into manageable operational improvements, develop comprehensive availability specifications, and deliver measurable enhancements to system uptime and operational health. We seek someone with a strong curiosity to build and nurture an operationally mature, reliability\-focused engineering culture—fostering proactive monitoring practices, blameless post\-mortem disciplines, and integrating emerging observability and chaos engineering technologies into our operational excellence framework.  
What you will do here:
Manage complex, high\-impact availability and operational excellence initiatives spanning multiple teams. Balance competing priorities while maintaining focus on system reliability, operational health, and measurable availability outcomes.  
Transform operational incidents, availability gaps, and reliability concerns into prioritized technical specifications by partnering with engineering and operations teams to identify high\-impact reliability requirements.  
Help teams distinguish between tactical incident fixes and strategic availability solutions, consolidating related operational needs into cohesive reliability improvement projects with clear business value and customer impact.  
Quantify operational and availability impact of proposed solutions by establishing and tracking key reliability metrics including uptime SLAs, MTTR (Mean Time To Recovery), MTBF (Mean Time Between Failures), error rates, and customer\-impacting incidents that demonstrate business value and justify engineering resources.  
Develop comprehensive measurement frameworks that track improvements in system availability, operational efficiency, incident reduction, and service reliability. Establish baseline metrics and drive continuous improvement through data\-driven decision making.  
Establish clear timelines with measurable milestones for availability improvements, operational runbook development, monitoring enhancements, and incident response optimization that align with business SLA commitments.  
Track cross\-team commitments for operational readiness, document action items from incident reviews and COE (Correction of Error) investigations, and provide concise status updates to leadership that highlight availability trends, operational risks, mitigation strategies, and progress toward reliability goals.  
Drive operational excellence practices including blameless post\-mortems, proactive monitoring and alarming strategies, capacity planning, and disaster recovery preparedness across engineering teams.  
What you will get from us:
A great team to work with and the chance to build a top tier services at a proven top tier company. You will get a startup like culture with the stability of an established industry leader. You will get support and resources from some of the smartest people in the industry to continue learning.  
Key job responsibilities  
1\. Define, design, and implement multi\-tier distributed services and customer experiences  
2\. Be involved in designing, implementing, and testing of major features  
3\. Estimate engineering effort, plan implementation, and rollout system changes that meet requirements for functionality, performance, scalability, reliability, and adherence to development goals and principles.  
4\. Effectively collaborate in a fast\-paced environment with multiple teams in large organization (software development, QA, Project/Release Management, Build and Release, etc).  
A day in the life  
* Interact with leaders from product and/or other partner tech teams and stakeholders for conceptualizing, scoping and/or planning delivery.
* Assist with project planning, task break\-down, delivery and track status with your team
* Communicate delivery status to stakeholders
* Contribute to the vision, goals, and technical strategy in alignment with customer needs and market opportunities.
* Provide leadership on complex technical issues, design trade\-offs, and feature and schedule prioritization.
* Innovate on behalf of customer
About the team  
* We are a team who value diversity, respect, and inclusiveness. We love mentoring and helping each other grow.
* Our technology choices and designs are driven from the engineers, not handed down from above.
* We have a lot of say for what goes into our product. We get to pitch our ideas up the chain, not the other way around.
**BASIC QUALIFICATIONS**
------------------------
* 5\+ years of technical product or program management experience
* 3\+ years of software development experience
* 5\+ years of technical program management working directly with software engineering teams experience
* Experience managing programs across cross functional teams, building processes and coordinating release schedules
* Experience building and evaluating system\-level technical design
* Experience developing and executing/delivering product and technical roadmaps
**PREFERRED QUALIFICATIONS**
----------------------------
* 5\+ years of project management disciplines including scope, schedule, budget, quality, along with risk and critical path management experience
* Experience defining KPI's/SLA's used to drive multi\-million dollar businesses and reporting to senior leadership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\- 148,700\.00 \- 201,200\.00 USD annually</t>
        </is>
      </c>
    </row>
    <row r="28">
      <c r="A28" t="inlineStr">
        <is>
          <t>in-175cafaa2bac7f94</t>
        </is>
      </c>
      <c r="B28" t="inlineStr">
        <is>
          <t>Sr. Technical Program Manager , Prime Video Sports Linear and News</t>
        </is>
      </c>
      <c r="C28" t="inlineStr">
        <is>
          <t>Amazon.com</t>
        </is>
      </c>
      <c r="D28" t="inlineStr">
        <is>
          <t>indeed</t>
        </is>
      </c>
      <c r="E28">
        <f>HYPERLINK("https://www.indeed.com/viewjob?jk=175cafaa2bac7f94", "https://www.indeed.com/viewjob?jk=175cafaa2bac7f94")</f>
        <v/>
      </c>
      <c r="F28">
        <f>HYPERLINK("https://www.amazon.jobs/jobs/3157902/sr-technical-program-manager--prime-video-sports-linear-and-news?cmpid=DA_INAD200785B", "https://www.amazon.jobs/jobs/3157902/sr-technical-program-manager--prime-video-sports-linear-and-news?cmpid=DA_INAD200785B")</f>
        <v/>
      </c>
      <c r="G28" t="inlineStr">
        <is>
          <t>Culver City, CA, US</t>
        </is>
      </c>
      <c r="H28" s="2" t="n">
        <v>46030</v>
      </c>
      <c r="I28" t="inlineStr">
        <is>
          <t>**DESCRIPTION**
---------------
Love sports? Want to change the world? Prime Video is re\-inventing the live sports experience by merging high\-quality live streaming, immersive interactive features, and exclusive access to some of the world's most loved sports properties \- including the NFL, NBA, English Premier League and UEFA Champions League soccer, Rolland\-Garros (French Open), the US Open and more. Every day we face the challenges of a fast\-paced market and expanding technology set. And we're building at a scale only Amazon is capable of. The Prime Video Sports team is a single\-threaded\-owner, uniquely positioned to execute our vision across the entire Prime Video stack to deliver the most compelling new experiences to our customers. If this sounds like the type of experience you'd like to help build \- apply here and let's chat!  
Who we are:  
We are deeply connected with the idea that live sports events are fundamentally different: there is only one shot at delivering the moment until it is forever lost. Our mission is to make sure that our customers never miss a single moment of the sports they love. To do this we need to deliver best\-in\-class live sports infrastructure, testing, monitoring, and operations to optimize the delivery of live sports experiences at scale. Our team engineers for speed, quality, availability, and scale. As Prime Video has grown, we've increased the depth and breadth of video products we support, with a corresponding increase in the associated size and complexity of our engineering activity and the load on our services. Our goal is to adapt our architecture to maintain and improve our velocity of delivery for customers in the face of these changes, and for our services to be on and error\-free 24/7, especially for high\-profile, exclusive content. With AI as a transformative force, we're at an inflection point that enables us to unlock new opportunities in predictive analytics, automated defect analysis and mitigation, and automated operations that were previously beyond our reach.  
What we're looking for:  
We need a highly talented Senior Technical Program Manager to build resilient, highly available, and operationally excellent systems that power our vision. You'll anticipate availability risks, manage critical incidents and escalations, and balance business SLA commitments against technical constraints and operational trade\-offs.  
You must break down complex reliability initiatives into manageable operational improvements, develop comprehensive availability specifications, and deliver measurable enhancements to system uptime and operational health. We seek someone with a strong curiosity to build and nurture an operationally mature, reliability\-focused engineering culture—fostering proactive monitoring practices, blameless post\-mortem disciplines, and integrating emerging observability and chaos engineering technologies into our operational excellence framework.  
What you will do here:
Manage complex, high\-impact availability and operational excellence initiatives spanning multiple teams. Balance competing priorities while maintaining focus on system reliability, operational health, and measurable availability outcomes.  
Transform operational incidents, availability gaps, and reliability concerns into prioritized technical specifications by partnering with engineering and operations teams to identify high\-impact reliability requirements.  
Help teams distinguish between tactical incident fixes and strategic availability solutions, consolidating related operational needs into cohesive reliability improvement projects with clear business value and customer impact.  
Quantify operational and availability impact of proposed solutions by establishing and tracking key reliability metrics including uptime SLAs, MTTR (Mean Time To Recovery), MTBF (Mean Time Between Failures), error rates, and customer\-impacting incidents that demonstrate business value and justify engineering resources.  
Develop comprehensive measurement frameworks that track improvements in system availability, operational efficiency, incident reduction, and service reliability. Establish baseline metrics and drive continuous improvement through data\-driven decision making.  
Establish clear timelines with measurable milestones for availability improvements, operational runbook development, monitoring enhancements, and incident response optimization that align with business SLA commitments.  
Track cross\-team commitments for operational readiness, document action items from incident reviews and COE (Correction of Error) investigations, and provide concise status updates to leadership that highlight availability trends, operational risks, mitigation strategies, and progress toward reliability goals.  
Drive operational excellence practices including blameless post\-mortems, proactive monitoring and alarming strategies, capacity planning, and disaster recovery preparedness across engineering teams.  
What you will get from us:
A great team to work with and the chance to build a top tier services at a proven top tier company. You will get a startup like culture with the stability of an established industry leader. You will get support and resources from some of the smartest people in the industry to continue learning.  
Key job responsibilities  
1\. Define, design, and implement multi\-tier distributed services and customer experiences  
2\. Be involved in designing, implementing, and testing of major features  
3\. Estimate engineering effort, plan implementation, and rollout system changes that meet requirements for functionality, performance, scalability, reliability, and adherence to development goals and principles.  
4\. Effectively collaborate in a fast\-paced environment with multiple teams in large organization (software development, QA, Project/Release Management, Build and Release, etc).  
A day in the life  
* Interact with leaders from product and/or other partner tech teams and stakeholders for conceptualizing, scoping and/or planning delivery.
* Assist with project planning, task break\-down, delivery and track status with your team
* Communicate delivery status to stakeholders
* Contribute to the vision, goals, and technical strategy in alignment with customer needs and market opportunities.
* Provide leadership on complex technical issues, design trade\-offs, and feature and schedule prioritization.
* Innovate on behalf of customer
About the team  
* We are a team who value diversity, respect, and inclusiveness. We love mentoring and helping each other grow.
* Our technology choices and designs are driven from the engineers, not handed down from above.
* We have a lot of say for what goes into our product. We get to pitch our ideas up the chain, not the other way around.
**BASIC QUALIFICATIONS**
------------------------
* 5\+ years of technical product or program management experience
* 3\+ years of software development experience
* 5\+ years of technical program management working directly with software engineering teams experience
* Experience managing programs across cross functional teams, building processes and coordinating release schedules
* Experience building and evaluating system\-level technical design
* Experience developing and executing/delivering product and technical roadmaps
**PREFERRED QUALIFICATIONS**
----------------------------
* 5\+ years of project management disciplines including scope, schedule, budget, quality, along with risk and critical path management experience
* Experience defining KPI's/SLA's used to drive multi\-million dollar businesses and reporting to senior leadership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\- 148,700\.00 \- 201,200\.00 USD annually</t>
        </is>
      </c>
    </row>
    <row r="29">
      <c r="A29" t="inlineStr">
        <is>
          <t>in-6a2a62cf8c4a1d28</t>
        </is>
      </c>
      <c r="B29" t="inlineStr">
        <is>
          <t>Sr Technical Program Manager, AWS Marketing Technology, AI and Analytics</t>
        </is>
      </c>
      <c r="C29" t="inlineStr">
        <is>
          <t>Amazon Web Services</t>
        </is>
      </c>
      <c r="D29" t="inlineStr">
        <is>
          <t>indeed</t>
        </is>
      </c>
      <c r="E29">
        <f>HYPERLINK("https://www.indeed.com/viewjob?jk=6a2a62cf8c4a1d28", "https://www.indeed.com/viewjob?jk=6a2a62cf8c4a1d28")</f>
        <v/>
      </c>
      <c r="F29">
        <f>HYPERLINK("https://www.amazon.jobs/jobs/3154453/sr-technical-program-manager-aws-marketing-technology-ai-and-analytics?cmpid=DA_INAD200785B", "https://www.amazon.jobs/jobs/3154453/sr-technical-program-manager-aws-marketing-technology-ai-and-analytics?cmpid=DA_INAD200785B")</f>
        <v/>
      </c>
      <c r="G29" t="inlineStr">
        <is>
          <t>New York, NY, US</t>
        </is>
      </c>
      <c r="H29" s="2" t="n">
        <v>46009</v>
      </c>
      <c r="I29" t="inlineStr">
        <is>
          <t>**DESCRIPTION**
---------------
The Technology, AI, and Analytics (TAA) team within AWS Marketing is responsible for powering our vision to become the best B2B marketing organization by using technology to improve customer and marketer experience. We are looking for an experienced Senior Technical Program Manager (TPM) to lead cross\-functional technical programs that deliver significant business impact for AWS customers and marketers. In this role, you will drive large\-scale initiatives across multiple teams, influence senior leadership, and help define both business strategies and goals for those strategic initiatives. You will also play a key role in defining the technical direction of critical technology that AWS Marketing teams deliver. The role demands strong program and stakeholder management expertise to coordinate multiple workstreams. It also requires both domain expertise in marketing technologies and strong technical depth to balance immediate activation needs and long\-term architectural decisions.
Key job responsibilities  
Owns and manages the lifecycle of large high impact cross\-functional technology initiatives across multiple teams and organizations. Work is strategic and tactical.
Develop comprehensive program plans with clear milestones, goals, dependencies, critical paths, and risk mitigation strategies
Help define, align and map customer needs and business strategies for product and technology decisions.
Drive technical decision\-making processes and help Resolve technical architectural or engineering ambiguity
resolve cross\-team dependencies and conflicts
Communicate program status, risks, and mitigation plans to senior leadership and stakeholders
Influence product strategy and roadmaps based on technical constraints and opportunities
Partner with engineering leaders to define technical solutions that meet business requirements
Identify and remove obstacles to program execution through creative problem\-solving
Lead post\-mortems and drive continuous improvement initiatives
**BASIC QUALIFICATIONS**
------------------------
* 6\+ years of technical program management working directly with software engineering teams experience
* Bachelor's degree in engineering, computer science or equivalent
* Experience in project management disciplines including scope, schedule, budget, quality, along with risk and critical path management
* Experience managing technical programs across cross\-functional teams, building processes and coordinating release schedules
* Experience leading highly technical programs involving infrastructure, complex systems, systems engineering
**PREFERRED QUALIFICATIONS**
----------------------------
* Experience defining KPI's/SLA's used to drive multi\-million dollar businesses and reporting to senior leadership
* Knowledge of Marketing Technologies and Strategies (ABM, Personalization, Customer Journeys, Campaign Management, and others)
* Experience with cloud computing platforms, distributed systems, and AI
* Experience with Agile, Scrum, and other software development methodologies. Project Management Professional (PMP) or similar certification
* Master’s degree in Computer Science, Engineering, or MBA
* Experience using metrics to drive program improvements leveraging strong data analysis skills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\- 148,700\.00 \- 201,200\.00 USD annually</t>
        </is>
      </c>
    </row>
    <row r="30">
      <c r="A30" t="inlineStr">
        <is>
          <t>in-4b54de7d5816de29</t>
        </is>
      </c>
      <c r="B30" t="inlineStr">
        <is>
          <t>Sr Technical Program Manager, AWS Marketing Technology, AI and Analytics</t>
        </is>
      </c>
      <c r="C30" t="inlineStr">
        <is>
          <t>Amazon Web Services</t>
        </is>
      </c>
      <c r="D30" t="inlineStr">
        <is>
          <t>indeed</t>
        </is>
      </c>
      <c r="E30">
        <f>HYPERLINK("https://www.indeed.com/viewjob?jk=4b54de7d5816de29", "https://www.indeed.com/viewjob?jk=4b54de7d5816de29")</f>
        <v/>
      </c>
      <c r="F30">
        <f>HYPERLINK("https://www.amazon.jobs/jobs/3154453/sr-technical-program-manager-aws-marketing-technology-ai-and-analytics?cmpid=DA_INAD200785B", "https://www.amazon.jobs/jobs/3154453/sr-technical-program-manager-aws-marketing-technology-ai-and-analytics?cmpid=DA_INAD200785B")</f>
        <v/>
      </c>
      <c r="G30" t="inlineStr">
        <is>
          <t>Austin, TX, US</t>
        </is>
      </c>
      <c r="H30" s="2" t="n">
        <v>46009</v>
      </c>
      <c r="I30" t="inlineStr">
        <is>
          <t>**DESCRIPTION**
---------------
The Technology, AI, and Analytics (TAA) team within AWS Marketing is responsible for powering our vision to become the best B2B marketing organization by using technology to improve customer and marketer experience. We are looking for an experienced Senior Technical Program Manager (TPM) to lead cross\-functional technical programs that deliver significant business impact for AWS customers and marketers. In this role, you will drive large\-scale initiatives across multiple teams, influence senior leadership, and help define both business strategies and goals for those strategic initiatives. You will also play a key role in defining the technical direction of critical technology that AWS Marketing teams deliver. The role demands strong program and stakeholder management expertise to coordinate multiple workstreams. It also requires both domain expertise in marketing technologies and strong technical depth to balance immediate activation needs and long\-term architectural decisions.
Key job responsibilities  
Owns and manages the lifecycle of large high impact cross\-functional technology initiatives across multiple teams and organizations. Work is strategic and tactical.
Develop comprehensive program plans with clear milestones, goals, dependencies, critical paths, and risk mitigation strategies
Help define, align and map customer needs and business strategies for product and technology decisions.
Drive technical decision\-making processes and help Resolve technical architectural or engineering ambiguity
resolve cross\-team dependencies and conflicts
Communicate program status, risks, and mitigation plans to senior leadership and stakeholders
Influence product strategy and roadmaps based on technical constraints and opportunities
Partner with engineering leaders to define technical solutions that meet business requirements
Identify and remove obstacles to program execution through creative problem\-solving
Lead post\-mortems and drive continuous improvement initiatives
**BASIC QUALIFICATIONS**
------------------------
* 6\+ years of technical program management working directly with software engineering teams experience
* Bachelor's degree in engineering, computer science or equivalent
* Experience in project management disciplines including scope, schedule, budget, quality, along with risk and critical path management
* Experience managing technical programs across cross\-functional teams, building processes and coordinating release schedules
* Experience leading highly technical programs involving infrastructure, complex systems, systems engineering
**PREFERRED QUALIFICATIONS**
----------------------------
* Experience defining KPI's/SLA's used to drive multi\-million dollar businesses and reporting to senior leadership
* Knowledge of Marketing Technologies and Strategies (ABM, Personalization, Customer Journeys, Campaign Management, and others)
* Experience with cloud computing platforms, distributed systems, and AI
* Experience with Agile, Scrum, and other software development methodologies. Project Management Professional (PMP) or similar certification
* Master’s degree in Computer Science, Engineering, or MBA
* Experience using metrics to drive program improvements leveraging strong data analysis skills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\- 148,700\.00 \- 201,200\.00 USD annually</t>
        </is>
      </c>
    </row>
    <row r="31">
      <c r="A31" t="inlineStr">
        <is>
          <t>in-2ed5fb50b5ccd907</t>
        </is>
      </c>
      <c r="B31" t="inlineStr">
        <is>
          <t>Sr Technical Program Manager, AWS Marketing Technology, AI and Analytics</t>
        </is>
      </c>
      <c r="C31" t="inlineStr">
        <is>
          <t>Amazon Web Services</t>
        </is>
      </c>
      <c r="D31" t="inlineStr">
        <is>
          <t>indeed</t>
        </is>
      </c>
      <c r="E31">
        <f>HYPERLINK("https://www.indeed.com/viewjob?jk=2ed5fb50b5ccd907", "https://www.indeed.com/viewjob?jk=2ed5fb50b5ccd907")</f>
        <v/>
      </c>
      <c r="F31">
        <f>HYPERLINK("https://www.amazon.jobs/jobs/3154453/sr-technical-program-manager-aws-marketing-technology-ai-and-analytics?cmpid=DA_INAD200785B", "https://www.amazon.jobs/jobs/3154453/sr-technical-program-manager-aws-marketing-technology-ai-and-analytics?cmpid=DA_INAD200785B")</f>
        <v/>
      </c>
      <c r="G31" t="inlineStr">
        <is>
          <t>Seattle, WA, US</t>
        </is>
      </c>
      <c r="H31" s="2" t="n">
        <v>46009</v>
      </c>
      <c r="I31" t="inlineStr">
        <is>
          <t>**DESCRIPTION**
---------------
The Technology, AI, and Analytics (TAA) team within AWS Marketing is responsible for powering our vision to become the best B2B marketing organization by using technology to improve customer and marketer experience. We are looking for an experienced Senior Technical Program Manager (TPM) to lead cross\-functional technical programs that deliver significant business impact for AWS customers and marketers. In this role, you will drive large\-scale initiatives across multiple teams, influence senior leadership, and help define both business strategies and goals for those strategic initiatives. You will also play a key role in defining the technical direction of critical technology that AWS Marketing teams deliver. The role demands strong program and stakeholder management expertise to coordinate multiple workstreams. It also requires both domain expertise in marketing technologies and strong technical depth to balance immediate activation needs and long\-term architectural decisions.
Key job responsibilities  
Owns and manages the lifecycle of large high impact cross\-functional technology initiatives across multiple teams and organizations. Work is strategic and tactical.
Develop comprehensive program plans with clear milestones, goals, dependencies, critical paths, and risk mitigation strategies
Help define, align and map customer needs and business strategies for product and technology decisions.
Drive technical decision\-making processes and help Resolve technical architectural or engineering ambiguity
resolve cross\-team dependencies and conflicts
Communicate program status, risks, and mitigation plans to senior leadership and stakeholders
Influence product strategy and roadmaps based on technical constraints and opportunities
Partner with engineering leaders to define technical solutions that meet business requirements
Identify and remove obstacles to program execution through creative problem\-solving
Lead post\-mortems and drive continuous improvement initiatives
**BASIC QUALIFICATIONS**
------------------------
* 6\+ years of technical program management working directly with software engineering teams experience
* Bachelor's degree in engineering, computer science or equivalent
* Experience in project management disciplines including scope, schedule, budget, quality, along with risk and critical path management
* Experience managing technical programs across cross\-functional teams, building processes and coordinating release schedules
* Experience leading highly technical programs involving infrastructure, complex systems, systems engineering
**PREFERRED QUALIFICATIONS**
----------------------------
* Experience defining KPI's/SLA's used to drive multi\-million dollar businesses and reporting to senior leadership
* Knowledge of Marketing Technologies and Strategies (ABM, Personalization, Customer Journeys, Campaign Management, and others)
* Experience with cloud computing platforms, distributed systems, and AI
* Experience with Agile, Scrum, and other software development methodologies. Project Management Professional (PMP) or similar certification
* Master’s degree in Computer Science, Engineering, or MBA
* Experience using metrics to drive program improvements leveraging strong data analysis skills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\- 148,700\.00 \- 201,200\.00 USD annually</t>
        </is>
      </c>
    </row>
    <row r="32">
      <c r="A32" t="inlineStr">
        <is>
          <t>in-ee4500df0d2538ea</t>
        </is>
      </c>
      <c r="B32" t="inlineStr">
        <is>
          <t>Sr. Product Manager - Technical, CS Intelligence, AWS Specialist and Partner Organization</t>
        </is>
      </c>
      <c r="C32" t="inlineStr">
        <is>
          <t>Amazon Web Services</t>
        </is>
      </c>
      <c r="D32" t="inlineStr">
        <is>
          <t>indeed</t>
        </is>
      </c>
      <c r="E32">
        <f>HYPERLINK("https://www.indeed.com/viewjob?jk=ee4500df0d2538ea", "https://www.indeed.com/viewjob?jk=ee4500df0d2538ea")</f>
        <v/>
      </c>
      <c r="F32">
        <f>HYPERLINK("https://www.amazon.jobs/jobs/3157254/sr-product-manager--technical-cs-intelligence-aws-specialist-and-partner-organization?cmpid=DA_INAD200785B", "https://www.amazon.jobs/jobs/3157254/sr-product-manager--technical-cs-intelligence-aws-specialist-and-partner-organization?cmpid=DA_INAD200785B")</f>
        <v/>
      </c>
      <c r="G32" t="inlineStr">
        <is>
          <t>Seattle, WA, US</t>
        </is>
      </c>
      <c r="H32" s="2" t="n">
        <v>46002</v>
      </c>
      <c r="I32" t="inlineStr">
        <is>
          <t>**DESCRIPTION**
---------------
As a Senior Product Manager\-Technical on the Customer Success (CS) Intelligence team within the AWS Specialists \&amp; Partners (ASP) org, you will architect and drive the development of AWS' next\-generation CS intelligence stack and AI\-powered agents. This dual mandate encompasses building a unified data foundation that enables real\-time visibility into AWS service usage and customer value realization, while pioneering autonomous CS agents that proactively drive adoption and business outcomes for customers. You will transform AWS' post\-launch customer journey through intelligent automation, predictive insights, and scalable agent\-led workflows that set new standards for enterprise customer success.  
Working backwards from our vision of agent\-led customer success, you will collaborate with service teams across AWS, field \&amp; marketplace services engineering, data science, UX, and operations teams to create an integrated intelligence platform that combines customer telemetry, service analytics, and AI capabilities. This foundation will power a new class of CS agents that can autonomously monitor health, trigger interventions, and accelerate value realization across AWS' service portfolio. Your work will directly impact AWS' ability to systematically drive and measure customer success at scale.  
This position is part of the AWS Specialist and Partner Organization (ASP). Specialists own the end\-to\-end go\-to\-market strategy for their respective technology domains, providing the business and technical expertise to help our customers succeed. Partner teams own the strategy, recruiting, development, and growth of our key technology and consulting partners. Together they provide our customers with the expertise and scale needed to build innovative solutions for their most complex challenges.  
Key job responsibilities  
Strategy \&amp; Product Management:  
* Architect the vision and roadmap for AWS' unified CS intelligence stack, combining real\-time telemetry, predictive analytics, and autonomous agent capabilities
* Contribute to the product vision and roadmap for CS agents that support both direct and partner\-led customer success motions
* Design comprehensive agent systems that transform post\-launch customer journeys through intelligent automation and proactive intervention
* Define data architecture and governance frameworks that enable secure, scalable intelligence capabilities across AWS services
* Develop success metrics to measure agent effectiveness, learning, and business impact across direct and partner\-led engagements
Execution \&amp; Delivery:  
* Contribute to delivery of AI initiatives by writing clear Business Requirement Documents (BRDs), PRFAQs, user stories, and acceptance criteria
* Manage dependencies and unblock your team in a matrixed operating model by tracking dependencies, risks, and go/no\-go decisions to ensure timely feature releases
* Oversee post\-launch outcomes by conducting A/B experiments at scale, surfacing adoption gaps, and driving corrective measures
* Design and deploy feedback mechanisms that enable continuous learning and optimization across agent workflows
* Lead agent pilots and testing programs to validate effectiveness and scalability
Stakeholder Management \&amp; Communication:  
* Collaborate with engineering and other AWS teams to align on agent architecture and integration approach
* Drive alignment on integration approaches with existing AWS systems while maintaining enterprise\-grade security standards
* Conduct Voice of the Customer activities through interviews, focus groups, and surveys to capture field/account team/partner inputs and validate prototypes
* Communicate regularly on status \&amp; progress through written briefings, demos, and stakeholder reviews; help develop training materials and release notes to support adoption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
* 5\+ years of working with Data \&amp; AI related technologies, including, but not limited to, AI/ML, GenAI, Analytics, Database, and/or Storage experience
* Deep understanding of large language models, agent architectures, and modern AI/ML frameworks
* Proven track record designing and implementing data platforms that enable automated workflows
* Strong technical background in computer science, ML/AI, or related field
* Experience delivering complex technical initiatives in enterprise environments
**PREFERRED QUALIFICATIONS**
----------------------------
* Experience developing, deploying and managing AI products at scale
* Knowledge of AWS or cloud technologies
* Experience developing unified intelligence platforms that serve diverse stakeholders
* MBA or equivalent experience in technical product strategy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\- 173,900\.00 \- 235,200\.00 USD annually  
USA, CA, San Francisco \- 173,900\.00 \- 235,200\.00 USD annually  
USA, CA, Sunnyvale \- 173,900\.00 \- 235,200\.00 USD annually  
USA, WA, Seattle \- 151,200\.00 \- 204,600\.00 USD annually</t>
        </is>
      </c>
    </row>
    <row r="33">
      <c r="A33" t="inlineStr">
        <is>
          <t>in-e7d849f949696b58</t>
        </is>
      </c>
      <c r="B33" t="inlineStr">
        <is>
          <t>Sr. Product Manager - Technical, CS Intelligence, AWS Specialist and Partner Organization</t>
        </is>
      </c>
      <c r="C33" t="inlineStr">
        <is>
          <t>Amazon Web Services</t>
        </is>
      </c>
      <c r="D33" t="inlineStr">
        <is>
          <t>indeed</t>
        </is>
      </c>
      <c r="E33">
        <f>HYPERLINK("https://www.indeed.com/viewjob?jk=e7d849f949696b58", "https://www.indeed.com/viewjob?jk=e7d849f949696b58")</f>
        <v/>
      </c>
      <c r="F33">
        <f>HYPERLINK("https://www.amazon.jobs/jobs/3157254/sr-product-manager--technical-cs-intelligence-aws-specialist-and-partner-organization?cmpid=DA_INAD200785B", "https://www.amazon.jobs/jobs/3157254/sr-product-manager--technical-cs-intelligence-aws-specialist-and-partner-organization?cmpid=DA_INAD200785B")</f>
        <v/>
      </c>
      <c r="G33" t="inlineStr">
        <is>
          <t>San Francisco, CA, US</t>
        </is>
      </c>
      <c r="H33" s="2" t="n">
        <v>46002</v>
      </c>
      <c r="I33" t="inlineStr">
        <is>
          <t>**DESCRIPTION**
---------------
As a Senior Product Manager\-Technical on the Customer Success (CS) Intelligence team within the AWS Specialists \&amp; Partners (ASP) org, you will architect and drive the development of AWS' next\-generation CS intelligence stack and AI\-powered agents. This dual mandate encompasses building a unified data foundation that enables real\-time visibility into AWS service usage and customer value realization, while pioneering autonomous CS agents that proactively drive adoption and business outcomes for customers. You will transform AWS' post\-launch customer journey through intelligent automation, predictive insights, and scalable agent\-led workflows that set new standards for enterprise customer success.  
Working backwards from our vision of agent\-led customer success, you will collaborate with service teams across AWS, field \&amp; marketplace services engineering, data science, UX, and operations teams to create an integrated intelligence platform that combines customer telemetry, service analytics, and AI capabilities. This foundation will power a new class of CS agents that can autonomously monitor health, trigger interventions, and accelerate value realization across AWS' service portfolio. Your work will directly impact AWS' ability to systematically drive and measure customer success at scale.  
This position is part of the AWS Specialist and Partner Organization (ASP). Specialists own the end\-to\-end go\-to\-market strategy for their respective technology domains, providing the business and technical expertise to help our customers succeed. Partner teams own the strategy, recruiting, development, and growth of our key technology and consulting partners. Together they provide our customers with the expertise and scale needed to build innovative solutions for their most complex challenges.  
Key job responsibilities  
Strategy \&amp; Product Management:  
* Architect the vision and roadmap for AWS' unified CS intelligence stack, combining real\-time telemetry, predictive analytics, and autonomous agent capabilities
* Contribute to the product vision and roadmap for CS agents that support both direct and partner\-led customer success motions
* Design comprehensive agent systems that transform post\-launch customer journeys through intelligent automation and proactive intervention
* Define data architecture and governance frameworks that enable secure, scalable intelligence capabilities across AWS services
* Develop success metrics to measure agent effectiveness, learning, and business impact across direct and partner\-led engagements
Execution \&amp; Delivery:  
* Contribute to delivery of AI initiatives by writing clear Business Requirement Documents (BRDs), PRFAQs, user stories, and acceptance criteria
* Manage dependencies and unblock your team in a matrixed operating model by tracking dependencies, risks, and go/no\-go decisions to ensure timely feature releases
* Oversee post\-launch outcomes by conducting A/B experiments at scale, surfacing adoption gaps, and driving corrective measures
* Design and deploy feedback mechanisms that enable continuous learning and optimization across agent workflows
* Lead agent pilots and testing programs to validate effectiveness and scalability
Stakeholder Management \&amp; Communication:  
* Collaborate with engineering and other AWS teams to align on agent architecture and integration approach
* Drive alignment on integration approaches with existing AWS systems while maintaining enterprise\-grade security standards
* Conduct Voice of the Customer activities through interviews, focus groups, and surveys to capture field/account team/partner inputs and validate prototypes
* Communicate regularly on status \&amp; progress through written briefings, demos, and stakeholder reviews; help develop training materials and release notes to support adoption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
* 5\+ years of working with Data \&amp; AI related technologies, including, but not limited to, AI/ML, GenAI, Analytics, Database, and/or Storage experience
* Deep understanding of large language models, agent architectures, and modern AI/ML frameworks
* Proven track record designing and implementing data platforms that enable automated workflows
* Strong technical background in computer science, ML/AI, or related field
* Experience delivering complex technical initiatives in enterprise environments
**PREFERRED QUALIFICATIONS**
----------------------------
* Experience developing, deploying and managing AI products at scale
* Knowledge of AWS or cloud technologies
* Experience developing unified intelligence platforms that serve diverse stakeholders
* MBA or equivalent experience in technical product strategy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\- 173,900\.00 \- 235,200\.00 USD annually  
USA, CA, San Francisco \- 173,900\.00 \- 235,200\.00 USD annually  
USA, CA, Sunnyvale \- 173,900\.00 \- 235,200\.00 USD annually  
USA, WA, Seattle \- 151,200\.00 \- 204,600\.00 USD annually</t>
        </is>
      </c>
    </row>
    <row r="34">
      <c r="A34" t="inlineStr">
        <is>
          <t>in-f60e878a15cc9175</t>
        </is>
      </c>
      <c r="B34" t="inlineStr">
        <is>
          <t>Sr. Product Manager - Technical, CS Intelligence, AWS Specialist and Partner Organization</t>
        </is>
      </c>
      <c r="C34" t="inlineStr">
        <is>
          <t>Amazon Web Services</t>
        </is>
      </c>
      <c r="D34" t="inlineStr">
        <is>
          <t>indeed</t>
        </is>
      </c>
      <c r="E34">
        <f>HYPERLINK("https://www.indeed.com/viewjob?jk=f60e878a15cc9175", "https://www.indeed.com/viewjob?jk=f60e878a15cc9175")</f>
        <v/>
      </c>
      <c r="F34">
        <f>HYPERLINK("https://www.amazon.jobs/jobs/3157254/sr-product-manager--technical-cs-intelligence-aws-specialist-and-partner-organization?cmpid=DA_INAD200785B", "https://www.amazon.jobs/jobs/3157254/sr-product-manager--technical-cs-intelligence-aws-specialist-and-partner-organization?cmpid=DA_INAD200785B")</f>
        <v/>
      </c>
      <c r="G34" t="inlineStr">
        <is>
          <t>Mountain View, CA, US</t>
        </is>
      </c>
      <c r="H34" s="2" t="n">
        <v>46002</v>
      </c>
      <c r="I34" t="inlineStr">
        <is>
          <t>**DESCRIPTION**
---------------
As a Senior Product Manager\-Technical on the Customer Success (CS) Intelligence team within the AWS Specialists \&amp; Partners (ASP) org, you will architect and drive the development of AWS' next\-generation CS intelligence stack and AI\-powered agents. This dual mandate encompasses building a unified data foundation that enables real\-time visibility into AWS service usage and customer value realization, while pioneering autonomous CS agents that proactively drive adoption and business outcomes for customers. You will transform AWS' post\-launch customer journey through intelligent automation, predictive insights, and scalable agent\-led workflows that set new standards for enterprise customer success.  
Working backwards from our vision of agent\-led customer success, you will collaborate with service teams across AWS, field \&amp; marketplace services engineering, data science, UX, and operations teams to create an integrated intelligence platform that combines customer telemetry, service analytics, and AI capabilities. This foundation will power a new class of CS agents that can autonomously monitor health, trigger interventions, and accelerate value realization across AWS' service portfolio. Your work will directly impact AWS' ability to systematically drive and measure customer success at scale.  
This position is part of the AWS Specialist and Partner Organization (ASP). Specialists own the end\-to\-end go\-to\-market strategy for their respective technology domains, providing the business and technical expertise to help our customers succeed. Partner teams own the strategy, recruiting, development, and growth of our key technology and consulting partners. Together they provide our customers with the expertise and scale needed to build innovative solutions for their most complex challenges.  
Key job responsibilities  
Strategy \&amp; Product Management:  
* Architect the vision and roadmap for AWS' unified CS intelligence stack, combining real\-time telemetry, predictive analytics, and autonomous agent capabilities
* Contribute to the product vision and roadmap for CS agents that support both direct and partner\-led customer success motions
* Design comprehensive agent systems that transform post\-launch customer journeys through intelligent automation and proactive intervention
* Define data architecture and governance frameworks that enable secure, scalable intelligence capabilities across AWS services
* Develop success metrics to measure agent effectiveness, learning, and business impact across direct and partner\-led engagements
Execution \&amp; Delivery:  
* Contribute to delivery of AI initiatives by writing clear Business Requirement Documents (BRDs), PRFAQs, user stories, and acceptance criteria
* Manage dependencies and unblock your team in a matrixed operating model by tracking dependencies, risks, and go/no\-go decisions to ensure timely feature releases
* Oversee post\-launch outcomes by conducting A/B experiments at scale, surfacing adoption gaps, and driving corrective measures
* Design and deploy feedback mechanisms that enable continuous learning and optimization across agent workflows
* Lead agent pilots and testing programs to validate effectiveness and scalability
Stakeholder Management \&amp; Communication:  
* Collaborate with engineering and other AWS teams to align on agent architecture and integration approach
* Drive alignment on integration approaches with existing AWS systems while maintaining enterprise\-grade security standards
* Conduct Voice of the Customer activities through interviews, focus groups, and surveys to capture field/account team/partner inputs and validate prototypes
* Communicate regularly on status \&amp; progress through written briefings, demos, and stakeholder reviews; help develop training materials and release notes to support adoption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
* 5\+ years of working with Data \&amp; AI related technologies, including, but not limited to, AI/ML, GenAI, Analytics, Database, and/or Storage experience
* Deep understanding of large language models, agent architectures, and modern AI/ML frameworks
* Proven track record designing and implementing data platforms that enable automated workflows
* Strong technical background in computer science, ML/AI, or related field
* Experience delivering complex technical initiatives in enterprise environments
**PREFERRED QUALIFICATIONS**
----------------------------
* Experience developing, deploying and managing AI products at scale
* Knowledge of AWS or cloud technologies
* Experience developing unified intelligence platforms that serve diverse stakeholders
* MBA or equivalent experience in technical product strategy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\- 173,900\.00 \- 235,200\.00 USD annually  
USA, CA, San Francisco \- 173,900\.00 \- 235,200\.00 USD annually  
USA, CA, Sunnyvale \- 173,900\.00 \- 235,200\.00 USD annually  
USA, WA, Seattle \- 151,200\.00 \- 204,600\.00 USD annually</t>
        </is>
      </c>
    </row>
    <row r="35">
      <c r="A35" t="inlineStr">
        <is>
          <t>in-b6bc20db7cb98f9e</t>
        </is>
      </c>
      <c r="B35" t="inlineStr">
        <is>
          <t>Sr. Product Manager - Technical, CS Intelligence, AWS Specialist and Partner Organization</t>
        </is>
      </c>
      <c r="C35" t="inlineStr">
        <is>
          <t>Amazon Web Services</t>
        </is>
      </c>
      <c r="D35" t="inlineStr">
        <is>
          <t>indeed</t>
        </is>
      </c>
      <c r="E35">
        <f>HYPERLINK("https://www.indeed.com/viewjob?jk=b6bc20db7cb98f9e", "https://www.indeed.com/viewjob?jk=b6bc20db7cb98f9e")</f>
        <v/>
      </c>
      <c r="F35">
        <f>HYPERLINK("https://www.amazon.jobs/jobs/3157254/sr-product-manager--technical-cs-intelligence-aws-specialist-and-partner-organization?cmpid=DA_INAD200785B", "https://www.amazon.jobs/jobs/3157254/sr-product-manager--technical-cs-intelligence-aws-specialist-and-partner-organization?cmpid=DA_INAD200785B")</f>
        <v/>
      </c>
      <c r="G35" t="inlineStr">
        <is>
          <t>Sunnyvale, CA, US</t>
        </is>
      </c>
      <c r="H35" s="2" t="n">
        <v>46002</v>
      </c>
      <c r="I35" t="inlineStr">
        <is>
          <t>**DESCRIPTION**
---------------
As a Senior Product Manager\-Technical on the Customer Success (CS) Intelligence team within the AWS Specialists \&amp; Partners (ASP) org, you will architect and drive the development of AWS' next\-generation CS intelligence stack and AI\-powered agents. This dual mandate encompasses building a unified data foundation that enables real\-time visibility into AWS service usage and customer value realization, while pioneering autonomous CS agents that proactively drive adoption and business outcomes for customers. You will transform AWS' post\-launch customer journey through intelligent automation, predictive insights, and scalable agent\-led workflows that set new standards for enterprise customer success.  
Working backwards from our vision of agent\-led customer success, you will collaborate with service teams across AWS, field \&amp; marketplace services engineering, data science, UX, and operations teams to create an integrated intelligence platform that combines customer telemetry, service analytics, and AI capabilities. This foundation will power a new class of CS agents that can autonomously monitor health, trigger interventions, and accelerate value realization across AWS' service portfolio. Your work will directly impact AWS' ability to systematically drive and measure customer success at scale.  
This position is part of the AWS Specialist and Partner Organization (ASP). Specialists own the end\-to\-end go\-to\-market strategy for their respective technology domains, providing the business and technical expertise to help our customers succeed. Partner teams own the strategy, recruiting, development, and growth of our key technology and consulting partners. Together they provide our customers with the expertise and scale needed to build innovative solutions for their most complex challenges.  
Key job responsibilities  
Strategy \&amp; Product Management:  
* Architect the vision and roadmap for AWS' unified CS intelligence stack, combining real\-time telemetry, predictive analytics, and autonomous agent capabilities
* Contribute to the product vision and roadmap for CS agents that support both direct and partner\-led customer success motions
* Design comprehensive agent systems that transform post\-launch customer journeys through intelligent automation and proactive intervention
* Define data architecture and governance frameworks that enable secure, scalable intelligence capabilities across AWS services
* Develop success metrics to measure agent effectiveness, learning, and business impact across direct and partner\-led engagements
Execution \&amp; Delivery:  
* Contribute to delivery of AI initiatives by writing clear Business Requirement Documents (BRDs), PRFAQs, user stories, and acceptance criteria
* Manage dependencies and unblock your team in a matrixed operating model by tracking dependencies, risks, and go/no\-go decisions to ensure timely feature releases
* Oversee post\-launch outcomes by conducting A/B experiments at scale, surfacing adoption gaps, and driving corrective measures
* Design and deploy feedback mechanisms that enable continuous learning and optimization across agent workflows
* Lead agent pilots and testing programs to validate effectiveness and scalability
Stakeholder Management \&amp; Communication:  
* Collaborate with engineering and other AWS teams to align on agent architecture and integration approach
* Drive alignment on integration approaches with existing AWS systems while maintaining enterprise\-grade security standards
* Conduct Voice of the Customer activities through interviews, focus groups, and surveys to capture field/account team/partner inputs and validate prototypes
* Communicate regularly on status \&amp; progress through written briefings, demos, and stakeholder reviews; help develop training materials and release notes to support adoption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
* 5\+ years of working with Data \&amp; AI related technologies, including, but not limited to, AI/ML, GenAI, Analytics, Database, and/or Storage experience
* Deep understanding of large language models, agent architectures, and modern AI/ML frameworks
* Proven track record designing and implementing data platforms that enable automated workflows
* Strong technical background in computer science, ML/AI, or related field
* Experience delivering complex technical initiatives in enterprise environments
**PREFERRED QUALIFICATIONS**
----------------------------
* Experience developing, deploying and managing AI products at scale
* Knowledge of AWS or cloud technologies
* Experience developing unified intelligence platforms that serve diverse stakeholders
* MBA or equivalent experience in technical product strategy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\- 173,900\.00 \- 235,200\.00 USD annually  
USA, CA, San Francisco \- 173,900\.00 \- 235,200\.00 USD annually  
USA, CA, Sunnyvale \- 173,900\.00 \- 235,200\.00 USD annually  
USA, WA, Seattle \- 151,200\.00 \- 204,600\.00 USD annually</t>
        </is>
      </c>
    </row>
    <row r="36">
      <c r="A36" t="inlineStr">
        <is>
          <t>in-83795fd97f3d5bb8</t>
        </is>
      </c>
      <c r="B36" t="inlineStr">
        <is>
          <t>Global Signage &amp; Wayfinding Designer Program Manager, Workplace Design &amp; Construction (WD&amp;C)</t>
        </is>
      </c>
      <c r="C36" t="inlineStr">
        <is>
          <t>Amazon.com</t>
        </is>
      </c>
      <c r="D36" t="inlineStr">
        <is>
          <t>indeed</t>
        </is>
      </c>
      <c r="E36">
        <f>HYPERLINK("https://www.indeed.com/viewjob?jk=83795fd97f3d5bb8", "https://www.indeed.com/viewjob?jk=83795fd97f3d5bb8")</f>
        <v/>
      </c>
      <c r="F36">
        <f>HYPERLINK("https://www.amazon.jobs/jobs/3139013/global-signage--wayfinding-designer-program-manager-workplace-design--construction-wdc?cmpid=DA_INAD200785B", "https://www.amazon.jobs/jobs/3139013/global-signage--wayfinding-designer-program-manager-workplace-design--construction-wdc?cmpid=DA_INAD200785B")</f>
        <v/>
      </c>
      <c r="G36" t="inlineStr">
        <is>
          <t>Seattle, WA, US</t>
        </is>
      </c>
      <c r="H36" s="2" t="n">
        <v>45998</v>
      </c>
      <c r="I36" t="inlineStr">
        <is>
          <t>**DESCRIPTION**
---------------
The Global Design team is looking for a creative, innovative, results\-oriented designer with experience leading the design of Signage and Wayfinding systems for corporate workplace. This role will be based in Arlington, VA, and will be responsible for supporting the Global Design Team, reporting to the Senior Manager, Global Design. This role will support the Design teams across 3 global regions (AMER, EMEA and APAC) and will work closely with the Design \&amp; Construction (D\&amp;C) team, the Workplace Guidelines \&amp; Standards team and the Regional Portfolio Managers (RPM) team.  
This role will be responsible for managing, updating and evolving the Signage and Wayfinding Design System for Corporate Workplace, including the development of new elements as needed to ensure standardization. The Signage and Wayfinding Designer will work to leverage the system as it’s been designed, and evolve it as\-needed for regional or new requirements in a way that ensures high\-quality deliverables and on\-time delivery. Over time, this role should gain familiarity with Amazon’s Global corporate workplace portfolio in order to ensure that the elements of the signage and wayfinding system are applicable regionally. This role will also work with the Workplace Guidelines \&amp; Standards team, and the Design \&amp; Construction Delivery teams, though the role is not responsible for updating the Guidelines \&amp;Standards, nor for Delivery of the final signage elements.  
The successful candidate has experience in design of signage and wayfinding for corporate workplace – including education and experience in design of signage and wayfinding system, deep knowledge of industry benchmarks, and the ability to evaluate potential solutions on the basis of aesthetic and budget specific knowledge. The successful candidate will be able to communicate clearly about the design of the signage and wayfinding system at all levels, and yet is not afraid to dive deep into details and is able to design certain elements independently, if required. This role works autonomously and creatively in a fast\-paced, ambiguous environment, and will be working on multiple projects, most of which have very tight delivery timelines. Attention to detail and ability to inspect issues and processes brings simplified solutions to complex problems is paramount. The candidate must be able to balance frugality with creativity in offering solutions and approach problem\-solving with an emphasis on root cause.  
This role supports our Global team, so may requires travel approximately 10% of the time.  
Key job responsibilities  
* With the support of Workplace Design \&amp; Construction Teams, maintain the Signage and Wayfinding Design System for Amazon’s Corporate Workplace, including assessing design requirements of any new request, updating the design of individual elements, proposing root updates, and communicating the design rationale of any changes.
* Collaborate with GREF partner teams, including Regional Portfolio Management, Sustainability and Environmental Health and Safety, and Travel and Events, to ensure the system meets all requirements and improve the quality of Amazon workspace with a focus on resiliency, efficiency, health, and safety.
* Routinely connect to external industry, professional bodies and communities, ensuring new industry standards, best practices, technology, and innovations are adopted into the program.
About the team  
The Global Real Estate and Facilities (GREF) team provides real estate transaction expertise, business partnering, space and occupancy planning, capital investment program management, facility maintenance, and operations in more than 60 countries. GREF is organized into three pillars: Regional Portfolio Management, Global Centers of Enablement, and Global Centers of Expertise. Workplace Design and Construction sits within the Global Centers of Excellence and includes the disciplines of Global Design, Workplace Guidelines, Business Development, Global Integrated Facilities Management, and regional Design and Construction (D\&amp;C) delivery.  
The Global Design team owns the design of GREF spaces, shaping design concepts that align with GREF’s strategic vision and the GREF Workplace Design Style Guide, while enhancing employee well\-being. Ultimately this team defines spaces that best support the way Amazonians work. The team’s Concept Designers develop foundational concepts for each space type—headcount floors, Centers of Energy, Food and Beverage, Meetings and Events, and other specialty spaces—that are in line with foundational design principles. The regional Design Managers ensure that GREF design concepts and standards are seamlessly integrated into new projects and renovations.  
The Workplace Guidelines team owns the creation, implementation, and ongoing refinement of Amazon’s Global Workplace Design Guidelines and Standards, ensuring regional teams have comprehensive documentation to support delivering and refreshing spaces that best support how Amazonians work in the office. This team includes global furniture, fixture and equipment (FF\&amp;E) development and implementation, as well as signage and wayfinding guidelines and standards.**BASIC QUALIFICATIONS**
------------------------
* Have a portfolio demonstrating past work experience and deliverables (e.g., study plans, reports, personas)
* Bachelor's degree in Visual Design, Graphic Design, Art, Architecture (or related professional experience in a design role).
* 5\+ years of design experience in design of signage and wayfinding for corporate workplace, demonstrating ability to lead design for a signage and wayfinding system for a large corporate workplace portfolio.
**PREFERRED QUALIFICATIONS**
----------------------------
* Experience escalating issues and anticipating and making hard trade\-offs between business and customer need
* Proven decision making and problem\-solving capabilities with strong follow up skills and attention to detail.
* Excellent oral and written communication skills with exceptional ability to translate ideas and thoughts into written documents.
* Continuous learning mindset and commitment to staying up\-to\-date with industry trends and best practices.
* Able to build constructive and effective relationships and use them to maneuver through complex situations.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$116,500/year in our lowest geographic market up to $192,600/year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in-0e57c1653c608315</t>
        </is>
      </c>
      <c r="B37" t="inlineStr">
        <is>
          <t>Global Signage &amp; Wayfinding Designer Program Manager, Workplace Design &amp; Construction (WD&amp;C)</t>
        </is>
      </c>
      <c r="C37" t="inlineStr">
        <is>
          <t>Amazon.com</t>
        </is>
      </c>
      <c r="D37" t="inlineStr">
        <is>
          <t>indeed</t>
        </is>
      </c>
      <c r="E37">
        <f>HYPERLINK("https://www.indeed.com/viewjob?jk=0e57c1653c608315", "https://www.indeed.com/viewjob?jk=0e57c1653c608315")</f>
        <v/>
      </c>
      <c r="F37">
        <f>HYPERLINK("https://www.amazon.jobs/jobs/3139013/global-signage--wayfinding-designer-program-manager-workplace-design--construction-wdc?cmpid=DA_INAD200785B", "https://www.amazon.jobs/jobs/3139013/global-signage--wayfinding-designer-program-manager-workplace-design--construction-wdc?cmpid=DA_INAD200785B")</f>
        <v/>
      </c>
      <c r="G37" t="inlineStr">
        <is>
          <t>Arlington, VA, US</t>
        </is>
      </c>
      <c r="H37" s="2" t="n">
        <v>45998</v>
      </c>
      <c r="I37" t="inlineStr">
        <is>
          <t>**DESCRIPTION**
---------------
The Global Design team is looking for a creative, innovative, results\-oriented designer with experience leading the design of Signage and Wayfinding systems for corporate workplace. This role will be based in Arlington, VA, and will be responsible for supporting the Global Design Team, reporting to the Senior Manager, Global Design. This role will support the Design teams across 3 global regions (AMER, EMEA and APAC) and will work closely with the Design \&amp; Construction (D\&amp;C) team, the Workplace Guidelines \&amp; Standards team and the Regional Portfolio Managers (RPM) team.  
This role will be responsible for managing, updating and evolving the Signage and Wayfinding Design System for Corporate Workplace, including the development of new elements as needed to ensure standardization. The Signage and Wayfinding Designer will work to leverage the system as it’s been designed, and evolve it as\-needed for regional or new requirements in a way that ensures high\-quality deliverables and on\-time delivery. Over time, this role should gain familiarity with Amazon’s Global corporate workplace portfolio in order to ensure that the elements of the signage and wayfinding system are applicable regionally. This role will also work with the Workplace Guidelines \&amp; Standards team, and the Design \&amp; Construction Delivery teams, though the role is not responsible for updating the Guidelines \&amp;Standards, nor for Delivery of the final signage elements.  
The successful candidate has experience in design of signage and wayfinding for corporate workplace – including education and experience in design of signage and wayfinding system, deep knowledge of industry benchmarks, and the ability to evaluate potential solutions on the basis of aesthetic and budget specific knowledge. The successful candidate will be able to communicate clearly about the design of the signage and wayfinding system at all levels, and yet is not afraid to dive deep into details and is able to design certain elements independently, if required. This role works autonomously and creatively in a fast\-paced, ambiguous environment, and will be working on multiple projects, most of which have very tight delivery timelines. Attention to detail and ability to inspect issues and processes brings simplified solutions to complex problems is paramount. The candidate must be able to balance frugality with creativity in offering solutions and approach problem\-solving with an emphasis on root cause.  
This role supports our Global team, so may requires travel approximately 10% of the time.  
Key job responsibilities  
* With the support of Workplace Design \&amp; Construction Teams, maintain the Signage and Wayfinding Design System for Amazon’s Corporate Workplace, including assessing design requirements of any new request, updating the design of individual elements, proposing root updates, and communicating the design rationale of any changes.
* Collaborate with GREF partner teams, including Regional Portfolio Management, Sustainability and Environmental Health and Safety, and Travel and Events, to ensure the system meets all requirements and improve the quality of Amazon workspace with a focus on resiliency, efficiency, health, and safety.
* Routinely connect to external industry, professional bodies and communities, ensuring new industry standards, best practices, technology, and innovations are adopted into the program.
About the team  
The Global Real Estate and Facilities (GREF) team provides real estate transaction expertise, business partnering, space and occupancy planning, capital investment program management, facility maintenance, and operations in more than 60 countries. GREF is organized into three pillars: Regional Portfolio Management, Global Centers of Enablement, and Global Centers of Expertise. Workplace Design and Construction sits within the Global Centers of Excellence and includes the disciplines of Global Design, Workplace Guidelines, Business Development, Global Integrated Facilities Management, and regional Design and Construction (D\&amp;C) delivery.  
The Global Design team owns the design of GREF spaces, shaping design concepts that align with GREF’s strategic vision and the GREF Workplace Design Style Guide, while enhancing employee well\-being. Ultimately this team defines spaces that best support the way Amazonians work. The team’s Concept Designers develop foundational concepts for each space type—headcount floors, Centers of Energy, Food and Beverage, Meetings and Events, and other specialty spaces—that are in line with foundational design principles. The regional Design Managers ensure that GREF design concepts and standards are seamlessly integrated into new projects and renovations.  
The Workplace Guidelines team owns the creation, implementation, and ongoing refinement of Amazon’s Global Workplace Design Guidelines and Standards, ensuring regional teams have comprehensive documentation to support delivering and refreshing spaces that best support how Amazonians work in the office. This team includes global furniture, fixture and equipment (FF\&amp;E) development and implementation, as well as signage and wayfinding guidelines and standards.**BASIC QUALIFICATIONS**
------------------------
* Have a portfolio demonstrating past work experience and deliverables (e.g., study plans, reports, personas)
* Bachelor's degree in Visual Design, Graphic Design, Art, Architecture (or related professional experience in a design role).
* 5\+ years of design experience in design of signage and wayfinding for corporate workplace, demonstrating ability to lead design for a signage and wayfinding system for a large corporate workplace portfolio.
**PREFERRED QUALIFICATIONS**
----------------------------
* Experience escalating issues and anticipating and making hard trade\-offs between business and customer need
* Proven decision making and problem\-solving capabilities with strong follow up skills and attention to detail.
* Excellent oral and written communication skills with exceptional ability to translate ideas and thoughts into written documents.
* Continuous learning mindset and commitment to staying up\-to\-date with industry trends and best practices.
* Able to build constructive and effective relationships and use them to maneuver through complex situations.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$116,500/year in our lowest geographic market up to $192,600/year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in-1b5db972591aff9a</t>
        </is>
      </c>
      <c r="B38" t="inlineStr">
        <is>
          <t>Technical Infrastructure Program Manager, Data Center Planning &amp; Delivery</t>
        </is>
      </c>
      <c r="C38" t="inlineStr">
        <is>
          <t>Amazon.com</t>
        </is>
      </c>
      <c r="D38" t="inlineStr">
        <is>
          <t>indeed</t>
        </is>
      </c>
      <c r="E38">
        <f>HYPERLINK("https://www.indeed.com/viewjob?jk=1b5db972591aff9a", "https://www.indeed.com/viewjob?jk=1b5db972591aff9a")</f>
        <v/>
      </c>
      <c r="F38">
        <f>HYPERLINK("https://www.amazon.jobs/jobs/3140031/technical-infrastructure-program-manager-data-center-planning--delivery?cmpid=DA_INAD200785B", "https://www.amazon.jobs/jobs/3140031/technical-infrastructure-program-manager-data-center-planning--delivery?cmpid=DA_INAD200785B")</f>
        <v/>
      </c>
      <c r="G38" t="inlineStr">
        <is>
          <t>Seattle, WA, US</t>
        </is>
      </c>
      <c r="H38" s="2" t="n">
        <v>45995</v>
      </c>
      <c r="I38" t="inlineStr">
        <is>
          <t>**DESCRIPTION**
---------------
We’re seeking an experienced Technical Infrastructure Program Manager in Herndon, VA, Seattle, WA or Berwick, PA to oversee data center build projects. Technical Infrastructure Program Manager will lead cross\-functional and technical teams from conceptual design feasibility through scope and schedule creation, budget management, completed design, implementation, commissioning, and data center deployment. Along the way, you will use your judgment, critical thinking skills, ability to influence without authority, analytical talent, technical aptitude, and leadership to collaborate with a diverse set of stakeholders, eliminate non\-value\-add activities, design solutions, remove blockers, and find creative ways to accelerate project delivery.  
The successful candidate will be a strong communicator (both written and verbal), not be hindered by ambiguity or competing priorities, and be capable of understanding mechanical/electrical engineering concepts. They will be able to apply a variety of project management tools, methodologies and techniques for all phases of the project lifecycle and exhibit demonstrated experience in core project management disciplines including scope, schedule, budget, resources, quality and risk management, reporting and metric development/tracking. Other requirements include experience with MS Office, MS Project and MS SharePoint. Experience with Tableau, KanBan, Playbook, SQL and systems integration a plus.  
Key job responsibilities  
We are seeking a Technical Infrastructure Program Manager who to own and deliver on end\-to\-end builds. Working with stakeholder teams to map dependencies, create and drive schedules, as well as think big to solve some of our biggest challenges! We're looking for a highly organized, attention to detail, problem solver with the ability to dive deep into critical path items. This is a high judgement role to deliver capacity to our end customers.  
About the team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\#DCPD\_Delivery
**BASIC QUALIFICATIONS**
------------------------
* 3\+ years of technical infrastructure management experience
* Knowledge of best practices and emerging technologies, related to infrastructure (i.e. network, data center, hardware, software)
* Experience with varying scenarios of infrastructure builds
**PREFERRED QUALIFICATIONS**
----------------------------
* Knowledge of data center infrastructure design, operations, or delivery
* Experience in project management in data centers or comparable critical infrastructure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PA, Berwick \- 127,100\.00 \- 171,900\.00 USD annually  
USA, VA, Herndon \- 127,100\.00 \- 171,900\.00 USD annually  
USA, WA, Seattle \- 127,100\.00 \- 171,900\.00 USD annually</t>
        </is>
      </c>
    </row>
    <row r="39">
      <c r="A39" t="inlineStr">
        <is>
          <t>in-f36d4a24beb8db48</t>
        </is>
      </c>
      <c r="B39" t="inlineStr">
        <is>
          <t>Technical Infrastructure Program Manager, Data Center Planning &amp; Delivery</t>
        </is>
      </c>
      <c r="C39" t="inlineStr">
        <is>
          <t>Amazon.com</t>
        </is>
      </c>
      <c r="D39" t="inlineStr">
        <is>
          <t>indeed</t>
        </is>
      </c>
      <c r="E39">
        <f>HYPERLINK("https://www.indeed.com/viewjob?jk=f36d4a24beb8db48", "https://www.indeed.com/viewjob?jk=f36d4a24beb8db48")</f>
        <v/>
      </c>
      <c r="F39">
        <f>HYPERLINK("https://www.amazon.jobs/jobs/3140031/technical-infrastructure-program-manager-data-center-planning--delivery?cmpid=DA_INAD200785B", "https://www.amazon.jobs/jobs/3140031/technical-infrastructure-program-manager-data-center-planning--delivery?cmpid=DA_INAD200785B")</f>
        <v/>
      </c>
      <c r="G39" t="inlineStr">
        <is>
          <t>Berwick, PA, US</t>
        </is>
      </c>
      <c r="H39" s="2" t="n">
        <v>45995</v>
      </c>
      <c r="I39" t="inlineStr">
        <is>
          <t>**DESCRIPTION**
---------------
We’re seeking an experienced Technical Infrastructure Program Manager in Herndon, VA, Seattle, WA or Berwick, PA to oversee data center build projects. Technical Infrastructure Program Manager will lead cross\-functional and technical teams from conceptual design feasibility through scope and schedule creation, budget management, completed design, implementation, commissioning, and data center deployment. Along the way, you will use your judgment, critical thinking skills, ability to influence without authority, analytical talent, technical aptitude, and leadership to collaborate with a diverse set of stakeholders, eliminate non\-value\-add activities, design solutions, remove blockers, and find creative ways to accelerate project delivery.  
The successful candidate will be a strong communicator (both written and verbal), not be hindered by ambiguity or competing priorities, and be capable of understanding mechanical/electrical engineering concepts. They will be able to apply a variety of project management tools, methodologies and techniques for all phases of the project lifecycle and exhibit demonstrated experience in core project management disciplines including scope, schedule, budget, resources, quality and risk management, reporting and metric development/tracking. Other requirements include experience with MS Office, MS Project and MS SharePoint. Experience with Tableau, KanBan, Playbook, SQL and systems integration a plus.  
Key job responsibilities  
We are seeking a Technical Infrastructure Program Manager who to own and deliver on end\-to\-end builds. Working with stakeholder teams to map dependencies, create and drive schedules, as well as think big to solve some of our biggest challenges! We're looking for a highly organized, attention to detail, problem solver with the ability to dive deep into critical path items. This is a high judgement role to deliver capacity to our end customers.  
About the team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\#DCPD\_Delivery
**BASIC QUALIFICATIONS**
------------------------
* 3\+ years of technical infrastructure management experience
* Knowledge of best practices and emerging technologies, related to infrastructure (i.e. network, data center, hardware, software)
* Experience with varying scenarios of infrastructure builds
**PREFERRED QUALIFICATIONS**
----------------------------
* Knowledge of data center infrastructure design, operations, or delivery
* Experience in project management in data centers or comparable critical infrastructure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PA, Berwick \- 127,100\.00 \- 171,900\.00 USD annually  
USA, VA, Herndon \- 127,100\.00 \- 171,900\.00 USD annually  
USA, WA, Seattle \- 127,100\.00 \- 171,900\.00 USD annually</t>
        </is>
      </c>
    </row>
    <row r="40">
      <c r="A40" t="inlineStr">
        <is>
          <t>in-60b62980a12ac13b</t>
        </is>
      </c>
      <c r="B40" t="inlineStr">
        <is>
          <t>Technical Infrastructure Program Manager, Data Center Planning &amp; Delivery</t>
        </is>
      </c>
      <c r="C40" t="inlineStr">
        <is>
          <t>Amazon.com</t>
        </is>
      </c>
      <c r="D40" t="inlineStr">
        <is>
          <t>indeed</t>
        </is>
      </c>
      <c r="E40">
        <f>HYPERLINK("https://www.indeed.com/viewjob?jk=60b62980a12ac13b", "https://www.indeed.com/viewjob?jk=60b62980a12ac13b")</f>
        <v/>
      </c>
      <c r="F40">
        <f>HYPERLINK("https://www.amazon.jobs/jobs/3140031/technical-infrastructure-program-manager-data-center-planning--delivery?cmpid=DA_INAD200785B", "https://www.amazon.jobs/jobs/3140031/technical-infrastructure-program-manager-data-center-planning--delivery?cmpid=DA_INAD200785B")</f>
        <v/>
      </c>
      <c r="G40" t="inlineStr">
        <is>
          <t>Herndon, VA, US</t>
        </is>
      </c>
      <c r="H40" s="2" t="n">
        <v>45995</v>
      </c>
      <c r="I40" t="inlineStr">
        <is>
          <t>**DESCRIPTION**
---------------
We’re seeking an experienced Technical Infrastructure Program Manager in Herndon, VA, Seattle, WA or Berwick, PA to oversee data center build projects. Technical Infrastructure Program Manager will lead cross\-functional and technical teams from conceptual design feasibility through scope and schedule creation, budget management, completed design, implementation, commissioning, and data center deployment. Along the way, you will use your judgment, critical thinking skills, ability to influence without authority, analytical talent, technical aptitude, and leadership to collaborate with a diverse set of stakeholders, eliminate non\-value\-add activities, design solutions, remove blockers, and find creative ways to accelerate project delivery.  
The successful candidate will be a strong communicator (both written and verbal), not be hindered by ambiguity or competing priorities, and be capable of understanding mechanical/electrical engineering concepts. They will be able to apply a variety of project management tools, methodologies and techniques for all phases of the project lifecycle and exhibit demonstrated experience in core project management disciplines including scope, schedule, budget, resources, quality and risk management, reporting and metric development/tracking. Other requirements include experience with MS Office, MS Project and MS SharePoint. Experience with Tableau, KanBan, Playbook, SQL and systems integration a plus.  
Key job responsibilities  
We are seeking a Technical Infrastructure Program Manager who to own and deliver on end\-to\-end builds. Working with stakeholder teams to map dependencies, create and drive schedules, as well as think big to solve some of our biggest challenges! We're looking for a highly organized, attention to detail, problem solver with the ability to dive deep into critical path items. This is a high judgement role to deliver capacity to our end customers.  
About the team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\#DCPD\_Delivery
**BASIC QUALIFICATIONS**
------------------------
* 3\+ years of technical infrastructure management experience
* Knowledge of best practices and emerging technologies, related to infrastructure (i.e. network, data center, hardware, software)
* Experience with varying scenarios of infrastructure builds
**PREFERRED QUALIFICATIONS**
----------------------------
* Knowledge of data center infrastructure design, operations, or delivery
* Experience in project management in data centers or comparable critical infrastructure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PA, Berwick \- 127,100\.00 \- 171,900\.00 USD annually  
USA, VA, Herndon \- 127,100\.00 \- 171,900\.00 USD annually  
USA, WA, Seattle \- 127,100\.00 \- 171,900\.00 USD annually</t>
        </is>
      </c>
    </row>
    <row r="41">
      <c r="A41" t="inlineStr">
        <is>
          <t>in-08dd560e4fd1dc5f</t>
        </is>
      </c>
      <c r="B41" t="inlineStr">
        <is>
          <t>Senior Product Manager, Ads</t>
        </is>
      </c>
      <c r="C41" t="inlineStr">
        <is>
          <t>Amazon.com</t>
        </is>
      </c>
      <c r="D41" t="inlineStr">
        <is>
          <t>indeed</t>
        </is>
      </c>
      <c r="E41">
        <f>HYPERLINK("https://www.indeed.com/viewjob?jk=08dd560e4fd1dc5f", "https://www.indeed.com/viewjob?jk=08dd560e4fd1dc5f")</f>
        <v/>
      </c>
      <c r="F41">
        <f>HYPERLINK("https://www.amazon.jobs/jobs/3137569/senior-product-manager-ads?cmpid=DA_INAD200785B", "https://www.amazon.jobs/jobs/3137569/senior-product-manager-ads?cmpid=DA_INAD200785B")</f>
        <v/>
      </c>
      <c r="G41" t="inlineStr">
        <is>
          <t>San Francisco, CA, US</t>
        </is>
      </c>
      <c r="H41" s="2" t="n">
        <v>45994</v>
      </c>
      <c r="I4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in-e9ad1bc595bdf2dd</t>
        </is>
      </c>
      <c r="B42" t="inlineStr">
        <is>
          <t>Senior Product Manager, Ads</t>
        </is>
      </c>
      <c r="C42" t="inlineStr">
        <is>
          <t>Amazon.com</t>
        </is>
      </c>
      <c r="D42" t="inlineStr">
        <is>
          <t>indeed</t>
        </is>
      </c>
      <c r="E42">
        <f>HYPERLINK("https://www.indeed.com/viewjob?jk=e9ad1bc595bdf2dd", "https://www.indeed.com/viewjob?jk=e9ad1bc595bdf2dd")</f>
        <v/>
      </c>
      <c r="F42">
        <f>HYPERLINK("https://www.amazon.jobs/jobs/3137569/senior-product-manager-ads?cmpid=DA_INAD200785B", "https://www.amazon.jobs/jobs/3137569/senior-product-manager-ads?cmpid=DA_INAD200785B")</f>
        <v/>
      </c>
      <c r="G42" t="inlineStr">
        <is>
          <t>Los Angeles, CA, US</t>
        </is>
      </c>
      <c r="H42" s="2" t="n">
        <v>45994</v>
      </c>
      <c r="I4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in-c4d988917f3fc22d</t>
        </is>
      </c>
      <c r="B43" t="inlineStr">
        <is>
          <t>Senior Product Manager, Ads</t>
        </is>
      </c>
      <c r="C43" t="inlineStr">
        <is>
          <t>Amazon.com</t>
        </is>
      </c>
      <c r="D43" t="inlineStr">
        <is>
          <t>indeed</t>
        </is>
      </c>
      <c r="E43">
        <f>HYPERLINK("https://www.indeed.com/viewjob?jk=c4d988917f3fc22d", "https://www.indeed.com/viewjob?jk=c4d988917f3fc22d")</f>
        <v/>
      </c>
      <c r="F43">
        <f>HYPERLINK("https://www.amazon.jobs/jobs/3137569/senior-product-manager-ads?cmpid=DA_INAD200785B", "https://www.amazon.jobs/jobs/3137569/senior-product-manager-ads?cmpid=DA_INAD200785B")</f>
        <v/>
      </c>
      <c r="G43" t="inlineStr">
        <is>
          <t>Irvine, CA, US</t>
        </is>
      </c>
      <c r="H43" s="2" t="n">
        <v>45994</v>
      </c>
      <c r="I4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in-5abf6e4b64fb55a1</t>
        </is>
      </c>
      <c r="B44" t="inlineStr">
        <is>
          <t>Senior Product Manager, Ads</t>
        </is>
      </c>
      <c r="C44" t="inlineStr">
        <is>
          <t>Amazon.com</t>
        </is>
      </c>
      <c r="D44" t="inlineStr">
        <is>
          <t>indeed</t>
        </is>
      </c>
      <c r="E44">
        <f>HYPERLINK("https://www.indeed.com/viewjob?jk=5abf6e4b64fb55a1", "https://www.indeed.com/viewjob?jk=5abf6e4b64fb55a1")</f>
        <v/>
      </c>
      <c r="F44">
        <f>HYPERLINK("https://www.amazon.jobs/jobs/3137569/senior-product-manager-ads?cmpid=DA_INAD200785B", "https://www.amazon.jobs/jobs/3137569/senior-product-manager-ads?cmpid=DA_INAD200785B")</f>
        <v/>
      </c>
      <c r="G44" t="inlineStr">
        <is>
          <t>Seattle, WA, US</t>
        </is>
      </c>
      <c r="H44" s="2" t="n">
        <v>45994</v>
      </c>
      <c r="I4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in-98b60f197c446bee</t>
        </is>
      </c>
      <c r="B45" t="inlineStr">
        <is>
          <t>Senior Product Manager, Ads</t>
        </is>
      </c>
      <c r="C45" t="inlineStr">
        <is>
          <t>Amazon.com</t>
        </is>
      </c>
      <c r="D45" t="inlineStr">
        <is>
          <t>indeed</t>
        </is>
      </c>
      <c r="E45">
        <f>HYPERLINK("https://www.indeed.com/viewjob?jk=98b60f197c446bee", "https://www.indeed.com/viewjob?jk=98b60f197c446bee")</f>
        <v/>
      </c>
      <c r="F45">
        <f>HYPERLINK("https://www.amazon.jobs/jobs/3137569/senior-product-manager-ads?cmpid=DA_INAD200785B", "https://www.amazon.jobs/jobs/3137569/senior-product-manager-ads?cmpid=DA_INAD200785B")</f>
        <v/>
      </c>
      <c r="G45" t="inlineStr">
        <is>
          <t>New York, NY, US</t>
        </is>
      </c>
      <c r="H45" s="2" t="n">
        <v>45994</v>
      </c>
      <c r="I4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in-377d0ef878f4e965</t>
        </is>
      </c>
      <c r="B46" t="inlineStr">
        <is>
          <t>Technical Program Manager - Music Growth Tech, Amazon Music Marketing and Growth Tech</t>
        </is>
      </c>
      <c r="C46" t="inlineStr">
        <is>
          <t>Amazon.com</t>
        </is>
      </c>
      <c r="D46" t="inlineStr">
        <is>
          <t>indeed</t>
        </is>
      </c>
      <c r="E46">
        <f>HYPERLINK("https://www.indeed.com/viewjob?jk=377d0ef878f4e965", "https://www.indeed.com/viewjob?jk=377d0ef878f4e965")</f>
        <v/>
      </c>
      <c r="F46">
        <f>HYPERLINK("https://www.amazon.jobs/jobs/3135042/technical-program-manager--music-growth-tech-amazon-music-marketing-and-growth-tech?cmpid=DA_INAD200785B", "https://www.amazon.jobs/jobs/3135042/technical-program-manager--music-growth-tech-amazon-music-marketing-and-growth-tech?cmpid=DA_INAD200785B")</f>
        <v/>
      </c>
      <c r="G46" t="inlineStr">
        <is>
          <t>Seattle, WA, US</t>
        </is>
      </c>
      <c r="H46" s="2" t="n">
        <v>45988</v>
      </c>
      <c r="I46" t="inlineStr">
        <is>
          <t>**DESCRIPTION**
---------------
Love music? Want to build consumer\-facing products that touches the lives of millions of people? Combine your passions and come reinvent music listening with us! We’re working hard, having fun, and making history here at Amazon Music.  
The Growth team is a critical driver for Amazon Music’s rise in the digital streaming space. Our team focuses on building and improving products and features that reveal the best of Amazon Music to customers globally. We are fast and nimble, scaling after we have proved merit. We experiment with hypotheses through A/B tests and build personalized features that provide a more streamlined experience for Amazon customers. We develop products throughout the customer lifecycle including customer acquisition, on\-boarding, engagement and retention. We believe in creating empowered and diverse teams where everyone can contribute to our product vision and roadmap.  
As a Technical Program Manager at Amazon Music, you will have the opportunity to work closely with product, design, software development and platform teams to implement strategy and execution. You will collaborate with the product teams to deliver the best solutions with efficient use of resources and technologies. You will make strong business cases for project prioritization and investment. You will also assess risks, anticipate bottlenecks, make tradeoffs, balance the business needs versus technical constraints and inspire risk\-taking behavior to maximize business benefit. If you enjoys solving problems in a dynamic environment and influencing business and technical leaders with your creative solutions, we want to talk to you!  
Key job responsibilities  
We are looking for an experienced Technical Program Manager (TPM) to join our CCMP/Growth team. You will partner with our Business Stakeholders, Product Owners and Software Engineering teams to ensure requirements are clearly captured, documented, designed, tested and delivered.  
Key Responsibilities  
* Delivering highly calibrated technical writing and documentation to a wide audience.
* Managing complex growth experiments and inter/intra Music product programs from start to finish
* Independently leading cross\-functional projects with disparate stakeholders, effectively balancing priorities and making smart trade\-offs.
* Delivering strategy and business review communications at the executive level and guiding discussion around them.
* Evaluating potential risks and how to address them; be able to deliver high priority projects
* Prioritizing mitigation efforts using risk management concepts.
A day in the life  
This high visibility role will require senior leadership communication and influencing while working with stakeholders across multiple organizations. You will regularly deep dive issues to determine the root cause and partner with stakeholders for resolution, including the right stakeholders as needed. This role has regular interaction with various business units across Amazon Music and requires strong interpersonal and communication skills. You will manage end\-to\-end projects, often managing multiple projects/programs at once, while demonstrating high judgement, clear communication, creative approaches, the ability to think big, and a consistent track record of delivering results.  
About the team  
About Amazon Music:  
Amazon Music is an immersive audio entertainment service that deepens connections between fans, artists, and creators. From personalized music playlists to exclusive podcasts, concert livestreams to artist merch, Amazon Music is innovating at some of the most exciting intersections of music and culture. We offer experiences that serve all listeners with our different tiers of service: Prime members get access to all the music in shuffle mode, and top ad\-free podcasts, included with their membership; customers can upgrade to Amazon Music Unlimited for unlimited, on\-demand access to 100 million songs, including millions in HD, Ultra HD, and spatial audio; and anyone can listen for free by downloading the Amazon Music app or via Alexa\-enabled devices. Join us for the opportunity to influence how Amazon Music engages fans, artists, and creators on a global scale. Learn more at https://www.amazon.com/music.**BASIC QUALIFICATIONS**
------------------------
* 3\+ years of technical product or program management experience
* 2\+ years of software development experience
* 3\+ years of project management disciplines including scope, schedule, budget, quality, along with risk and critical path management experience
* Experience managing programs across cross functional teams, building processes and coordinating release schedules
* Experience building and evaluating system\-level technical design
* Experience developing and executing/delivering product and technical roadmaps
**PREFERRED QUALIFICATIONS**
----------------------------
* 3\+ years of working directly with engineering teams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\- 127,100\.00 \- 172,000\.00 USD annually  
USA, WA, Seattle \- 127,100\.00 \- 172,000\.00 USD annually</t>
        </is>
      </c>
    </row>
    <row r="47">
      <c r="A47" t="inlineStr">
        <is>
          <t>in-c5bb111fcb64fd38</t>
        </is>
      </c>
      <c r="B47" t="inlineStr">
        <is>
          <t>Technical Program Manager - Music Growth Tech, Amazon Music Marketing and Growth Tech</t>
        </is>
      </c>
      <c r="C47" t="inlineStr">
        <is>
          <t>Amazon.com</t>
        </is>
      </c>
      <c r="D47" t="inlineStr">
        <is>
          <t>indeed</t>
        </is>
      </c>
      <c r="E47">
        <f>HYPERLINK("https://www.indeed.com/viewjob?jk=c5bb111fcb64fd38", "https://www.indeed.com/viewjob?jk=c5bb111fcb64fd38")</f>
        <v/>
      </c>
      <c r="F47">
        <f>HYPERLINK("https://www.amazon.jobs/jobs/3135042/technical-program-manager--music-growth-tech-amazon-music-marketing-and-growth-tech?cmpid=DA_INAD200785B", "https://www.amazon.jobs/jobs/3135042/technical-program-manager--music-growth-tech-amazon-music-marketing-and-growth-tech?cmpid=DA_INAD200785B")</f>
        <v/>
      </c>
      <c r="G47" t="inlineStr">
        <is>
          <t>Culver City, CA, US</t>
        </is>
      </c>
      <c r="H47" s="2" t="n">
        <v>45988</v>
      </c>
      <c r="I47" t="inlineStr">
        <is>
          <t>**DESCRIPTION**
---------------
Love music? Want to build consumer\-facing products that touches the lives of millions of people? Combine your passions and come reinvent music listening with us! We’re working hard, having fun, and making history here at Amazon Music.  
The Growth team is a critical driver for Amazon Music’s rise in the digital streaming space. Our team focuses on building and improving products and features that reveal the best of Amazon Music to customers globally. We are fast and nimble, scaling after we have proved merit. We experiment with hypotheses through A/B tests and build personalized features that provide a more streamlined experience for Amazon customers. We develop products throughout the customer lifecycle including customer acquisition, on\-boarding, engagement and retention. We believe in creating empowered and diverse teams where everyone can contribute to our product vision and roadmap.  
As a Technical Program Manager at Amazon Music, you will have the opportunity to work closely with product, design, software development and platform teams to implement strategy and execution. You will collaborate with the product teams to deliver the best solutions with efficient use of resources and technologies. You will make strong business cases for project prioritization and investment. You will also assess risks, anticipate bottlenecks, make tradeoffs, balance the business needs versus technical constraints and inspire risk\-taking behavior to maximize business benefit. If you enjoys solving problems in a dynamic environment and influencing business and technical leaders with your creative solutions, we want to talk to you!  
Key job responsibilities  
We are looking for an experienced Technical Program Manager (TPM) to join our CCMP/Growth team. You will partner with our Business Stakeholders, Product Owners and Software Engineering teams to ensure requirements are clearly captured, documented, designed, tested and delivered.  
Key Responsibilities  
* Delivering highly calibrated technical writing and documentation to a wide audience.
* Managing complex growth experiments and inter/intra Music product programs from start to finish
* Independently leading cross\-functional projects with disparate stakeholders, effectively balancing priorities and making smart trade\-offs.
* Delivering strategy and business review communications at the executive level and guiding discussion around them.
* Evaluating potential risks and how to address them; be able to deliver high priority projects
* Prioritizing mitigation efforts using risk management concepts.
A day in the life  
This high visibility role will require senior leadership communication and influencing while working with stakeholders across multiple organizations. You will regularly deep dive issues to determine the root cause and partner with stakeholders for resolution, including the right stakeholders as needed. This role has regular interaction with various business units across Amazon Music and requires strong interpersonal and communication skills. You will manage end\-to\-end projects, often managing multiple projects/programs at once, while demonstrating high judgement, clear communication, creative approaches, the ability to think big, and a consistent track record of delivering results.  
About the team  
About Amazon Music:  
Amazon Music is an immersive audio entertainment service that deepens connections between fans, artists, and creators. From personalized music playlists to exclusive podcasts, concert livestreams to artist merch, Amazon Music is innovating at some of the most exciting intersections of music and culture. We offer experiences that serve all listeners with our different tiers of service: Prime members get access to all the music in shuffle mode, and top ad\-free podcasts, included with their membership; customers can upgrade to Amazon Music Unlimited for unlimited, on\-demand access to 100 million songs, including millions in HD, Ultra HD, and spatial audio; and anyone can listen for free by downloading the Amazon Music app or via Alexa\-enabled devices. Join us for the opportunity to influence how Amazon Music engages fans, artists, and creators on a global scale. Learn more at https://www.amazon.com/music.**BASIC QUALIFICATIONS**
------------------------
* 3\+ years of technical product or program management experience
* 2\+ years of software development experience
* 3\+ years of project management disciplines including scope, schedule, budget, quality, along with risk and critical path management experience
* Experience managing programs across cross functional teams, building processes and coordinating release schedules
* Experience building and evaluating system\-level technical design
* Experience developing and executing/delivering product and technical roadmaps
**PREFERRED QUALIFICATIONS**
----------------------------
* 3\+ years of working directly with engineering teams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\- 127,100\.00 \- 172,000\.00 USD annually  
USA, WA, Seattle \- 127,100\.00 \- 172,000\.00 USD annually</t>
        </is>
      </c>
    </row>
    <row r="48">
      <c r="A48" t="inlineStr">
        <is>
          <t>in-cc0ee1290902341d</t>
        </is>
      </c>
      <c r="B48" t="inlineStr">
        <is>
          <t>Sr. Technical Program Manager, ASIC</t>
        </is>
      </c>
      <c r="C48" t="inlineStr">
        <is>
          <t>Amazon.com</t>
        </is>
      </c>
      <c r="D48" t="inlineStr">
        <is>
          <t>indeed</t>
        </is>
      </c>
      <c r="E48">
        <f>HYPERLINK("https://www.indeed.com/viewjob?jk=cc0ee1290902341d", "https://www.indeed.com/viewjob?jk=cc0ee1290902341d")</f>
        <v/>
      </c>
      <c r="F48">
        <f>HYPERLINK("https://www.amazon.jobs/jobs/3133342/sr-technical-program-manager-asic?cmpid=DA_INAD200785B", "https://www.amazon.jobs/jobs/3133342/sr-technical-program-manager-asic?cmpid=DA_INAD200785B")</f>
        <v/>
      </c>
      <c r="G48" t="inlineStr">
        <is>
          <t>Sunnyvale, CA, US</t>
        </is>
      </c>
      <c r="H48" s="2" t="n">
        <v>45986</v>
      </c>
      <c r="I48"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The Amazon LEO team is looking for a Sr. Technical Program Manager with experience in complex ASIC/SOC development of managing various phases of pre\-silicon such as architecture, front end design, pre\-silicon verification, FPGA prototyping, Emulation, Physical design, BROM, FW, substrate and package design, Tapeout; and post\-silicon phases such as silicon manufacturing with foundry and OSAT, silicon bring\-up, functional and system validation, embedded FW/SW, ATE, Reliability, Qual, and NPI. The role will interface with cross\-functional engineering and program/product management teams to develop ASIC/SOCs solutions that will go into Satellites and Ground equipment/terminals. Join us and make a difference in the lives of people around the world.  
Key job responsibilities  
Key job responsibilities  
In this role you will:  
* Collaborate with engineering leaders (ASIC/SOC leads) to create project execution plans for ASIC/SOC development considering all criteria to design products the meet the power/performance and functional specs for all use conditions.
* Work with ASIC, communication system, EE, and software teams to define ASIC bring\-up readiness and test plans.
* Work with product/program management lead to ensure that ASIC/SOC development meets schedule, cost, and quality requirements.
* Drive engineering project execution, make technical trade\-off recommendations, understand the technical challenges, enable solutions, track and report on status, and resolve blocking issues.
* Collaborate with Architecture, hardware, software, firmware, packaging and PCB teams on ensuring cross\-functional deliverables are identified and tracked.
* Work with external IP, Fabs, OSAT silicon services and partners to complete the execution of projects in time.
Export Control Requirement:  
Due to applicable export control laws and regulations, candidates must be a U.S. citizen or national, U.S. permanent resident (i.e., current Green Card holder), or lawfully admitted into the U.S. as a refugee or granted asylum.  
A day in the life  
You must be fully competent in a variety of project management tools, SOC/IP design methodologies and techniques for all phases of the project life\-cycle and exhibit demonstrated proficiency in core project management disciplines including scope, schedule, budget, resources, quality and risk management, reporting and metric development/tracking. In addition, the candidate needs to drive ASIC bring\-up readiness (HW/SW) and ASIC bring\-up plan. Lastly, the candidate should have the experience of working through the various design phases of Silicon development from architecture definition, RTL design, Verification, IP design, Physical design, silicon bring up, test, characterization, quality, reliability and post silicon management.  
About the team**BASIC QUALIFICATIONS**
------------------------
* 5\+ years of technical product or program management experience
* 7\+ years of working directly with engineering teams experience
* 3\+ years of software development experience
* 5\+ years of technical program management working directly with software engineering teams experience
* Experience managing programs across cross functional teams, building processes and coordinating release schedules
**PREFERRED QUALIFICATIONS**
----------------------------
* 5\+ years of project management disciplines including scope, schedule, budget, quality, along with risk and critical path management experience
* Experience managing projects across cross functional teams, building sustainable processes and coordinating release schedules
* Experience defining KPI's/SLA's used to drive multi\-million dollar businesses and reporting to senior leadership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in-d88e01b040d35004</t>
        </is>
      </c>
      <c r="B49" t="inlineStr">
        <is>
          <t>Sr. Technical Program Manager, ASIC</t>
        </is>
      </c>
      <c r="C49" t="inlineStr">
        <is>
          <t>Amazon.com</t>
        </is>
      </c>
      <c r="D49" t="inlineStr">
        <is>
          <t>indeed</t>
        </is>
      </c>
      <c r="E49">
        <f>HYPERLINK("https://www.indeed.com/viewjob?jk=d88e01b040d35004", "https://www.indeed.com/viewjob?jk=d88e01b040d35004")</f>
        <v/>
      </c>
      <c r="F49">
        <f>HYPERLINK("https://www.amazon.jobs/jobs/3133342/sr-technical-program-manager-asic?cmpid=DA_INAD200785B", "https://www.amazon.jobs/jobs/3133342/sr-technical-program-manager-asic?cmpid=DA_INAD200785B")</f>
        <v/>
      </c>
      <c r="G49" t="inlineStr">
        <is>
          <t>Redmond, WA, US</t>
        </is>
      </c>
      <c r="H49" s="2" t="n">
        <v>45986</v>
      </c>
      <c r="I49"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The Amazon LEO team is looking for a Sr. Technical Program Manager with experience in complex ASIC/SOC development of managing various phases of pre\-silicon such as architecture, front end design, pre\-silicon verification, FPGA prototyping, Emulation, Physical design, BROM, FW, substrate and package design, Tapeout; and post\-silicon phases such as silicon manufacturing with foundry and OSAT, silicon bring\-up, functional and system validation, embedded FW/SW, ATE, Reliability, Qual, and NPI. The role will interface with cross\-functional engineering and program/product management teams to develop ASIC/SOCs solutions that will go into Satellites and Ground equipment/terminals. Join us and make a difference in the lives of people around the world.  
Key job responsibilities  
Key job responsibilities  
In this role you will:  
* Collaborate with engineering leaders (ASIC/SOC leads) to create project execution plans for ASIC/SOC development considering all criteria to design products the meet the power/performance and functional specs for all use conditions.
* Work with ASIC, communication system, EE, and software teams to define ASIC bring\-up readiness and test plans.
* Work with product/program management lead to ensure that ASIC/SOC development meets schedule, cost, and quality requirements.
* Drive engineering project execution, make technical trade\-off recommendations, understand the technical challenges, enable solutions, track and report on status, and resolve blocking issues.
* Collaborate with Architecture, hardware, software, firmware, packaging and PCB teams on ensuring cross\-functional deliverables are identified and tracked.
* Work with external IP, Fabs, OSAT silicon services and partners to complete the execution of projects in time.
Export Control Requirement:  
Due to applicable export control laws and regulations, candidates must be a U.S. citizen or national, U.S. permanent resident (i.e., current Green Card holder), or lawfully admitted into the U.S. as a refugee or granted asylum.  
A day in the life  
You must be fully competent in a variety of project management tools, SOC/IP design methodologies and techniques for all phases of the project life\-cycle and exhibit demonstrated proficiency in core project management disciplines including scope, schedule, budget, resources, quality and risk management, reporting and metric development/tracking. In addition, the candidate needs to drive ASIC bring\-up readiness (HW/SW) and ASIC bring\-up plan. Lastly, the candidate should have the experience of working through the various design phases of Silicon development from architecture definition, RTL design, Verification, IP design, Physical design, silicon bring up, test, characterization, quality, reliability and post silicon management.  
About the team**BASIC QUALIFICATIONS**
------------------------
* 5\+ years of technical product or program management experience
* 7\+ years of working directly with engineering teams experience
* 3\+ years of software development experience
* 5\+ years of technical program management working directly with software engineering teams experience
* Experience managing programs across cross functional teams, building processes and coordinating release schedules
**PREFERRED QUALIFICATIONS**
----------------------------
* 5\+ years of project management disciplines including scope, schedule, budget, quality, along with risk and critical path management experience
* Experience managing projects across cross functional teams, building sustainable processes and coordinating release schedules
* Experience defining KPI's/SLA's used to drive multi\-million dollar businesses and reporting to senior leadership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in-82dc98e14e4e7d1f</t>
        </is>
      </c>
      <c r="B50" t="inlineStr">
        <is>
          <t>Sr. Technical Program Manager, ASIC</t>
        </is>
      </c>
      <c r="C50" t="inlineStr">
        <is>
          <t>Amazon.com</t>
        </is>
      </c>
      <c r="D50" t="inlineStr">
        <is>
          <t>indeed</t>
        </is>
      </c>
      <c r="E50">
        <f>HYPERLINK("https://www.indeed.com/viewjob?jk=82dc98e14e4e7d1f", "https://www.indeed.com/viewjob?jk=82dc98e14e4e7d1f")</f>
        <v/>
      </c>
      <c r="F50">
        <f>HYPERLINK("https://www.amazon.jobs/jobs/3133342/sr-technical-program-manager-asic?cmpid=DA_INAD200785B", "https://www.amazon.jobs/jobs/3133342/sr-technical-program-manager-asic?cmpid=DA_INAD200785B")</f>
        <v/>
      </c>
      <c r="G50" t="inlineStr">
        <is>
          <t>San Diego, CA, US</t>
        </is>
      </c>
      <c r="H50" s="2" t="n">
        <v>45986</v>
      </c>
      <c r="I50"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The Amazon LEO team is looking for a Sr. Technical Program Manager with experience in complex ASIC/SOC development of managing various phases of pre\-silicon such as architecture, front end design, pre\-silicon verification, FPGA prototyping, Emulation, Physical design, BROM, FW, substrate and package design, Tapeout; and post\-silicon phases such as silicon manufacturing with foundry and OSAT, silicon bring\-up, functional and system validation, embedded FW/SW, ATE, Reliability, Qual, and NPI. The role will interface with cross\-functional engineering and program/product management teams to develop ASIC/SOCs solutions that will go into Satellites and Ground equipment/terminals. Join us and make a difference in the lives of people around the world.  
Key job responsibilities  
Key job responsibilities  
In this role you will:  
* Collaborate with engineering leaders (ASIC/SOC leads) to create project execution plans for ASIC/SOC development considering all criteria to design products the meet the power/performance and functional specs for all use conditions.
* Work with ASIC, communication system, EE, and software teams to define ASIC bring\-up readiness and test plans.
* Work with product/program management lead to ensure that ASIC/SOC development meets schedule, cost, and quality requirements.
* Drive engineering project execution, make technical trade\-off recommendations, understand the technical challenges, enable solutions, track and report on status, and resolve blocking issues.
* Collaborate with Architecture, hardware, software, firmware, packaging and PCB teams on ensuring cross\-functional deliverables are identified and tracked.
* Work with external IP, Fabs, OSAT silicon services and partners to complete the execution of projects in time.
Export Control Requirement:  
Due to applicable export control laws and regulations, candidates must be a U.S. citizen or national, U.S. permanent resident (i.e., current Green Card holder), or lawfully admitted into the U.S. as a refugee or granted asylum.  
A day in the life  
You must be fully competent in a variety of project management tools, SOC/IP design methodologies and techniques for all phases of the project life\-cycle and exhibit demonstrated proficiency in core project management disciplines including scope, schedule, budget, resources, quality and risk management, reporting and metric development/tracking. In addition, the candidate needs to drive ASIC bring\-up readiness (HW/SW) and ASIC bring\-up plan. Lastly, the candidate should have the experience of working through the various design phases of Silicon development from architecture definition, RTL design, Verification, IP design, Physical design, silicon bring up, test, characterization, quality, reliability and post silicon management.  
About the team**BASIC QUALIFICATIONS**
------------------------
* 5\+ years of technical product or program management experience
* 7\+ years of working directly with engineering teams experience
* 3\+ years of software development experience
* 5\+ years of technical program management working directly with software engineering teams experience
* Experience managing programs across cross functional teams, building processes and coordinating release schedules
**PREFERRED QUALIFICATIONS**
----------------------------
* 5\+ years of project management disciplines including scope, schedule, budget, quality, along with risk and critical path management experience
* Experience managing projects across cross functional teams, building sustainable processes and coordinating release schedules
* Experience defining KPI's/SLA's used to drive multi\-million dollar businesses and reporting to senior leadership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in-089de32490029dcf</t>
        </is>
      </c>
      <c r="B51" t="inlineStr">
        <is>
          <t>Sr. Technical Program Manager, ASIC</t>
        </is>
      </c>
      <c r="C51" t="inlineStr">
        <is>
          <t>Amazon.com</t>
        </is>
      </c>
      <c r="D51" t="inlineStr">
        <is>
          <t>indeed</t>
        </is>
      </c>
      <c r="E51">
        <f>HYPERLINK("https://www.indeed.com/viewjob?jk=089de32490029dcf", "https://www.indeed.com/viewjob?jk=089de32490029dcf")</f>
        <v/>
      </c>
      <c r="F51">
        <f>HYPERLINK("https://www.amazon.jobs/jobs/3133342/sr-technical-program-manager-asic?cmpid=DA_INAD200785B", "https://www.amazon.jobs/jobs/3133342/sr-technical-program-manager-asic?cmpid=DA_INAD200785B")</f>
        <v/>
      </c>
      <c r="G51" t="inlineStr">
        <is>
          <t>Austin, TX, US</t>
        </is>
      </c>
      <c r="H51" s="2" t="n">
        <v>45986</v>
      </c>
      <c r="I51"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The Amazon LEO team is looking for a Sr. Technical Program Manager with experience in complex ASIC/SOC development of managing various phases of pre\-silicon such as architecture, front end design, pre\-silicon verification, FPGA prototyping, Emulation, Physical design, BROM, FW, substrate and package design, Tapeout; and post\-silicon phases such as silicon manufacturing with foundry and OSAT, silicon bring\-up, functional and system validation, embedded FW/SW, ATE, Reliability, Qual, and NPI. The role will interface with cross\-functional engineering and program/product management teams to develop ASIC/SOCs solutions that will go into Satellites and Ground equipment/terminals. Join us and make a difference in the lives of people around the world.  
Key job responsibilities  
Key job responsibilities  
In this role you will:  
* Collaborate with engineering leaders (ASIC/SOC leads) to create project execution plans for ASIC/SOC development considering all criteria to design products the meet the power/performance and functional specs for all use conditions.
* Work with ASIC, communication system, EE, and software teams to define ASIC bring\-up readiness and test plans.
* Work with product/program management lead to ensure that ASIC/SOC development meets schedule, cost, and quality requirements.
* Drive engineering project execution, make technical trade\-off recommendations, understand the technical challenges, enable solutions, track and report on status, and resolve blocking issues.
* Collaborate with Architecture, hardware, software, firmware, packaging and PCB teams on ensuring cross\-functional deliverables are identified and tracked.
* Work with external IP, Fabs, OSAT silicon services and partners to complete the execution of projects in time.
Export Control Requirement:  
Due to applicable export control laws and regulations, candidates must be a U.S. citizen or national, U.S. permanent resident (i.e., current Green Card holder), or lawfully admitted into the U.S. as a refugee or granted asylum.  
A day in the life  
You must be fully competent in a variety of project management tools, SOC/IP design methodologies and techniques for all phases of the project life\-cycle and exhibit demonstrated proficiency in core project management disciplines including scope, schedule, budget, resources, quality and risk management, reporting and metric development/tracking. In addition, the candidate needs to drive ASIC bring\-up readiness (HW/SW) and ASIC bring\-up plan. Lastly, the candidate should have the experience of working through the various design phases of Silicon development from architecture definition, RTL design, Verification, IP design, Physical design, silicon bring up, test, characterization, quality, reliability and post silicon management.  
About the team**BASIC QUALIFICATIONS**
------------------------
* 5\+ years of technical product or program management experience
* 7\+ years of working directly with engineering teams experience
* 3\+ years of software development experience
* 5\+ years of technical program management working directly with software engineering teams experience
* Experience managing programs across cross functional teams, building processes and coordinating release schedules
**PREFERRED QUALIFICATIONS**
----------------------------
* 5\+ years of project management disciplines including scope, schedule, budget, quality, along with risk and critical path management experience
* Experience managing projects across cross functional teams, building sustainable processes and coordinating release schedules
* Experience defining KPI's/SLA's used to drive multi\-million dollar businesses and reporting to senior leadership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in-b0041f6e8893203c</t>
        </is>
      </c>
      <c r="B52" t="inlineStr">
        <is>
          <t>Sr. Product Manager</t>
        </is>
      </c>
      <c r="C52" t="inlineStr">
        <is>
          <t>Amazon.com</t>
        </is>
      </c>
      <c r="D52" t="inlineStr">
        <is>
          <t>indeed</t>
        </is>
      </c>
      <c r="E52">
        <f>HYPERLINK("https://www.indeed.com/viewjob?jk=b0041f6e8893203c", "https://www.indeed.com/viewjob?jk=b0041f6e8893203c")</f>
        <v/>
      </c>
      <c r="F52">
        <f>HYPERLINK("https://www.amazon.jobs/jobs/3129468/sr-product-manager?cmpid=DA_INAD200785B", "https://www.amazon.jobs/jobs/3129468/sr-product-manager?cmpid=DA_INAD200785B")</f>
        <v/>
      </c>
      <c r="G52" t="inlineStr">
        <is>
          <t>Los Angeles, CA, US</t>
        </is>
      </c>
      <c r="H52" s="2" t="n">
        <v>45979</v>
      </c>
      <c r="I5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in-3a1c089483eb9fad</t>
        </is>
      </c>
      <c r="B53" t="inlineStr">
        <is>
          <t>Sr. Product Manager</t>
        </is>
      </c>
      <c r="C53" t="inlineStr">
        <is>
          <t>Amazon.com</t>
        </is>
      </c>
      <c r="D53" t="inlineStr">
        <is>
          <t>indeed</t>
        </is>
      </c>
      <c r="E53">
        <f>HYPERLINK("https://www.indeed.com/viewjob?jk=3a1c089483eb9fad", "https://www.indeed.com/viewjob?jk=3a1c089483eb9fad")</f>
        <v/>
      </c>
      <c r="F53">
        <f>HYPERLINK("https://www.amazon.jobs/jobs/3129468/sr-product-manager?cmpid=DA_INAD200785B", "https://www.amazon.jobs/jobs/3129468/sr-product-manager?cmpid=DA_INAD200785B")</f>
        <v/>
      </c>
      <c r="G53" t="inlineStr">
        <is>
          <t>San Francisco, CA, US</t>
        </is>
      </c>
      <c r="H53" s="2" t="n">
        <v>45979</v>
      </c>
      <c r="I5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in-1c68ccd3a34da33b</t>
        </is>
      </c>
      <c r="B54" t="inlineStr">
        <is>
          <t>Sr. Product Manager</t>
        </is>
      </c>
      <c r="C54" t="inlineStr">
        <is>
          <t>Amazon.com</t>
        </is>
      </c>
      <c r="D54" t="inlineStr">
        <is>
          <t>indeed</t>
        </is>
      </c>
      <c r="E54">
        <f>HYPERLINK("https://www.indeed.com/viewjob?jk=1c68ccd3a34da33b", "https://www.indeed.com/viewjob?jk=1c68ccd3a34da33b")</f>
        <v/>
      </c>
      <c r="F54">
        <f>HYPERLINK("https://www.amazon.jobs/jobs/3129468/sr-product-manager?cmpid=DA_INAD200785B", "https://www.amazon.jobs/jobs/3129468/sr-product-manager?cmpid=DA_INAD200785B")</f>
        <v/>
      </c>
      <c r="G54" t="inlineStr">
        <is>
          <t>Irvine, CA, US</t>
        </is>
      </c>
      <c r="H54" s="2" t="n">
        <v>45979</v>
      </c>
      <c r="I5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in-4218207773ebd214</t>
        </is>
      </c>
      <c r="B55" t="inlineStr">
        <is>
          <t>Sr. Product Manager</t>
        </is>
      </c>
      <c r="C55" t="inlineStr">
        <is>
          <t>Amazon.com</t>
        </is>
      </c>
      <c r="D55" t="inlineStr">
        <is>
          <t>indeed</t>
        </is>
      </c>
      <c r="E55">
        <f>HYPERLINK("https://www.indeed.com/viewjob?jk=4218207773ebd214", "https://www.indeed.com/viewjob?jk=4218207773ebd214")</f>
        <v/>
      </c>
      <c r="F55">
        <f>HYPERLINK("https://www.amazon.jobs/jobs/3129468/sr-product-manager?cmpid=DA_INAD200785B", "https://www.amazon.jobs/jobs/3129468/sr-product-manager?cmpid=DA_INAD200785B")</f>
        <v/>
      </c>
      <c r="G55" t="inlineStr">
        <is>
          <t>New York, NY, US</t>
        </is>
      </c>
      <c r="H55" s="2" t="n">
        <v>45979</v>
      </c>
      <c r="I5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in-3f3694ab05ad29bc</t>
        </is>
      </c>
      <c r="B56" t="inlineStr">
        <is>
          <t>Sr. Product Manager</t>
        </is>
      </c>
      <c r="C56" t="inlineStr">
        <is>
          <t>Amazon.com</t>
        </is>
      </c>
      <c r="D56" t="inlineStr">
        <is>
          <t>indeed</t>
        </is>
      </c>
      <c r="E56">
        <f>HYPERLINK("https://www.indeed.com/viewjob?jk=3f3694ab05ad29bc", "https://www.indeed.com/viewjob?jk=3f3694ab05ad29bc")</f>
        <v/>
      </c>
      <c r="F56">
        <f>HYPERLINK("https://www.amazon.jobs/jobs/3129468/sr-product-manager?cmpid=DA_INAD200785B", "https://www.amazon.jobs/jobs/3129468/sr-product-manager?cmpid=DA_INAD200785B")</f>
        <v/>
      </c>
      <c r="G56" t="inlineStr">
        <is>
          <t>Seattle, WA, US</t>
        </is>
      </c>
      <c r="H56" s="2" t="n">
        <v>45979</v>
      </c>
      <c r="I5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in-4697c0f5d27ba223</t>
        </is>
      </c>
      <c r="B57" t="inlineStr">
        <is>
          <t>Senior Program Manager, Content Design, Learning and Development</t>
        </is>
      </c>
      <c r="C57" t="inlineStr">
        <is>
          <t>Amazon.com</t>
        </is>
      </c>
      <c r="D57" t="inlineStr">
        <is>
          <t>indeed</t>
        </is>
      </c>
      <c r="E57">
        <f>HYPERLINK("https://www.indeed.com/viewjob?jk=4697c0f5d27ba223", "https://www.indeed.com/viewjob?jk=4697c0f5d27ba223")</f>
        <v/>
      </c>
      <c r="F57">
        <f>HYPERLINK("https://www.amazon.jobs/jobs/3129940/senior-program-manager-content-design-learning-and-development?cmpid=DA_INAD200785B", "https://www.amazon.jobs/jobs/3129940/senior-program-manager-content-design-learning-and-development?cmpid=DA_INAD200785B")</f>
        <v/>
      </c>
      <c r="G57" t="inlineStr">
        <is>
          <t>Nashville, TN, US</t>
        </is>
      </c>
      <c r="H57" s="2" t="n">
        <v>45972</v>
      </c>
      <c r="I57" t="inlineStr">
        <is>
          <t>**DESCRIPTION**
---------------
The Last Mile Content team is looking for a Content Designer to build scalable Associate and Exempt Leader training North America Amazon Last Mile. This role requires scoping and creating project plans, planning and managing on\-the\-job learning programs including content design, development and measurement across multiple modalities and formats. The ideal candidate will have proven instructional design experience, strong communication skills and the ability to build strong relationships and influence key stakeholders. You will have a proven track record in taking on end\-to\-end ownership and successfully delivering results in a fast\-paced and dynamic business environment. This is an individual contributor role where cross\-functional partnerships will be key to success.  
Candidates should be prepared to share a portfolio during the interview process.  
Key job responsibilities  
* Manage projects amidst ambiguity, competing priorities, and challenging deadlines, adapting quickly to changing circumstances, processes and priorities
* Maintain a deep understanding of program and learner roles to ensure that learning solutions align with audience training needs
* Partner with subject matter experts and program stakeholders to identify learning goals and outcomes
* Collaborate with cross\-functional teams to identify business needs that can be addressed via learning solutions
* Design, develop and deploy learning modules, scenarios, simulations, videos, job aides, instructor\-led training, remote instructor\-led training, eLearning and knowledge assessments
* Measure impact and quickly revise content/modality to address specific feedback, as needed
* Contribute to the development and implementation of templates, learning models and overall best practices
* Demonstrate knowledge of learning principles and methodologies and ability to communicate difficult concepts and processes using clear and simple language and visuals
* Identify gaps, assess needs, create goals, and work backwards to develop right\-sized learning solutions
* Maintain knowledge of new developments in learning design and learning analytics through continuous research to drive innovation
A day in the life  
Your day will be a dynamic blend of creative design, strategic planning, and collaborative problem\-solving. You'll dive into designing comprehensive learning programs, translating complex operational knowledge into clear, accessible content across multiple formats and platforms  
About the team  
Our Last Mile Training team is dedicated to developing world\-class learning experiences that support the growth and success of our frontline leaders in NA Last Mile Operations. We believe in creating training that is not just informative, but transformative, helping our associates develop skills that extend far beyond their current roles  
We are committed to maintaining and creating relevant, up\-to\-date content that aligns with business needs and customer feedback. We are dedicated to continuous improvement, leveraging customer obsession and efficient processes to provide a positive learning experience that drives operational excellence and career advancement.**BASIC QUALIFICATIONS**
------------------------
* 5\+ years of program or project management experience
* Experience using data and metrics to determine and drive improvements
* Experience owning program strategy, end to end delivery, and communicating results to senior leadership
* Have an online portfolio or samples of work on resume, demonstrating experience creating great end\-to\-end, user\-centered design solutions and patterns, across desktop and mobile devices
* Experience in creating learning content and instructional materials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\- 104,100\.00 \- 155,400\.00 USD annually  
USA, VA, Arlington \- 115,600\.00 \- 160,000\.00 USD annually  
USA, WA, Bellevue \- 115,600\.00 \- 160,000\.00 USD annually</t>
        </is>
      </c>
    </row>
    <row r="58">
      <c r="A58" t="inlineStr">
        <is>
          <t>in-308ed11a5be437e4</t>
        </is>
      </c>
      <c r="B58" t="inlineStr">
        <is>
          <t>Senior Program Manager, Content Design, Learning and Development</t>
        </is>
      </c>
      <c r="C58" t="inlineStr">
        <is>
          <t>Amazon.com</t>
        </is>
      </c>
      <c r="D58" t="inlineStr">
        <is>
          <t>indeed</t>
        </is>
      </c>
      <c r="E58">
        <f>HYPERLINK("https://www.indeed.com/viewjob?jk=308ed11a5be437e4", "https://www.indeed.com/viewjob?jk=308ed11a5be437e4")</f>
        <v/>
      </c>
      <c r="F58">
        <f>HYPERLINK("https://www.amazon.jobs/jobs/3129940/senior-program-manager-content-design-learning-and-development?cmpid=DA_INAD200785B", "https://www.amazon.jobs/jobs/3129940/senior-program-manager-content-design-learning-and-development?cmpid=DA_INAD200785B")</f>
        <v/>
      </c>
      <c r="G58" t="inlineStr">
        <is>
          <t>Arlington, VA, US</t>
        </is>
      </c>
      <c r="H58" s="2" t="n">
        <v>45972</v>
      </c>
      <c r="I58" t="inlineStr">
        <is>
          <t>**DESCRIPTION**
---------------
The Last Mile Content team is looking for a Content Designer to build scalable Associate and Exempt Leader training North America Amazon Last Mile. This role requires scoping and creating project plans, planning and managing on\-the\-job learning programs including content design, development and measurement across multiple modalities and formats. The ideal candidate will have proven instructional design experience, strong communication skills and the ability to build strong relationships and influence key stakeholders. You will have a proven track record in taking on end\-to\-end ownership and successfully delivering results in a fast\-paced and dynamic business environment. This is an individual contributor role where cross\-functional partnerships will be key to success.  
Candidates should be prepared to share a portfolio during the interview process.  
Key job responsibilities  
* Manage projects amidst ambiguity, competing priorities, and challenging deadlines, adapting quickly to changing circumstances, processes and priorities
* Maintain a deep understanding of program and learner roles to ensure that learning solutions align with audience training needs
* Partner with subject matter experts and program stakeholders to identify learning goals and outcomes
* Collaborate with cross\-functional teams to identify business needs that can be addressed via learning solutions
* Design, develop and deploy learning modules, scenarios, simulations, videos, job aides, instructor\-led training, remote instructor\-led training, eLearning and knowledge assessments
* Measure impact and quickly revise content/modality to address specific feedback, as needed
* Contribute to the development and implementation of templates, learning models and overall best practices
* Demonstrate knowledge of learning principles and methodologies and ability to communicate difficult concepts and processes using clear and simple language and visuals
* Identify gaps, assess needs, create goals, and work backwards to develop right\-sized learning solutions
* Maintain knowledge of new developments in learning design and learning analytics through continuous research to drive innovation
A day in the life  
Your day will be a dynamic blend of creative design, strategic planning, and collaborative problem\-solving. You'll dive into designing comprehensive learning programs, translating complex operational knowledge into clear, accessible content across multiple formats and platforms  
About the team  
Our Last Mile Training team is dedicated to developing world\-class learning experiences that support the growth and success of our frontline leaders in NA Last Mile Operations. We believe in creating training that is not just informative, but transformative, helping our associates develop skills that extend far beyond their current roles  
We are committed to maintaining and creating relevant, up\-to\-date content that aligns with business needs and customer feedback. We are dedicated to continuous improvement, leveraging customer obsession and efficient processes to provide a positive learning experience that drives operational excellence and career advancement.**BASIC QUALIFICATIONS**
------------------------
* 5\+ years of program or project management experience
* Experience using data and metrics to determine and drive improvements
* Experience owning program strategy, end to end delivery, and communicating results to senior leadership
* Have an online portfolio or samples of work on resume, demonstrating experience creating great end\-to\-end, user\-centered design solutions and patterns, across desktop and mobile devices
* Experience in creating learning content and instructional materials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\- 104,100\.00 \- 155,400\.00 USD annually  
USA, VA, Arlington \- 115,600\.00 \- 160,000\.00 USD annually  
USA, WA, Bellevue \- 115,600\.00 \- 160,000\.00 USD annually</t>
        </is>
      </c>
    </row>
    <row r="59">
      <c r="A59" t="inlineStr">
        <is>
          <t>in-a4307e9ae8be9be0</t>
        </is>
      </c>
      <c r="B59" t="inlineStr">
        <is>
          <t>Senior Program Manager, Content Design, Learning and Development</t>
        </is>
      </c>
      <c r="C59" t="inlineStr">
        <is>
          <t>Amazon.com</t>
        </is>
      </c>
      <c r="D59" t="inlineStr">
        <is>
          <t>indeed</t>
        </is>
      </c>
      <c r="E59">
        <f>HYPERLINK("https://www.indeed.com/viewjob?jk=a4307e9ae8be9be0", "https://www.indeed.com/viewjob?jk=a4307e9ae8be9be0")</f>
        <v/>
      </c>
      <c r="F59">
        <f>HYPERLINK("https://www.amazon.jobs/jobs/3129940/senior-program-manager-content-design-learning-and-development?cmpid=DA_INAD200785B", "https://www.amazon.jobs/jobs/3129940/senior-program-manager-content-design-learning-and-development?cmpid=DA_INAD200785B")</f>
        <v/>
      </c>
      <c r="G59" t="inlineStr">
        <is>
          <t>Bellevue, WA, US</t>
        </is>
      </c>
      <c r="H59" s="2" t="n">
        <v>45972</v>
      </c>
      <c r="I59" t="inlineStr">
        <is>
          <t>**DESCRIPTION**
---------------
The Last Mile Content team is looking for a Content Designer to build scalable Associate and Exempt Leader training North America Amazon Last Mile. This role requires scoping and creating project plans, planning and managing on\-the\-job learning programs including content design, development and measurement across multiple modalities and formats. The ideal candidate will have proven instructional design experience, strong communication skills and the ability to build strong relationships and influence key stakeholders. You will have a proven track record in taking on end\-to\-end ownership and successfully delivering results in a fast\-paced and dynamic business environment. This is an individual contributor role where cross\-functional partnerships will be key to success.  
Candidates should be prepared to share a portfolio during the interview process.  
Key job responsibilities  
* Manage projects amidst ambiguity, competing priorities, and challenging deadlines, adapting quickly to changing circumstances, processes and priorities
* Maintain a deep understanding of program and learner roles to ensure that learning solutions align with audience training needs
* Partner with subject matter experts and program stakeholders to identify learning goals and outcomes
* Collaborate with cross\-functional teams to identify business needs that can be addressed via learning solutions
* Design, develop and deploy learning modules, scenarios, simulations, videos, job aides, instructor\-led training, remote instructor\-led training, eLearning and knowledge assessments
* Measure impact and quickly revise content/modality to address specific feedback, as needed
* Contribute to the development and implementation of templates, learning models and overall best practices
* Demonstrate knowledge of learning principles and methodologies and ability to communicate difficult concepts and processes using clear and simple language and visuals
* Identify gaps, assess needs, create goals, and work backwards to develop right\-sized learning solutions
* Maintain knowledge of new developments in learning design and learning analytics through continuous research to drive innovation
A day in the life  
Your day will be a dynamic blend of creative design, strategic planning, and collaborative problem\-solving. You'll dive into designing comprehensive learning programs, translating complex operational knowledge into clear, accessible content across multiple formats and platforms  
About the team  
Our Last Mile Training team is dedicated to developing world\-class learning experiences that support the growth and success of our frontline leaders in NA Last Mile Operations. We believe in creating training that is not just informative, but transformative, helping our associates develop skills that extend far beyond their current roles  
We are committed to maintaining and creating relevant, up\-to\-date content that aligns with business needs and customer feedback. We are dedicated to continuous improvement, leveraging customer obsession and efficient processes to provide a positive learning experience that drives operational excellence and career advancement.**BASIC QUALIFICATIONS**
------------------------
* 5\+ years of program or project management experience
* Experience using data and metrics to determine and drive improvements
* Experience owning program strategy, end to end delivery, and communicating results to senior leadership
* Have an online portfolio or samples of work on resume, demonstrating experience creating great end\-to\-end, user\-centered design solutions and patterns, across desktop and mobile devices
* Experience in creating learning content and instructional materials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\- 104,100\.00 \- 155,400\.00 USD annually  
USA, VA, Arlington \- 115,600\.00 \- 160,000\.00 USD annually  
USA, WA, Bellevue \- 115,600\.00 \- 160,000\.00 USD annually</t>
        </is>
      </c>
    </row>
    <row r="60">
      <c r="A60" t="inlineStr">
        <is>
          <t>in-5c6a1cb140e045ae</t>
        </is>
      </c>
      <c r="B60" t="inlineStr">
        <is>
          <t>Program Manager, Executive Content and Programs, Global Executive Marketing</t>
        </is>
      </c>
      <c r="C60" t="inlineStr">
        <is>
          <t>Amazon Web Services</t>
        </is>
      </c>
      <c r="D60" t="inlineStr">
        <is>
          <t>indeed</t>
        </is>
      </c>
      <c r="E60">
        <f>HYPERLINK("https://www.indeed.com/viewjob?jk=5c6a1cb140e045ae", "https://www.indeed.com/viewjob?jk=5c6a1cb140e045ae")</f>
        <v/>
      </c>
      <c r="F60">
        <f>HYPERLINK("https://www.amazon.jobs/jobs/3125520/program-manager-executive-content-and-programs-global-executive-marketing?cmpid=DA_INAD200785B", "https://www.amazon.jobs/jobs/3125520/program-manager-executive-content-and-programs-global-executive-marketing?cmpid=DA_INAD200785B")</f>
        <v/>
      </c>
      <c r="G60" t="inlineStr">
        <is>
          <t>Seattle, WA, US</t>
        </is>
      </c>
      <c r="H60" s="2" t="n">
        <v>45970</v>
      </c>
      <c r="I60" t="inlineStr">
        <is>
          <t>**DESCRIPTION**
---------------
Global Executive Marketing (GEM) creates 1:1 and 1:many engagements between AWS leaders and executive customers through content, messaging, and digital and in\-person experiences. As part of this organization, you'll execute content operations that help forge and strengthen relationships with influential decision\-makers who are transforming their industries using AWS cloud and generative AI.  
We're seeking a Program Manager to lead execution of content strategy for select executive programs, including Executive Summit at AWS re:Invent and digital content initiatives. This role will focus on operational coordination and execution across touchpoints while supporting content development. The candidate will have hands\-on experience in content production, digital asset management, and tactical program execution. This position works on high visibility programs and interacts with a diverse group of globally distributed stakeholders.  
Key job responsibilities  
In this role, you'll:  
* Develop and execute compelling content that supports C\-suite engagement and translates strategic narratives into deliverable assets
* Implement scalable content frameworks and playbooks aligned with AWS priorities, managing day\-to\-day content operations and production workflows
* Coordinate innovative programming across multiple formats including digital, events, and experiential activations to drive executive engagement
* Provide tactical editorial support across marquee 1P executive events to ensure consistent execution and delivery
* Manage content production workflows and coordinate with agencies, vendors, and production teams
* Execute event logistics and content coordination for Executive Summit and other high\-visibility executive programs
* Coordinate digital content initiatives including executive podcasts, video content, and interactive digital experiences
* Manage content calendars, asset libraries, and version control across all executive content initiatives
* Track and report on tactical metrics that support broader engagement and business outcome measurement
A day in the life  
* Coordinate with agencies and vendors on content production timelines and deliverables for upcoming executive programs
* Manage content asset updates and maintain version control across digital platforms and event materials
* Execute logistics and coordination for Executive Summit sessions, including speaker preparation materials and technical requirements
* Collaborate with cross\-functional teams to ensure seamless delivery of digital content initiatives and event programming
* Update project trackers, manage content calendars, and provide status reports on tactical execution progress
About the team  
GEM helps architect the relationships with C\-suite customers, helping to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5\+ years of program or project management experience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in-c3829385f11d0395</t>
        </is>
      </c>
      <c r="B61" t="inlineStr">
        <is>
          <t>Program Manager, Executive Content and Programs, Global Executive Marketing</t>
        </is>
      </c>
      <c r="C61" t="inlineStr">
        <is>
          <t>Amazon Web Services</t>
        </is>
      </c>
      <c r="D61" t="inlineStr">
        <is>
          <t>indeed</t>
        </is>
      </c>
      <c r="E61">
        <f>HYPERLINK("https://www.indeed.com/viewjob?jk=c3829385f11d0395", "https://www.indeed.com/viewjob?jk=c3829385f11d0395")</f>
        <v/>
      </c>
      <c r="F61">
        <f>HYPERLINK("https://www.amazon.jobs/jobs/3125520/program-manager-executive-content-and-programs-global-executive-marketing?cmpid=DA_INAD200785B", "https://www.amazon.jobs/jobs/3125520/program-manager-executive-content-and-programs-global-executive-marketing?cmpid=DA_INAD200785B")</f>
        <v/>
      </c>
      <c r="G61" t="inlineStr">
        <is>
          <t>Arlington, VA, US</t>
        </is>
      </c>
      <c r="H61" s="2" t="n">
        <v>45970</v>
      </c>
      <c r="I61" t="inlineStr">
        <is>
          <t>**DESCRIPTION**
---------------
Global Executive Marketing (GEM) creates 1:1 and 1:many engagements between AWS leaders and executive customers through content, messaging, and digital and in\-person experiences. As part of this organization, you'll execute content operations that help forge and strengthen relationships with influential decision\-makers who are transforming their industries using AWS cloud and generative AI.  
We're seeking a Program Manager to lead execution of content strategy for select executive programs, including Executive Summit at AWS re:Invent and digital content initiatives. This role will focus on operational coordination and execution across touchpoints while supporting content development. The candidate will have hands\-on experience in content production, digital asset management, and tactical program execution. This position works on high visibility programs and interacts with a diverse group of globally distributed stakeholders.  
Key job responsibilities  
In this role, you'll:  
* Develop and execute compelling content that supports C\-suite engagement and translates strategic narratives into deliverable assets
* Implement scalable content frameworks and playbooks aligned with AWS priorities, managing day\-to\-day content operations and production workflows
* Coordinate innovative programming across multiple formats including digital, events, and experiential activations to drive executive engagement
* Provide tactical editorial support across marquee 1P executive events to ensure consistent execution and delivery
* Manage content production workflows and coordinate with agencies, vendors, and production teams
* Execute event logistics and content coordination for Executive Summit and other high\-visibility executive programs
* Coordinate digital content initiatives including executive podcasts, video content, and interactive digital experiences
* Manage content calendars, asset libraries, and version control across all executive content initiatives
* Track and report on tactical metrics that support broader engagement and business outcome measurement
A day in the life  
* Coordinate with agencies and vendors on content production timelines and deliverables for upcoming executive programs
* Manage content asset updates and maintain version control across digital platforms and event materials
* Execute logistics and coordination for Executive Summit sessions, including speaker preparation materials and technical requirements
* Collaborate with cross\-functional teams to ensure seamless delivery of digital content initiatives and event programming
* Update project trackers, manage content calendars, and provide status reports on tactical execution progress
About the team  
GEM helps architect the relationships with C\-suite customers, helping to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5\+ years of program or project management experience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in-feb7b00693fdd599</t>
        </is>
      </c>
      <c r="B62" t="inlineStr">
        <is>
          <t>Sr Product Manager – Technical, Amazon Leo for Government</t>
        </is>
      </c>
      <c r="C62" t="inlineStr">
        <is>
          <t>Amazon.com</t>
        </is>
      </c>
      <c r="D62" t="inlineStr">
        <is>
          <t>indeed</t>
        </is>
      </c>
      <c r="E62">
        <f>HYPERLINK("https://www.indeed.com/viewjob?jk=feb7b00693fdd599", "https://www.indeed.com/viewjob?jk=feb7b00693fdd599")</f>
        <v/>
      </c>
      <c r="F62">
        <f>HYPERLINK("https://www.amazon.jobs/jobs/3118682/sr-product-manager--technical-amazon-leo-for-government?cmpid=DA_INAD200785B", "https://www.amazon.jobs/jobs/3118682/sr-product-manager--technical-amazon-leo-for-government?cmpid=DA_INAD200785B")</f>
        <v/>
      </c>
      <c r="G62" t="inlineStr">
        <is>
          <t>Redmond, WA, US</t>
        </is>
      </c>
      <c r="H62" s="2" t="n">
        <v>45951</v>
      </c>
      <c r="I62"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This position will be working within the Product Management Team within Amazon Leo for Government.  
10037  
Key job responsibilities  
We have an immediate opening for a Sr Product Manager – Technical to support the Amazon Leo for Government (ALG) team focusing on DoD and National Security customers. This position will be based in in the Northern Virginia, El Segundo, CA or Redmond, WA areas. This position will be part of the team managing a family of products for high throughput terminals. This is a unique opportunity to innovate and define groundbreaking communications technology with few legacy constraints. The team develops and designs the Amazon Leo for Government products and analyzes performance such as for overall throughput, latency, and system availability. In this role you will:
* Write product roadmaps and product description documents,
* Create detailed product requirements documents based on an intimate knowledge of the specific customer verticals including use case prioritization, feature definition and product roadmap
* Work with leadership team to set the customer strategy and make appropriate high\-judgment trade\-offs between features and speed\-to\-launch
* Manage entire product life cycle from strategic planning to tactical execution and work with key internal and external stakeholders to deliver on that vision
* Research and identify new opportunities to innovate on behalf of our customers
Security Clearance: This position requires that the candidate selected be a US Citizen and must currently possess and maintain an active TS/SCI security clearance.**BASIC QUALIFICATIONS**
------------------------
* Bachelor's degree
* 5\+ years of experience with feature delivery and tradeoffs of a product.
* 5\+ years of experience contributing to engineering discussions around technology decisions and strategy related to a product.
* 5\+ years of experience in representing and advocating for a variety of critical customers and stakeholders during executive\-level prioritization and planning.
* 5\+ years of experience owning/driving roadmap strategy and definition.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in-3b4f7457f6a050a8</t>
        </is>
      </c>
      <c r="B63" t="inlineStr">
        <is>
          <t>Sr Product Manager – Technical, Amazon Leo for Government</t>
        </is>
      </c>
      <c r="C63" t="inlineStr">
        <is>
          <t>Amazon.com</t>
        </is>
      </c>
      <c r="D63" t="inlineStr">
        <is>
          <t>indeed</t>
        </is>
      </c>
      <c r="E63">
        <f>HYPERLINK("https://www.indeed.com/viewjob?jk=3b4f7457f6a050a8", "https://www.indeed.com/viewjob?jk=3b4f7457f6a050a8")</f>
        <v/>
      </c>
      <c r="F63">
        <f>HYPERLINK("https://www.amazon.jobs/jobs/3118682/sr-product-manager--technical-amazon-leo-for-government?cmpid=DA_INAD200785B", "https://www.amazon.jobs/jobs/3118682/sr-product-manager--technical-amazon-leo-for-government?cmpid=DA_INAD200785B")</f>
        <v/>
      </c>
      <c r="G63" t="inlineStr">
        <is>
          <t>El Segundo, CA, US</t>
        </is>
      </c>
      <c r="H63" s="2" t="n">
        <v>45951</v>
      </c>
      <c r="I63"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This position will be working within the Product Management Team within Amazon Leo for Government.  
10037  
Key job responsibilities  
We have an immediate opening for a Sr Product Manager – Technical to support the Amazon Leo for Government (ALG) team focusing on DoD and National Security customers. This position will be based in in the Northern Virginia, El Segundo, CA or Redmond, WA areas. This position will be part of the team managing a family of products for high throughput terminals. This is a unique opportunity to innovate and define groundbreaking communications technology with few legacy constraints. The team develops and designs the Amazon Leo for Government products and analyzes performance such as for overall throughput, latency, and system availability. In this role you will:
* Write product roadmaps and product description documents,
* Create detailed product requirements documents based on an intimate knowledge of the specific customer verticals including use case prioritization, feature definition and product roadmap
* Work with leadership team to set the customer strategy and make appropriate high\-judgment trade\-offs between features and speed\-to\-launch
* Manage entire product life cycle from strategic planning to tactical execution and work with key internal and external stakeholders to deliver on that vision
* Research and identify new opportunities to innovate on behalf of our customers
Security Clearance: This position requires that the candidate selected be a US Citizen and must currently possess and maintain an active TS/SCI security clearance.**BASIC QUALIFICATIONS**
------------------------
* Bachelor's degree
* 5\+ years of experience with feature delivery and tradeoffs of a product.
* 5\+ years of experience contributing to engineering discussions around technology decisions and strategy related to a product.
* 5\+ years of experience in representing and advocating for a variety of critical customers and stakeholders during executive\-level prioritization and planning.
* 5\+ years of experience owning/driving roadmap strategy and definition.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in-d3b62d70e697f981</t>
        </is>
      </c>
      <c r="B64" t="inlineStr">
        <is>
          <t>Sr Product Manager – Technical, Amazon Leo for Government</t>
        </is>
      </c>
      <c r="C64" t="inlineStr">
        <is>
          <t>Amazon.com</t>
        </is>
      </c>
      <c r="D64" t="inlineStr">
        <is>
          <t>indeed</t>
        </is>
      </c>
      <c r="E64">
        <f>HYPERLINK("https://www.indeed.com/viewjob?jk=d3b62d70e697f981", "https://www.indeed.com/viewjob?jk=d3b62d70e697f981")</f>
        <v/>
      </c>
      <c r="F64">
        <f>HYPERLINK("https://www.amazon.jobs/jobs/3118682/sr-product-manager--technical-amazon-leo-for-government?cmpid=DA_INAD200785B", "https://www.amazon.jobs/jobs/3118682/sr-product-manager--technical-amazon-leo-for-government?cmpid=DA_INAD200785B")</f>
        <v/>
      </c>
      <c r="G64" t="inlineStr">
        <is>
          <t>Arlington, VA, US</t>
        </is>
      </c>
      <c r="H64" s="2" t="n">
        <v>45951</v>
      </c>
      <c r="I64"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This position will be working within the Product Management Team within Amazon Leo for Government.  
10037  
Key job responsibilities  
We have an immediate opening for a Sr Product Manager – Technical to support the Amazon Leo for Government (ALG) team focusing on DoD and National Security customers. This position will be based in in the Northern Virginia, El Segundo, CA or Redmond, WA areas. This position will be part of the team managing a family of products for high throughput terminals. This is a unique opportunity to innovate and define groundbreaking communications technology with few legacy constraints. The team develops and designs the Amazon Leo for Government products and analyzes performance such as for overall throughput, latency, and system availability. In this role you will:
* Write product roadmaps and product description documents,
* Create detailed product requirements documents based on an intimate knowledge of the specific customer verticals including use case prioritization, feature definition and product roadmap
* Work with leadership team to set the customer strategy and make appropriate high\-judgment trade\-offs between features and speed\-to\-launch
* Manage entire product life cycle from strategic planning to tactical execution and work with key internal and external stakeholders to deliver on that vision
* Research and identify new opportunities to innovate on behalf of our customers
Security Clearance: This position requires that the candidate selected be a US Citizen and must currently possess and maintain an active TS/SCI security clearance.**BASIC QUALIFICATIONS**
------------------------
* Bachelor's degree
* 5\+ years of experience with feature delivery and tradeoffs of a product.
* 5\+ years of experience contributing to engineering discussions around technology decisions and strategy related to a product.
* 5\+ years of experience in representing and advocating for a variety of critical customers and stakeholders during executive\-level prioritization and planning.
* 5\+ years of experience owning/driving roadmap strategy and definition.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in-ce0a162e6e736bad</t>
        </is>
      </c>
      <c r="B65" t="inlineStr">
        <is>
          <t>Principal Product Manager-Tech, World Wide Grocery Store Tech</t>
        </is>
      </c>
      <c r="C65" t="inlineStr">
        <is>
          <t>Amazon.com</t>
        </is>
      </c>
      <c r="D65" t="inlineStr">
        <is>
          <t>indeed</t>
        </is>
      </c>
      <c r="E65">
        <f>HYPERLINK("https://www.indeed.com/viewjob?jk=ce0a162e6e736bad", "https://www.indeed.com/viewjob?jk=ce0a162e6e736bad")</f>
        <v/>
      </c>
      <c r="F65">
        <f>HYPERLINK("https://www.amazon.jobs/jobs/3117495/principal-product-managertech-world-wide-grocery-store-tech?cmpid=DA_INAD200785B", "https://www.amazon.jobs/jobs/3117495/principal-product-managertech-world-wide-grocery-store-tech?cmpid=DA_INAD200785B")</f>
        <v/>
      </c>
      <c r="G65" t="inlineStr">
        <is>
          <t>Austin, TX, US</t>
        </is>
      </c>
      <c r="H65" s="2" t="n">
        <v>45948</v>
      </c>
      <c r="I65" t="inlineStr">
        <is>
          <t>**DESCRIPTION**
---------------
Amazon Worldwide Grocery Store Tech is seeking a talented Principal Product Manager\-Tech (PMT) to help us grow and evolve our technology platform to further scale under the roof technology.  
Amazon provides Prime members unparalleled convenience and ease of mind by offering one\-hour, ultra fast delivery as well as two\-hour scheduled delivery of tens and thousands of essential products.
To be successful you need to be flexible and entrepreneurial. You are a true owner \- you are passionate about the business and innovate on behalf of our customers. You ideally have experience presenting a strategic vision to SVP/VP leadership, and are excited to think\-out\-of\-the box to solve complex problems.  
Key job responsibilities  
* Define the long\-term tech\-product vision for our stores (e.g., Amazon Fresh stores, Whole Foods Market, Go stores).
* Define the metrics, and your work will have direct impact on the day\-to\-day operations.
* Own the product roadmap to deliver incrementally on the vision.
* Partner closely with engineering teams, UX teams, and operations stakeholders across NA, EU/UK, JP, SG, IN, and MENA.
**BASIC QUALIFICATIONS**
------------------------
* Bachelor's degree
* Experience owning/driving roadmap strategy and definition
* Experience with feature delivery and tradeoffs of a product
* 10\+ years of technical product or program management experience
* Experience contributing to engineering discussions around technology decisions and strategy related to a product
* Experience managing technical products or online services
**PREFERRED QUALIFICATIONS**
----------------------------
* Experience working directly with Engineers on product enhancements
* Experience in project management methodologies, business analysis, or process improvement
* 10\+ years of end to end product delivery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Austin \- 179,900\.00 \- 243,400\.00 USD annually  
USA, WA, Seattle \- 179,900\.00 \- 243,400\.00 USD annually</t>
        </is>
      </c>
    </row>
    <row r="66">
      <c r="A66" t="inlineStr">
        <is>
          <t>in-cce42759a9c41144</t>
        </is>
      </c>
      <c r="B66" t="inlineStr">
        <is>
          <t>Principal Product Manager-Tech, World Wide Grocery Store Tech</t>
        </is>
      </c>
      <c r="C66" t="inlineStr">
        <is>
          <t>Amazon.com</t>
        </is>
      </c>
      <c r="D66" t="inlineStr">
        <is>
          <t>indeed</t>
        </is>
      </c>
      <c r="E66">
        <f>HYPERLINK("https://www.indeed.com/viewjob?jk=cce42759a9c41144", "https://www.indeed.com/viewjob?jk=cce42759a9c41144")</f>
        <v/>
      </c>
      <c r="F66">
        <f>HYPERLINK("https://www.amazon.jobs/jobs/3117495/principal-product-managertech-world-wide-grocery-store-tech?cmpid=DA_INAD200785B", "https://www.amazon.jobs/jobs/3117495/principal-product-managertech-world-wide-grocery-store-tech?cmpid=DA_INAD200785B")</f>
        <v/>
      </c>
      <c r="G66" t="inlineStr">
        <is>
          <t>Seattle, WA, US</t>
        </is>
      </c>
      <c r="H66" s="2" t="n">
        <v>45948</v>
      </c>
      <c r="I66" t="inlineStr">
        <is>
          <t>**DESCRIPTION**
---------------
Amazon Worldwide Grocery Store Tech is seeking a talented Principal Product Manager\-Tech (PMT) to help us grow and evolve our technology platform to further scale under the roof technology.  
Amazon provides Prime members unparalleled convenience and ease of mind by offering one\-hour, ultra fast delivery as well as two\-hour scheduled delivery of tens and thousands of essential products.
To be successful you need to be flexible and entrepreneurial. You are a true owner \- you are passionate about the business and innovate on behalf of our customers. You ideally have experience presenting a strategic vision to SVP/VP leadership, and are excited to think\-out\-of\-the box to solve complex problems.  
Key job responsibilities  
* Define the long\-term tech\-product vision for our stores (e.g., Amazon Fresh stores, Whole Foods Market, Go stores).
* Define the metrics, and your work will have direct impact on the day\-to\-day operations.
* Own the product roadmap to deliver incrementally on the vision.
* Partner closely with engineering teams, UX teams, and operations stakeholders across NA, EU/UK, JP, SG, IN, and MENA.
**BASIC QUALIFICATIONS**
------------------------
* Bachelor's degree
* Experience owning/driving roadmap strategy and definition
* Experience with feature delivery and tradeoffs of a product
* 10\+ years of technical product or program management experience
* Experience contributing to engineering discussions around technology decisions and strategy related to a product
* Experience managing technical products or online services
**PREFERRED QUALIFICATIONS**
----------------------------
* Experience working directly with Engineers on product enhancements
* Experience in project management methodologies, business analysis, or process improvement
* 10\+ years of end to end product delivery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Austin \- 179,900\.00 \- 243,400\.00 USD annually  
USA, WA, Seattle \- 179,900\.00 \- 243,400\.00 USD annually</t>
        </is>
      </c>
    </row>
    <row r="67">
      <c r="A67" t="inlineStr">
        <is>
          <t>in-e47f1047787abe2d</t>
        </is>
      </c>
      <c r="B67" t="inlineStr">
        <is>
          <t>Sr. EHS Program Manager, Safety Learning and Development</t>
        </is>
      </c>
      <c r="C67" t="inlineStr">
        <is>
          <t>Amazon.com</t>
        </is>
      </c>
      <c r="D67" t="inlineStr">
        <is>
          <t>indeed</t>
        </is>
      </c>
      <c r="E67">
        <f>HYPERLINK("https://www.indeed.com/viewjob?jk=e47f1047787abe2d", "https://www.indeed.com/viewjob?jk=e47f1047787abe2d")</f>
        <v/>
      </c>
      <c r="F67">
        <f>HYPERLINK("https://www.amazon.jobs/jobs/3124450/sr-ehs-program-manager-safety-learning-and-development?cmpid=DA_INAD200785B", "https://www.amazon.jobs/jobs/3124450/sr-ehs-program-manager-safety-learning-and-development?cmpid=DA_INAD200785B")</f>
        <v/>
      </c>
      <c r="G67" t="inlineStr">
        <is>
          <t>Nashville, TN, US</t>
        </is>
      </c>
      <c r="H67" s="2" t="n">
        <v>45910</v>
      </c>
      <c r="I67" t="inlineStr">
        <is>
          <t>**DESCRIPTION**
---------------
Amazon is looking for an enthusiastic Sr. Program Manager to join the Workplace Health and Safety (WHS), Safety Learning and Development (SLeD) team. We are not an average company, and this is certainly not your average position. This role offers you the opportunity to revolutionize safety training delivery worldwide. SLeD seeks an experienced, self\-motivated Program Manager who excels in a fast\-paced environment and has a solid background in program management. This role will support the deployment and management of safety training programs for operations associates and leadership globally.
As a Sr. Program Manager, you will work across teams to collaborate, generate buy\-in, develop and execute to a plan. You will drive the expansion and growth of our global safety training programs, scaling globally. You will play a crucial role in devising strategies, fostering partnerships, and executing initiatives to enhance the program's reach and impact. This entails serving as the main point of contact for stakeholders in coordinating and managing strategic, cross\-functional, and business\-critical programs and projects. The ideal candidate excels in crafting large\-scale global training program strategies, encompassing training design, roadmaps, gap analyses, financial planning, communication, and launch plans in a dynamic and diverse business environment. Effective communication and program management skills are essential, enabling you to manage multiple competing priorities and coordinate work across teams. The successful candidate will be proficient at working with data to identify trends, identify improvement opportunities, and proactively define plans to realize these opportunities.
To be successful in this role, the candidate will effectively multitask and prioritize, utilize data to encourage decisions, and maintain a high level of independence. They will be comfortable working in a growing and ambiguous work environment as we constantly improve and innovate. This leader must have solid written and verbal communications skills, the ability to influence stakeholders, and willingness to dive deep into details.  
Key job responsibilities  
Key job responsibilities  
* Accountable for the overall program strategy and planning for their regions/business units, communicate program requirements, negotiate priorities, and define success metrics
* Apply project management best practices to drive plan execution, mitigate risks, and improve effectiveness to deliver results in a timely manner
* Continuously improve program components and mechanisms to drive results and provide program status communication, deliver clear and concise summaries to leadership teams and effectively answer questions
* Serve as the primary point of contact for coordinating and managing strategic, cross\-functional, and business\-critical training programs and projects
* Build partnerships with key stakeholders and organizations to promote training program adoption.
* Effectively communicate and manage multiple, competing priorities while coordinating work across teams
* Define, track, and monitor progress against success metrics and project plans. Analyze and report on overall project health using key performance indicators and success metrics, and accurately and clearly report on status against program objectives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5\+ years of program or project management experience
* Experience using data and metrics to determine and drive improvements
* Experience owning program strategy, end to end delivery, and communicating results to senior leadership
* Bachelor's degree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in-c16e6dbe3bc1a697</t>
        </is>
      </c>
      <c r="B68" t="inlineStr">
        <is>
          <t>Sr. EHS Program Manager, Safety Learning and Development</t>
        </is>
      </c>
      <c r="C68" t="inlineStr">
        <is>
          <t>Amazon.com</t>
        </is>
      </c>
      <c r="D68" t="inlineStr">
        <is>
          <t>indeed</t>
        </is>
      </c>
      <c r="E68">
        <f>HYPERLINK("https://www.indeed.com/viewjob?jk=c16e6dbe3bc1a697", "https://www.indeed.com/viewjob?jk=c16e6dbe3bc1a697")</f>
        <v/>
      </c>
      <c r="F68">
        <f>HYPERLINK("https://www.amazon.jobs/jobs/3124450/sr-ehs-program-manager-safety-learning-and-development?cmpid=DA_INAD200785B", "https://www.amazon.jobs/jobs/3124450/sr-ehs-program-manager-safety-learning-and-development?cmpid=DA_INAD200785B")</f>
        <v/>
      </c>
      <c r="G68" t="inlineStr">
        <is>
          <t>Bellevue, WA, US</t>
        </is>
      </c>
      <c r="H68" s="2" t="n">
        <v>45910</v>
      </c>
      <c r="I68" t="inlineStr">
        <is>
          <t>**DESCRIPTION**
---------------
Amazon is looking for an enthusiastic Sr. Program Manager to join the Workplace Health and Safety (WHS), Safety Learning and Development (SLeD) team. We are not an average company, and this is certainly not your average position. This role offers you the opportunity to revolutionize safety training delivery worldwide. SLeD seeks an experienced, self\-motivated Program Manager who excels in a fast\-paced environment and has a solid background in program management. This role will support the deployment and management of safety training programs for operations associates and leadership globally.
As a Sr. Program Manager, you will work across teams to collaborate, generate buy\-in, develop and execute to a plan. You will drive the expansion and growth of our global safety training programs, scaling globally. You will play a crucial role in devising strategies, fostering partnerships, and executing initiatives to enhance the program's reach and impact. This entails serving as the main point of contact for stakeholders in coordinating and managing strategic, cross\-functional, and business\-critical programs and projects. The ideal candidate excels in crafting large\-scale global training program strategies, encompassing training design, roadmaps, gap analyses, financial planning, communication, and launch plans in a dynamic and diverse business environment. Effective communication and program management skills are essential, enabling you to manage multiple competing priorities and coordinate work across teams. The successful candidate will be proficient at working with data to identify trends, identify improvement opportunities, and proactively define plans to realize these opportunities.
To be successful in this role, the candidate will effectively multitask and prioritize, utilize data to encourage decisions, and maintain a high level of independence. They will be comfortable working in a growing and ambiguous work environment as we constantly improve and innovate. This leader must have solid written and verbal communications skills, the ability to influence stakeholders, and willingness to dive deep into details.  
Key job responsibilities  
Key job responsibilities  
* Accountable for the overall program strategy and planning for their regions/business units, communicate program requirements, negotiate priorities, and define success metrics
* Apply project management best practices to drive plan execution, mitigate risks, and improve effectiveness to deliver results in a timely manner
* Continuously improve program components and mechanisms to drive results and provide program status communication, deliver clear and concise summaries to leadership teams and effectively answer questions
* Serve as the primary point of contact for coordinating and managing strategic, cross\-functional, and business\-critical training programs and projects
* Build partnerships with key stakeholders and organizations to promote training program adoption.
* Effectively communicate and manage multiple, competing priorities while coordinating work across teams
* Define, track, and monitor progress against success metrics and project plans. Analyze and report on overall project health using key performance indicators and success metrics, and accurately and clearly report on status against program objectives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5\+ years of program or project management experience
* Experience using data and metrics to determine and drive improvements
* Experience owning program strategy, end to end delivery, and communicating results to senior leadership
* Bachelor's degree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in-4806ce1045d87b9e</t>
        </is>
      </c>
      <c r="B69" t="inlineStr">
        <is>
          <t>Principal Product Manager - Technical, Alexa Communications</t>
        </is>
      </c>
      <c r="C69" t="inlineStr">
        <is>
          <t>Amazon.com</t>
        </is>
      </c>
      <c r="D69" t="inlineStr">
        <is>
          <t>indeed</t>
        </is>
      </c>
      <c r="E69">
        <f>HYPERLINK("https://www.indeed.com/viewjob?jk=4806ce1045d87b9e", "https://www.indeed.com/viewjob?jk=4806ce1045d87b9e")</f>
        <v/>
      </c>
      <c r="F69">
        <f>HYPERLINK("https://www.amazon.jobs/jobs/3137022/principal-product-manager--technical-alexa-communications?cmpid=DA_INAD200785B", "https://www.amazon.jobs/jobs/3137022/principal-product-manager--technical-alexa-communications?cmpid=DA_INAD200785B")</f>
        <v/>
      </c>
      <c r="G69" t="inlineStr">
        <is>
          <t>Irvine, CA, US</t>
        </is>
      </c>
      <c r="H69" s="2" t="n">
        <v>45993</v>
      </c>
      <c r="I69"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Principal Product Manager \- Technical in Alexa Communications,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as a strong leader who can prioritize well, communicate clearly and effectively influence across cross\-functional teams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\- 179,900\.00 \- 243,400\.00 USD annually  
USA, CA, Sunnyvale \- 206,900\.00 \- 279,900\.00 USD annually  
USA, WA, Seattle \- 179,900\.00 \- 243,400\.00 USD annually</t>
        </is>
      </c>
    </row>
    <row r="70">
      <c r="A70" t="inlineStr">
        <is>
          <t>in-6aa1c29757019576</t>
        </is>
      </c>
      <c r="B70" t="inlineStr">
        <is>
          <t>Principal Product Manager - Technical, Alexa Communications</t>
        </is>
      </c>
      <c r="C70" t="inlineStr">
        <is>
          <t>Amazon.com</t>
        </is>
      </c>
      <c r="D70" t="inlineStr">
        <is>
          <t>indeed</t>
        </is>
      </c>
      <c r="E70">
        <f>HYPERLINK("https://www.indeed.com/viewjob?jk=6aa1c29757019576", "https://www.indeed.com/viewjob?jk=6aa1c29757019576")</f>
        <v/>
      </c>
      <c r="F70">
        <f>HYPERLINK("https://www.amazon.jobs/jobs/3137022/principal-product-manager--technical-alexa-communications?cmpid=DA_INAD200785B", "https://www.amazon.jobs/jobs/3137022/principal-product-manager--technical-alexa-communications?cmpid=DA_INAD200785B")</f>
        <v/>
      </c>
      <c r="G70" t="inlineStr">
        <is>
          <t>Sunnyvale, CA, US</t>
        </is>
      </c>
      <c r="H70" s="2" t="n">
        <v>45993</v>
      </c>
      <c r="I70"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Principal Product Manager \- Technical in Alexa Communications,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as a strong leader who can prioritize well, communicate clearly and effectively influence across cross\-functional teams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\- 179,900\.00 \- 243,400\.00 USD annually  
USA, CA, Sunnyvale \- 206,900\.00 \- 279,900\.00 USD annually  
USA, WA, Seattle \- 179,900\.00 \- 243,400\.00 USD annually</t>
        </is>
      </c>
    </row>
    <row r="71">
      <c r="A71" t="inlineStr">
        <is>
          <t>in-74bf8446c9e6e94c</t>
        </is>
      </c>
      <c r="B71" t="inlineStr">
        <is>
          <t>Principal Product Manager - Technical, Alexa Communications</t>
        </is>
      </c>
      <c r="C71" t="inlineStr">
        <is>
          <t>Amazon.com</t>
        </is>
      </c>
      <c r="D71" t="inlineStr">
        <is>
          <t>indeed</t>
        </is>
      </c>
      <c r="E71">
        <f>HYPERLINK("https://www.indeed.com/viewjob?jk=74bf8446c9e6e94c", "https://www.indeed.com/viewjob?jk=74bf8446c9e6e94c")</f>
        <v/>
      </c>
      <c r="F71">
        <f>HYPERLINK("https://www.amazon.jobs/jobs/3137022/principal-product-manager--technical-alexa-communications?cmpid=DA_INAD200785B", "https://www.amazon.jobs/jobs/3137022/principal-product-manager--technical-alexa-communications?cmpid=DA_INAD200785B")</f>
        <v/>
      </c>
      <c r="G71" t="inlineStr">
        <is>
          <t>Seattle, WA, US</t>
        </is>
      </c>
      <c r="H71" s="2" t="n">
        <v>45993</v>
      </c>
      <c r="I71"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Principal Product Manager \- Technical in Alexa Communications,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as a strong leader who can prioritize well, communicate clearly and effectively influence across cross\-functional teams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\- 179,900\.00 \- 243,400\.00 USD annually  
USA, CA, Sunnyvale \- 206,900\.00 \- 279,900\.00 USD annually  
USA, WA, Seattle \- 179,900\.00 \- 243,400\.00 USD annually</t>
        </is>
      </c>
    </row>
    <row r="72">
      <c r="A72" t="inlineStr">
        <is>
          <t>in-75c01d24ed134e6f</t>
        </is>
      </c>
      <c r="B72" t="inlineStr">
        <is>
          <t>Principal Product Manager - Tech, Recommender Systems, Prime Video Personalization &amp; Discovery</t>
        </is>
      </c>
      <c r="C72" t="inlineStr">
        <is>
          <t>Amazon.com</t>
        </is>
      </c>
      <c r="D72" t="inlineStr">
        <is>
          <t>indeed</t>
        </is>
      </c>
      <c r="E72">
        <f>HYPERLINK("https://www.indeed.com/viewjob?jk=75c01d24ed134e6f", "https://www.indeed.com/viewjob?jk=75c01d24ed134e6f")</f>
        <v/>
      </c>
      <c r="F72">
        <f>HYPERLINK("https://www.amazon.jobs/jobs/2956622/principal-product-manager--tech-recommender-systems-prime-video-personalization--discovery-?cmpid=DA_INAD200785B", "https://www.amazon.jobs/jobs/2956622/principal-product-manager--tech-recommender-systems-prime-video-personalization--discovery-?cmpid=DA_INAD200785B")</f>
        <v/>
      </c>
      <c r="G72" t="inlineStr">
        <is>
          <t>Washington, DC, US</t>
        </is>
      </c>
      <c r="H72" s="2" t="n">
        <v>45753</v>
      </c>
      <c r="I7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in-21f4799f08b226a2</t>
        </is>
      </c>
      <c r="B73" t="inlineStr">
        <is>
          <t>Principal Product Manager - Tech, Recommender Systems, Prime Video Personalization &amp; Discovery</t>
        </is>
      </c>
      <c r="C73" t="inlineStr">
        <is>
          <t>Amazon.com</t>
        </is>
      </c>
      <c r="D73" t="inlineStr">
        <is>
          <t>indeed</t>
        </is>
      </c>
      <c r="E73">
        <f>HYPERLINK("https://www.indeed.com/viewjob?jk=21f4799f08b226a2", "https://www.indeed.com/viewjob?jk=21f4799f08b226a2")</f>
        <v/>
      </c>
      <c r="F73">
        <f>HYPERLINK("https://www.amazon.jobs/jobs/2956622/principal-product-manager--tech-recommender-systems-prime-video-personalization--discovery-?cmpid=DA_INAD200785B", "https://www.amazon.jobs/jobs/2956622/principal-product-manager--tech-recommender-systems-prime-video-personalization--discovery-?cmpid=DA_INAD200785B")</f>
        <v/>
      </c>
      <c r="G73" t="inlineStr">
        <is>
          <t>Seattle, WA, US</t>
        </is>
      </c>
      <c r="H73" s="2" t="n">
        <v>45753</v>
      </c>
      <c r="I7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9"/>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li-4315965994</t>
        </is>
      </c>
      <c r="B2" t="inlineStr">
        <is>
          <t>Product Manager</t>
        </is>
      </c>
      <c r="C2" t="inlineStr">
        <is>
          <t>Stainless</t>
        </is>
      </c>
      <c r="D2" t="inlineStr">
        <is>
          <t>linkedin</t>
        </is>
      </c>
      <c r="E2" t="inlineStr"/>
      <c r="F2" t="inlineStr"/>
      <c r="G2" t="inlineStr">
        <is>
          <t>New York, NY</t>
        </is>
      </c>
      <c r="H2" t="inlineStr"/>
      <c r="I2" t="inlineStr">
        <is>
          <t>**About Stainless**
 Stainless is a fast\-growing tech startup building the future of APIs. Our customers include industry leaders like OpenAI, Anthropic, and Cloudflare.
 We have raised over $35 million from a16z, Sequoia, and founders/C\-levels from Stripe, Datadog, Segment, Linear, and more.
 We are headquartered in NYC, just west of SoHo, and are a team of \~60 strong expecting to double in the next \~9 to 12 months.
**About The Role**
 We're hiring our first Product Manager at Stainless.
 We’ve built a strong technical foundation and are seeing real traction with customers. Now we’re looking for someone to help scale the product thoughtfully. As the first PM, you’ll work directly with the founder and engineering team to shape what we build, how we build it, and when.
 We’re looking for someone who's very technical and loves digging into real customer needs and translating them into high\-leverage product decisions. You'll have a ton of ownership and impact from day one.
**What You’ll Do**
* Work closely with engineering to scope and ship features quickly and thoughtfully
* Talk regularly with users, understand their workflows, and turn insights into product improvements
* Define product requirements and drive clarity across teams
* Contribute to positioning, launches, and go\-to\-market alongside marketing and sales
**Who You Are**
* You have a software engineering background and a strong technical foundation — enough to deeply understand APIs, architecture, and developer workflows
* Clear, structured thinking and excellent communication skills
* You’ve started something before: a business, a club, a nonprofit, a student org; anything that shows you’re a builder at heart.
* Comfort with ambiguity and a desire to help build from the ground up
**Benefits**
* We offer competitive salary and generous equity grants.
* Great healthcare coverage options (e.g., fully covered platinum plans).
* Paid commuter benefits \&amp; similar.
* Paid team lunch/meals during workdays.
* Flexible PTO plus 3 weeks of company\-wide vacation a year (2 weeks in December, 1 week at the end of the summer).
* Flexible WFH and 1 month fully remote per year ("remote February").</t>
        </is>
      </c>
    </row>
    <row r="3">
      <c r="A3" t="inlineStr">
        <is>
          <t>li-4312911567</t>
        </is>
      </c>
      <c r="B3" t="inlineStr">
        <is>
          <t>Product Manager</t>
        </is>
      </c>
      <c r="C3" t="inlineStr">
        <is>
          <t>Brain Co.</t>
        </is>
      </c>
      <c r="D3" t="inlineStr">
        <is>
          <t>linkedin</t>
        </is>
      </c>
      <c r="E3" t="inlineStr"/>
      <c r="F3" t="inlineStr"/>
      <c r="G3" t="inlineStr"/>
      <c r="H3" t="inlineStr"/>
      <c r="I3" t="inlineStr">
        <is>
          <t>**About Brain Co.**
 Brain Co. is building the infrastructure that turns advanced AI research into real\-world impact. We work at the frontier of productionizing AI for complex, high\-stakes environments—particularly in government and regulated industries where manual workflows still dominate.
 Our mission is to make AI systems
 **reliable, scalable, and dependable** 
 in the real world. That means going beyond demos and models to build robust platforms that support complex workflows, human\-in\-the\-loop processes, and production\-grade reliability at scale.
**About The Role**
 We’re looking for a Product Manager to join our growing Product team and take full ownership of a well\-scoped product area from day one. You’ll translate business problems into PRDs, partner closely with engineering and design, and drive projects through build, launch, and iteration.
 This role is ideal for someone who thrives in fast\-paced, early\-stage environments, can bring structure to ambiguity, and enjoys turning complex ideas into clear, executable plans. Success in this role will open the path to broader product ownership and leadership scope over time.
 This role will be filled through a referral\-only network approach. We are not accepting inbound applications.
**In This Role, You Will**
* Own a defined product area end\-to\-end — from discovery and scoping through design, development, and delivery
* Write crisp PRDs and translate complex problems into actionable technical requirements
* Collaborate with engineering, design, and operations to ship high\-quality products quickly
* Manage execution timelines, milestones, and dependencies to ensure on\-time delivery
* Establish clarity and alignment across teams in a fast\-moving environment
* Measure impact, gather feedback, and drive iteration to ensure continuous improvement
* Help shape Brain Co.’s product development culture and best practices as the team scales
**You Might Thrive In This Role If You**
* Have product experience in tech\-forward companies within insurance, finance, or legal domains
* Bring early\-stage or startup experience, thriving in high\-ownership, low\-structure environments
* Have a track record of taking projects from concept or statement of work through launch
* Communicate clearly across technical and business audiences
* Are proactive, detail\-oriented, and comfortable managing multiple workstreams at once
* Enjoy building process lightly but effectively to help teams move faster
* Are motivated by seeing your work deployed and making real\-world impact
**Benefits**
* Competitive salary plus equity
* Daily lunches
* Commuter benefits
* 401(k)
* Medical, Dental, and Vision
* Unlimited PTO
**Why Join Us**
* Ship quickly, iterate constantly, and see your work deployed at global scale
* Collaborate with industry veterans from Tesla, DeepMind, Databricks, and more
* Accelerate your career with ownership based on impact, not tenure
* Earn competitive compensation \+ meaningful equity in a high\-growth company
* Thrive in a culture built on speed, curiosity, and impact</t>
        </is>
      </c>
    </row>
    <row r="4">
      <c r="A4" t="inlineStr">
        <is>
          <t>li-4373250322</t>
        </is>
      </c>
      <c r="B4" t="inlineStr">
        <is>
          <t>Product Manager, Platform</t>
        </is>
      </c>
      <c r="C4" t="inlineStr">
        <is>
          <t>Brain Co.</t>
        </is>
      </c>
      <c r="D4" t="inlineStr">
        <is>
          <t>linkedin</t>
        </is>
      </c>
      <c r="E4" t="inlineStr"/>
      <c r="F4" t="inlineStr"/>
      <c r="G4" t="inlineStr"/>
      <c r="H4" t="inlineStr"/>
      <c r="I4" t="inlineStr">
        <is>
          <t>**About Brain Co.**
 Brain Co. is building the infrastructure that turns advanced AI research into real\-world impact. We work at the frontier of productionizing AI for complex, high\-stakes environments—particularly in government and regulated industries where manual workflows still dominate.
 Our mission is to make AI systems
 **reliable, scalable, and dependable** 
 in the real world. That means going beyond demos and models to build robust platforms that support complex workflows, human\-in\-the\-loop processes, and production\-grade reliability at scale.
**About The Role**
 We are looking for a Platform Product Manager to help shape how shared systems and foundations evolve as the company scales. The role focuses on spotting patterns across what teams are building, deciding when it makes sense to standardize, and ensuring foundations and shared components help teams move faster without adding overhead.
 You will work closely with engineering to balance speed and consistency, making thoughtful decisions about what should be shared and what should remain flexible. We are looking for someone with strong builder instincts, who knows when to step in, when to step back, and how to maximize overall impact.
**In This Role, You Will**
* Identify repeated engineering patterns and delivery friction across products and customers.
* Determine when a shared system or standard should exist versus when work should remain product\-owned.
* Partner with engineering to define clear interfaces, ownership, and readiness expectations for shared systems.
* Ensure shared foundations and components become the easiest and safest path for teams to ship.
* Evaluate adoption and real\-world usage of shared systems and use that feedback to guide iteration.
* Keep platform processes lightweight and grounded in real delivery needs.
* Protect product team velocity by avoiding premature standardization or unnecessary coordination.
* Create clarity across teams by making ownership boundaries and expectations explicit.
 You Might Thrive in This Role If You
* Have shipped and scaled real systems and understand delivery tradeoffs.
* Bring a technical or builder mindset and strong product judgment.
* Know how to introduce standards without over\-constraining teams.
* Are comfortable operating in ambiguity and making high\-impact decisions with incomplete information.
* Communicate clearly across engineering and product.
* Bias toward speed, leverage, and practical outcomes over process.
 What Success Looks Like
* Product teams ship faster with less duplicated effort.
* Expanding a product to new customers or regions requires significantly less incremental work.
* Shared systems see broad, voluntary adoption because they are genuinely useful.
* Platform work reduces friction rather than introducing new bottlenecks.
* Decisions about standardization are clearly grounded in real usage and outcomes.</t>
        </is>
      </c>
    </row>
    <row r="5">
      <c r="A5" t="inlineStr">
        <is>
          <t>li-4308851890</t>
        </is>
      </c>
      <c r="B5" t="inlineStr">
        <is>
          <t>Product Manager - AI Agents</t>
        </is>
      </c>
      <c r="C5" t="inlineStr">
        <is>
          <t>Assembled</t>
        </is>
      </c>
      <c r="D5" t="inlineStr">
        <is>
          <t>linkedin</t>
        </is>
      </c>
      <c r="E5" t="inlineStr"/>
      <c r="F5" t="inlineStr"/>
      <c r="G5" t="inlineStr">
        <is>
          <t>New York, United States</t>
        </is>
      </c>
      <c r="H5" t="inlineStr"/>
      <c r="I5" t="inlineStr">
        <is>
          <t>**About Assembled**
 Great customer support requires human agents and AI in perfect balance, and Assembled is the only unified platform that orchestrates both at scale. Companies like Canva, Etsy, and Robinhood use Assembled to coordinate their entire support operation — in\-house agents, BPOs, and AI — in a single operating system. With AI Agents that resolve cases end\-to\-end, AI Copilot for agent assistance, and AI\-powered workforce management that optimizes both human and AI capacity, Assembled helps teams deliver faster, better service while making smarter decisions about how to staff and automate. Backed by $70M from NEA, Emergence Capital, and Stripe, we're building the platform that makes AI and human collaboration actually work.
**The Team**
 We are building products at Assembled that our customers absolutely love that are helping a ton of real people around the globe get better customer support. Our AI Agents are solving cases across channels. We are looking for another product manager to join our team and help us continue to delight and grow in this fast\- moving and highly competitive AI for Support space.
 Product Management at Assembled is responsible for articulating the most important problems to solve in a way that will delight customers and grow the business. To do this, you should expect to partner closely with support teams at the world's best brands (of all sizes) and regularly meet with prospects to paint the vision and learn about their problems and what resonates. PMs here also grease the works across the company to make everything go smoother, from understanding impact to enabling teams to evangelizing new ways to leverage AI to shouting out wins.
 In this role, you bring strategy to life and drive innovation at the intersection of what's possible with rapidly evolving models, rich data, strong user experience. And, you'll work with a small team of phenomenal PMs from diverse and impressive backgrounds who are all innovating in how to build products in the age of AI.
**Your Day To Day Will Include**
* Work with prospects and customers to deeply understand problems and needs. Conduct research and interviews, partner across functions, and analyze feedback and usage data.
* Collaborate with engineering and design teams to design and deliver impactful solutions. Provide clear requirements and direction, prioritize key features, and remove blockers. Our team is highly collaborative and individual engineers and designers wear a lot of hats. Expect and empower rigorous discussion and debate.
* Evangelize the product vision and roadmap to internal and external stakeholders. Share the "why" behind key decisions and rally teams around the product strategy.
* Foster a culture of experimentation and iteration. Design ways to test and validate new features or strategies, measuring impact \&amp; adoption and incorporating learnings.
* Drive product performance and key metrics. Report on insights to leadership and cross\-functional teams and craft strategies to drive adoption and value.
* Champion high product quality. We hold a high bar for usability, visual design, as well as relevance to complex user workflows.
* Foster a fast\-paced, growth\-mindset, empathetic culture. The needs of our customers are changing quickly as companies grow (or shrink) and navigate new ways of working. At the same time, our company has more than doubled the number of customers in the past year. The ability to thrive in ambiguity and change and help us proactively shape the function and culture is critical.
**Preferred Qualifications**
* Minimum of 3 years of product management experience in fast\-growing tech environments (Enterprise SaaS experience strongly preferred)
* Passion for AI and experience either as a deep personal user and/or in work
* Collaborative style, with a track record of building strong partnerships, trust, and respect across functions and making the people around you more effective
* You've led and shipped complex, impactful products that show you know how to handle tradeoffs and obstacles
* Strong written and verbal communication skills: this is a rigorous writing culture that welcomes discussion and feedback
* Customer orientation, with a passion for translating business problems into product solutions
* Analytical mindset and ability to meaningfully engage with data
* Technical fluency to drill into complex design and implementation challenges
 The estimated base salary range for this role is $180,000 \- $225,000 per year. The base pay offered may vary depending on location, job\-related knowledge, skills, and experience. Stock options are provided as part of the compensation package, in addition to a full range of medical, financial, and/or other benefits, dependent on the position offered.
*We know great candidates don’t always meet every requirement listed in a job description. If the role excites you and you believe you can make an impact at Assembled, we encourage you to apply. We value diverse perspectives and are committed to building an inclusive workplace where everyone feels like they belong and has the opportunity to do their best work. We look forward to hearing from you!*
**For United States Applicants**
*Assembled participates in E\-Verify and will provide the federal government with your Form I\-9 information to confirm that you are authorized to work in the United States.*
**For United Kingdom Applicants**
*Assembled is required to verify your right to work in the UK and will conduct a Right to Work check prior to employment in accordance with applicable law.*</t>
        </is>
      </c>
    </row>
    <row r="6">
      <c r="A6" t="inlineStr">
        <is>
          <t>li-4311643458</t>
        </is>
      </c>
      <c r="B6" t="inlineStr">
        <is>
          <t>Associate Product Manager</t>
        </is>
      </c>
      <c r="C6" t="inlineStr">
        <is>
          <t>MillerKnoll</t>
        </is>
      </c>
      <c r="D6" t="inlineStr">
        <is>
          <t>linkedin</t>
        </is>
      </c>
      <c r="E6" t="inlineStr"/>
      <c r="F6" t="inlineStr"/>
      <c r="G6" t="inlineStr">
        <is>
          <t>Holland, MI</t>
        </is>
      </c>
      <c r="H6" t="inlineStr"/>
      <c r="I6" t="inlineStr">
        <is>
          <t>**Why join us?**
 Our purpose is design for the good of humankind. It’s the ideal we strive toward each day in everything we do. Being a part of MillerKnoll means being a part of something larger than your work team, or even your brand. We are redefining modern for the 21st century. And our success allows MillerKnoll to support causes that align with our values, so we can build a more sustainable, equitable, and beautiful future for everyone.
 GENERAL PURPOSE
 Assists with a specified product line(s) by developing, implementing, and managing product management activities to provide optimum sales and profits. Compiles and evaluates research on assigned product line(s) to establish management strategies. Assists with product direction, pricing, profit plans and product development, to manage the product line(s) life cycle.
**Essential Functions**
* Define market opportunities, determined by an analytical assessment. Translate the market need into a product\- specific criteria and supports the product development and commercialization process with various product management tactics.
* Provide market driven input to individual product plans and strategy.
* Regularly monitor and analyze data pertaining to product or category metrics, programs, and competitive markets to provide insights, observations, and recommendations to obtain goals.
* 
* Develop necessary analysis globally and implements pricing, including regional pricing and currency calculations; completes required workflows.
* Assist and provide backup to Product Managers with the preparation of product training presentations and other various internal presentation opportunities.
* Field general questions including competitive inquiries and make decisions or recommendations to resolve.
* Participate in and support new product launch deliverables and contribute to CP, BP, MLP, etc NPC milestones.
* Provide direction and recommendations in support of data management system functionality and usage.
* Create necessary product sales support and training information including product feature summaries, competitive evaluations and pricing comparisons.
* Involved in resolving quality issues and driving changes that affect P\&amp;L.
* Participate in user / customer observation and take an active role in leading some efforts.
* Performs additional responsibilities as requested to achieve business objectives.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**Education/Experience**
* Bachelor's Degree required. Bachelor's degree in Business, Merchandising or Interior Design preferred.
* Strong fundamental understanding of product management best practices and processes, typically gained through 3\-5 years of experience in product management/product marketing or related experience.
* Contract furniture of capital goods marketing experience preferred.
**Skills And Abilities**
* Strong sense of the customer and sales process with demonstrated customer and field interaction.
* Sound understanding of operations, production, supply management, full value stream.
* Understanding of Herman Miller’s channels, including dealer and/or retail, and understanding their main functions (sales, design, and operations)
* Experience working in cross\-functional team environments.
* Outstanding interpersonal and communication skills.
* Ability to investigate and analyze information to make recommendations.
* Must be flexible and adaptable to changes in business, corporate, or project strategy.
* Demonstrated leadership potential and market research experience preferred.
* Strong analytical and project management skills. Ability to develop project plans and manage activities for a medium or large cross functional project.
* Solid understanding of business and financial acumen to foresee marketing levels that affect Herman Miller’s financial performance. Understands how Product Management impacts the financial positioning of the product line.
* Demonstrated ability to effectively use office automation and communication software and tools currently being used in the Herman Miller office environment.
* Willingness to travel to customer sites.
* Must be able to perform all essential functions of the position with or without accommodations.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Must be able to perform all essential functions of the position with or without accommodations.
**Who We Hire?**
 Simply put, we hire qualified applicants representing a wide range of backgrounds and abilities. MillerKnoll is comprised of people of all abilities, gender identities and expressions, ages, ethnicities, sexual orientations, veterans from every branch of military service, and more. Here, you can bring your whole self to work. We’re committed to equal opportunity employment, including veterans and people with disabilities.
 This organization participates in E\-Verify Employment Eligibility Verification. In general, MillerKnoll positions are closed within 45 days and are open for applications for a minimum of 5 days. We encourage our prospective candidates to submit their application(s) expediently so as not to miss out on our opportunities. We frequently post new opportunities and encourage prospective candidates to check back often for new postings.
 MillerKnoll complies with applicable disability laws and makes reasonable accommodations for applicants and employees with disabilities. If reasonable accommodation is needed to participate in the job application or interview process, to perform essential job functions, and/or to receive other benefits and privileges of employment, please contact MillerKnoll Talent Acquisition at careers\_help@millerknoll.com.</t>
        </is>
      </c>
    </row>
    <row r="7">
      <c r="A7" t="inlineStr">
        <is>
          <t>li-4363435892</t>
        </is>
      </c>
      <c r="B7" t="inlineStr">
        <is>
          <t>Associate Product Manager</t>
        </is>
      </c>
      <c r="C7" t="inlineStr">
        <is>
          <t>PrePass</t>
        </is>
      </c>
      <c r="D7" t="inlineStr">
        <is>
          <t>linkedin</t>
        </is>
      </c>
      <c r="E7" t="inlineStr"/>
      <c r="F7" t="inlineStr"/>
      <c r="G7" t="inlineStr">
        <is>
          <t>Phoenix, AZ</t>
        </is>
      </c>
      <c r="H7" t="inlineStr"/>
      <c r="I7" t="inlineStr">
        <is>
          <t>**About PrePass**
 PrePass® is North America's most trusted weigh station bypass and toll management platform. We're transforming how the transportation industry operates—creating solutions that keep trucks moving safely, efficiently, and compliantly. This means making bold decisions and building scalable systems that support not only fleets but the broader economy. It all starts with enabling commercial vehicles to keep rolling through seamless toll management, weigh station bypass, and safety solutions. It's what we do best, and we do it to meet the demands of the road every day.
 That's why people join us: our solutions operate in real time on highways and interstates across the nation, helping fleets go farther, faster. This work is high\-impact and complex, requiring thoughtful leadership, strong execution, and a deep understanding of customer and business needs. We hire bold thinkers with a heart for impact, a passion for progress, and the optimism to shape the future of transportation.
**About The Role**
 We are seeking an Associate Product Manager to play a senior\-level Product Owner role leading development for our Web Platform in a fast\-paced, collaborative environment. This role carries significant ownership and influence, requiring strong product judgment, adaptability, and the ability to deliver high\-quality solutions aligned with business strategy and customer outcomes.
 You will work closely with Product Management, Engineering, Design, and cross\-functional stakeholders to translate product vision and strategic initiatives into well\-defined, high\-impact software solutions. The ideal candidate demonstrates maturity in decision\-making, a strong grasp of web\-based platforms, and the confidence to lead within Agile teams while balancing tactical execution with long\-term product goals. This is a hybrid position based out of our Downtown Phoenix corporate office.
**Essential Responsibilities**
**Product Ownership \&amp; Delivery**
* Own and drive the product backlog, ensuring alignment with product strategy, business objectives, and customer needs
* Make informed prioritization decisions within and across sprints to maximize customer and business value
* Ensure backlog items are clearly articulated, well\-refined, and appropriately estimated to support predictable delivery
* Lead sprint planning, backlog refinement, and discovery sessions, translating complex requirements into clear, actionable user stories
* Partner with Product Management to support roadmap execution and incremental delivery of strategic initiatives
**Collaboration \&amp; Stakeholder Engagement**
* Collaborate closely with engineering, design, QA, and business stakeholders to deliver high\-quality features on time
* Act as a trusted subject matter expert for the web platform, serving as a key point of contact for internal teams
* Proactively communicate priorities, trade\-offs, risks, and progress to stakeholders across the organization
* Support alignment across teams by balancing technical constraints, user experience, and business priorities
**Innovation \&amp; Continuous Improvement**
* Stay current on industry trends, web and API technologies, and Agile best practices to inform product decisions
* Identify opportunities to improve development processes, product scalability, and customer experience
* Contribute to a culture of continuous improvement through data\-informed decision\-making and iterative learning
**Requirements**
****Qualifications****
* Bachelor's degree or equivalent practical experience
* 5\+ years of experience as a Product Owner, Associate Product Manager, or in a similar product\-focused role
* Strong experience in business process analysis and translating requirements into technical solutions
* Solid understanding of web application and API\-based systems
* Proficiency with Agile/Scrum methodologies and backlog management tools (e.g., Jira, Azure DevOps)
* Excellent decision\-making, communication, and organizational skills
* Familiarity with user\-centered design principles and modern web usability standards
* Ability to influence cross\-functional teams and drive outcomes without direct authority
* Some travel may be required
**Desired Characteristics**
* Strategic, outcome\-oriented thinker with a proactive problem\-solving mindset
* Comfortable operating in ambiguity while maintaining clarity and forward momentum
* Strong collaborator with the ability to influence across technical and non\-technical teams
* High level of ownership, accountability, and follow\-through
* Passion for continuous improvement and delivering meaningful customer value
**Benefits**
****How We Will Take Care of You****
* Robust benefit package that includes medical, dental, and vision that start on date of hire.
* Paid Time Off, to include vacation, sick, holidays, and floating holidays.
* Paid parental leave.
* 401(k) plan with employer match.
* Company\-funded "lifestyle account" upon date of hire for you to apply toward your physical and mental well\-being (i.e., ski passes, retreats, gym memberships).
* Tuition Reimbursement Program.
* Voluntary benefits, to include, but not limited to Legal and Pet Discounts.
* Employee Assistance Program (available at no cost to you).
* Company\-sponsored and funded "Culture Team" that focuses on the Physical, Mental, and Professional well\-being of employees.
* Community Give\-Back initiatives.
* Culture that focuses on employee development initiatives.
* Company\-wide bonus and commission plans
**Join Us**
**At PrePass, our mission drives us.**
 We invest in relationships. We challenge ourselves to innovate and improve. We win together. Simply put, we live our Core Values.
**Ready to help move the transportation industry forward? Join us and let's drive progress—together.**</t>
        </is>
      </c>
    </row>
    <row r="8">
      <c r="A8" t="inlineStr">
        <is>
          <t>li-4381515574</t>
        </is>
      </c>
      <c r="B8" t="inlineStr">
        <is>
          <t>Product Owner - Project Hire</t>
        </is>
      </c>
      <c r="C8" t="inlineStr">
        <is>
          <t>The Walt Disney Company</t>
        </is>
      </c>
      <c r="D8" t="inlineStr">
        <is>
          <t>linkedin</t>
        </is>
      </c>
      <c r="E8" t="inlineStr"/>
      <c r="F8" t="inlineStr"/>
      <c r="G8" t="inlineStr">
        <is>
          <t>Burbank, CA</t>
        </is>
      </c>
      <c r="H8" t="inlineStr"/>
      <c r="I8" t="inlineStr">
        <is>
          <t>**Department Description**
 At Disney, we’re storytellers. We make the impossible, possible. The Walt Disney Company is a world\-class entertainment and technological leader. Walt’s passion was to continuously envision new ways to move audiences around the world—a passion that remains our touchstone in an enterprise that stretches from theme parks, resorts and a cruise line to sports, news, movies and a variety of other businesses. Uniting each endeavor is a commitment to creating and delivering unforgettable experiences — and we’re constantly looking for ways to improve these exciting experiences.
 The Enterprise Technology mission is to deliver technology solutions that align to business strategies while enabling enterprise efficiency and promoting cross\-company collaborative innovation. Our group drives competitive advantage by improving our consumer experiences, enabling business growth, and advancing operational excellence.
**Team Description**
 This Product Owner role would be part of our Business Technology Platforms group, which is responsible for the products and platforms that support Disney’s corporate business functions, and our enterprise service management platforms (Appian, Salesforce, \&amp; ServiceNow). This role supports the development efforts of one or more agile teams, in partnership with the individual Product Owners supporting each agile team, to aid maintaining a prioritized focus to delivering commitments to our customers. We’re looking for an individual who is passionate about building outstanding products and is focused on continuously maintaining and enhancing existing products, all to improve Disney’s technical excellence.
* This is an estimated 30\-month project hire placement, with no guarantee of permanent placement.
**What You’ll Do**
* Identify key customers to build relationships with, in order to develop effective product feedback loops for integration to the agile delivery cycle
* Work with partners and team to develop strategy and roadmaps for implementation into Disney Technology business planning cycles and cross\-functional development management
* Define priorities of agile team, managing the team backlog, and prioritizing the user stories, defects, and enablers \- ensuring that these efforts align with the strategic priorities of product strategy and overall roadmap
* Ensure the development of well\-defined user stories and acceptance criteria based on established requirements
* Collaborate with technology and end\-user communities to understand business process and elicit, define, and ensure vital information is detailed for the agile team to deliver the intended business outcomes
* Partner with quality engineering to develop test strategy and write test cases across in alignment with the established standards and practice, execute tests and analyze their results, and resolve defects as needed
* Evaluate the delivered stories against the definition of done and the established acceptance criteria
* Collaborate with business partners on implementation including training, organizational change, and communications
* Partner with the Program Management Office on product/project budgets and forecasting processes
* Remediate difficult problems and sophisticated inquiries related to the development backlog and requirements to ensure successful agile team outcomes; on time, on budget and on function
* Act as a peer group leader to and help train staff on product delivery standards and processes
* Act as subject matter resources with internal customers and the assigned product areas
**Required Qualifications \&amp; Skills**
* 5\+ years of related experience in a Product Owner or related role – driving outcomes for both single products or complex features
* Validated experience working in, and leading within, an Agile environment – managing backlog, prioritizing user stories, and related efforts
* Strong technology background and applicable technical skills
* Ability to translate sophisticated ideas into understandable requirements, value statements, and business outcomes
* Strong communication, writing, and executive presentation skills
**Required Education**
* Bachelor’s degree in Computer Science, Information Systems, Software, Electrical or Electronics Engineering, or comparable field of study, and/or equivalent work experience
**Preferred Education/Certifications**
* Masters Degree in a related field
* Agile product owner certifications (ex. CSPO, SAFe PO/PM)
 \#DISNEYTECH
 The hiring range for this position in Burbank, CA is 117,500 \- $155,500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9">
      <c r="A9" t="inlineStr">
        <is>
          <t>li-4381509902</t>
        </is>
      </c>
      <c r="B9" t="inlineStr">
        <is>
          <t>Senior Product Manager</t>
        </is>
      </c>
      <c r="C9" t="inlineStr">
        <is>
          <t>Findhelp</t>
        </is>
      </c>
      <c r="D9" t="inlineStr">
        <is>
          <t>linkedin</t>
        </is>
      </c>
      <c r="E9" t="inlineStr"/>
      <c r="F9" t="inlineStr"/>
      <c r="G9" t="inlineStr">
        <is>
          <t>New York, NY</t>
        </is>
      </c>
      <c r="H9" t="inlineStr"/>
      <c r="I9" t="inlineStr">
        <is>
          <t>**We’re changing the way people connect to social care.**
 At Findhelp, we’ve built a comprehensive platform of products and services that make it easy for you to connect people to resources, follow them on their journey, and track your impact in a fast and reliable way. Our industry\-leading social care network includes more than half a million local, state, and national programs that serve every ZIP Code in the country, from rural areas to major metropolitan centers.
 Findhelp is headquartered in Austin, Texas and has been enabling healthcare, government, education, and other organizations to connect people with the social care resources that serve them, with privacy and security, since 2010\.
 As a mission driven organization, we are focused on creating a positive impact by connecting people in need to the programs that serve them with dignity and ease. Powered by our proprietary technology that enables people to find the resources available in their area, we have helped millions of Seekers find food, health, housing and employment programs.
**Job Overview:** 
 At Findhelp, we believe everyone deserves access to the help they need, with dignity and ease. As a Senior Product Manager on the Uno Health team, you will play a pivotal role in shaping and delivering the experience of eligibility, enrollment, and redetermination for millions of people across the U.S.
 This is a senior individual\-contributor role with broad ownership and high autonomy. You will own major product initiatives end\-to\-end — from framing the problem and defining strategy, through execution, launch, and iteration — in a complex, regulated environment. You will work closely with design, engineering, data, customer success, and leadership to translate business goals and constraints into clear product direction and shipped customer value.
 The ideal candidate is energized by ambiguity, detail\-oriented without losing sight of outcomes, deeply data\-driven, and motivated by building products that have real\-world impact. This role does not require direct management of people, but involves leading highly cross functional teams and efforts. It’s also about owning hard problems, and being a driver of a value\-packed roadmap.
**Responsibilities and Duties:**
* Own and deliver large, cross\-functional product initiatives that drive core business outcomes for Uno’s seeker\-facing and navigator\-facing digital products within the Findhelp ecosystem.
* Set clear product direction by translating business objectives, regulatory constraints, and user needs into well\-scoped initiatives, roadmaps, and execution plans.
* Lead product development from discovery through launch and iteration, ensuring high\-quality execution, clear sequencing, and thoughtful trade\-offs.
* Establish and model a high bar for product rigor, including problem framing, success metrics, experimentation, and post\-launch learning.
* Partner closely with Engineering and Design to run effective sprints, write clear requirements, and unblock teams in a resource\-constrained environment.
* Use data of all kinds deeply to inform prioritization, assess performance, diagnose issues, and guide iteration.
* Navigate and incorporate regulatory and operational complexity into product decisions without losing velocity or clarity and interface with knowledge and policy experts across the organization to obtain these inputs.
* Communicate concisely and clearly with executives and cross\-functional stakeholders, articulating the why, what, and how behind product decisions.
* Collaborate across R\&amp;D leaders to inform and evolve Uno’s broader product roadmap and strategy.
* Mentor and support more junior product team members through example, feedback, and shared standards of excellence.
**Qualifications:**
* 7\+ years of experience as a Product Manager, with demonstrated success as a Senior\-level individual contributor.
* Proven track record of owning and shipping products end\-to\-end, not just features, with clear business impact.
* Experience building products in highly regulated or complex domains (e.g., healthcare, fintech, insurance, gov\-tech).
* Strong product fundamentals, including discovery, strategy, roadmapping, execution, and lifecycle management.
* Deep comfort working with data: defining metrics, interpreting results, and using evidence to guide decisions.
* Exceptional communication skills — able to clearly articulate problems, decisions, trade\-offs, and outcomes to varied audiences.
* Demonstrated ability to operate effectively in ambiguous, resource\-constrained environments.
* Strong judgment, attention to detail, and ownership mindset.
* Ability to collaborate effectively across Engineering, Design, Operations, Data, and Leadership.
* And any of this nice to have experience:
* Experience with consumer\-facing or B2B2C digital products.
* Background in marketplaces, eligibility systems, workflows, or operationally complex products.
* Experience rebuilding or significantly evolving a product function or product area.
* Exposure to experimentation frameworks, A/B testing, or growth\-oriented product work.
* Familiarity with public benefits, healthcare systems, or social impact technology.
 $152,400 \- $190,500 a year
 The salary range provided reflects the national average for this job title and does not represent compensation specific to Findhelp. Actual compensation will vary based on experience, qualifications, and market factors relevant to the position.
**We value being together**
 We believe being together enables stronger relationships, collaboration, and culture.
**This position is in office and candidates must be located in Austin, Texas, Madison, Wisconsin, New York City, New York, or Denver, Colorado**
**Perks at Findhelp**
* 401k \&amp; equity grants
* Free food and onsite gym at our Austin HQ
* Paid parental leave
* Competitive PTO \&amp; 10 paid holidays
* Employee only paid Health, Dental, and Vision insurance
* Dog\-friendly office in Austin HQ
* 24/7 access to telemedicine and counseling
* Book Purchasing Program
**We’re building a diverse, inclusive team**
 You’re welcome here. We want everyone to be able to easily connect to the help they need, and we want our teams to reflect and represent our communities. It is our policy to recruit, hire, train, and promote individuals, as well as administer any and all Company policies, without regard to age, color, disability, ethnicity, family or marital status, gender identity or expression, language, national origin or ancestry, physical and mental ability, political affiliation, race, religion, creed, sexual orientation, socio\-economic status, veteran status, or any other protected class, in accordance with applicable laws. Accommodations are available for applicants with disabilities.
 Here are some of the ways we support our staff:
* Culture Committee
* Leadership Development Training
* Paid Volunteering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0">
      <c r="A10" t="inlineStr">
        <is>
          <t>li-4349872548</t>
        </is>
      </c>
      <c r="B10" t="inlineStr">
        <is>
          <t>Principal Product Manager, Marketplace Optimization</t>
        </is>
      </c>
      <c r="C10" t="inlineStr">
        <is>
          <t>Upstart</t>
        </is>
      </c>
      <c r="D10" t="inlineStr">
        <is>
          <t>linkedin</t>
        </is>
      </c>
      <c r="E10" t="inlineStr"/>
      <c r="F10" t="inlineStr"/>
      <c r="G10" t="inlineStr"/>
      <c r="H10" t="inlineStr"/>
      <c r="I10" t="inlineStr">
        <is>
          <t>**About Upstart**
 At Upstart, we’re united by a mission that matters: to radically reduce the cost and complexity of borrowing for all Americans. Every day, we bring creativity, experimentation, and advanced AI to reshape access to credit, helping millions move forward financially with clarity and confidence.
 As the leading AI lending marketplace, we partner with banks and credit unions to expand access to affordable credit through technology that’s both radically intelligent and deeply human. Our platform runs over one million predictions per borrower using more than 1,800 signals, powering smarter, fairer decisions for millions of customers. But the numbers only hint at the impact. Every idea, every voice, and every contribution moves us closer to a world where credit never stands between people and their financial progress.
 We’re proudly digital\-first, giving most Upstarters the flexibility to do their best work from wherever they thrive, alongside teammates across 80\+ cities in the US and Canada. Digital\-first doesn’t mean distant. We’re intentional about in\-person connection through team onsites, planning sessions, and moments that spark creativity and trust. And whether you choose to work primarily from home or collaborate in\-person from one of our offices in Columbus, Austin, the Bay Area, or New York City (opening Summer 2026\), you’ll have the support to work in the way that works best for you.
 If you’re energized by tackling meaningful problems, excited to innovate with purpose, and motivated by work that truly matters, we’d love to hear from you.
**The Team:**
 Upstart’s Marketplace Optimization team builds and scales systems that clear Upstart’s marketplace by balancing tradeoffs for borrowers, lenders, investors, and Upstart. We enable borrowers to access credit, and our capital partners to deploy capital efficiently and with confidence
 **.**
 As the
 **Principal Product Manager, Marketplace Optimization** 
 at Upstart, you will partner with Machine Learning to optimize those systems, and work with our engineering and business teams to simplify and automate the operations of the system. You will design experiments to test your best ideas, and be responsible for defining and hitting goals for every side of Upstart’s marketplace.
**How You’ll Make An Impact**
* You’ll create the mechanisms that clear Upstart’s marketplace, improving rates for customers and returns for capital partners.
* Shape the algorithms that determine how participants are matched, and define the rules that support stable, trusted outcomes for all participants at scale.
* You’ll collaborate on the vision and strategy for Upstart’s marketplace with Machine learning, our business teams, and engineering. What should we focus on, why, and when?
* Ultimately customers tangibly save money and capital partners earn superior risk\-adjusted returns thanks to your work.
**Minimum Qualifications**
* 8\+ years experience in a marketplace product management role, with demonstrated success leading an engineering team to deliver critical initiatives in the domains of pricing, monetization, matching, routing, incentives.
* Ability to build relationships and effectively collaborate with all levels of the organization, from C\-level to individual contributors
* Ability to manage and influence through persuasion, negotiation, and consensus building.
**Preferred Qualifications**
* Academic degree in Economics, Econometrics, Statistics, Operations Research
* Hands\-on experience applying optimization and simulation to real business problems.
* Track record driving automation that reduces manual work in operational workflows.
* Background in marketplace pricing, matching, or capital/finance products — able to translate business constraints into system configs
* Strong experiment design\+analysis experience (A/B testing, offline simulations, and metrics\-driven decisions)
**Position location** 
 This role is available in the following locations: Remote
**Time zone requirements** 
 The team operates on the East/West coast time zones.
**Travel requirements** 
 As a digital first company, the majority of your work can be accomplished remotely. The majority of our employees can live and work anywhere in the U.S but are encouraged to to still spend high quality time in\-person collaborating via regular onsites. The in\-person sessions’ cadence varies depending on the team and role; most teams meet once or twice per quarter for 2\-4 consecutive days at a time.
 At Upstart, your base pay is one part of your total compensation package. The anticipated base salary for this position is expected to be within the below range. Your actual base pay will depend on your geographic location–with our “digital first” philosophy, Upstart uses compensation regions that vary depending on location. Individual pay is also determined by job\-related skills, experience, and relevant education or training. Your recruiter can share more about the specific salary range for your preferred location during the hiring process.
 In addition, Upstart provides employees with target bonuses, equity compensation, and generous benefits packages (including medical, dental, vision, and 401k).
 United States \| Remote \- Anticipated Base Salary Range
 $187,900—$260,000 USD
**What You'll Love**
 At Upstart, our benefits are designed to support your health, financial well\-being, family, and personal growth. Here’s what you can expect:
* Competitive compensation, including base pay, bonus opportunities, and annual equity grants that vest quarterly
* Generous 401(k) plan with Upstart matching $2 for every $1 contributed, up to $15,000 per year
* Employee Stock Purchase Plan (ESPP) with discounted stock purchase options for eligible employees
* Affordable medical, dental, and vision coverage, with multiple plan options \- Upstart covers 90% to 100% of the cost depending on the plans you choose
* Health Savings Account contributions from Upstart for eligible plans
* Income protection benefits, including company\-paid Basic Life, AD\&amp;D, and Short\- and Long\-Term Disability coverage, with options to purchase supplemental coverage
* Paid time off, sick and safe time, and company holidays
* Paid family and parental leave to support caregiving and major life moments
* Family\-centered benefits through Carrot and Cleo, supporting fertility, parenthood, and caregiving
* Employee Assistance Program (EAP) offering mental health support and life\-centered resources
* Financial wellness resources, including access to financial planning tools and a financial concierge service
* Annual wellness allowance to support your physical and emotional well\-being and personal development, based on what matters most to you
* Annual productivity allowance to invest in relevant tools and resources you need to do your best work, no matter where you work from
* Connection and community through team events and onsites, all\-company updates, and employee resource groups (ERGs)
* Onsite perks, including catered lunches and fully stocked micro\-kitchens when working from one of our four offices, located in the Bay Area, Austin, Columbus, and New York City (opening Summer 2026!).
 Upstart is a proud Equal Opportunity Employer. Just as we are dedicated to improving access to affordable credit for all, we are committed to inclusive and fair hiring practices.
*If you require reasonable accommodation in completing an application, interviewing, completing any pre\-employment testing, or otherwise participating in the employee selection process, please email* 
*candidate\_accommodations@upstart.com*
 https://www.upstart.com/candidate\_privacy\_policy</t>
        </is>
      </c>
    </row>
    <row r="11">
      <c r="A11" t="inlineStr">
        <is>
          <t>li-4381508912</t>
        </is>
      </c>
      <c r="B11" t="inlineStr">
        <is>
          <t>Senior Product Manager</t>
        </is>
      </c>
      <c r="C11" t="inlineStr">
        <is>
          <t>Findhelp</t>
        </is>
      </c>
      <c r="D11" t="inlineStr">
        <is>
          <t>linkedin</t>
        </is>
      </c>
      <c r="E11" t="inlineStr"/>
      <c r="F11" t="inlineStr"/>
      <c r="G11" t="inlineStr">
        <is>
          <t>Austin, TX</t>
        </is>
      </c>
      <c r="H11" t="inlineStr"/>
      <c r="I11" t="inlineStr">
        <is>
          <t>**We’re changing the way people connect to social care.**
 At Findhelp, we’ve built a comprehensive platform of products and services that make it easy for you to connect people to resources, follow them on their journey, and track your impact in a fast and reliable way. Our industry\-leading social care network includes more than half a million local, state, and national programs that serve every ZIP Code in the country, from rural areas to major metropolitan centers.
 Findhelp is headquartered in Austin, Texas and has been enabling healthcare, government, education, and other organizations to connect people with the social care resources that serve them, with privacy and security, since 2010\.
 As a mission driven organization, we are focused on creating a positive impact by connecting people in need to the programs that serve them with dignity and ease. Powered by our proprietary technology that enables people to find the resources available in their area, we have helped millions of Seekers find food, health, housing and employment programs.
**Job Overview:** 
 At Findhelp, we believe everyone deserves access to the help they need, with dignity and ease. As a Senior Product Manager on the Uno Health team, you will play a pivotal role in shaping and delivering the experience of eligibility, enrollment, and redetermination for millions of people across the U.S.
 This is a senior individual\-contributor role with broad ownership and high autonomy. You will own major product initiatives end\-to\-end — from framing the problem and defining strategy, through execution, launch, and iteration — in a complex, regulated environment. You will work closely with design, engineering, data, customer success, and leadership to translate business goals and constraints into clear product direction and shipped customer value.
 The ideal candidate is energized by ambiguity, detail\-oriented without losing sight of outcomes, deeply data\-driven, and motivated by building products that have real\-world impact. This role does not require direct management of people, but involves leading highly cross functional teams and efforts. It’s also about owning hard problems, and being a driver of a value\-packed roadmap.
**Responsibilities and Duties:**
* Own and deliver large, cross\-functional product initiatives that drive core business outcomes for Uno’s seeker\-facing and navigator\-facing digital products within the Findhelp ecosystem.
* Set clear product direction by translating business objectives, regulatory constraints, and user needs into well\-scoped initiatives, roadmaps, and execution plans.
* Lead product development from discovery through launch and iteration, ensuring high\-quality execution, clear sequencing, and thoughtful trade\-offs.
* Establish and model a high bar for product rigor, including problem framing, success metrics, experimentation, and post\-launch learning.
* Partner closely with Engineering and Design to run effective sprints, write clear requirements, and unblock teams in a resource\-constrained environment.
* Use data of all kinds deeply to inform prioritization, assess performance, diagnose issues, and guide iteration.
* Navigate and incorporate regulatory and operational complexity into product decisions without losing velocity or clarity and interface with knowledge and policy experts across the organization to obtain these inputs.
* Communicate concisely and clearly with executives and cross\-functional stakeholders, articulating the why, what, and how behind product decisions.
* Collaborate across R\&amp;D leaders to inform and evolve Uno’s broader product roadmap and strategy.
* Mentor and support more junior product team members through example, feedback, and shared standards of excellence.
**Qualifications:**
* 7\+ years of experience as a Product Manager, with demonstrated success as a Senior\-level individual contributor.
* Proven track record of owning and shipping products end\-to\-end, not just features, with clear business impact.
* Experience building products in highly regulated or complex domains (e.g., healthcare, fintech, insurance, gov\-tech).
* Strong product fundamentals, including discovery, strategy, roadmapping, execution, and lifecycle management.
* Deep comfort working with data: defining metrics, interpreting results, and using evidence to guide decisions.
* Exceptional communication skills — able to clearly articulate problems, decisions, trade\-offs, and outcomes to varied audiences.
* Demonstrated ability to operate effectively in ambiguous, resource\-constrained environments.
* Strong judgment, attention to detail, and ownership mindset.
* Ability to collaborate effectively across Engineering, Design, Operations, Data, and Leadership.
* And any of this nice to have experience:
* Experience with consumer\-facing or B2B2C digital products.
* Background in marketplaces, eligibility systems, workflows, or operationally complex products.
* Experience rebuilding or significantly evolving a product function or product area.
* Exposure to experimentation frameworks, A/B testing, or growth\-oriented product work.
* Familiarity with public benefits, healthcare systems, or social impact technology.
 $152,400 \- $190,500 a year
 The salary range provided reflects the national average for this job title and does not represent compensation specific to Findhelp. Actual compensation will vary based on experience, qualifications, and market factors relevant to the position.
**We value being together**
 We believe being together enables stronger relationships, collaboration, and culture.
**This position is in office and candidates must be located in Austin, Texas, Madison, Wisconsin, New York City, New York, or Denver, Colorado**
**Perks at Findhelp**
* 401k \&amp; equity grants
* Free food and onsite gym at our Austin HQ
* Paid parental leave
* Competitive PTO \&amp; 10 paid holidays
* Employee only paid Health, Dental, and Vision insurance
* Dog\-friendly office in Austin HQ
* 24/7 access to telemedicine and counseling
* Book Purchasing Program
**We’re building a diverse, inclusive team**
 You’re welcome here. We want everyone to be able to easily connect to the help they need, and we want our teams to reflect and represent our communities. It is our policy to recruit, hire, train, and promote individuals, as well as administer any and all Company policies, without regard to age, color, disability, ethnicity, family or marital status, gender identity or expression, language, national origin or ancestry, physical and mental ability, political affiliation, race, religion, creed, sexual orientation, socio\-economic status, veteran status, or any other protected class, in accordance with applicable laws. Accommodations are available for applicants with disabilities.
 Here are some of the ways we support our staff:
* Culture Committee
* Leadership Development Training
* Paid Volunteering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2">
      <c r="A12" t="inlineStr">
        <is>
          <t>li-4381519546</t>
        </is>
      </c>
      <c r="B12" t="inlineStr">
        <is>
          <t>Product Manager</t>
        </is>
      </c>
      <c r="C12" t="inlineStr">
        <is>
          <t>Haystack</t>
        </is>
      </c>
      <c r="D12" t="inlineStr">
        <is>
          <t>linkedin</t>
        </is>
      </c>
      <c r="E12" t="inlineStr"/>
      <c r="F12" t="inlineStr"/>
      <c r="G12" t="inlineStr"/>
      <c r="H12" t="inlineStr"/>
      <c r="I12" t="inlineStr">
        <is>
          <t>**Product Manager \| NYC \| Hybrid \| $68,000 \- $179,000** 
 We're working with a global financial powerhouse that influences nearly 20% of the world's investable assets on this exciting opportunity. We are looking for a visionary leader to drive the "North Star" for enterprise\-level Entitlements and Authentication services within a cutting\-edge portal platform team.
 In this high\-impact role, you will bridge the gap between complex engineering and seamless client experiences. You will leverage advanced AI and API\-driven technologies to redefine identity management and access control for the future of global finance.
**The Role** 
 • Define and execute the product vision for authentication and identity management services across multiple global business lines.
 • Lead high\-performing agile pods, prioritizing complex backlogs for web, mobile, and API\-based product suites.
 • Drive product adoption by aligning releases with major platform milestones and tracking success through rigorous OKR frameworks.
 • Architect detailed technical requirements for design, development, and testing within a "Design First" development lifecycle.
 • Mentor and coach a cross\-functional team of Product Owners, fostering a culture of excellence in technical product management.
**What You'll Need** 
 • 5\+ years of experience in Technical Product Management within Financial Services, Fintech, or large\-scale Enterprise SaaS.
 • Hands\-on expertise with Authentication protocols, Entitlement engines, Identity Access Management (IAM), and API integrations.
 • Strong technical fluency in web/mobile app development cycles and data analytics tools.
 • Proven track record of leading product strategy and managing diverse stakeholders in a complex, regulated environment.
 • Bachelor’s degree in Computer Science, Finance, or Business; an MBA is highly desirable for this level of leadership.
**What's On Offer** 
 • Competitive base salary up to $179,000 with a performance\-driven bonus structure.
 • Comprehensive global wellbeing programs and high\-tier healthcare benefits.
 • Generous paid leave policies, including dedicated time for volunteer work.
 • The chance to work at a "World's Most Admired Company" using AI to transform the global financial system.
**Apply via Haystack today!**</t>
        </is>
      </c>
    </row>
    <row r="13">
      <c r="A13" t="inlineStr">
        <is>
          <t>li-4381529000</t>
        </is>
      </c>
      <c r="B13" t="inlineStr">
        <is>
          <t>Product Manager</t>
        </is>
      </c>
      <c r="C13" t="inlineStr">
        <is>
          <t>Haystack</t>
        </is>
      </c>
      <c r="D13" t="inlineStr">
        <is>
          <t>linkedin</t>
        </is>
      </c>
      <c r="E13" t="inlineStr"/>
      <c r="F13" t="inlineStr"/>
      <c r="G13" t="inlineStr"/>
      <c r="H13" t="inlineStr"/>
      <c r="I13" t="inlineStr">
        <is>
          <t>**Senior Technical Product Manager \| NYC \| Hybrid $102,000 \- $221,000** 
 We're working with a titan of global finance that influences nearly 20% of the world’s investible assets on this exciting opportunity. We are looking for a visionary leader to drive the technical product strategy for a mission\-critical portal platform, leveraging AI\-driven technologies and data analytics to redefine the future of financial services.
**The Role** 
 • Define the "North Star" product vision and long\-term strategy for common platform services, including reporting, access, and authentication modules.
 • Lead cross\-functional product development across multiple pods, guiding Product Owners in backlog prioritization and high\-stakes technical intake.
 • Drive the integration and deployment of cutting\-edge AI technologies, specifically focusing on AI\-driven chatbots and virtual assistants to transform user support.
 • Scale product adoption across the enterprise by aligning roadmap releases with OKRs and maintaining a "design\-first" sensibility for web and mobile applications.
 • Mentor and coach a high\-performing team of technical product managers, fostering a culture of innovation and agile best practices.
**What You'll Need** 
 • Minimum 8 years of high\-impact experience in Technical Product Management within Financial Services or the Fintech sector.
 • Proven expertise in digital product lifecycles, with deep technical knowledge of APIs, Data Analytics, and enterprise\-grade mobile/web applications.
 • Hands\-on experience implementing AI/ML technologies to enhance customer experiences and automate complex support workflows.
 • Strong academic background with a Bachelor’s degree in Computer Science, Finance, or Business; an MBA or relevant advanced degree is highly preferred.
 • Exceptional leadership skills with the ability to navigate a global financial system and influence senior stakeholders through data\-driven insights.
**What's On Offer** 
 • Competitive executive compensation package including a base salary up to $221,000 plus performance\-based bonuses.
 • Opportunity to work at a "World's Most Admired Company" and "America's Most Innovative Company" for 2025\.
 • Comprehensive global benefits, generous paid leave, and dedicated time for volunteer initiatives.
**Apply via Haystack today!**</t>
        </is>
      </c>
    </row>
    <row r="14">
      <c r="A14" t="inlineStr">
        <is>
          <t>li-4381526061</t>
        </is>
      </c>
      <c r="B14" t="inlineStr">
        <is>
          <t>Senior Product Manager</t>
        </is>
      </c>
      <c r="C14" t="inlineStr">
        <is>
          <t>Findhelp</t>
        </is>
      </c>
      <c r="D14" t="inlineStr">
        <is>
          <t>linkedin</t>
        </is>
      </c>
      <c r="E14" t="inlineStr"/>
      <c r="F14" t="inlineStr"/>
      <c r="G14" t="inlineStr">
        <is>
          <t>Denver, CO</t>
        </is>
      </c>
      <c r="H14" t="inlineStr"/>
      <c r="I14" t="inlineStr">
        <is>
          <t>**We’re changing the way people connect to social care.**
 At Findhelp, we’ve built a comprehensive platform of products and services that make it easy for you to connect people to resources, follow them on their journey, and track your impact in a fast and reliable way. Our industry\-leading social care network includes more than half a million local, state, and national programs that serve every ZIP Code in the country, from rural areas to major metropolitan centers.
 Findhelp is headquartered in Austin, Texas and has been enabling healthcare, government, education, and other organizations to connect people with the social care resources that serve them, with privacy and security, since 2010\.
 As a mission driven organization, we are focused on creating a positive impact by connecting people in need to the programs that serve them with dignity and ease. Powered by our proprietary technology that enables people to find the resources available in their area, we have helped millions of Seekers find food, health, housing and employment programs.
**Job Overview:** 
 At Findhelp, we believe everyone deserves access to the help they need, with dignity and ease. As a Senior Product Manager on the Uno Health team, you will play a pivotal role in shaping and delivering the experience of eligibility, enrollment, and redetermination for millions of people across the U.S.
 This is a senior individual\-contributor role with broad ownership and high autonomy. You will own major product initiatives end\-to\-end — from framing the problem and defining strategy, through execution, launch, and iteration — in a complex, regulated environment. You will work closely with design, engineering, data, customer success, and leadership to translate business goals and constraints into clear product direction and shipped customer value.
 The ideal candidate is energized by ambiguity, detail\-oriented without losing sight of outcomes, deeply data\-driven, and motivated by building products that have real\-world impact. This role does not require direct management of people, but involves leading highly cross functional teams and efforts. It’s also about owning hard problems, and being a driver of a value\-packed roadmap.
**Responsibilities and Duties:**
* Own and deliver large, cross\-functional product initiatives that drive core business outcomes for Uno’s seeker\-facing and navigator\-facing digital products within the Findhelp ecosystem.
* Set clear product direction by translating business objectives, regulatory constraints, and user needs into well\-scoped initiatives, roadmaps, and execution plans.
* Lead product development from discovery through launch and iteration, ensuring high\-quality execution, clear sequencing, and thoughtful trade\-offs.
* Establish and model a high bar for product rigor, including problem framing, success metrics, experimentation, and post\-launch learning.
* Partner closely with Engineering and Design to run effective sprints, write clear requirements, and unblock teams in a resource\-constrained environment.
* Use data of all kinds deeply to inform prioritization, assess performance, diagnose issues, and guide iteration.
* Navigate and incorporate regulatory and operational complexity into product decisions without losing velocity or clarity and interface with knowledge and policy experts across the organization to obtain these inputs.
* Communicate concisely and clearly with executives and cross\-functional stakeholders, articulating the why, what, and how behind product decisions.
* Collaborate across R\&amp;D leaders to inform and evolve Uno’s broader product roadmap and strategy.
* Mentor and support more junior product team members through example, feedback, and shared standards of excellence.
**Qualifications:**
* 7\+ years of experience as a Product Manager, with demonstrated success as a Senior\-level individual contributor.
* Proven track record of owning and shipping products end\-to\-end, not just features, with clear business impact.
* Experience building products in highly regulated or complex domains (e.g., healthcare, fintech, insurance, gov\-tech).
* Strong product fundamentals, including discovery, strategy, roadmapping, execution, and lifecycle management.
* Deep comfort working with data: defining metrics, interpreting results, and using evidence to guide decisions.
* Exceptional communication skills — able to clearly articulate problems, decisions, trade\-offs, and outcomes to varied audiences.
* Demonstrated ability to operate effectively in ambiguous, resource\-constrained environments.
* Strong judgment, attention to detail, and ownership mindset.
* Ability to collaborate effectively across Engineering, Design, Operations, Data, and Leadership.
* And any of this nice to have experience:
* Experience with consumer\-facing or B2B2C digital products.
* Background in marketplaces, eligibility systems, workflows, or operationally complex products.
* Experience rebuilding or significantly evolving a product function or product area.
* Exposure to experimentation frameworks, A/B testing, or growth\-oriented product work.
* Familiarity with public benefits, healthcare systems, or social impact technology.
 $152,400 \- $190,500 a year
 The salary range provided reflects the national average for this job title and does not represent compensation specific to Findhelp. Actual compensation will vary based on experience, qualifications, and market factors relevant to the position.
**We value being together**
 We believe being together enables stronger relationships, collaboration, and culture.
**This position is in office and candidates must be located in Austin, Texas, Madison, Wisconsin, New York City, New York, or Denver, Colorado**
**Perks at Findhelp**
* 401k \&amp; equity grants
* Free food and onsite gym at our Austin HQ
* Paid parental leave
* Competitive PTO \&amp; 10 paid holidays
* Employee only paid Health, Dental, and Vision insurance
* Dog\-friendly office in Austin HQ
* 24/7 access to telemedicine and counseling
* Book Purchasing Program
**We’re building a diverse, inclusive team**
 You’re welcome here. We want everyone to be able to easily connect to the help they need, and we want our teams to reflect and represent our communities. It is our policy to recruit, hire, train, and promote individuals, as well as administer any and all Company policies, without regard to age, color, disability, ethnicity, family or marital status, gender identity or expression, language, national origin or ancestry, physical and mental ability, political affiliation, race, religion, creed, sexual orientation, socio\-economic status, veteran status, or any other protected class, in accordance with applicable laws. Accommodations are available for applicants with disabilities.
 Here are some of the ways we support our staff:
* Culture Committee
* Leadership Development Training
* Paid Volunteering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5">
      <c r="A15" t="inlineStr">
        <is>
          <t>li-4342135291</t>
        </is>
      </c>
      <c r="B15" t="inlineStr">
        <is>
          <t>Senior Product Manager</t>
        </is>
      </c>
      <c r="C15" t="inlineStr">
        <is>
          <t>Ambient.ai</t>
        </is>
      </c>
      <c r="D15" t="inlineStr">
        <is>
          <t>linkedin</t>
        </is>
      </c>
      <c r="E15" t="inlineStr"/>
      <c r="F15" t="inlineStr"/>
      <c r="G15" t="inlineStr"/>
      <c r="H15" t="inlineStr"/>
      <c r="I15" t="inlineStr">
        <is>
          <t>**Build a safer world with us, one incident at a time.**
 Ambient.ai is the leading agentic physical security platform built to prevent incidents and modernize physical security operations. Our products help the world’s leading enterprises reduce risk, improve operational efficiency, and gain critical insights. Seven of the top 10 U.S. technology companies, along with multiple Fortune 500 organizations, rely on Ambient.ai to protect their people, places and assets.
 Our platform uses state\-of\-the\-art AI to seamlessly integrate with existing camera and sensor systems, enabling real\-time monitoring and proactive threat detection. By reducing false alarms by over 95%, Ambient.ai allows security teams to focus on real threats and prevent incidents before they occur.
 Founded in 2017 and backed by Andreessen Horowitz, Y Combinator, and Allegion Ventures, Ambient.ai is a Series B company on a mission to make every security incident preventable.
 We’ve found that in\-person time meaningfully supports collaboration, creativity, and team alignment. Our engineering, product, design, and marketing teams work from our Redwood City office three days a week. All other Bay Area employees join on Fridays to stay connected and close out the week together.
 Ready to learn more? Connect with us on
 **LinkedIn** 
 \|
 **YouTube**
**About The Role**
 Reporting to Ben Goeing as one of the first product managers at Ambient, you will oversee all phases of product feature development for a substantial surface area of the product. This includes end\-to\-end full responsibility of the roadmap, strategy, and execution for our large enterprise customers. In this role, you will work cross\-functionally across sales, marketing, engineering, and leadership to guide products from conception to launch by connecting the technical and business worlds. You will also engage extensively with external customers to better understand how we can improve current products while also bringing new features and value to support their needs.
 At Ambient, product managers have a direct impact on our growth and success in the market. We are creating a new category in the enterprise physical security market, and this role puts you right at the heart of an industry transformation.
**What You'll Do**
* Work with a cross\-functional team to manage and coordinate the product roadmap, strategy, and long\-term vision
* Drive new feature developments from start to finish
* Run user research, usability studies, and data\-driven experiments to inform product direction
* Establish, monitor, and measure success metrics after deployment
**What You'll Bring**
* 5\+ years experience in product management, with demonstrated experience in building and shipping products for enterprise customers
* B2B SaaS background, with experience working directly with enterprise customers
* Experience managing ambiguity, complexity, and interdependencies within a product development cycle
* Define and analyze metrics that inform the success of products
* Strong communication and project management skills with the ability to work with multiple stakeholders, manage stakeholder relationships, and prioritize stakeholder requests
* Proactive, resourceful, and able to excel in a fast\-paced environment
**Why Join Us**
* We are creating an entirely new category within a 180\+ billion\-dollar physical security industry and looking for team members who are also passionate about our mission to prevent every security incident possible
* We partner with an incredible customer roster of F500 companies, including Adobe, TikTok, Gap and SentinelOne
* Regular Full\-time employees receive stock options for the opportunity to share ownership in the success of our company
* Comprehensive health \+ welfare package (Medical, Dental, Vision, Life, EAP, Legal Services, 401k plan)
* We offer flexible time off to rest and recharge, including Winter Break (time off between Christmas and New Year’s for most roles depending on customer demand)
* The latest tech and awesome swag delivered to your door
* Enjoy a full range of opportunities to connect with your awesome co\-workers
* We love to hike, are foodies, and love music! Check out our most recent Ambient Spotify Playlist
 Ambient.ai is proud to be an Equal Opportunity Employer. Ambient does not unlawfully discriminate on the basis of race, color, religion, sex (including pregnancy, childbirth, breastfeeding, or related medical conditions), gender identity, gender expression, national origin, ancestry citizenship, age, physical or mental disability, legally protected medical condition, family care status, military or veteran status, marital status, registered domestic partner status, sexual orientation, genetic information, or any other basis protected by local, state, or federal laws. Ambient is an E\-Verify participant.</t>
        </is>
      </c>
    </row>
    <row r="16">
      <c r="A16" t="inlineStr">
        <is>
          <t>li-4354277494</t>
        </is>
      </c>
      <c r="B16" t="inlineStr">
        <is>
          <t>Sr Product Manager, Venmo Commerce</t>
        </is>
      </c>
      <c r="C16" t="inlineStr">
        <is>
          <t>PayPal</t>
        </is>
      </c>
      <c r="D16" t="inlineStr">
        <is>
          <t>linkedin</t>
        </is>
      </c>
      <c r="E16" t="inlineStr"/>
      <c r="F16" t="inlineStr"/>
      <c r="G16" t="inlineStr">
        <is>
          <t>San Jose, CA</t>
        </is>
      </c>
      <c r="H16" t="inlineStr"/>
      <c r="I16"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Venmo has been revolutionizing payments \- creating innovative experiences that making paying friends and family simple and delightful. With a strong position in helping people pay their network, Venmo is now expanding to win Commerce. We're looking for a seasoned Product Manager who can help bring a new Commerce ecosystem to life on Venmo. This job will involve creating new two sided ecosystems and networks on Venmo. It involves strong 0 to 1 product development skills and ability define strategy and move fast with conviction.
**Job Description:**
**Essential Responsibilities:**
* Uses data to build insights on product or platform requirements consistent with the shared vision for the product.
* Gathers insights from the customer experience and customer needs to input to product requirements
* Analyzes research, market analysis and usability studies, research and market analysis to support data\-driven decision making
* Monitors product profitability measures, including budget.
* Lead sprint planning, daily standups and retrospectives to drive execution. Interfaces with product and technology leadership as needed.
* Partners with content developers, data scientists, product designers and user experience researchers to identify new opportunities.
**Minimum Qualifications:**
* 3\+ years relevant experience and a Bachelor’s degree OR Any equivalent combination of education and experience.
**Additional Responsibilities And Preferred Qualifications**
 The base pay for this role will depend on where you work and the relevant experience and expertise you bring. The expected range of pay for this role by location is:
**Primary Location : Pay Range:**
 San Jose, California : ($143,500\.00 \- $212,850\.00 Annually)
**Additional Location(s) : Pay Range:**
 No other locations are assigned to this requisition currently.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R0134032</t>
        </is>
      </c>
    </row>
    <row r="17">
      <c r="A17" t="inlineStr">
        <is>
          <t>li-4381525106</t>
        </is>
      </c>
      <c r="B17" t="inlineStr">
        <is>
          <t>Product Manager</t>
        </is>
      </c>
      <c r="C17" t="inlineStr">
        <is>
          <t>Haystack</t>
        </is>
      </c>
      <c r="D17" t="inlineStr">
        <is>
          <t>linkedin</t>
        </is>
      </c>
      <c r="E17" t="inlineStr"/>
      <c r="F17" t="inlineStr"/>
      <c r="G17" t="inlineStr"/>
      <c r="H17" t="inlineStr"/>
      <c r="I17" t="inlineStr">
        <is>
          <t>**Senior Product Manager \| Seattle, Washington \| Remote\-Friendly \| $151,200 \- $204,600** 
 We're working with the world’s pioneer in digital reading and consumer electronics on this exciting opportunity.
 Are you ready to redefine the future of the written word for millions of global readers? We are looking for a high\-octane Senior PM\-T to lead the software evolution for iconic hardware like Paperwhite, Colorsoft, and Scribe, utilizing deep data analytics and user\-centric design to build the next generation of digital ink experiences.
**The Role** 
 • Define and execute the technical software roadmap for flagship e\-reader devices, balancing immediate feature launches with long\-term architectural bets.
 • Lead cross\-functional squads of Engineering, UX Design, and Data Science to deliver intuitive features that merge physical\-world reading with digital\-first innovation.
 • Leverage big data and customer insights to conduct deep\-dive audits of business strategy, ensuring every feature is grounded in quantifiable user needs.
 • Drive global product launches by collaborating with PR, Legal, and Marketing teams to bring your vision to a worldwide audience of millions.
 • Influence the broader hardware ecosystem by integrating software capabilities that unlock the full potential of advanced display technologies and stylus input.
**What You'll Need** 
 • 5\+ years of experience in Technical Product Management, Program Management, or Software Engineering leadership.
 • Proven track record of shipping complex consumer\-facing software products or mobile applications at scale.
 • Strong technical fluency with the ability to engage in architectural discussions regarding cloud services, APIs, and embedded software systems.
 • Mastery of data\-driven decision\-making, including experience with SQL, Tableau, or similar analytical tools to uncover customer pain points.
 • Exceptional writing and communication skills, with the ability to craft compelling "Working Backwards" documents and strategic PRFAQs.
**What's On Offer** 
 • Competitive base salary and a comprehensive total compensation package including restricted stock units (RSUs).
 • The opportunity to innovate on a product that is literally part of history and shapes how the world consumes knowledge.
 • A high\-growth environment with a culture of "Day 1" thinking and significant visibility to executive leadership.
 • Flexible, remote\-friendly workplace options within a global team culture.
**Apply via Haystack today!**</t>
        </is>
      </c>
    </row>
    <row r="18">
      <c r="A18" t="inlineStr">
        <is>
          <t>li-4364534916</t>
        </is>
      </c>
      <c r="B18" t="inlineStr">
        <is>
          <t>Product Manager - Live Media Management</t>
        </is>
      </c>
      <c r="C18" t="inlineStr">
        <is>
          <t>Netflix</t>
        </is>
      </c>
      <c r="D18" t="inlineStr">
        <is>
          <t>linkedin</t>
        </is>
      </c>
      <c r="E18" t="inlineStr"/>
      <c r="F18" t="inlineStr"/>
      <c r="G18" t="inlineStr">
        <is>
          <t>Los Gatos, CA</t>
        </is>
      </c>
      <c r="H18" t="inlineStr"/>
      <c r="I18"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The Content Production \&amp; Studio Product team is responsible for driving the strategy, prioritization, and execution of Netflix’s technology investments focused on creating and managing the production of content. We work with diverse and globally\-distributed groups of business users, productions, and vendors. Our team’s primary superpower is the ability to work creatively and collaboratively in highly technical environments – from core services that power our studio to industry\-leading content management platforms. At Netflix, our product managers have broad remits so you have the opportunity to make a big impact.
**The Role**
 As the Product Manager for Live Media Management \&amp; Integrations, you will own a critical set of products and capabilities that enable live and sports media to be efficiently produced, managed, and distributed. This is a senior, platform\-focused role where you will define the multi\-quarter strategy and technical direction for how live media is ingested, classified, managed, shared, and integrated across the production and distribution ecosystem. Operating at the intersection of production workflows, platform architecture, and system integrations, you will lead complex initiatives to build scalable platforms that support real\-time editorial and creative workflows, cross\-team coordination, and downstream use cases across Content, Production, Ads, Marketing, and Live Streaming. You will work closely with engineering, data, and partner teams to standardize how live media moves through Netflix, ensuring assets are reliable, discoverable, and usable at scale, while making thoughtful long\-term platform bets, navigating technical tradeoffs, and aligning diverse stakeholders around shared infrastructure.
 This role is based in Los Angeles or Los Gatos (hybrid), or remotely from the West Coast. Regular monthly travel to Los Angeles and Los Gatos is expected to support in\-person collaboration.
**What You Will Do**
* Own the product vision, strategy, and multi\-year roadmap for live media management and integration platforms, aligning with Netflix’s broader live and sports objectives.
* Lead deep discovery into how live production media is created, ingested, shared, and consumed across production, broadcast, and downstream teams.
* Define scalable, standardized approaches to live media metadata, asset management, and system integrations.
* Partner closely with engineering teams to design and evolve platforms that support real\-time workflows, reliability, and global scale.
* Drive initiatives that introduce automation and intelligent tooling to reduce manual work and improve operational efficiency across media workflows and regional teams.
* Balance immediate partner needs with long\-term platform investments, making thoughtful tradeoffs to maximize durability and impact.
* Translate complex system interactions into clear product direction, requirements, and delivery plans.
* Use data, operational insights, and partner feedback to measure success and guide iteration.
* Build strong cross\-functional relationships and operate with transparency, autonomy, and accountability.
* Operate with true transparency and autonomy. Our culture is unique and is key to how we innovate.
**What We’re Looking For**
* 6\+ years of Product Management experience, including ownership of large\-scale platforms, integrations, or content/media management systems.
* Proven ability to define product strategy and lead multi\-quarter initiatives in highly technical, cross\-functional environments.
* Deep understanding of media management, asset workflows, or system integrations within live streaming, sports, or media ecosystems.
* Strong technical fluency, with experience partnering closely with engineering teams on APIs, data models, and platform architecture.
* Experience leveraging automation or AI\-enabled capabilities to improve workflow efficiency and system reliability (deep ML expertise not required).
* Exceptional communication and stakeholder management skills, with a track record of aligning diverse teams around shared infrastructure.
* A self\-directed leader who thrives in ambiguity and is motivated by building durable, foundational systems that enable others to move faster.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$440,000\.00 \- $725,000\.00\.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
        </is>
      </c>
    </row>
    <row r="19">
      <c r="A19" t="inlineStr">
        <is>
          <t>li-4381514887</t>
        </is>
      </c>
      <c r="B19" t="inlineStr">
        <is>
          <t>Product Manager</t>
        </is>
      </c>
      <c r="C19" t="inlineStr">
        <is>
          <t>Haystack</t>
        </is>
      </c>
      <c r="D19" t="inlineStr">
        <is>
          <t>linkedin</t>
        </is>
      </c>
      <c r="E19" t="inlineStr"/>
      <c r="F19" t="inlineStr"/>
      <c r="G19" t="inlineStr"/>
      <c r="H19" t="inlineStr"/>
      <c r="I19" t="inlineStr">
        <is>
          <t>**Technical Product Manager \| NYC \| Hybrid \| $100,000 \- $260,000** 
 We're working with a global financial powerhouse that influences 20% of the world's investible assets on this exciting opportunity.
 As the Director of Technical Product Management, you will architect the future of finance by leading high\-impact GenAI and Agentic AI initiatives. This is a high\-visibility role where you'll combine deep technical fluency in LLMs and distributed systems with sophisticated product strategy to transform complex business processes into scalable digital products.
**The Role** 
 • Lead the strategy and roadmap for AI\-driven business transformation, focusing on Large Language Models (LLMs) and multi\-agent coordination frameworks.
 • Design and scale agentic architectures, event\-driven microservices, and metadata\-aware retrieval systems (RAG) to eliminate manual workflows.
 • Partner with Engineering and Data Science to operationalize AI at scale, ensuring model observability, guardrails, and production\-grade reliability.
 • Drive enterprise\-wide modernization by translating ambiguous business problems into clear product tenets, PR/FAQs, and high\-performance execution plans.
 • Manage the full AI lifecycle, balancing innovation velocity with rigorous governance, security, and explainability standards in a regulated environment.
**What You'll Need** 
 • Approximately 10\+ years of experience in technical product management or AI platform delivery, ideally within Big Tech or Fortune 500 environments.
 • Deep technical expertise in Generative AI, Agentic workflows, Orchestration frameworks, and Cloud architectures (AWS/Azure/GCP).
 • Proven track record of building distributed systems, microservices, and API\-first integration layers at enterprise scale.
 • Strong systems\-thinking capabilities with the ability to influence C\-suite stakeholders and lead multidisciplinary teams through complex change management.
 • Bachelor’s degree in STEM, Economics, or a related field; professional certifications such as AWS Cloud Practitioner or specialized AI training are highly preferred.
**What's On Offer** 
 • Competitive base salary ranging from $100,000 to $260,000 based on experience and impact.
 • Comprehensive total compensation package including discretionary bonuses and long\-term incentive programs.
 • Exceptional benefits including generous paid leave, volunteer time, and world\-class health and wellness programs.
 • A high\-innovation culture recognized as one of "America’s Most Innovative Companies" by Fortune.
**Apply via Haystack today!**</t>
        </is>
      </c>
    </row>
    <row r="20">
      <c r="A20" t="inlineStr">
        <is>
          <t>li-4365529417</t>
        </is>
      </c>
      <c r="B20" t="inlineStr">
        <is>
          <t>Senior Product Manager</t>
        </is>
      </c>
      <c r="C20" t="inlineStr">
        <is>
          <t>Guild</t>
        </is>
      </c>
      <c r="D20" t="inlineStr">
        <is>
          <t>linkedin</t>
        </is>
      </c>
      <c r="E20" t="inlineStr"/>
      <c r="F20" t="inlineStr"/>
      <c r="G20" t="inlineStr"/>
      <c r="H20" t="inlineStr"/>
      <c r="I20" t="inlineStr">
        <is>
          <t>At Guild, we believe talent is everywhere and that opportunity should be too. We continue to have our home and headquarters in Denver, but we have embraced a distributed model of working to reach the best talent in the United States. While some roles may require proximity to our Denver office, roles based outside of our Denver office can sit in any of the following 32 states: AZ, CA, CO, CT, FL, GA, ID, IL, IN, KS, MA, MD, ME, MI, MN, MO, NC, NH, NJ, NV, NY, OH, OK, OR, PA, SC, TN, TX, UT, VA, WA, WI and Washington D.C. Please only apply if you are able to live and work full\-time in one of the states listed above. State locations and specifics are subject to change as our hiring requirements shift.
 If you are an Internal Candidate, please apply via our Internal Job Board.
 To thrive as a company and meet our impact goals, we must cultivate a culture of high\-performance. We know managers are often the single\-largest driver of employee satisfaction and growth, and our talent is our biggest asset. Because of that, we’ve identified consistent expectations for all of Guild’s people managers — helping you know what to expect from your experience here.
**Senior Product Manager, Grow Learner Experience**
**The Opportunity**
 Guild Grow is our product line focused on expanding access to education and skilling benefits globally. We need a Senior PM to own the learner experience—the part that actually matters to the people using this thing.
 You'll be responsible for making sure learners get real value, not just access to a catalog. That means understanding what's actually blocking them, what's working, and shipping improvements that move outcomes—not just metrics. You'll work closely with engineering, design, and data, and you'll use AI tooling to move faster (prototyping, research synthesis, testing ideas quickly).
 This is a remote role with occasional travel to Denver.
**Outcomes You'll Be Expected to Achieve**
* Measurable improvement in learner engagement and completion within your product area
* A clear, validated roadmap that balances learner needs with enterprise talent goals
* Faster iteration cycles—using AI tooling to prototype and test ideas before committing engineering resources
**What You'll Do To Achieve These Outcomes**
* Own strategy and roadmap for your product area, from discovery through delivery
* Lead research and discovery to understand what learners actually need (not just what stakeholders assume)
* Partner with engineering and design to ship quality work on a predictable cadence
* Use data and experimentation to make decisions—track what's working, kill what isn't
* Build quick prototypes using AI\-assisted tools to explore ideas before they hit the backlog
* Communicate clearly with stakeholders—keep people aligned without endless meetings
**You're Probably a Strong Candidate If You've**
* Owned a product area end\-to\-end and shipped improvements that moved real outcomes (not just launched features)
* Led discovery work that changed what the team built—not just validated what was already planned
* Used AI tools to speed up your own workflows (research, docs, prototyping) and can show examples
* Worked on products where you had to balance end\-user needs with enterprise buyer requirements
**Skills You'll Need**
* 5–8\+ years in product management, ideally B2B, SaaS, or platform products
* Strong discovery chops—you know how to learn what customers actually need
* Technical fluency—you can have real conversations with engineers about tradeoffs
* Data literacy—you use metrics to inform decisions, not just report on them
* Comfort with AI tooling—you're already using it to move faster, not waiting to be told to
* Clear communication—you can write a tight PRD and present to leadership without a lot of fluff
**Helpful But Not Required**
* Experience in education, benefits, payments, or global products
* Background working on consumer\-facing experiences within a B2B context
*We are committed to equal pay for equal work and believe in compensation transparency. All salary ranges are standardized nationwide and will not vary by region. This role offers a competitive total compensation package, including a base salary of $150,000 \- $190,000 and stock options. Compensation offered will be based on a combination of factors such as experience, competencies, and internal equity.*
**Posting Date** 
 : 1/23/26
* This role will stay open for a minimum of 3 days.
 Guild partners with the country’s most innovative employers, including Chipotle, Target, Walgreens, JPMorgan Chase, Hilton, Spectrum, PepsiCo, Tyson, and more, to build the talent needed for today and a resilient workforce for tomorrow. Guild helps employers identify, develop, and mobilize internal talent, enabling workers to gain skills for in\-demand roles and companies to stay agile.
 By connecting employees to real\-world learning, coaching, and career support, and providing companies with actionable talent insights, Guild transforms all talent into high\-impact contributors and positions companies for long\-term, sustainable growth. For more information, visit https://www.guild.com.
 Guild is a female\-founded, certified B Corp. The company has been recognized by Fortune’s Change the World list (2021, 2025\), the Forbes Cloud 100 (2020–2025\), Great Place to Work (2022–2025\), CNBC’s Disruptor 50 (2021–2024\), TIME’s 100 Most Influential Companies (2022\), Inc.’s Best\-Led Companies (2021\), Fast Company’s World Changing Ideas (2020\), and B Lab’s Best for the World (2019\), among many others.
**Benefits**
 Guild is an equal opportunity employer. We celebrate diversity and are committed to creating an inclusive environment for all employees. If you have a disability or special need that requires accommodation, please let your recruiter know. We currently offer the following benefits:
* Access to low\-cost, high\-quality health care options through Collective Health and Kaiser (due to coverage limitations, Kaiser is currently only available in CA \&amp; CO)
* Access to a 401k to help save for the future
* Vacation policy to rest and recharge
* 8 days of fully\-paid sick leave, to take the time to heal and or recover
* Family\-friendly benefits, including 12 weeks of parental leave for non\-birthing parents and 18\-20 weeks for birthing parents; 4\-week ramp\-up period for when employees return from a leave of 6 weeks or more; as well as employer\-paid short\-term and long\-term disability, employer\-sponsored life insurance, fertility and caregiving benefits.
* Well\-rounded wellness benefits including free and low cost mental health resources and financial wellbeing support services
* Education benefits and tuition assistance to help your future development and growth
**PRIVACY NOTICE**
 I understand that I am applying for employment with Guild and am being asked to provide information in connection with my application. I further understand that Guild gathers this information through a third\-party service provider and that Guild may use other service providers to assist in the application process. Guild may share my information with such third\-party service providers in connection with my application and for the start of employment.
 I understand and agree to Guild's use of my information in accordance with Guild's Privacy Policy and, for applicants that are residents of the State of California, Guild's Applicant Privacy Notice and California Notice at Collection.</t>
        </is>
      </c>
    </row>
    <row r="21">
      <c r="A21" t="inlineStr">
        <is>
          <t>li-4346917328</t>
        </is>
      </c>
      <c r="B21" t="inlineStr">
        <is>
          <t>Product Manager</t>
        </is>
      </c>
      <c r="C21" t="inlineStr">
        <is>
          <t>Motion Recruitment</t>
        </is>
      </c>
      <c r="D21" t="inlineStr">
        <is>
          <t>linkedin</t>
        </is>
      </c>
      <c r="E21" t="inlineStr"/>
      <c r="F21" t="inlineStr"/>
      <c r="G21" t="inlineStr">
        <is>
          <t>New York, NY</t>
        </is>
      </c>
      <c r="H21" t="inlineStr"/>
      <c r="I21" t="inlineStr">
        <is>
          <t>Job Title: Product Manager
 100% Remote (EST Hours)
* Must be located and authorized to work in the US without visa sponsorship/transfer now or in the future. No C2C inquiries, please\*
 A rapidly growing, venture\-backed B2B SaaS startup in the fintech and compliance sector is expanding its product team. They have built an AI\-driven platform that streamlines complex regulatory processes for financial institutions, significantly reducing manual workflows. With a lean, collaborative team and strong market validation, they are scaling operations to meet increasing demand across the U.S.
**They're looking to add their 2nd Product Manager to the team!** 
 Reporting directly to the Head of Product, you will drive day\-to\-day execution, acting as the operational hub between Engineering, Sales, and Customer Success. This role focuses heavily on delivery and transforming high\-level strategy into actionable user stories and shipping features that solve tangible problems.
 The team is specifically looking for somebody with a background in
 **Engineering or Customer Success** 
 who has successfully transitioned into Product Management.
**Requirements**
* 2 to 4 years of Product Management experience (B2B SaaS required; Fintech or Compliance tech preferred).
* Must have prior professional experience in Software Engineering or Customer Success.
* Demonstrated ability to ship products on time in a fast\-paced, unstructured startup environment.
* Strong ability to communicate technical concepts to non\-technical teams.
* Must be based in the US and strictly available during East Coast (EST) business hours.
**Responsibilities**
* Own the tactical execution of the roadmap, from writing user stories to leading QA/UAT.
* Collaborate closely with engineers to deliver AI\-powered features and improvements.
* Partner with Sales to support technical discovery and scope client implementations.
* Work with Customer Success to troubleshoot issues and incorporate user feedback into future releases.
* Maintain the backlog and ensure efficient delivery cycles.
**The Offer**
 This is a fully remote position offering a base salary between
 **$85,000 and $125,000** 
 , plus equity. You will be joining a remote\-first culture that values autonomy and impact. While the role is flexible on location, you must be available during standard EST business hours.
**Posted By:** 
 Jason Weiss</t>
        </is>
      </c>
    </row>
    <row r="22">
      <c r="A22" t="inlineStr">
        <is>
          <t>li-4319499917</t>
        </is>
      </c>
      <c r="B22" t="inlineStr">
        <is>
          <t>Staff Product Manager</t>
        </is>
      </c>
      <c r="C22" t="inlineStr">
        <is>
          <t>Nooks</t>
        </is>
      </c>
      <c r="D22" t="inlineStr">
        <is>
          <t>linkedin</t>
        </is>
      </c>
      <c r="E22" t="inlineStr"/>
      <c r="F22" t="inlineStr"/>
      <c r="G22" t="inlineStr">
        <is>
          <t>San Francisco, CA</t>
        </is>
      </c>
      <c r="H22" t="inlineStr"/>
      <c r="I22" t="inlineStr">
        <is>
          <t>**About Nooks.ai**
 Nooks is the AI Sales Assistant Platform (ASAP) that automates the busywork so reps can focus on the human part of selling and generate more sales pipeline. Nooks has helped thousands of sales reps hit quota, saved customers hundreds of thousands of hours, and powered hundreds of millions of dollars in pipeline. Nooks is loved by sales teams at companies like Hubspot, Rippling, and hundreds more.
 We’re a team of high performers raising over $70M from top VCs, including Kleiner Perkins, which made its first sales\-tech investment in over 10 years by investing in Nooks. Over the past two years, we’ve grown ARR by 4x and then 3x, and we plan to 3x it again this year.
 For more information, visit Nooks.ai.
**Responsibilities**
* Lead the strategy, roadmap, and execution for a major product area critical to Nooks’ AI sales platform.
* Drive high\-impact initiatives that combine cutting\-edge AI capabilities with deep understanding of sales workflows.
* Mentor and guide other product managers, helping elevate product thinking, prioritization, and execution quality.
* Partner closely with engineering and design leadership to define ambitious but achievable technical and UX goals.
* Engage deeply with customers and data to identify new opportunities for automation, efficiency, and revenue growth.
* Communicate product vision and outcomes clearly to executives and the broader organization.
**Requirements**
* 7\+ years of product management experience, including time as a senior or staff\-level PM leading complex initiatives.
* Demonstrated success driving strategy and execution for large\-scale SaaS or AI\-powered products.
* Strong technical acumen — able to work closely with engineering teams and make informed tradeoffs.
* Exceptional communication and leadership skills with the ability to influence across functions and levels.
* Deep empathy for users and a passion for designing systems that make work faster, simpler, and more human.
* Experience building or leading products in the sales tech, AI, or productivity domains is a strong plus.
 Compensation at Nooks for eligible roles includes base salary, equity, and benefits. Base salary is a single component of the total compensation package, which may also include equity in the form of options, comprehensive health, dental, and vision insurance, life and disability insurance, hybrid work, and unlimited paid time off. Note that benefits are subject to change and may vary based on the jurisdiction of employment.
 We offer competitive compensation to attract the best people and reward them for their contributions to our mission. Please reference the job posting’s subtitle for where this position will be located. For pay transparency purposes, the base salary range for this full\-time position in the location listed is: $220K \- $280K annually. On top of base salary, we also offer equity, generous perks and comprehensive benefits.
**Equal Employment Opportunity Statement**
 Nooks is an equal opportunity employer committed to fostering a diverse and inclusive workforce. We believe in providing equal employment opportunities to all individuals regardless of race, color, religion, gender, gender identity, sexual orientation, national origin, age, disability, veteran status, or any other characteristic protected by law.
 Nooks does not discriminate in hiring, promotion, compensation, or any other employment practices, and we are committed to ensuring a workplace that is free from discrimination, harassment, and retaliation. We encourage individuals from all backgrounds to apply and join our team.</t>
        </is>
      </c>
    </row>
    <row r="23">
      <c r="A23" t="inlineStr">
        <is>
          <t>li-4381513880</t>
        </is>
      </c>
      <c r="B23" t="inlineStr">
        <is>
          <t>Product Manager</t>
        </is>
      </c>
      <c r="C23" t="inlineStr">
        <is>
          <t>Haystack</t>
        </is>
      </c>
      <c r="D23" t="inlineStr">
        <is>
          <t>linkedin</t>
        </is>
      </c>
      <c r="E23" t="inlineStr"/>
      <c r="F23" t="inlineStr"/>
      <c r="G23" t="inlineStr"/>
      <c r="H23" t="inlineStr"/>
      <c r="I23" t="inlineStr">
        <is>
          <t>**Sr Product Manager \- Devices \| Hawthorne, California \| Remote\-Friendly \| $151,200 \- $204,600** 
 We're working with a global leader in smart home security and IoT innovation on this exciting opportunity. Join a team dedicated to building cutting\-edge consumer electronics like smart doorbells and security cameras that protect millions of neighborhoods worldwide.
 As a Senior Product Manager, you will take end\-to\-end ownership of high\-impact hardware products, from initial use\-case definition to global production launch. You will dive deep into Hardware Product Management lifecycle (NPI), working across Firmware, Electrical Engineering (EE), and Mechanical Engineering (ME) to ship world\-class IoT devices.
**The Role** 
 • Lead the end\-to\-end product lifecycle for next\-generation smart home devices, bridging the gap between hardware, firmware, and cloud services.
 • Drive the business strategy for device portfolios, leveraging data analytics and market trends to define product roadmaps.
 • Translate complex customer needs into crisp business requirements, PR/FAQs, and user stories for Industrial Design (ID) and engineering teams.
 • Orchestrate cross\-functional collaboration with Ops, EE, ME, and Embedded Systems teams to manage trade\-offs between performance, cost, and UX.
 • Navigate high\-stakes launches by coordinating with marketing and supply chain teams to ensure seamless go\-to\-market execution.
**What You'll Need** 
 • 5\+ years of experience in Technical Product Management, Program Management, or Product Marketing within the tech sector.
 • Proven track record of launching Consumer Electronics or IoT hardware products from concept to mass production.
 • Deep technical competence in hardware development cycles, including NPI processes and firmware integration.
 • Exceptional analytical skills with the ability to use data\-driven insights to influence executive\-level stakeholders.
 • Strong written communication skills, specifically in crafting detailed product specifications and strategic business docs.
**What's On Offer** 
 • Competitive salary range of $151,200 \- $204,600 with comprehensive benefits and equity packages.
 • Remote\-friendly flexibility coupled with a innovative workspace in Hawthorne for collaborative hardware hands\-on work.
 • The opportunity to build products used by millions, backed by the resources of a global tech powerhouse.
 • Significant career growth potential within a fast\-paced, high\-ownership environment focused on neighborhood safety.
**Apply via Haystack today!**</t>
        </is>
      </c>
    </row>
    <row r="24">
      <c r="A24" t="inlineStr">
        <is>
          <t>li-4337101255</t>
        </is>
      </c>
      <c r="B24" t="inlineStr">
        <is>
          <t>Sr. Princ Product Manager – Consumer LifeLock Product</t>
        </is>
      </c>
      <c r="C24" t="inlineStr">
        <is>
          <t>Gen</t>
        </is>
      </c>
      <c r="D24" t="inlineStr">
        <is>
          <t>linkedin</t>
        </is>
      </c>
      <c r="E24" t="inlineStr"/>
      <c r="F24" t="inlineStr"/>
      <c r="G24" t="inlineStr">
        <is>
          <t>Mountain View, CA</t>
        </is>
      </c>
      <c r="H24" t="inlineStr"/>
      <c r="I24" t="inlineStr">
        <is>
          <t>**About Gen Digital and LifeLock:**
 Gen Digital (NASDAQ: GEN) is a global company dedicated to powering Digital Freedom through its trusted Cyber Safety brands. Gen operates two business segments. The Cyber Safety segment includes Norton, Avast, and other leading security solutions. The Trust Based Solutions segment includes LifeLock, MoneyLion, Reputation Defender, and additional offerings focused on identity, privacy, reputation, and financial wellness.
 LifeLock is a flagship brand within Gen’s Trust Based Solutions segment. LifeLock pioneered identity theft protection and restoration services and continues to lead and redefine the category to meet consumer needs in a rapidly changing threat environment.
**What You Will Do In This Role**
**End\-to\-End Product Strategy:**
 Drive a comprehensive consumer product strategy that brings
 **new identity protection and fraud prevention products and features to market** 
 , leveraging AI to accelerate innovation. Identify strategic opportunities through in\-depth research, competitive and market analysis, and a deep understanding of the evolving threats families face from identity theft and financial fraud. Orchestrate the entire product lifecycle from early concept testing, validation, and rapid experimentation, to launching minimum viable products (MVPs) that validate market fit and scaling them across geographies and platforms. Define and measure product market fit metrics to continuously refine customer journeys, ensuring each interaction delivers measurable protection, peace of mind, and lasting value.
**Product Lifecycle Ownership:**
 Own and manage the product roadmap to deliver impactful, customer\-centric innovation balancing the launch of
 **new\-to\-market (0→1\) products and services** 
 with enhancements to existing offerings. Partner closely with commercial, design, and engineering teams to drive acquisition, engagement, and retention, with a strong focus on product market fit metrics.
**Leadership:**
 Lead a cross\-functional team of Researchers, Designers, Engineers, Marketers, and Product peers to design, test, and deliver solutions that help families stay protected from identity theft and financial fraud. Champion a culture of experimentation, learning, and operational excellence. Communicate progress, challenges, and opportunities to executive leadership through clear storytelling, strategic updates, and actionable recommendations.
**Collaboration:**
 Work hand\-in\-hand with product and business leaders to shape the overall product vision and strategic direction, leveraging both qualitative and quantitative insights to prioritize initiatives that deliver measurable protection and business growth.
**What You’ll Need to be Successful in this Role:**
 You are a self\-starter who thrives in collaborative, fast\-paced environments, working seamlessly within small cross\-functional teams that bring new ideas from concept to launch.
* Proven experience bringing consumer technology products from 0 to 1 from ideation through market launch and scale, driving measurable business growth over the past 7\+ years.
* Experience in regulated or compliance\-driven markets (financial services, data privacy, or cybersecurity preferred).
* Experience scaling direct\-to\-consumer (DTC) businesses and understanding consumer engagement drivers in safety, security, and financial protection domains.
**Business Case Development:**
* Expertise in analyzing business problems, uncovering root causes, and defining new economics for innovative product solutions.
* Ability to secure resources and funding through ROI\-based business cases and persuasive storytelling.
* Strong analytical acumen able to synthesize data, identify key insights, and make sound decisions even with incomplete information, clearly distinguishing between data\-backed elements and informed assumptions.
**Product Launches:**
* Demonstrated success in launching new consumer\-facing products and features that have meaningfully improved user acquisition, retention, revenue, or engagement.
* Experience with rapid experimentation frameworks such as A/B testing, design sprints, prototype validation, and user story mapping to validate and iterate on ideas.
* Proven ability to translate customer pain points into actionable user stories, prioritize effectively for agile teams, and align sprint goals to overall product vision and strategy.
* Recent experience launching AI driven products and features.
**Product Management:**
* Strong capability to convert strategic vision into actionable execution steps, collaborating across PM, engineering, and business teams to establish a rhythm of continuous delivery.
* Experience working with new partners, understanding compliance frameworks, and navigating the regulatory landscape necessary to launch protection\-focused products.
* Ability to clearly communicate tradeoffs, delivery options, and their implications across stakeholder groups.
**Stakeholder Management:**
* High energy, clear vision, and the ability to inspire cross\-functional teams around a shared mission.
* Strong facilitation and negotiation skills to align stakeholders and drive consensus.
* Skilled in distilling complex data into digestible KPIs and executive\-level insights that drive strategic decisions.
* Proven ability to build credibility and influence across both technical and non\-technical audiences.
**Professional Attributes:**
* Thoughtful and methodical yet biased toward action and experimentation.
* Exceptional communication skills: written, verbal, and visual with the ability to inspire confidence across all audiences.
* Bachelor’s in computer science, Business, or related discipline.
* A passion for consumer technology, online safety, and protecting families’ digital and financial well\-being is highly desirable.
 Salary Ranges:
 $180,000\.00 \- $210,000\.00
 The pay range depicts a base salary range for all positions except commission\-based roles. The pay range for commission\-based roles represents On Target Earnings (annual base salary \+ target annual commission). Additional compensation elements may be offered including an opportunity for bonus incentives and also competitive benefits package. Actual compensation offered will be determined by factors such as the external/internal market demand, location, level, job\-related knowledge, skills, and experience.
 Gen is proud to be an equal\-opportunity employer, committed to diversity and inclusivity. We base employment decisions on merit, experience, and business needs, without considering race, color, national origin, age, religion, sex, pregnancy, genetic information, disability, medical condition, marital status, sexual orientation, gender identity or expression, military or veteran status, or other unlawful factors. Gen prohibits discrimination based on these protected characteristics and recruits talented candidates from diverse backgrounds.
 We consider individuals with arrest and conviction records and do not discriminate against employees for discussing their own pay or that of other employees or applicants. Learn more about pay transparency.
 To conform to U.S. export control regulations, applicant should be eligible for any required authorizations from the U.S. Government.
 Salary Ranges:
 The pay range depicts a base salary range for all positions except commission\-based roles. The pay range for commission\-based roles represents On Target Earnings (annual base salary \+ target annual commission). Additional compensation elements may be offered including an opportunity for bonus incentives and also competitive benefits package. Actual compensation offered will be determined by factors such as the external/internal market demand, location, level, job\-related knowledge, skills, and experience.
 Gen is proud to be an equal\-opportunity employer, committed to diversity and inclusivity. We base employment decisions on merit, experience, and business needs, without considering race, color, national origin, age, religion, sex, pregnancy, genetic information, disability, medical condition, marital status, sexual orientation, gender identity or expression, military or veteran status, or other unlawful factors. Gen prohibits discrimination based on these protected characteristics and recruits talented candidates from diverse backgrounds.
 We consider individuals with arrest and conviction records and do not discriminate against employees for discussing their own pay or that of other employees or applicants. Learn more about pay transparency.
 To conform to U.S. export control regulations, applicant should be eligible for any required authorizations from the U.S. Government.</t>
        </is>
      </c>
    </row>
    <row r="25">
      <c r="A25" t="inlineStr">
        <is>
          <t>li-4381525143</t>
        </is>
      </c>
      <c r="B25" t="inlineStr">
        <is>
          <t>Product Manager</t>
        </is>
      </c>
      <c r="C25" t="inlineStr">
        <is>
          <t>Haystack</t>
        </is>
      </c>
      <c r="D25" t="inlineStr">
        <is>
          <t>linkedin</t>
        </is>
      </c>
      <c r="E25" t="inlineStr"/>
      <c r="F25" t="inlineStr"/>
      <c r="G25" t="inlineStr">
        <is>
          <t>Seattle, WA</t>
        </is>
      </c>
      <c r="H25" t="inlineStr"/>
      <c r="I25" t="inlineStr">
        <is>
          <t>**Sr. Product Manager \| Seattle, Washington \| Remote\-Friendly \| $151,200 \- $235,200** 
 We're working with a global leader in ambient intelligence and consumer electronics on this exciting opportunity.
 Join a high\-stakes team building the next generation of AI\-powered memory experiences. You will leverage Large Language Models (LLMs) and Multimodal AI to transform how millions of families rediscover their most meaningful moments across a vast ecosystem of smart displays, mobile devices, and home entertainment systems.
**The Role** 
 • Lead the end\-to\-end roadmap for AI\-driven photo experiences, defining the 24\-month vision for conversational memory search and proactive AI curation.
 • Design complex multimodal interactions blending Voice, Touch, and Visual UI for Echo Show, Fire TV, and mobile platforms.
 • Partner with Applied Science and Engineering to productionize LLM\-powered features, managing trade\-offs between model latency, cost, and output quality.
 • Drive cross\-domain integration with smart home and communication services to create seamless, "at\-a\-glance" ambient slideshows and highlight reels.
 • Champion local and cloud\-based privacy\-first AI architectures to earn and maintain deep customer trust with personal media.
**What You'll Need** 
 • 5\+ years of experience in technical product management delivering high\-scale consumer software products.
 • Proven track record of shipping LLM, Generative AI, or Conversational AI features (NLP/NLU) with a focus on intent classification and result ranking.
 • Technical fluency in architecture, APIs, and data contracts to lead deep\-dive discussions with engineering and research teams.
 • Experience with data\-driven experimentation, including A/B testing, longitudinal studies, and defining guardrail metrics for AI systems.
 • Strong ability to write PR/FAQs and high\-level strategy docs that align senior executive stakeholders across massive organizations.
**What's On Offer** 
 • Competitive compensation package including a base salary up to $235,200 plus equity and comprehensive benefits.
 • Remote\-friendly work environment within a culture that obsesses over craft, user research, and technical excellence.
 • The opportunity to shape the future of Computer Vision and AI\-powered memory exploration for one of the world's most ubiquitous voice assistants.
**Apply via Haystack today!**</t>
        </is>
      </c>
    </row>
    <row r="26">
      <c r="A26" t="inlineStr">
        <is>
          <t>li-4327067708</t>
        </is>
      </c>
      <c r="B26" t="inlineStr">
        <is>
          <t>Senior Product Manager, Growth</t>
        </is>
      </c>
      <c r="C26" t="inlineStr">
        <is>
          <t>Ro</t>
        </is>
      </c>
      <c r="D26" t="inlineStr">
        <is>
          <t>linkedin</t>
        </is>
      </c>
      <c r="E26" t="inlineStr"/>
      <c r="F26" t="inlineStr"/>
      <c r="G26" t="inlineStr">
        <is>
          <t>New York, NY</t>
        </is>
      </c>
      <c r="H26" t="inlineStr"/>
      <c r="I26" t="inlineStr">
        <is>
          <t>Ro is a direct\-to\-patient healthcare company with a mission of helping patients achieve their health goals by delivering the easiest, most effective care possible. Ro is the only company to offer nationwide telehealth, labs, and pharmacy services. This is enabled by Ro's vertically integrated platform that helps patients achieve their goals through a convenient, end\-to\-end healthcare experience spanning from diagnosis, to delivery of medication, to ongoing care. Since 2017, Ro has helped millions of patients in nearly every single county in the United States, including 99% of primary care deserts.
 Ro is consistently recognized as a top workplace in Health Care, in New York, and for Women and Parents—earning more than 20 honors from Fortune, Great Place to Work, and PEOPLE since 2021\. In 2025 alone, we ranked top 5 among medium workplaces in Health Care and New York, and top 50 nationwide.
 As Senior Product Manager you will drive patient growth by building experiences to improve patient access. You are someone who loves digging into complex problem spaces and collaborating with cross\-functional domain experts across clinical, marketing, operations, and platform tech to design solutions that address our patients’ pain points. You bring a strong track record of applying UX best practices and experimentation strategies to optimize user flows, reduce friction, and drive measurable growth. You are also a passionate executor who will lead a cross\-functional team day\-to\-day in building new features and capabilities, launching new offerings, validating hypotheses, and driving product excellence.
**What You’ll Do**
* Define and execute a roadmap to drive patient growth through investments in new patient onboarding and offering expansion to increase access and engagement for our patients
* Partner cross\-functionally with design, engineering, data, growth, clinical, operations, and legal teams to build scalable solutions that that deliver impact and intuitive and delightful user experiences
* Leverage analytics and user insights to uncover friction points and prioritize high\-impact opportunities using A/B testing, funnel analysis, and qualitative research
* Establish success metrics and regularly communicate learnings, results, and next steps to leadership and stakeholders
* Champion patient empathy in every growth decision ensuring that conversion wins also enhance trust, safety, and overall patient experience
* This role is a senior individual contributor (“IC”) role
**What You’ll Bring To The Team**
* 5\+ years of product management experience, including at least 3 years building consumer\-facing products and owning growth metric targets (conversion / retention)
* Proven ability to deliver measurable outcomes in complex business areas, balancing stakeholder needs with business priorities
* An action\-oriented, ownership mentality to problem solving
* Skilled in hypothesis\-driven development, A/B testing, and making data\-informed decisions to guide product strategy
* Strong track record of leading and influencing cross\-functional teams in fast\-paced, high\-growth environments
* Passion for breaking down complex challenges into simple, scalable solutions that resonate with users
* Adept at distilling complex ideas into actionable plans and effectively presenting to stakeholders at all levels
* Ability to establish common ground with empathy and candor, manage conflicting points of view, and articulate the rationale behind decisions
**We’ve Got You Covered**
* Full medical, dental, and vision insurance \+ OneMedical membership
* Healthcare and Dependent Care FSA
* 401(k) with company match
* Flexible PTO
* Wellbeing \+ Learning \&amp; Growth reimbursements
* Paid parental leave \+ Fertility benefits
* Pet insurance
* Student loan refinancing
* Virtual resources for mindfulness, counseling, and fitness
 We welcome qualified candidates of all races, creeds, genders, and sexuality to apply.
 The target base salary for this position ranges from $195,700 to $225,000, in addition to a competitive equity and benefits package (as applicable). When determining compensation, we analyze and carefully consider several factors, including location, job\-related knowledge, skills and experience. These considerations may cause your compensation to vary.
 Ro recognizes the power of in\-person collaboration, while supporting the flexibility to work anywhere in the United States. For our Ro’ers in the tri\-state (NY) area, you will join us at HQ on Tuesdays and Thursdays. For those outside of the tri\-state area, you will be able to join in\-person collaborations throughout the year (i.e., during team on\-sites).
 Ro recognizes the power of in\-person collaboration, while supporting the flexibility to work anywhere in the United States. For our Ro’ers in the tri\-state (NY) area, you will join us at HQ on Tuesdays and Thursdays. For those outside of the tri\-state area, you will be able to join in\-person collaborations throughout the year (i.e., during team on\-sites).
 At Ro, we believe that our diverse perspectives are our biggest strengths — and that embracing them will create real change in healthcare. As an equal opportunity employer, we provide equal opportunity in all aspects of employment, including recruiting, hiring, compensation, training and promotion, termination, and any other terms and conditions of employment without regard to race, ethnicity, color, religion, sex, sexual orientation, gender identity, gender expression, familial status, age, disability and/or any other legally protected classification protected by federal, state, or local law.
 See our California Privacy Policy here .</t>
        </is>
      </c>
    </row>
    <row r="27">
      <c r="A27" t="inlineStr">
        <is>
          <t>li-4355552902</t>
        </is>
      </c>
      <c r="B27" t="inlineStr">
        <is>
          <t>Sr. Product Manager, Menu and Pricing</t>
        </is>
      </c>
      <c r="C27" t="inlineStr">
        <is>
          <t>KFC</t>
        </is>
      </c>
      <c r="D27" t="inlineStr">
        <is>
          <t>linkedin</t>
        </is>
      </c>
      <c r="E27" t="inlineStr"/>
      <c r="F27" t="inlineStr"/>
      <c r="G27" t="inlineStr">
        <is>
          <t>Louisville, KY</t>
        </is>
      </c>
      <c r="H27" t="inlineStr"/>
      <c r="I27" t="inlineStr">
        <is>
          <t>**This is a hybrid role (2 \- 3 days per week) in Louisville, KY or Plano, TX.**
 The Product Manager – Menu \&amp; Pricing is responsible for overseeing the strategy, development, and operational excellence of all menu and pricing data across digital and in‑restaurant channels. This role ensures that menu authoring, publishing, and pricing integrations operate with high accuracy, speed, and reliability to support business needs and deliver a seamless customer experience. The position serves as the central owner of menu data workflows, partnering with cross‑functional teams, vendors, and restaurant operators to drive continuous improvement, accelerate change requests, and build a scalable roadmap that supports future growth and innovation.
* Develop and maintain the product roadmap for menu data management, menu authoring workflows, publishing systems, and pricing integration across all channels.
* Define strategic enhancements to improve menu data integrity, pricing automation, and the overall efficiency of change processes.
* Oversee the end\-to\-end process for menu creation, updates, pricing changes, and publishing across digital platforms and in restaurant systems.
* Manage interfaces and integration workflows between menu systems and pricing strategy providers to ensure accuracy and reliability.
* Collaborate closely with Operations, BOH teams, Digital stakeholders, Franchise partners, and vendors to gather requirements and translate them into clear product needs.
* Document requirements through user stories, acceptance criteria, use cases, and data workflows.
* Serve as the subject matter expert for menu data governance, menu publishing processes, and system behaviors.
* Own the intake, prioritization, and execution of menu\-related and pricing\-related change requests, ensuring fast and reliable turnaround. Identify operational bottlenecks and implement process improvements to accelerate menu publishing and reduce errors.
* Work with Distribution, QA, and Deployment teams to plan, schedule, and sequence releases to minimize operational impact.
* Groom, maintain, and prioritize the product backlog to align with business goals and technical constraints.
* Facilitate Agile ceremonies, collaborate with development teams, and ensure adherence to agile best practices.
* Partner with engineering teams to ensure solutions integrate effectively with BOH systems, restaurant devices, and third\-party partners.
* Coordinate with external vendors and solution providers to plan and manage system releases, upgrades, and enhancements.
* Align release timing and communication with business units and market needs.
* Support QA through test planning, scenario creation, menu data validation, and integration testing.
* Establish and maintain data governance practices to ensure accuracy, consistency, and reliability of menu and pricing data.
* Create consistent feedback loops with restaurants to gather insights on menu usability, data issues, and system performance.
* Analyze recurring operational issues and translate them into product improvements or process optimizations.
* Monitor data quality and operational KPIs to ensure reliable menu publishing and minimize discrepancies across channels.
* Drive improvements that reduce friction in digital ordering and enhance the customer experience related to menu and pricing accuracy.
* Deliver measurable improvements in the speed, quality, and reliability of menu data operations.
* Bachelor's degree in Computer Information Systems, Business Administration, or a related field is required.
* 10\+ years of experience in data management and strategy with strong collaboration and cross functional stakeholder management experience.
* 2\-3 years of experience in a product management role.
* Experience in requirements intake, demonstrating an understanding of customer needs and business objectives.
* 3\+ years of experience with restaurant/retail systems, with menu management and pricing integrations preferred.
* Excellent communication skills and the ability to build productive relationships with diverse teams.
* Experience with Agile methodologies is advantageous, with Agile certification being a plus.
* Proficiency in Agile tools and user story writing is essential.
* A proven track record of delivering measurable improvements in data operations and customer experience.
 Salary Range: $137,900 \- $151,690 annually \+ bonus eligibility. This is the expected salary range for this position. Ultimately, in determining pay, we'll consider the successful candidate’s location, experience, and other job\-related factors.
 Benefits: Employees (and their eligible family members) may enroll in the following types of insurance coverage: medical, dental, vision, legal, and accidental death and dismemberment, as well as FSA/HSA (depending on enrolled medical plan). Yum! also provides short\-term disability, long\-term disability, and life insurance. Employees may enroll in our 401(k) plan. Yum! provides 4 weeks of vacation, paid sick leave, 10 paid holidays, a floating day off and 2 paid days for volunteer time each calendar year. To learn more about working at Yum! \- Click here.
 At Yum!, one of our core values is to Believe in ALL People. This means seeing the value in everyone and unlocking their full potential to be their best self. YUM! Brands, Inc. (including its subsidiaries Yum Restaurant Services Group, LLC (“YRSG”) and Yum Connect, LLC (“Yum Digital and Technology”) (collectively, “Yum”) is proud to be an equal opportunity employer and is committed to equity, inclusion, and belonging for all dimensions of diversity. We do not discriminate based on race, color, religion, sex, sexual orientation, gender identity, national origin, veteran status, disability status, age, or any other protected characteristic. Yum! is committed to working with and providing reasonable accommodation to applicants with disabilities or special needs.
 US Job Seekers/Employees \- Click here to view the “Know Your Rights” poster and supplement and the Pay Transparency Policy Statement.</t>
        </is>
      </c>
    </row>
    <row r="28">
      <c r="A28" t="inlineStr">
        <is>
          <t>li-4323605354</t>
        </is>
      </c>
      <c r="B28" t="inlineStr">
        <is>
          <t>Data Product Manager</t>
        </is>
      </c>
      <c r="C28" t="inlineStr">
        <is>
          <t>Capital Group</t>
        </is>
      </c>
      <c r="D28" t="inlineStr">
        <is>
          <t>linkedin</t>
        </is>
      </c>
      <c r="E28" t="inlineStr"/>
      <c r="F28" t="inlineStr"/>
      <c r="G28" t="inlineStr">
        <is>
          <t>Irvine, CA</t>
        </is>
      </c>
      <c r="H28" t="inlineStr"/>
      <c r="I28" t="inlineStr">
        <is>
          <t>**“I can be myself at work.”**
 You are more than a job title. We want you to feel comfortable doing great work and bringing your best, authentic self to everything you do. We value your talents, traditions, and uniqueness—and we’re committed to fostering a strong sense of belonging in a respectful workplace.
 We intentionally seek diverse perspectives, experiences, and backgrounds, investing in a culture designed to celebrate differences. We believe that belonging leads to better outcomes and a stronger community of associates united by our mission. At Capital, we live our core values every day: Integrity, Client Focus, Diverse Perspectives, Long\-Term Thinking, and Community.
**“I can influence my income.”**
 You want to feel recognized at work. Your performance will be reviewed annually, and your compensation will be designed to motivate and reward the value that you provide. You’ll receive a competitive salary, bonuses and benefits. Your company\-funded retirement contribution will factor in salary and variable pay, including bonuses.
**“I can lead a full life.”**
 You bring unique goals and interests to your job and your life. Whether you’re raising a family, you’re passionate about where you volunteer, or you want to explore different career paths, we’ll give you the resources that can set you up for success.
* Enjoy generous time\-away and health benefits from day one, with the opportunity for flexible work options
* Receive 2\-for\-1 matching gifts for your charitable contributions and the opportunity to secure annual grants for the organizations you love
* Access on\-demand professional development resources that allow you to hone existing skills and learn new ones
**“I can succeed as a Data Product Manager at Capital Group”**
**Role summary:** 
 The Data Product Manager works closely with business stakeholders and engineering teams to manage and enhance trade data processing platform, ensuring availability of accurate, reliable, and well\-governed data.
 This role is pivotal in driving the modernization of our data infrastructure and contributing to the success of our growing data processing needs. You will partner closely with Business to gain understanding of compensation framework and requirements and work closely with Engineering to enable the implementation of these. A key focus in the near term will be supporting the Product and Technology team’s re\-platforming initiative, which is building on the foundation to enable nimble enhancements and automation. You will challenge the team to think bigger and bolder about opportunities to leverage data in new ways, while also delivering the current needs of our business and users.
**Primary Responsibilities**
* Define and execute a comprehensive product strategy in alignment with enterprise goals. Translate the strategy into an executable roadmap, prioritizing features that have the most significant impact on customers and stakeholders.
* Lead design and operationalization of technology solutions focused on enhancing data quality, and operational efficiencies.
* Manage the end\-to\-end product development lifecycle, delivering features iteratively to address business challenges: Drive product discovery, requirements definition, and feature prioritization, leveraging product management best practices. Responsible for product launch activities, including user acceptance testing, change management, collateral development and user rollout.
* Monitor product performance and report KPIs. Own product communication.
* Establish strong partnerships with internal teams and stakeholders, fostering continuous feedback loops to understand their data\-related needs.
* Develop a deep understanding of upstream/downstream systems and processes to shape data model design and impact adjacent systems.
**“I am the person Capital Group is looking for.”**
* 5\+ years of relevant Product Management experience with a proven track record of successfully launching and scaling data products.
* Proficiency in advanced tools such as Alteryx, Tableau, SQL, R, Python or other equivalent programs.
* Bachelor’s degree in one of the following areas: business, accounting, statistics, math, finance, economics, engineering, other related fields. Master’s degree preferred.
* Demonstrated ability to manage complexity, communicate effectively, and collaborate with stakeholders.
* Demonstrated ability to plan and align, drive results, balancing stakeholders, and navigating the organization.
* Experience managing B2B2C or B2B products throughout the product development lifecycle, preferably in the Financial Services/Asset Management industry for data platforms, data experience, tools, workflows, and/or data infrastructure.
* Ability to effectively prioritize and communicate product roadmap across business functions including leadership.
* Exceptional communication skills, both written and verbal, capable of engaging in discussions at various levels within the organization.
* Ability to inspire, motivate, and lead cross\-functional teams, including other product managers, architects, engineers, and business partners.
* Proficiency in applying a combination of qualitative and quantitative methods to define and measure product success.
* Entrepreneurial mindset, comfortable working with ambiguity, rolling up your sleeves, and getting the work done.
**“I can apply in less than 4 minutes.”**
 You’ve reviewed this job posting and you’re ready to start the candidate journey with us. Apply now to move to the next step in our recruiting process. If this role isn’t what you’re looking for, check out our other opportunities and join our talent community.
**“I Can Learn More About Capital Group.”**
 At Capital Group, the success of the people who invest with us depends on the people in whom we invest. That’s why we offer a culture, compensation and opportunities that empower our associates to build successful and prosperous careers. Through nine decades, our goal has been to improve people’s lives through successful investing. We know that our history is a testament to the strength of the people we hire. More than 9,000 associates in 30\+ offices around the world help our clients and each other grow and thrive every day. Find us on LinkedIn, Instagram, YouTube and Glassdoor.‎
 Southern California Base Salary Range: $141,648\-$226,637
 ‎
 ‎
 ‎
 ‎
 ‎
 ‎
 ‎
 ‎
 ‎
 ‎
 ‎
 ‎
 ‎
 ‎
 ‎
*In addition to a highly competitive base salary, per plan guidelines, restrictions and vesting requirements, you also will be eligible for an individual annual performance bonus, plus Capital’s annual profitability bonus plus a retirement plan where Capital contributes 15% of your eligible earnings.*
*You can learn more about our compensation and benefits* 
*here* 
*.*
* Temporary positions in the United States are excluded from the above mentioned compensation and benefit plans.
*We are an equal opportunity employer, which means we comply with all federal, state and local laws that prohibit discrimination when making all decisions about employment. As equal opportunity employers, our policies prohibit unlawful discrimination on the basis of race, religion, color, national origin, ancestry, sex (including gender and gender identity), pregnancy, childbirth and related medical conditions, age, physical or mental disability, medical condition, genetic information, marital status, sexual orientation, citizenship status, AIDS/HIV status, political activities or affiliations, military or veteran status, status as a victim of domestic violence, assault or stalking or any other characteristic protected by federal, state or local law.*</t>
        </is>
      </c>
    </row>
    <row r="29">
      <c r="A29" t="inlineStr">
        <is>
          <t>li-4381528100</t>
        </is>
      </c>
      <c r="B29" t="inlineStr">
        <is>
          <t>Senior Product Manager</t>
        </is>
      </c>
      <c r="C29" t="inlineStr">
        <is>
          <t>Haystack</t>
        </is>
      </c>
      <c r="D29" t="inlineStr">
        <is>
          <t>linkedin</t>
        </is>
      </c>
      <c r="E29" t="inlineStr"/>
      <c r="F29" t="inlineStr"/>
      <c r="G29" t="inlineStr"/>
      <c r="H29" t="inlineStr"/>
      <c r="I29" t="inlineStr">
        <is>
          <t>**Senior Product Manager \| Seattle, Washington \| Remote\-Friendly \| $151,200 \- $204,600** 
 We're working with the world’s pioneer in digital reading and consumer electronics on this exciting opportunity.
 Are you ready to redefine the future of the written word for millions of global readers? We are looking for a high\-octane Senior PM\-T to lead the software evolution for iconic hardware like Paperwhite, Colorsoft, and Scribe, utilizing deep data analytics and user\-centric design to build the next generation of digital ink experiences.
**The Role** 
 • Define and execute the technical software roadmap for flagship e\-reader devices, balancing immediate feature launches with long\-term architectural bets.
 • Lead cross\-functional squads of Engineering, UX Design, and Data Science to deliver intuitive features that merge physical\-world reading with digital\-first innovation.
 • Leverage big data and customer insights to conduct deep\-dive audits of business strategy, ensuring every feature is grounded in quantifiable user needs.
 • Drive global product launches by collaborating with PR, Legal, and Marketing teams to bring your vision to a worldwide audience of millions.
 • Influence the broader hardware ecosystem by integrating software capabilities that unlock the full potential of advanced display technologies and stylus input.
**What You'll Need** 
 • 5\+ years of experience in Technical Product Management, Program Management, or Software Engineering leadership.
 • Proven track record of shipping complex consumer\-facing software products or mobile applications at scale.
 • Strong technical fluency with the ability to engage in architectural discussions regarding cloud services, APIs, and embedded software systems.
 • Mastery of data\-driven decision\-making, including experience with SQL, Tableau, or similar analytical tools to uncover customer pain points.
 • Exceptional writing and communication skills, with the ability to craft compelling "Working Backwards" documents and strategic PRFAQs.
**What's On Offer** 
 • Competitive base salary and a comprehensive total compensation package including restricted stock units (RSUs).
 • The opportunity to innovate on a product that is literally part of history and shapes how the world consumes knowledge.
 • A high\-growth environment with a culture of "Day 1" thinking and significant visibility to executive leadership.
 • Flexible, remote\-friendly workplace options within a global team culture.
**Apply via Haystack today!**</t>
        </is>
      </c>
    </row>
    <row r="30">
      <c r="A30" t="inlineStr">
        <is>
          <t>li-4382674206</t>
        </is>
      </c>
      <c r="B30" t="inlineStr">
        <is>
          <t>Product Manager - Order Fulfillment Logic</t>
        </is>
      </c>
      <c r="C30" t="inlineStr">
        <is>
          <t>Staples</t>
        </is>
      </c>
      <c r="D30" t="inlineStr">
        <is>
          <t>linkedin</t>
        </is>
      </c>
      <c r="E30" t="inlineStr"/>
      <c r="F30" t="inlineStr"/>
      <c r="G30" t="inlineStr">
        <is>
          <t>Framingham, MA</t>
        </is>
      </c>
      <c r="H30" t="inlineStr"/>
      <c r="I30" t="inlineStr">
        <is>
          <t>**Staples is business to business. You’re what binds us together.**
 Our eCommerce team delivers customer\-centric site experiences to position Staples as a digital selling platform of choice. Our team ensures that our mobile, desktop, and app platforms deliver the digital experience that our customers expect. We do this through customer insights, analytics, and testing to build a strong innovation pipeline for the future and to bring products and solutions to market seamlessly. We utilize online merchandising and campaigns executed by both humans and automated tools to convert new and returning website visitors into customers. We work end\-to\-end with our sales, merchandising, finance, logistics, marketing, and technology teams to provide a world\-class, holistic digital experience, growing profitable results in a fun and rewarding work environment. We are inclusive, customer\-obsessed, and are looking for well\-rounded professionals with strong eCommerce business acumen to join our team.
 The Product Manager plays a critical role in shaping the future of our eCommerce platforms. This individual is responsible for leveraging customer insights, analytics, and market trends to define and prioritize product backlogs, ensuring our mobile, desktop and app platforms deliver exceptional digital experiences. This role collaborates closely with engineering teams to bring innovative products and solutions to market, driving growth and enhancing customer satisfaction.
**What You’ll Be Doing:**
* Collaborate with leadership to define the product vision and align it with the overarching business and digital strategy.
* Own the product backlog, meticulously managing and prioritizing user stories, bugs and tasks based on strategic business goals, customer value, and team capacity.
* Serve as the key point of contact between the development team and stakeholders.
* Craft detailed user stories and acceptance criteria to guide the development process.
* Champion a mindset of continuous improvement, encouraging the team to experiment with new ideas and approaches to solve customer problems.
**What You Bring To The Table:**
* Strong analytical and problem\-solving skills, with the ability to make data\-driven decisions.
* Excellent communication and interpersonal skills, capable of working effectively with technical and non\-technical teams.
* Agile and adaptable, with a proactive approach to addressing challenges and seizing opportunities.
* Leadership and mentorship capabilities, with a passion for fostering team growth and development.
* Ability to translate complex algorithmic or machine‑learning–driven insights into clear product decisions that improve delivery speed, cost, and customer outcomes.
* Strong technical fluency with data\-intensive backend systems, enabling confident partnership with engineering, data science, and research teams.
* A proactive mindset for identifying network inefficiencies and uncovering optimization opportunities across routing, carrier selection, inventory availability, and delivery promises.
**What’s needed\- Basic Qualifications:**
* Bachelor's degree in Business, Technology, or a related field, or equivalent work experience.
* 5\+ years of related experience in product management, with a focus on eCommerce or digital products.
* Manage the end\-to\-end lifecycle of digital products from conception through development, launch, and iteration
* Comprehensive understanding and practical application of Agile methodologies, tools, and systems
**What’s needed\- Preferred Qualifications:**
* Master’s degree in a related field
* Professional certifications in Agile methodologies (e.g., Certified Scrum Master (CSM), SAFe Agilist, or PMI Agile Certified Practitioner (PMI\-ACP)) or product management certifications (e.g., AIPMM Certified Product Manager)
* Experience in the specific industry (e.g. B2B, supply chain, office supplies)
* Hands\-on experience working with data analytics tools and languages such as SQL, Python, Snowflake, or Power BI to support product discovery and decision\-making.
* Familiarity with machine learning concepts, routing algorithms, or network optimization models in fulfillment, transportation, or logistics environments.
* Background in backend\-focused digital product development, particularly within order fulfillment, delivery networks, or predictive/algorithmic decision systems.
**We Offer:**
* Inclusive culture with associate\-led Business Resource Groups
* 22 days of PTO and Holiday Schedule (7 observed paid holidays \+ 1 floating holiday)
* Online and Retail Discounts, Company Match 401(k), Physical and Mental Health Wellness programs, and more!
 The salary range represents the expected compensation for this role at the time of posting. The specific base pay may be influenced by a variety of factors to include the candidate's experience, skill set, education, geography, business considerations, and internal equity. In addition to base pay, this role may be eligible for bonuses, or other forms of variable compensation.</t>
        </is>
      </c>
    </row>
    <row r="31">
      <c r="A31" t="inlineStr">
        <is>
          <t>li-4341935411</t>
        </is>
      </c>
      <c r="B31" t="inlineStr">
        <is>
          <t>Sr Data Product Manager - Oasis 1 (Luxembourg)</t>
        </is>
      </c>
      <c r="C31" t="inlineStr">
        <is>
          <t>Blue Origin</t>
        </is>
      </c>
      <c r="D31" t="inlineStr">
        <is>
          <t>linkedin</t>
        </is>
      </c>
      <c r="E31" t="inlineStr"/>
      <c r="F31" t="inlineStr"/>
      <c r="G31" t="inlineStr">
        <is>
          <t>Los Angeles, CA</t>
        </is>
      </c>
      <c r="H31" t="inlineStr"/>
      <c r="I31" t="inlineStr">
        <is>
          <t>**Application Close Date**
 Applications will be accepted on an ongoing basis until the requisition is closed.
 At Blue Origin, we envision millions of people living and working in space for the benefit of Earth. We’re working to develop reusable, safe, and low\-cost space vehicles and systems within a culture of safety, collaboration, and inclusion. Join our team of problem solvers as we add new chapters to the history of spaceflight!
 This role is part of Advanced Concepts and Enterprise Engineering (ACE), supporting Blue Origin’s mission of millions of people living and working in space for the benefit of Earth. The team fosters innovation and drives engineering workflows of the future, shared solutions and standards, simplicity and lower costs, and manufacturable design.
 This position is part of the Advanced Concepts and Enterprise Engineering (ACE) business unit. ACE develops next\-generation concepts and systems to advance our future of living and working in space sustainably. We believe that to preserve our planet, humanity must expand beyond our current limits, venturing into space to explore and harness new energy and material resources. In pursuit of this vision, we invite you to join our Space Resources Program, working alongside Blue Alchemist, Blue Origin’s initiative to enable lunar surface power production and building blocks for humanity from local materials. The Space Resources Program encompasses multiple projects; in this role, you will contribute across the portfolio, including the current Blue Alchemist effort and future initiatives. We’re dedicated to developing and demonstrating Prospecting and In Situ Resource Utilization (ISRU) technologies for the Moon, Mars, and beyond. If our mission resonates with you and you are eager to contribute, you could be the perfect addition to our inclusive, open\-minded, and forward\-thinking team.
 In this hands\-on role, you will work in a fully in\-person capacity at our Luxembourg site. You will serve as the Oasis\-1 Data Product Manager, executing end\-to\-end data product definition and delivery; quality\-controlling lunar resource maps and higher\-level products; working with customers and partners who will use Oasis\-1 data products, and implementing a cybersecurity plan for these data. You will own data product specifications, quality and acceptance metrics, and reproducibility practices; support mission operations from downlink through quick look and final product generation; and prepare compliant public data releases with stakeholders. You will collaborate closely with the Project Coordinator, Mission Manager, Planetary Scientist, Mission Scientist, Sr. Geochemist, Software, Systems, Instruments, and stakeholders to deliver validated outputs that inform mission decisions and amplify community impact. In addition, you will define requirements for data products and be responsible for final acceptance of data products; generate criteria for private and public data product classifications; define instrument calibration requirements, public data repository requirements, and generate the public data release roadmap; define requirements for public and private data processing pipelines; generate cybersecurity requirements, prepare a cybersecurity plan, and execute the cybersecurity plan; manage collaboration with partners for use of public data; contribute to sales efforts for private data; serve as a point of contact for customers and partners; and monitor the Project Coordinator and Mission Manager to ensure on track delivery of final Oasis‑1 data products meeting data requirements.
**Location and Travel :**
 Location and Travel: Fully in\-person role based at our Luxembourg site; the position begins in the US with relocation to Luxembourg within 3 months; periodic domestic and international travel expected; candidate must be willing and eligible to work internationally; teleconferences with the Oasis\-1 team in Los Angeles will occur in the late afternoon / early evening (Luxembourg time).
**Responsibilities Include But Are Not Limited To**
* Data product execution and quality
+ Supervise execution of L0–L3 data product pipelines according to specifications; implement quality metrics and reproducibility practices; maintain version\-controlled archives and metadata.
+ Deliver tagged releases with coverage/quality metrics, processing parameter logs, and configuration\-managed documentation.
+ Define requirements for data products and be responsible for the final acceptance of data products.
+ Generate criteria for private and public data product classifications.
+ Deliver Data Requirements Specification, Data Product Catalog (types, formats, volumes), Data Requirements Traceability Matrix, and Data User Needs Assessment Report.
* Pipeline operations and verification
+ Deliver unit/system test evidence, code review records, and inputs to the Data Processing Pipeline Functionality Report.
+ Define requirements for private data processing pipeline and collaborate with partners to define requirements for the public data processing pipeline.
* Map generation during mission operations
+ Ingest downlinked data; generate quick look and final products; produce and update planetary maps; investigate anomalies and reprocess as needed.
+ Deliver weekly status updates, rolling map updates, and final mapping reports.
* Model validation and uncertainty quantification
+ Perform validation and uncertainty quantification methods on a variety of datasets.
+ Deliver validation reports, statistical analysis reports, and prioritized targets/flags for campaign planning.
* Calibration and test data integration
* Participate in Science/Calibration reviews and field tests with instrument and geochemistry teams.
+ Deliver updated calibration parameters and field test inputs/outputs to the archive.
+ Define instrument calibration requirements.
* Cybersecurity and data governance
+ Develop cybersecurity requirements, create the cybersecurity plan, and execute it for Oasis\-1 data.
+ Ensure compliance with export control and cybersecurity regulations, including secure data exchange with suppliers.
+ Ensure downlinked data is encrypted following mission standards
* Public release and publications
+ Prepare public data criteria and release roadmap with stakeholders; define embargo period, IP considerations, export screening, and reproducibility; coordinate public release timing.
+ Deliver public release packages to stakeholders and coauthor peer\-reviewed publications.
+ Generate the public data repository requirements. Implement public data repository contract.
* Reviews, gates, and configuration management
+ Contribute data product content at SRR/PDR/CDR and operations gates; maintain configuration management discipline and records per product assurance guidance.
+ Deliver review materials, action closures, and configuration/audit records.
+ Deliver milestone reports
* Cross\-functional collaboration and outreach
+ Work with the Mission Scientist, Mission Manager, Sr. Geochemist, Software, Systems, Instruments, and stakeholders; support mission decisions and community engagement.
+ Deliver plan for outreach/publication tracking.
+ Serve as a point of contact for customers and partners; monitoring that the Project Coordinator and Mission Manager are on track to deliver final Oasis‑1 data products that meet requirements.
+ Assist in private data sales efforts.
**Minimum Qualifications**
* M.S. or Ph.D. in remote sensing, data science, physical sciences, or related discipline (or equivalent practical experience).
* 8\+ years executing remote sensing data product pipelines and producing mapping products for space or airborne/terrestrial missions.
* Hands on experience with various remote sensing datasets.
* Demonstrated experience in model validation and uncertainty quantification tied to calibration, lab, or field ground truth.
* Proficiency in scientific programming and data analysis (e.g., Python, NumPy/Pandas/Xarray; Jupyter), geospatial tooling (e.g., ArcGIS, ENVI), and version control (e.g., Git).
* Experience operating within formal review, verification/validation, and configuration management processes; strong documentation and reproducibility practices.
* Experience preparing scientific publications and/or public data releases with external partners.
* Strong collaboration and communication skills; ability to coordinate across science, instruments, software, systems, and mission operations.
* 5\+ years in remote sensing data product management; requirements definition; product delivery and quality assurance; sales.
* Must be eligible to work in Luxembourg and comply with applicable export control requirements.
**Compensation Range For**
 CA applicants is $145,188\.00 \- $203,263\.20
**Other Site Ranges May Differ**
**Culture Statement**
 Don’t meet all desired requirements? Studies have shown that some people are less likely to apply to jobs unless they meet every single desired qualification. At Blue Origin, we are dedicated to building an authentic workplace, so if you’re excited about this role but your past experience doesn’t align perfectly with every desired qualification in the job description, we encourage you to apply anyway. You may be just the right candidate for this or other roles.
**Export Control Regulations**
 Applicants for employment at Blue Origin must be a U.S. citizen or national, U.S. permanent resident (i.e. current Green Card holder), or lawfully admitted into the U.S. as a refugee or granted asylum.
**Background Check**
* Required for all positions: Blue’s Standard Background Check
* Required for Certain Job Profiles: Defense Biometric Identification System (DBIDS) background check if at any time the role requires one to be on a military installation
* Required for Certain Job Profiles: Drivers who operate Commercial Motor Vehicles with a Gross Vehicle Weight (GVW), Gross Vehicle Weight Rating (GVWR) or combination of power unit and trailer that meets or exceeds 10,001 lbs. and/or transports placardable amounts of hazardous materials by ground in any vehicle on a public road while in commerce, may be subject to additional Federal Motor Carrier Safety Regulations including: Driver Qualification Files, Medical Certification (obtained before onboarding), Road Test, Hours of Service, Drug and Alcohol Testing (CDL drivers only), vehicle inspection requirements, CDL requirements (if applicable) and hazardous materials transportation/shipping training.
* Required for certain Job Profiles: Ability to obtain and maintain Merchant Mariner Credential, which includes pre\-employment and random drug testing as well as DOT physical
**Benefits**
* Benefits include: Medical, dental, vision, basic and supplemental life insurance, paid parental leave, short and long\-term disability, 401(k) with a company match of up to 5%, and an Education Support Program.
* Paid Time Off: Up to four (4\) weeks per year based on weekly scheduled hours, and up to 14 company\-paid holidays.
* Dependent on role type and job level, employees may be eligible for benefits and bonuses based on the company's intent to reward individual contributions and enable them to share in the company's results, or other factors at the company's sole discretion. Bonus amounts and eligibility are not guaranteed and subject to change and cancellation. Please check with your recruiter for more details.
**Equal Employment Opportunity**
 Blue Origin is proud to be an Equal Opportunity/Affirmative Action Employer and is committed to attracting, retaining, and developing a highly qualified and dedicated work force. Blue Origin hires and promotes people on the basis of their qualifications, performance, and abilities. We support the establishment and maintenance of a workplace that fosters trust, equality, and teamwork. We provide all qualified applicants for employment and employees with equal opportunities for hire, promotion, and other terms and conditions of employment, regardless of their race, color, religion, sex,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including the Washington Fair Chance Act, the California Fair Chance Act, the Los Angeles Fair Chance in Hiring Ordinance, and other applicable laws. For more information on “Know Your Rights,” please see here.
**Affirmative Action and Disability Accommodation**
 Applicants wishing to receive information on Blue Origin’s Affirmative Action Plans, or applicants requiring a reasonable accommodation in order to participate in the application and/or interview process, please contact us at EEOCompliance@blueorigin.com. Please note this is a publicly managed inbox. Please do not include any personal medical information in your request.
**California Applicant Privacy Notice**
 If you are a California resident, please reference the CA Applicant Privacy Notice here.</t>
        </is>
      </c>
    </row>
    <row r="32">
      <c r="A32" t="inlineStr">
        <is>
          <t>li-4355570111</t>
        </is>
      </c>
      <c r="B32" t="inlineStr">
        <is>
          <t>Sr Product Manager - Workday AI</t>
        </is>
      </c>
      <c r="C32" t="inlineStr">
        <is>
          <t>Workday</t>
        </is>
      </c>
      <c r="D32" t="inlineStr">
        <is>
          <t>linkedin</t>
        </is>
      </c>
      <c r="E32" t="inlineStr"/>
      <c r="F32" t="inlineStr"/>
      <c r="G32" t="inlineStr">
        <is>
          <t>Seattle, WA</t>
        </is>
      </c>
      <c r="H32" t="inlineStr"/>
      <c r="I32" t="inlineStr">
        <is>
          <t>**Your work days are brighter here.**
 We’re obsessed with making hard work pay off, for our people, our customers, and the world around us. As a Fortune 500 company and a leading AI platform for managing people, money, and agents, we’re shaping the future of work so teams can reach their potential and focus on what matters most. The minute you join, you’ll feel it. Not just in the products we build, but in how we show up for each other. Our culture is rooted in integrity, empathy, and shared enthusiasm. We’re in this together, tackling big challenges with bold ideas and genuine care. We look for curious minds and courageous collaborators who bring sun\-drenched optimism and drive. Whether you're building smarter solutions, supporting customers, or creating a space where everyone belongs, you’ll do meaningful work with Workmates who’ve got your back. In return, we’ll give you the trust to take risks, the tools to grow, the skills to develop and the support of a company invested in you for the long haul. So, if you want to inspire a brighter work day for everyone, including yourself, you’ve found a match in Workday, and we hope to be a match for you too.
**About The Team**
 Agent Factory is where Workday’s next chapter gets built. We’re forming small, senior, cross\-functional AI teams that bring together product leaders, machine learning engineers, and full\-stack builders to create intelligent agents used by millions of people every day. This is production\-grade AI—deeply embedded into Workday’s platform—not research experiments or maintenance work. Teams own problems end to end, collaborate tightly across disciplines, and use the right tools to solve real customer challenges at global scale. You’ll work at the intersection of AI, platform architecture, and human workflows, with the autonomy to shape how agents reason, act, and scale responsibly. High trust, high expectations, and real impact. Engineering, but brighter.
**About The Role**
 As a Senior Product Manager in Agent Factory, you’ll lead the strategy and delivery of AI\-powered agents that are designed to be understood, trusted, and adopted by customers at global scale. You’ll own products across the agent lifecycle—from defining the customer problem and value proposition, to shaping the platforms and frameworks that enable Workday teams to bring agents to market quickly and consistently. Working closely with machine learning, engineering, and domain product leaders, you’ll turn emerging AI capabilities into clear product narratives, scalable solutions, and measurable customer impact. This role calls for strong product judgment, a bias for execution, and deep curiosity about how AI can be translated into differentiated experiences that drive real business outcomes. You’ll help define how Workday positions, builds, and delivers intelligent agents—ensuring innovation lands with clarity, credibility, and purpose.
**About You**
**Basic Qualifications**
* 8\+ years of product management experience
* 5\+ years of experience with SaaS/B2B
* Experience with AI Agents
* Technically proficient with AI and LLM\-powered technology
**Other Qualifications:**
* Passion and empathy for customers and a proven track record as a customer advocate
* Experience managing stakeholders and working collaboratively and cross functionally with a product portfolio
* Experience bringing new product offerings to market
* Steadfast focus on user\-centric design, data, research, and well\-honed judgment
* Bias for decisions and actions and comfortable making big decisions on the minimal amount of information needed for it.
* Ability to operate successfully across multiple functions, influence senior executives and peers alike, and mediate across various partners
* Good communication and presentation abilities, both written and verbal
* Previous experience at AI centric or data centric companies a plus
 You’ll be a great fit (and make sure to highlight these experiences to us) if:
* You’ve worked in unstructured, fast\-moving environments like early stage startups, and thrived in it.
* You are passionately following the latest in AI products and emerging technologies and trying them out, exploring possibilities, and have experimented with many of the technologies on your own
* You are driven to action, progress, and decisions and are comfortable pushing on product deliveries with best available incomplete information and get your motivation from building/delivering
* You are organized and capable of tracking dozens of moving pieces and managing the many stakeholders that you work with at a company like Workday
* You excel at learning and understanding customer pain points quickly based on public information, internal information, and customer conversations, and can get up to speed on complex customer pain points in a fraction of the time a typical PM would
* You’re excited to build products that bring the latest AI technology to Workday’s massive customer base.
**Workday Pay Transparency Statement**
 The annualized base salary ranges for the primary location and any additional locations are listed below. Workday pay ranges vary based on work location. As a part of the total compensation package, this role may be eligible for the Workday Bonus Plan or a role\-specific commission/bonus, as well as annual refresh stock grants. Recruiters can share more detail during the hiring process. Each candidate’s compensation offer will be based on multiple factors including, but not limited to, geography, experience, skills, job duties, and business need, among other things. For more information regarding Workday’s comprehensive benefits, please click here.
 Primary Location: USA.WA.Seattle
 Primary Location Base Pay Range: $155,400 USD \- $233,100 USD
 Additional US Location(s) Base Pay Range: $140,600 USD \- $248,400 USD
**Our Approach to Flexible Work**
 With Flex Work, we’re combining the best of both worlds: in\-person time and remote. Our approach enables our teams to deepen connections, maintain a strong community, and do their best work. We know that flexibility can take shape in many ways, so rather than a number of required days in\-office each week, we simply
 **spend at least half (50%) of our time each quarter in the office or in the field** 
 with our customers, prospects, and partners (depending on role). This means you'll have the freedom to create a flexible schedule that caters to your business, team, and personal needs, while being intentional to make the most of time spent together. Those in our remote "home office" roles also have the opportunity to come together in our offices for important moments that matter.
 Pursuant to applicable Fair Chance law, Workday will consider for employment qualified applicants with arrest and conviction records.
 Workday is an Equal Opportunity Employer including individuals with disabilities and protected veterans.
 At Workday, we are committed to providing an accessible and inclusive hiring experience where all candidates can fully demonstrate their skills. If you require assistance or an accommodation at any point, please email accommodations@workday.com.
**Are you being referred to one of our roles? If so, ask your connection at Workday about our Employee Referral process!**
 At Workday, we value our candidates’ privacy and data security. Workday will never ask candidates to apply to jobs through websites that are not Workday Careers.
 Please be aware of sites that may ask for you to input your data in connection with a job posting that appears to be from Workday but is not.
 In addition, Workday will never ask candidates to pay a recruiting fee, or pay for consulting or coaching services, in order to apply for a job at Workday.
 ,</t>
        </is>
      </c>
    </row>
    <row r="33">
      <c r="A33" t="inlineStr">
        <is>
          <t>li-4355720311</t>
        </is>
      </c>
      <c r="B33" t="inlineStr">
        <is>
          <t>Retail Program Manager, Experiences</t>
        </is>
      </c>
      <c r="C33" t="inlineStr">
        <is>
          <t>Netflix</t>
        </is>
      </c>
      <c r="D33" t="inlineStr">
        <is>
          <t>linkedin</t>
        </is>
      </c>
      <c r="E33" t="inlineStr"/>
      <c r="F33" t="inlineStr"/>
      <c r="G33" t="inlineStr">
        <is>
          <t>Los Angeles, CA</t>
        </is>
      </c>
      <c r="H33" t="inlineStr"/>
      <c r="I33"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Our Experiences team puts fans at the center of their favorite stories, in real life, through permanent entertainment venues, Netflix House, and touring attractions around the world. Netflix Houses are our permanent, always\-on, constantly refreshable entertainment venues, where guests can step into their favorite stories. We want these experiences, along with merchandise offerings, to help promote love for our titles so they become part of the zeitgeist for longer periods of time and drive long\-term value for Netflix.
 As the Retail Program Manager, you will work cross\-functionally with internal (Product Development \&amp; Creative, House Teams, Licensing, MarComms, Attractions, Operations, Finance/Accounting, Business \&amp; Legal Affairs, etc.) and external (Vendors, Agencies, etc.) partners to build the operational plans needed to deliver consumer right assortments to fans at Netflix House. This operations\-focused role will ensure the Retail team functions effectively and efficiently across corporate, product development, and store workflows to maximize commerce and conversation. They will own and evolve the Retail Op Model, project management systems/tools, standard operating procedures (SOPs) and other needs that keep Retail operating successfully. The ideal candidate has a strong background in Retail Operations with proven success in aligning teams and work to achieve business success while also possessing a curious and solution\-oriented operational mindset.
 This is a unique opportunity to play an important role in creating the future of direct to consumer retail for Netflix, as we expand into new areas to truly entertain the world.
**What You Will Do**
* Own and evolve the Retail Op Model, aligning Corporate, Product Development, and Store workflows into an effective and efficient seasonal rhythm
* Own the Retail Op Model Calendar and ensure teams have the tools and time needed to hit key deliverables that keeps work moving forward
* Align with internal cross\-functional teams to ensure Retail is seamlessly integrated into overall Netflix House strategy and plans
* Collaborate with Product Development \&amp; Creative team to integrate product development timelines and needs to ensure on time product delivery to stores
* Partner with Store Teams to deliver the resources and information needed to enable them to achieve revenue targets and deliver positive customer experiences
* Own the various project management tools and systems (Monday, Airtable, etc.) to keep workflows on track
* Ensure Retail workflows stay on track and collaborate with cross functional teams on needed solutions and pivots
* Build and maintain Retail’s standard operating procedures (SOPs)
* Be responsible for Retail’s POs and Invoicing in partnership with Accounts Payable, Accounting, and Finance
* Look around the corner to predict future needs before they arise, mitigating inefficiencies
**What We Need From You**
* 10\+ years of experience in a Corporate, Product, or Store Retail Operations role, strong preference for vertical retail experience
* Proven experience building a Retail Operating Model from scratch or scaling one in a high\-growth environment
* A track record of identifying “bottlenecks” in a corporate workflow and redesigning the system to eliminate them
* Experience leading cross\-functional teams through process shifts with the ability to get “buy\-in” on new ways of working
* Expert\-level proficiency in project management systems like Monday.com, AIrtable, Asana, etc with the ability to build automated workflows, relational databases, and executive\-level dashboards
* Deep understanding of the Retail Product Calendar and product development timing \&amp; actions
* Ability to maintain a single version of truth in an environment where dates are constantly shifting
* Exceptional technical writing skills with the ability to translate complex corporate strategies into simple, “field\-ready” SOPs
* Experience creating “compliance checklists” or audit frameworks to ensure store teams are executing the corporate vision consistently
* Experience working in a corporate role that supports multiple permanent physical locations
* Experience work on “special projects” or new business ventures where there was no existing playbook
* Experience managing the operational flow of a high\-volume SKU assortment within a consumer products business
* Passion for the retail industry, fandoms, and consumer trends
* Excellent communication skills, both verbally and digitally
* Experience with Google Suite
* Global Experience preferred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$205,000\.00 \- $343,000\.00\.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
        </is>
      </c>
    </row>
    <row r="34">
      <c r="A34" t="inlineStr">
        <is>
          <t>li-4323613667</t>
        </is>
      </c>
      <c r="B34" t="inlineStr">
        <is>
          <t>AI Product Manager Graduate (Creative and Brand Innovation) - 2026 Start (BS/MS)</t>
        </is>
      </c>
      <c r="C34" t="inlineStr">
        <is>
          <t>TikTok</t>
        </is>
      </c>
      <c r="D34" t="inlineStr">
        <is>
          <t>linkedin</t>
        </is>
      </c>
      <c r="E34" t="inlineStr"/>
      <c r="F34" t="inlineStr"/>
      <c r="G34" t="inlineStr">
        <is>
          <t>San Jose, CA</t>
        </is>
      </c>
      <c r="H34" t="inlineStr"/>
      <c r="I34" t="inlineStr">
        <is>
          <t>**Responsibilities**
 About the Team:
 Our Creative and Brand Innovation Product Team is dedicated to building full\-funnel marketing solutions that combine creative content—such as the TikTok One platform, content packages, and ACA creative tools—with advanced AI technologies. We empower brands to drive measurable business outcomes, from awareness and engagement to conversion and purchase.
 By seamlessly integrating creativity, community, and commerce—with AI capabilities embedded throughout—we help brands efficiently reach their target audiences and achieve sustainable growth.
 Our mission: Inspire creativity, ignite growth.
 Our vision: TikTok is the creativity\-powered, Al\-fueled growth engine that turns discovery into measurable impact
**About Global Spark Talent Program:**
 To foster the next generation of global talent with both an international perspective and strong digital business acumen, Creative and Brand Innovation Product is proud to launch the "Global Spark Program", tailored for Class of 2026 graduates:
* Gain cross\-functional exposure through structured job rotations aligned with global business priorities within 2 years;
* Dedicated growth support from leader and mentor;
* High\-Impact Opportunities.
 Believe in the power of youth. Shape the future together.
 We are looking for talented individuals to join our team in 2026\. As a graduate, you will get opportunities to pursue bold ideas, tackle complex challenges, and unlock limitless growth. Launch your career where inspiration is infinite at TikTok.
 Successful candidates must be able to commit to an onboarding date by end of year 2026\. Please state your availability and graduation date clearly in your resume.
 Candidates can apply to a maximum of two positions and will be considered for jobs in the order you apply. The application limit is applicable to TikTok and its affiliates' jobs globally. Applications will be reviewed on a rolling basis \- we encourage you to apply early.
**Responsibilities:**
* Responsible for applying text, image, or video generation models in advertising scenarios, owning both model performance metrics and related business KPIs.
* Lead the design and implementation of AIGC\-related products and industry solutions, including but not limited to derivation strategies, delivery strategy adaptation, and frontend interaction design. Develop general and customized products, and deliver them via ad platforms, APIs, and other channels.
* Participate in the design and development of innovative AIGC commercialization products, manage requirement tracking and launch readiness, and coordinate with cross\-functional teams to ensure high\-quality execution.
* Analyze and validate data related to ad performance using AIGC products to improve product development efficiency and advertiser experience.
* Stay updated on industry trends and emerging technologies, drive innovation, and ensure model capabilities remain industry\-leading.
**Qualifications**
 Minimum Qualifications:
* Bachelor’s degree or above, preferably in STEM or related fields.
* Prior internship experience in advertising or AIGC\-related roles is a plus; strong analytical and logical thinking skills, with the ability to handle data effectively.
* Experience with overseas projects is preferred; Strong communication skills and comfortable communicating externally in a professional setting.
* Strong self\-motivation, with the ability to manage multiple tasks in a fast\-paced environment.
* Strong logical thinking, data analysis, and self\-driven mindset; excellent communication and teamwork skills; highly curious and eager to learn.
 By submitting an application for this role, you accept and agree to our global applicant privacy policy, which may be accessed here: https://careers.tiktok.com/legal/privacy
 Job Information
**【For Pay Transparency】Compensation Description (Annually)**
 The base salary range for this position in the selected city is $122574 \- $185600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35">
      <c r="A35" t="inlineStr">
        <is>
          <t>li-4353967267</t>
        </is>
      </c>
      <c r="B35" t="inlineStr">
        <is>
          <t>Product Manager, Catalog Quality</t>
        </is>
      </c>
      <c r="C35" t="inlineStr">
        <is>
          <t>Uber</t>
        </is>
      </c>
      <c r="D35" t="inlineStr">
        <is>
          <t>linkedin</t>
        </is>
      </c>
      <c r="E35" t="inlineStr"/>
      <c r="F35" t="inlineStr"/>
      <c r="G35" t="inlineStr">
        <is>
          <t>New York, NY</t>
        </is>
      </c>
      <c r="H35" t="inlineStr"/>
      <c r="I35" t="inlineStr">
        <is>
          <t>**About The Role**
 As Uber Eats expands deeper into grocery, retail, convenience, and packaged goods, the scale and complexity of our product catalog is growing exponentially. The Catalog Quality team ensures our catalog is complete, correct, and consistent so customers can trust what they see, shoppers can reliably pick the right items in stores, and merchants and CPGs can understand and improve their performance.
 As the Product Manager for Product Taxonomy \&amp; Relationships, you will own the strategy and technical foundation for how products are classified, structured, and related to one another in Uber's catalog. This includes defining category taxonomy, variant relationships, and brand hierarchies that reflect real\-world shopping behavior and scale across verticals.
**What The Candidate Will Do**
* Own the strategy and roadmap for core catalog foundations, defining how products are organized, structured, and related in ways that scale across categories, markets, and verticals.
* Establish clear principles for product structure and variation, ensuring products are grouped and differentiated in a way that aligns with real\-world shopping behavior while remaining technically scalable.
* Partner closely with Engineering and Data Science to design and evolve systems that improve catalog structure, consistency, and quality at scale, leveraging automation where appropriate.
* Use data and customer insights to identify gaps and inconsistencies in catalog structure, prioritize investments, and measure impact on customer and business outcomes.
* Design operational workflows to handle ambiguous or high\-judgment cases, balancing automation with targeted human review to maintain quality without sacrificing velocity.
* Collaborate with cross\-functional partners to ensure catalog foundations are predictable, well\-governed, and support a broad set of downstream experiences and teams.
**Basic Qualifications**
* 3\+ years of Product Management experience delivering technically complex platforms or data\-driven products
* Proven ability to translate ambiguous problem spaces into clear strategies and execution plans
* Strong technical intuition and the ability to ask the right questions, evaluate tradeoffs, and make solid decisions in complex, highly technical domains
* Ability to break down complex, ambiguous problem spaces into clear principles, frameworks, and actionable plans
* A rigorous, truth\-seeking mindset and the discipline to dig deep, validate assumptions, and ensure product decisions hold up across all edge cases
* Comfortable working with messy, real\-world operational data and using it to inform how we manage the catalog.
* Clear, structured communicator who can break down complex topics, explain the why, and build conviction across cross\-functional partners. Skilled at storytelling, influencing without authority, and collaborating closely with teams to move complex work forward together.a
**Preferred Qualifications**
* Strong systems thinking and technical intuition, with the ability to evaluate tradeoffs in complex data and platform domains
* Experience owning foundational platform or data model initiatives with broad downstream impact across multiple teams or products
* Background working in commerce, marketplaces, or large\-scale ecosystems, where product structure, consistency, or governance meaningfully affects user experience and business outcomes
* Experience collaborating closely with Engineering and Data Science teams on systems that operate under uncertainty, evolve over time, or require balancing precision, scale, and operational cost
 For New York, NY\-based roles: The base salary range for this role is USD$161,000 per year \- USD$179,000 per year. For San Francisco, CA\-based roles: The base salary range for this role is USD$161,000 per year \- USD$179,000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36">
      <c r="A36" t="inlineStr">
        <is>
          <t>li-4320073818</t>
        </is>
      </c>
      <c r="B36" t="inlineStr">
        <is>
          <t>Sr. Product Manager</t>
        </is>
      </c>
      <c r="C36" t="inlineStr">
        <is>
          <t>Dart Container</t>
        </is>
      </c>
      <c r="D36" t="inlineStr">
        <is>
          <t>linkedin</t>
        </is>
      </c>
      <c r="E36" t="inlineStr"/>
      <c r="F36" t="inlineStr"/>
      <c r="G36" t="inlineStr">
        <is>
          <t>Mason, MI</t>
        </is>
      </c>
      <c r="H36" t="inlineStr"/>
      <c r="I36" t="inlineStr">
        <is>
          <t>The Senior Product Manager strategically leads and grows a product portfolio within the U.S. Foodservice or National Account channels by driving innovation, optimizing product lifecycle management, and delivering strong financial performance. Through cross\-functional collaboration, customer and market insights, and data\-driven decision\-making, this role champions long\-term profitability, manufacturing excellence, and brand impact – ensuring every product delivers value to both the business and the customer.
**Who We Are…**
 We're your top choice for foam cups, classic red SOLO cups, and convenient take\-out containers, ensuring you can enjoy your food and drinks anytime, anywhere!
**What We Offer…**
 Excellent benefits package, including health, dental, vision, 401K and more!
 A supportive and inclusive work culture that prioritizes safety
 Approved job\-related training and tuition reimbursement
 Paid holidays and paid time off
 Relocation assistance
**What You'll Do...**
* Work cross\-functionally to develop and execute annual and multi\-year product strategies across assigned product portfolio, resulting in year\-over\-year margin\-enhancing revenue growth and cost improvements, while supporting excellent service and quality. Strategies should balance long\- and short\-term goals to drive results and maximize impact.
* Assume P\&amp;L ownership for assigned product lines and proactively monitor revenue, cost, and profitability metrics to identify opportunities and address risks early
* Collaborate with leadership and Finance to develop annual financial goals and deliver results which drive sustainable business growth
* Develop and execute pricing strategy and participate in key customer\-specific pricing decisions which lead to profitable and expanded market share growth
* Align COGS and portfolio mix to strategic priorities, contributing to a reduction in operating costs, by supporting and potentially leading cross\-functional efforts to discover and execute cost\-reduction initiatives that do not negatively impact the customer/consumer experience
* Proactively lead all aspects of product life\-cycle management for assigned products, including the product portfolio strategy, product management, pricing guidelines, product development, product enhancements, SKU optimization, and obsolescence
* Develop, prioritize, and maintain a robust new product pipeline for assigned product lines to ensure future success and our continuing ability to meet evolving customer needs. Build robust business cases to support efforts, and then champion and commercialize, through collaboration with other functions, these new products. Assume Sponsor role to ensure projects deliver the predicted business benefits, on time and within budget. Build robust business cases to support efforts, and then champion and commercialize, through collaboration with other functions, these new products. Assume Sponsor role to ensure projects deliver the predicted business benefits, on time and within budget.
* Develop a deep understanding of our customers, competitors, and markets by diligently listening to customer needs and gathering comprehensive market insights and competitive product knowledge, and use these insights to develop successful strategies to grow the business profitably
* Develop a deep understanding of the manufacturing processes and specific manufacturing locations applicable to assigned product lines
* Proactively monitor and manage service levels for assigned product lines and, where applicable, urgently address issues to minimize customer impact. Collaborate with cross\-functional teams to identify root causes, implement corrective actions, and communicate details to manage customer expectations.
* Partner with Sales to build and drive relationships with large customers and provide direction on product line focus areas to maximize sales and profitability. Engage directly with large customers to understand their business needs and align Dart’s product strategy/roadmap with customer objectives to drive profitable growth.
* Ensure product quality meets or exceeds customer expectations for assigned product lines by proactively monitoring trends, supporting specification development and adjustment, working cross\-functionally to address large customer and/or market\-wide quality issues, and using insights to make product changes to drive profitable growth and/or reduce cost
* Collaborate with Marketing and Sales on product\-line marketing including brand strategy, brand standards, channel marketing messaging, and brand activation to achieve desired customer outcomes and financial results
* Collaborate closely with Sales and Supply Chain Management on demand planning and forecasting to achieve desired financial and customer outcomes (e.g. minimize excess inventory and maximize fill rates for key product lines). Further, proactively monitor capacity utilization and asset health and anticipate future demand for assigned product lines to make data\-driven capacity expansion recommendations where applicable.
**What You'll Need...** 
* Bachelor’s Degree in Business, Engineering, Packaging, or related field of study
* Requires one of the following:
+ 
- Minimum five (5\) years of experience in product management or a closely related role, or
- Experience successfully meeting performance expectations consistently in all job responsibilities and functions in a Dart Product Manager position
* Demonstrated experience managing product lines and delivering results by proactively driving year over year top and bottom line growth
* Experienced in applying a strategic mindset to P\&amp;L ownership, product roadmap development, innovation, portfolio optimization, and all aspects of product lifecycle management
* Successful champion of customer satisfaction by aligning product development, pricing, and portfolio decisions with market needs. Maintains a strong focus on delivering value through reliable service, quality standards, and responsiveness to evolving customer expectations to enhance outcomes.
* Strong strategic and critical thinking along with the ability to blend creative problem solving with data driven, analytical, financial, and quantitative skills to analyze complex challenges, synthesize insights from multiple sources, and implement effective long\-term solutions.
* Proven ability to achieve results by fostering strong cross\-functional collaboration and creating a motivational environment which encourages ownership. Builds trust and alignment across internal teams and external partners, influencing decision\-making and driving consensus, accountability, and continuous improvement at all organizational levels.
* Ability to operate with a strong sense of urgency and focus on providing exceptionally reliable customer service
* Skilled in the interpretation of financial models and analysis (NPV, ROI, DCF), budgets, and financial statements to support data\-driven decision\-making
* Ability to be composed, adapt, and effectively manage tasks and projects in a dynamic, fast\-paced, customer\-focused work environment characterized by rapid change, minimal lead times, and multiple competing priorities while consistently meeting deadlines and delivering reliable results
* Ability to communicate complex product strategies and financial insights with clarity and confidence
* Ability to maintain confidentiality on sensitive issues
* SAP experience preferred
**Overview:** 
 Dart makes everyday products that give people the freedom to enjoy the food \&amp; drinks they love, wherever they are. From to\-go containers and dinnerware to tamper\-evident food packaging and even the red SOLO cup, Dart products have been keeping people on the go and having fun for 65 years. We’re a family\-owned, family\-focused company of 12,000 employees united by a shared set of values and dedicated to providing exceptional customer service. Headquartered in Mason, MI, with 30 locations in three countries, we’re proud of our ability to innovate, manufacture and lead the way with each new generation of quality products.
**Benefits:** 
 Dart Container full\-time employees enjoy great benefits, including medical, dental, vision, life insurance, 401(k) with company matching contributions, paid vacation, paid holidays, short\-term disability, tuition assistance, product discounts and more.
 Dart Container is a drug\-free workplace. Candidates are subject to a drug test (excluding THC\*/marijuana/cannabis) and background check at the time of offer.
* THC testing ONLY when such testing is required by law.
 Dart Container is an equal opportunity employer and will consider all candidates for employment without regard to race, color, religion, sex, national origin, age, sexual orientation, gender identity, disability status, protected veteran status, or any other characteristic protected by law.
 https://www.dartcontainer.com/eeoaa/
 If you have a disability and need an accommodation to access this website or for the application process, you should call Dart at (800\) 545\-3278 Ext 3370 or email us at ADArequests@dart.biz. Relay calls can be made by dialing 711 or the relay number for your state.
 If you experience difficulty applying online, you may call (800\) 545\-3278 Ext 3390 or email us at applicationassistance@dart.biz for assistance.</t>
        </is>
      </c>
    </row>
    <row r="37">
      <c r="A37" t="inlineStr">
        <is>
          <t>li-4263751746</t>
        </is>
      </c>
      <c r="B37" t="inlineStr">
        <is>
          <t>Global Senior Product Manager (Single-Phase UPS)</t>
        </is>
      </c>
      <c r="C37" t="inlineStr">
        <is>
          <t>Vertiv</t>
        </is>
      </c>
      <c r="D37" t="inlineStr">
        <is>
          <t>linkedin</t>
        </is>
      </c>
      <c r="E37" t="inlineStr"/>
      <c r="F37" t="inlineStr"/>
      <c r="G37" t="inlineStr">
        <is>
          <t>Columbus, Ohio Metropolitan Area</t>
        </is>
      </c>
      <c r="H37" t="inlineStr"/>
      <c r="I37" t="inlineStr">
        <is>
          <t>**Job Summary** 
 The
 **Global Sr. Product Manager** 
 will be responsible for driving growth and profitability of Vertiv’s Single\-Phase UPS offerings by identifying market requirements, prioritizing development activities, launching new offerings, and managing the offering portfolio.
 This position will be based onsite at Vertiv's Delaware, OH office location.
**Responsibilities** 
 The Global Product Manager will work with the Director, Product Management to:
* Gain deep insight into customer needs and desired outcomes through extensive customer, channel and market research.
* Convert insights into innovative product strategies, product roadmaps, and detailed market requirements.
* Prepare Business Cases to justify investments into new product development and demonstrate return on the investment.
* Collaborate with cross functional teams to bring new products to market in the shortest time possible.
* Be an expert on markets, industries, channels, and competitive product lines.
* Own the product lifecycle for assigned products from introduction and obsolescence.
* Develop product collateral, web pages, sales enablement tools, and sales training material.
**Competencies For Success** 
* Agility: the acumen to handle complex situations and multiple responsibilities simultaneously managing long term projects with the urgency of immediate demands on the operations.
* Analytical Rigor: Ability to bring structure to ill\-defined problems and intellectual leadership to problem solving; synthesize insights from analysis and ensure credible, actionable recommendations.
* Communications Skills: Ability to develop rapport and credibility across the organization, promote ideas persuasively; ability to manage situations including senior leaders and external groups.
* Strategic Thinking: Evaluating trends, developing long\-term implications, and recommending pragmatic strategies for continuous improvement and new opportunities.
* Customer Focus: Work well with sales teams and customers to understand opportunities and latent needs to drive opportunities for innovation and differentiation.
**Requirements** 
* Bachelor’s Degree in business, engineering or related field. MBA preferred.
* 10\+ years of experience in product management, technical product marketing, strategic planning, or directly related experience.
* Experience working with international teams. Participation in global calls outside of normal working hours.
* Excellent presentation and written communication skills.
* Ability to quickly develop cross\-functional relationships to achieve business objectives.
* Experience with 1\-phase UPS systems is preferred.
* Approximately 15% domestic / international travel is required.
**The successful candidate will embrace Vertiv’s Core Principals \&amp; Behaviors to help execute our Strategic Priorities.** 
**OUR CORE PRINCIPALS** 
 :
 *Safety. Integrity. Respect. Teamwork. Diversity \&amp; Inclusion.* 
**OUR STRATEGIC PRIORITIES** 
* Customer Focus
* Operational Excellence
* High\-Performance Culture
* Innovation
* Financial Strength
**OUR BEHAVIORS** 
* Own It
* Act With Urgency
* Foster a Customer\-First Mindset
* Think Big and Execute
* Lead by Example
* Drive Continuous Improvement
* Learn and Seek Out Development
**About Vertiv** 
 Vertiv is a $8\.0 billion global critical infrastructure and data center technology company. We ensure customers’ vital applications run continuously by bringing together hardware, software, analytics and ongoing services. Our portfolio includes power, cooling and IT infrastructure solutions and services that extends from the cloud to the edge of the network. Headquartered in Columbus, Ohio, USA, Vertiv employs around 20,000 people and does business in more than 130 countries. Visit Vertiv.com to learn more.
**Work Authorization** 
 No calls or agencies please. Vertiv will only employ those who are legally authorized to work in the United States. This is not a position for which sponsorship will be provided. Individuals with temporary visas such as E, F\-1, H\-1, H\-2, L, B, J, or TN or who need sponsorship for work authorization now or in the future, are not eligible for hire.
**Equal Opportunity Employer** 
*Vertiv is an Equal Opportunity/Affirmative Action employer. We promote equal opportunities for all with respect to hiring, terms of employment, mobility, training, compensation, and occupational health, without discrimination as to age, race, color, religion, creed, sex, pregnancy status (including childbirth, breastfeeding, or related medical conditions), marital status, sexual orientation, gender identity / expression (including transgender status or sexual stereotypes), genetic information, citizenship status, national origin, protected veteran status, political affiliation, or disability. If you have a disability and are having difficulty accessing or using this website to apply for a position, you can request help by sending an email to help.join@vertiv.com.*</t>
        </is>
      </c>
    </row>
    <row r="38">
      <c r="A38" t="inlineStr">
        <is>
          <t>li-4347047316</t>
        </is>
      </c>
      <c r="B38" t="inlineStr">
        <is>
          <t>Principal Product Manager</t>
        </is>
      </c>
      <c r="C38" t="inlineStr">
        <is>
          <t>Circle</t>
        </is>
      </c>
      <c r="D38" t="inlineStr">
        <is>
          <t>linkedin</t>
        </is>
      </c>
      <c r="E38" t="inlineStr"/>
      <c r="F38" t="inlineStr"/>
      <c r="G38" t="inlineStr"/>
      <c r="H38" t="inlineStr"/>
      <c r="I38" t="inlineStr">
        <is>
          <t>Circle is a financial technology company at the epicenter of the emerging internet of money, where value can finally travel like other digital data — globally, nearly instantly and less expensively than legacy settlement systems. This ground\-breaking new internet layer opens up previously unimaginable possibilities for payments, commerce and markets that can help raise global economic prosperity and enhance inclusion. Our infrastructure – including USDC, a blockchain\-based dollar – helps businesses, institutions and developers harness these breakthroughs and capitalize on this major turning point in the evolution of money and technology.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and diverse work environment where new ideas are encouraged and everyone is a stakeholder.
******What You’ll Be Part Of:******
 Circle is a financial technology company at the epicenter of the emerging internet of money, where value can finally travel like other digital data — globally, nearly instantly and less expensively than legacy settlement systems. This ground\-breaking new internet layer opens up previously unimaginable possibilities for payments, commerce and markets that can help raise global economic prosperity and enhance inclusion. Our infrastructure – including USDC, a blockchain\-based dollar – helps businesses, institutions and developers harness these breakthroughs and capitalize on this major turning point in the evolution of money and technology.
 Circle is committed to visibility and stability in everything we do. As we grow as an organization, we’re expanding into some of the world’s strongest jurisdictions. Speed and efficiency are motivators for our success and our employees live by our company values: Multistakeholder, Mindfulness, Driven by Excellence and High Integrity. Circlers are consistently evolving in a remote world where strength in numbers fuels team success. We have built a flexible and diverse work environment where new ideas are encouraged and everyone is a stakeholder.
****What you’ll be responsible for****
 As a Principal Product Manager at Circle, you will own the strategy and execution of our risk platform, ensuring it scales to support new products, markets, and global regulatory requirements. You will act as a cross\-functional leader, partnering with compliance, legal, engineering, data science, and business stakeholders to align priorities and deliver resilient infrastructure that supports both crypto and traditional financial rails. By combining product vision, technical fluency, and deep compliance expertise, you will enable Circle to manage risk with precision, meet evolving regulatory expectations, and uphold the highest standards of trust and safety.
****What you’ll work on****
* Design and scale a modular, extensible risk platform that supports crypto\- and traditional financial rails, as well as risk\-related use cases across onboarding, account linking, and other customer lifecycle events — with a focus on building a user\-friendly rules engine and intuitive tooling for risk operators.
* Define and implement observability strategies to ensure risk platform integrity, including monitoring performance, validating critical flows, and surfacing key risk indicators to inform prioritization and executive decision\-making.
* Evolve Circle’s travel rule platform to ensure jurisdictional coverage, interoperability, and seamless integration with internal systems and partner networks.
* Leverage AI/ML to automate risk decisioning and operational processes; lead feature/context engineering, model development, evaluation/monitoring frameworks.
* Maintain clear, comprehensive documentation of platform design, functionality, and dependencies to ensure internal transparency and audit readiness.
* Translate regulatory requirements and business needs into clear product requirements, insights, and user stories for engineering execution.
* Represent the risk platform in senior leadership and regulatory forums, aligning cross\-functional strategy and demonstrating how Circle’s infrastructure meets evolving compliance obligations at scale.
****What you’ll bring to Circle****
****Core Requirements****
* 10\+ years of product management experience building risk, compliance, or trust \&amp; safety platforms in fintech, crypto, or financial services.
* Deep expertise in fraud, AML, sanctions screening, and onboarding compliance (e.g., KYC/KYB), with hands\-on experience crafting risk rules based on real\-world typologies.
* Track record of translating regulatory requirements into scalable, policy\-driven platform capabilities that support both real\-time and asynchronous risk decisioning across crypto and fiat rails.
* Experience leading modular platform design, including refactoring monolithic services into scalable, service\-oriented architectures.
* Skilled in collaborating with engineering, data science, and operations teams to ship complex infrastructure products; able to influence senior stakeholders and drive alignment across functions.
* Highly analytical and data\-driven, with experience applying ML, risk signals, and scoring models to improve detection, decisioning, and operational efficiency.
* Strong technical fluency, including working knowledge of APIs, event\-driven architectures like SNS/SQS or equivalent, SQL, GitHub or equivalent.
******Preferred Requirements******
* Background in RegTech, banking, or scaled fintech, with direct exposure to complex regulatory environments.
* Expertise in blockchain technologies and crypto compliance, including chain types, on\-chain travel rule requirements, blockchain monitoring, and evolving crypto regulations.
* Experience with rapid prototyping using AI tools to accelerate product exploration, workflow automation, or internal tooling development.
*Circle is on a mission to create an inclusive financial future, with transparency at our core. We consider a wide variety of elements when crafting our compensation ranges and total compensation packages.*
*Starting pay is determined by various factors, including but not limited to: relevant experience, skill set, qualifications, and other business and organizational needs. Please note that compensation ranges may differ for candidates in other locations.*
 Base Pay Range: $187,500 \- $240,000
 We are an
 **equal opportunity employer** 
 . We do not discriminate on the basis of race, religion, color, national origin, gender, sexual orientation, age, marital status, veteran status, or disability status, or any other protected status required by the laws in the locations where we hire. Additionally, Circle participates in the E\-Verify Program in certain locations, as required by law.
*Should you require accommodations or assistance in our interview process because of a disability, please reach out to* 
*accommodations@circle.com* 
*for support. We respect your privacy and will connect with you separately from our interview process to accommodate your needs.*</t>
        </is>
      </c>
    </row>
    <row r="39">
      <c r="A39" t="inlineStr">
        <is>
          <t>li-4341897485</t>
        </is>
      </c>
      <c r="B39" t="inlineStr">
        <is>
          <t>Principal Product Manager</t>
        </is>
      </c>
      <c r="C39" t="inlineStr">
        <is>
          <t>Circle</t>
        </is>
      </c>
      <c r="D39" t="inlineStr">
        <is>
          <t>linkedin</t>
        </is>
      </c>
      <c r="E39" t="inlineStr"/>
      <c r="F39" t="inlineStr"/>
      <c r="G39" t="inlineStr"/>
      <c r="H39" t="inlineStr"/>
      <c r="I39" t="inlineStr">
        <is>
          <t>Circle is a financial technology company at the epicenter of the emerging internet of money, where value can finally travel like other digital data — globally, nearly instantly and less expensively than legacy settlement systems. This ground\-breaking new internet layer opens up previously unimaginable possibilities for payments, commerce and markets that can help raise global economic prosperity and enhance inclusion. Our infrastructure – including USDC, a blockchain\-based dollar – helps businesses, institutions and developers harness these breakthroughs and capitalize on this major turning point in the evolution of money and technology.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and diverse work environment where new ideas are encouraged and everyone is a stakeholder.
******What You’ll Be Part Of:******
 Circle is a financial technology company at the epicenter of the emerging internet of money, where value can finally travel like other digital data — globally, nearly instantly and less expensively than legacy settlement systems. This ground\-breaking new internet layer opens up previously unimaginable possibilities for payments, commerce and markets that can help raise global economic prosperity and enhance inclusion. Our infrastructure – including USDC, a blockchain\-based dollar – helps businesses, institutions and developers harness these breakthroughs and capitalize on this major turning point in the evolution of money and technology.
 Circle is committed to visibility and stability in everything we do. As we grow as an organization, we’re expanding into some of the world’s strongest jurisdictions. Speed and efficiency are motivators for our success and our employees live by our company values: Multistakeholder, Mindfulness, Driven by Excellence and High Integrity. Circlers are consistently evolving in a remote world where strength in numbers fuels team success. We have built a flexible and diverse work environment where new ideas are encouraged and everyone is a stakeholder.
****What you’ll be responsible for****
 As a Principal Product Manager at Circle, you will own the strategy and execution of our risk platform, ensuring it scales to support new products, markets, and global regulatory requirements. You will act as a cross\-functional leader, partnering with compliance, legal, engineering, data science, and business stakeholders to align priorities and deliver resilient infrastructure that supports both crypto and traditional financial rails. By combining product vision, technical fluency, and deep compliance expertise, you will enable Circle to manage risk with precision, meet evolving regulatory expectations, and uphold the highest standards of trust and safety.
****What you’ll work on****
* Design and scale a modular, extensible risk platform that supports crypto\- and traditional financial rails, as well as risk\-related use cases across onboarding, account linking, and other customer lifecycle events — with a focus on building a user\-friendly rules engine and intuitive tooling for risk operators.
* Define and implement observability strategies to ensure risk platform integrity, including monitoring performance, validating critical flows, and surfacing key risk indicators to inform prioritization and executive decision\-making.
* Evolve Circle’s travel rule platform to ensure jurisdictional coverage, interoperability, and seamless integration with internal systems and partner networks.
* Leverage AI/ML to automate risk decisioning and operational processes; lead feature/context engineering, model development, evaluation/monitoring frameworks.
* Maintain clear, comprehensive documentation of platform design, functionality, and dependencies to ensure internal transparency and audit readiness.
* Translate regulatory requirements and business needs into clear product requirements, insights, and user stories for engineering execution.
* Represent the risk platform in senior leadership and regulatory forums, aligning cross\-functional strategy and demonstrating how Circle’s infrastructure meets evolving compliance obligations at scale.
****What you’ll bring to Circle****
****Core Requirements****
* 10\+ years of product management experience building risk, compliance, or trust \&amp; safety platforms in fintech, crypto, or financial services.
* Deep expertise in fraud, AML, sanctions screening, and onboarding compliance (e.g., KYC/KYB), with hands\-on experience crafting risk rules based on real\-world typologies.
* Track record of translating regulatory requirements into scalable, policy\-driven platform capabilities that support both real\-time and asynchronous risk decisioning across crypto and fiat rails.
* Experience leading modular platform design, including refactoring monolithic services into scalable, service\-oriented architectures.
* Skilled in collaborating with engineering, data science, and operations teams to ship complex infrastructure products; able to influence senior stakeholders and drive alignment across functions.
* Highly analytical and data\-driven, with experience applying ML, risk signals, and scoring models to improve detection, decisioning, and operational efficiency.
* Strong technical fluency, including working knowledge of APIs, event\-driven architectures like SNS/SQS or equivalent, SQL, GitHub or equivalent.
******Preferred Requirements******
* Background in RegTech, banking, or scaled fintech, with direct exposure to complex regulatory environments.
* Expertise in blockchain technologies and crypto compliance, including chain types, on\-chain travel rule requirements, blockchain monitoring, and evolving crypto regulations.
* Experience with rapid prototyping using AI tools to accelerate product exploration, workflow automation, or internal tooling development.
*Circle is on a mission to create an inclusive financial future, with transparency at our core. We consider a wide variety of elements when crafting our compensation ranges and total compensation packages.*
*Starting pay is determined by various factors, including but not limited to: relevant experience, skill set, qualifications, and other business and organizational needs. Please note that compensation ranges may differ for candidates in other locations.*
 Base Pay Range: $187,500 \- $240,000
 We are an
 **equal opportunity employer** 
 . We do not discriminate on the basis of race, religion, color, national origin, gender, sexual orientation, age, marital status, veteran status, or disability status, or any other protected status required by the laws in the locations where we hire. Additionally, Circle participates in the E\-Verify Program in certain locations, as required by law.
*Should you require accommodations or assistance in our interview process because of a disability, please reach out to* 
*accommodations@circle.com* 
*for support. We respect your privacy and will connect with you separately from our interview process to accommodate your needs.*</t>
        </is>
      </c>
    </row>
    <row r="40">
      <c r="A40" t="inlineStr">
        <is>
          <t>li-4333252644</t>
        </is>
      </c>
      <c r="B40" t="inlineStr">
        <is>
          <t>Senior Product Manager, Fixed Case and Tote Storage (m/w/d)</t>
        </is>
      </c>
      <c r="C40" t="inlineStr">
        <is>
          <t>Dematic</t>
        </is>
      </c>
      <c r="D40" t="inlineStr">
        <is>
          <t>linkedin</t>
        </is>
      </c>
      <c r="E40" t="inlineStr"/>
      <c r="F40" t="inlineStr"/>
      <c r="G40" t="inlineStr">
        <is>
          <t>Grand Rapids, MI</t>
        </is>
      </c>
      <c r="H40" t="inlineStr"/>
      <c r="I40" t="inlineStr">
        <is>
          <t>We’re excited to be on the lookout for an expert Product Manager at Dematic for Fixed Case and Tote Storage, focusing on Shuttle and Ultra\-High Density Storage technologies. This role is part of our distributed team and plays a pivotal role in the development and success of our product offerings.
 In this role, you’ll be responsible for defining product strategies, aligning cross\-functional teams, and ensuring the delivery of high\-quality technologies that meet customer needs and drive business growth.
**We Offer**
* Career Development
* Competitive Compensation and Benefits
* Pay Transparency
* Global Opportunities
*Dematic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*The base pay range for this role is estimated to be $111,000\-$162,800 at the time of posting. Final compensation will be determined by various factors such as work location, education, experience, knowledge, and skills.*
***Learn More Here:** 
 https://www.dematic.com/en\-us/about/careers/what\-we\-offer*
**Tasks And Qualifications**
**What will you do in this role?**
* Oversee the financial and technical performance, as well as lifecycle management, of your product line to drive commercial success. Responsible for driving toll gate process and on time delivery TG 00 to TG 90\.
* Commercial Ownership – Lead all aspects of fiscal performance for your line of products. Understand \&amp; report on order intake, revenue, margin (as sold \&amp; as driven), win/loss/drop analysis, etc. Collaborate on market\-based pricing strategies that consider the value of the respective product line. Support regional sales \&amp; solution development teams to drive commercial success for product lines.
* Product Strategy – Develop \&amp; communicate a clear and compelling product vision \&amp; strategy. Define product goals, objectives, and key results to align with Dematic’s overall vision and the customer Value Proposition. Take charge of leading all aspects of developing business strategies, coordinating life cycles, ensuring quality, and positioning products in the marketplace. Develop and manage a clearly defined product roadmap that outlines the delivery schedule and breakthroughs. Adapt the roadmap to changing market conditions and business priorities. Prioritize development activities related to your product lines. Facilitate the assimilation of product lines into more extensive solutions.
* Market Analysis – Leverage market data, competitive insights, and industry analytics to ensure the commercial viability and long\-term success of product lines.
* Product Development – Partner with R\&amp;D / engineering teams to support the development process, ensuring the timely and efficient development of new products, as well as the sustainment of existing products.
* Customer Engagement – Develop and maintain positive relationships with customers and customer\-facing teams to collect feedback to drive product improvement. Act as a customer advocate within the organization.
* Product Launch – Partner with Marketing and Communications to drive successful product launches, including marketing strategies, documentation, and customer training. Coordinate with the sales and marketing teams to ensure a successful market introduction. Partner with solution development for delivery and artifacts.
* Accountable for product cycle time, ensuring the product is delivered within budget in alignment with the original case and product roadmap.
* Accountable for overseeing the cadence of product development and delivery, and facilitating communication including risk analysis and addressing customer concerns.
* Responsible for supporting Trade Shows with your product and participating in the marketing efforts for it.
* Responsible for STRAP and AOP inputs.
**What are we looking for?**
* Proven experience as a Product Manager. Experience with Shuttle and Ultra\-High Density Storage technologies is highly preferred.
* Experience in the Material Handling industry with a proficiency in understanding the supply chain industry is highly preferred.
* Strong abilities in Project Management including validated experience leading sophisticated projects cross\-functionally. Proficiency in project management tools and methodologies.
* Strong strategic business background to drive the commercial performance of product lines.
* Solid technical background and the ability to understand complex technical concepts.
* Excellent communication, collaboration, and leadership skills.
* A strategic issue resolver with a passion for creativity and a focus on customer happiness.
* Ability to prioritize and make decisions in a fast\-paced, dynamic environment.
* Strong problem\-solving skills and attention to detail.
* Understanding the integration of hardware, controls, and software (preferred).
* Educated to degree level (bachelor’s degree or higher) in Science, Engineering, or other technical field. Masters of Business or Doctorate of Science preferred.
* PMP or 5 years of direct project management preferred.
* Willingness to travel up to 25%, customer sites and substantial collaboration.
**Location \&amp; Authorization:** 
 This is a hybrid role requiring proximity to one of our U.S. offices (Grand Rapids, MI; Atlanta, GA). Applicants must be authorized to work in the U.S. without the need for current or future sponsorship.</t>
        </is>
      </c>
    </row>
    <row r="41">
      <c r="A41" t="inlineStr">
        <is>
          <t>li-4280978190</t>
        </is>
      </c>
      <c r="B41" t="inlineStr">
        <is>
          <t>Product Owner- Operations</t>
        </is>
      </c>
      <c r="C41" t="inlineStr">
        <is>
          <t>SS&amp;C Technologies</t>
        </is>
      </c>
      <c r="D41" t="inlineStr">
        <is>
          <t>linkedin</t>
        </is>
      </c>
      <c r="E41" t="inlineStr"/>
      <c r="F41" t="inlineStr"/>
      <c r="G41" t="inlineStr">
        <is>
          <t>Evansville, IN</t>
        </is>
      </c>
      <c r="H41" t="inlineStr"/>
      <c r="I41" t="inlineStr">
        <is>
          <t>As a leading financial services and healthcare technology company based on revenue, SS\&amp;C is headquartered in Windsor, Connecticut, and has 27,000\+ employees in 35 countries. Some 20,000 financial services and healthcare organizations, from the world's largest companies to small and mid\-market firms, rely on SS\&amp;C for expertise, scale, and technology.
**Job Description**
**Product Owner\- Operations**
**Locations** 
 : Boston, MA / Windsor, CT / Evansville, IN \| Hybrid
**Get To Know Us:**
 We are a fast\-paced, dynamic team leading innovation in investment operations technology. Our mission is to develop, maintain, implement, and expand
 **Singularity** 
 , our next\-generation cloud\-based AI\-powered platform for investment managers and insurers. Singularity provides
 **integrated accounting, operational processing, and advanced analytics** 
 for a broad range of asset types, leveraging
 **machine learning, automation, and scalable architecture** 
 to drive efficiency and accuracy in investment operations.
**Why You Will Love It Here!**
* Flexibility: Hybrid Work Model and Business Casual Dress Code, including jeans
* Your Future: 401k Matching Program, Professional Development Reimbursement
* Work/Life Balance: Flexible Personal/Vacation Time Off, Sick Leave, Paid Holidays
* Your Wellbeing: Medical, Dental, Vision, Employee Assistance Program, Parental Leave
* Wide Ranging Perspectives: Committed to Celebrating the Variety of Backgrounds, Talents and Experiences of Our Employees
* Training: Hands\-On, Team\-Customized, including SS\&amp;C University
* Extra Perks: Discounts on fitness clubs, travel and more!
**What You Will Get To Do:**
* Develop and execute operations product strategy, driving automation and reconciliation improvements within Singularity.
* Analyze market opportunities and assess industry direction to enhance machine learning capabilities and operational efficiency.
* Lead product design initiatives leveraging Azure DevOps, Confluence, Balsamiq and other tools to improve workflow and process automation.
* Partner with technical architecture, development, and data science teams to optimize machine learning models for reconciliation and operational workflows.
* Define and maintain the product backlog, ensuring alignment with business goals and industry trends.
* Collaborate with cross\-functional teams to ensure seamless integration of operational automation tools into the investment accounting platform.
* Provide thought leadership in reconciliation strategies, leveraging machine learning\-driven solutions and automation technologies to enhance efficiency.
* Influence operational design to drive continuous process improvements and enhanced user experience.
**What You Will Bring:**
* Deep understanding of investment operation, reconciliations, and automation strategies.
* Experience with machine learning applications in financial operations.
* Strong proficiency in Azure DevOps, Confluence, Balsamiq and other similar product design tools.
* Knowledge of core investment processing workflows related to market traded securities classes including, but not limited to Asset Backed, Fixed Income, Equities, Futures and Privates.
* Experience improving operational efficiency through technology solutions.
* Demonstrated ability to lead product teams and collaborate with technology and business stakeholders.
* Strong analytical and strategic thinking skills, with a data\-driven approach to decision\-making.
* Minimally requires a Bachelor’s degree and 6 years of related experience or Master’s degree and 4 years of related experience.
 Thank you for your interest in SS\&amp;C! If applicable, to further explore this opportunity, please apply directly with us through our Careers page on our corporate website: www.ssctech.com/careers.
 \#CA\-MB
 Salary range for the position: 110000 USD to 150000 USD.
 Unless explicitly requested or approached by SS\&amp;C Technologies, Inc. or any of its affiliated companies, the company will not accept unsolicited resumes from headhunters, recruitment agencies, or fee\-based recruitment services.
 SS\&amp;C offers excellent benefits including health, dental, 401k plan, tuition and professional development reimbursement plan.
 SS\&amp;C Technologies is an Equal Employment Opportunity employer and does not discriminate against any applicant for employment or employee on the basis of race, color, religious creed, gender, age, marital status, sexual orientation, national origin, disability, veteran status or any other classification protected by applicable discrimination laws.</t>
        </is>
      </c>
    </row>
    <row r="42">
      <c r="A42" t="inlineStr">
        <is>
          <t>li-4332906564</t>
        </is>
      </c>
      <c r="B42" t="inlineStr">
        <is>
          <t>Product Manager - Product Engineering</t>
        </is>
      </c>
      <c r="C42" t="inlineStr">
        <is>
          <t>Deloitte</t>
        </is>
      </c>
      <c r="D42" t="inlineStr">
        <is>
          <t>linkedin</t>
        </is>
      </c>
      <c r="E42" t="inlineStr"/>
      <c r="F42" t="inlineStr"/>
      <c r="G42" t="inlineStr">
        <is>
          <t>Raleigh, NC</t>
        </is>
      </c>
      <c r="H42" t="inlineStr"/>
      <c r="I42" t="inlineStr">
        <is>
          <t>**Overview**
 A Product Manager is a senior individual contributor responsible for ensuring a product's value and viability within a product line. This role involves leading empowered, cross\-functional product teams to solve moderate complexity customer problems that align with high value business needs. The Product Manager is accountable for the product's success, from vision to execution, and collaborates closely with various functions and stakeholders to deliver valuable, viable, usable, and feasible solutions.
 Recruiting for this role ends on 4/30/2026\.
**Key Responsibilities**
* Product Accountability
* Responsible and accountable for the product's value and viability, including profit and loss.
* Formulate and achieve Key Performance Indicators (KPIs) for identified problems to solve.
* Drive strategy\-aligned solutions to achieve product profit and loss objectives.
* Measure KPIs and analyze outcomes to inform future strategies.
* Vision and Strategy
* Co\-create, own, and evangelize the product vision, strategy, and roadmap.
* Align product objectives with the product line and business goals.
* Co\-create in collaboration with business stakeholders, engineering, experience, and delivery.
* Market and User Engagement
* Conduct user research and competitive analysis.
* Engage the team with users and stakeholders through continuous research and direct interactions.
* Collaborate and guide the team toward solutions that address priority user and business needs.
* Apply analytical skills to analyze data and derive actionable insights.
* Adopt innovative and experimental approaches to solving complex problems.
* Collaboration and Teamwork
* Work side\-by\-side with cross\-functional (business, engineering, experience, and delivery) team members to achieve KPI outcomes.
* Promote a product operating model that emphasizes outcomes over output (minimize overproduction while maximizing value).
* Build empowered teams and product communities who exhibit collective product ownership.
* Continuous Improvement
* Remove obstacles for the team and ensure smooth flow of continuous value achievement.
* Promote and drive rapid, emergent, and ongoing learning and adaptation to meet objectives.
* Drive innovation and improvement of the process to drive out waste and accelerate value achievement.
* Spread knowledge and best practices within the product vertical community.
**Required Qualifications**
* Education: Bachelor's degree in business, Marketing, Engineering, or a related field.
* 8\+ years of proven experience in lean product management or related roles.
* 3\+ years of enterprise scale experience across multiple business areas.
* Ability to travel up to 20%, on average, based on the work you do and the clients and industries/sectors you serve.
* Limited immigration sponsorship may be available
* Ability to travel 0\-20%, on average, based on the work you do and the clients and industries/sectors you serve
**Preferred Qualifications**
* Preferred Education: An MBA or related advanced degree is preferred.
* Preferred Experience:
* Demonstrated experience in modern product craft of delivering the right thing, in the right way, at the right time. Significant experience in lean product management craft and domain (tools, methods, and practices). Seen as a leader in this space.
* Proven accountability for value, viability and P\&amp;L objectives for a product and for an empowered product team.
* Preferred Skills
* Communication: Clear and effective communication with team members, stakeholders, and customers. Excellent communication and collaboration abilities.
* Leadership: Ability to lead and inspire cross\-functional teams, fostering collaboration and collective movement toward product goals. Ability to influence at all organizational levels through inclusion and leadership.
* Customer\-Centricity: Deep understanding of customer needs and engagement patterns, driving teams to deliver solutions that customers love and that work for the business. Expertise in applying customer\-centric methods and practices.
* Strategic Thinking: Ability to develop and execute a strategic vision for the product, aligning it with broader business objectives.
* Exceptional analytical and problem\-solving skills.
* Detail\-oriented, organized, and visionary.
* Learning\-forward, experimental, and value\-oriented mindset.
* Ability to navigate complexity and uncertainty.
* Quick to reach expert\-level knowledge within the product domain being served.
* Preferred Personal Traits
* Strong leadership capabilities.
* Customer\-centric mindset.
* Ability to work as an individual contributor in a collaborative, cross\-functional team.
* Humble, curious, and learning\-forward mindset.
* Favor small step action and evidence over detailed upfront planning and precision aiming.
* Experience with lean solutions and rapid, inexpensive experimentation to emerge the right thing, int the right way, at the right time.
* High levels of continuous customer and user engagement.
**Conclusion**
 The Product Manager plays a crucial role in ensuring the success of our high value, moderately complex products by balancing customer needs with business objectives. This role requires a blend of strategic vision, analytical skills, and collaborative teamwork to deliver valuable, viable, usable, and feasible solutions. It demands significant experience in the modern product management craft and a drive for continuous improvement.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$102,500 to $210,600\.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PXE\_JOBS
 EA\_ExpHire; EA\_ITS\_ExpHire</t>
        </is>
      </c>
    </row>
    <row r="43">
      <c r="A43" t="inlineStr">
        <is>
          <t>li-4338350135</t>
        </is>
      </c>
      <c r="B43" t="inlineStr">
        <is>
          <t>Product Manager, Policy</t>
        </is>
      </c>
      <c r="C43" t="inlineStr">
        <is>
          <t>Origami Risk</t>
        </is>
      </c>
      <c r="D43" t="inlineStr">
        <is>
          <t>linkedin</t>
        </is>
      </c>
      <c r="E43" t="inlineStr"/>
      <c r="F43" t="inlineStr"/>
      <c r="G43" t="inlineStr"/>
      <c r="H43" t="inlineStr"/>
      <c r="I43" t="inlineStr">
        <is>
          <t>The Product Manager, Policy is responsible for identifying customer and market needs, developing a 12\-month strategic plan/roadmap that aligns to business goals, and planning and executing to that vision. The Product Manager, Policy closely partners with Engineering to solve complex business and client problems that drive solutions that delight our users and clients. The Product Manager manages product development deliverables, such as requirements documentation, analytics, design reviews, implementation, and delivery. This person will lead the gathering and prioritization of product and client requirements.
 Starting base pay for this role is between $120,000 and $145,000\. The actual base pay is dependent upon many factors, such as transferable skills, work experience, business needs, training, location, and market demands. The base pay range is subject to change and may be modified in the future. This role will be eligible for a bonus as well as competitive medical, dental, and vision benefits, wellness reimbursement, life insurance, and a 401(k) with company match. We offer vacation and sick leave benefits (under a flexible time off policy in most states).
**Responsibilities**
 Roadmaps and Product Strategy:
* Owns the 12\-month product roadmap and align the scrum team around delivery of high value business outcomes.
* Researches and identifies emerging market and technology needs to influence the market roadmap and promote innovation and differentiation.
* Uses data to validate roadmap prioritization and proposed solution builds. Ensures that we are solving the right problems and that these problems are worth solving.
* Builds deep business domain and user and client expertise to identify product and market opportunities.
* Acts as the subject matter expert for their assigned product and market.
 Requirement Creation:
* Translates business requirements into technical requirements.
* Documents requirements in the form of user stories to create a shared understanding with Engineering teams.
* Develops, refines, and documents other product artifacts (Ex: Visual collaboration documents, Lucid Chart workflows, etc.)
* In partnership with Engineering, Design and Architecture teams, builds system designs.
* Validates all product \&amp; engineering artifacts (User Stories/Acceptance Criteria, Visual Collaboration documents, design documents, etc.) to ensure risks to value, viability, feasibility, and usability are addressed upfront.
 Backlog Maintenance, Prioritization, and Scrum Team Support:
* Participates in quarterly release planning activities, driving direction and prioritization for each quarter.
* Serves as the product owner of the scrum team to plan the work of the team and resolve in\-sprint issues.
* Acts as a ruthless “prioritizer” while balancing the needs of clients and stakeholders.
* Performs necessary backlog maintenance, such as identifying escalated feature or bug requests and preparing them for upcoming sprints.
* In partnership with Engineering, Design and Architecture teams, builds system designs; Validates all system designs that impact your product.
* In conjunction with the Product Analyst, oversees that the totality of delivered user stories meet the epic’s definition of done.
* Serves as the day\-to\-day contact for the team on clarification of requirements and drives the teams’ refinement ceremony.
* Acts as the product point of contact for all sprint ceremonies: sprint planning, refinement, sprint demo, retrospective, etc.
* Ensures backlog health meets the demands of the team as set/determined by Product Leadership.
* Performs functional testing and confirm sprint demos to ensure delivery of quality software.
 Business Partnership:
* Partners with business stakeholders to align to strategic long\-term roadmaps and ensure delivery of the aligned product outcomes.
* Aligns stakeholders across the organization to ensure transparency of prioritization and roadmap status.
* Acts as a liaison between stakeholder and development teams.
* Drives the agenda and facilitate meetings with Analysts to obtain roadmap feedback.
* Partners with marketing and operations to provide market and product responses to RFIs.
* Champions and models Origami Risk’s values (Prioritize Clients’ Trust and Success, Innovate with an Entrepreneurial Spirit, Collaborate and Win as a Team)
* Other duties as assigned.
**Qualifications**
* Bachelor’s Degree in technology, business, liberal arts, science, or engineering.
* 5\-7 years’ experience in Product Management, including owning a product roadmap and driving Agile processes.
* Excellent analytical and conceptual thinking skills and a high attention to detail
* Business acumen to identify opportunities, facilitate strategic planning, and use data and storytelling to influence.
* Ability to balance short term needs with long\-term strategy.
* Strong relationship building skills, including an ability to influence stakeholders and scrum team members.
* Exceptional communication skills (verbal and written) across all levels of the organization.
* Experience overseeing all or some phases of the product development lifecycle.
* Experience working in agile methodologies and working on an agile team.
* Prior experience as a product manager for a P\&amp;C policy admin system required
**Benefits**
* Medical and Dental coverage available for employees, dependents, domestic partners, and spouses
* Paid Time Off – Flexible options plus 10 paid company holidays where available\*\*
* All full\-time positions are hybrid, with many eligible to be completely remote
* Fully Paid by Origami Risk – Vision insurance, Short \&amp; Long\-Term Disability Insurance, and Basic Life Insurance
* Generous family leave options—including adoption and foster care placements
* Pre\-Tax Savings Accounts – Flexible Spending Account, Health Savings Account, Commuter Benefits, Dependent Care Savings Account
* Retirement Savings – 401(k) with company match up to 4%
* Employee Assistance Program (EAP) – Confidential \&amp; Free support offered to colleagues facing personal or work\-related complications
* Education Assistance Program – to help colleagues pursue industry/role\-specific certifications
* Wellness Benefits – reimbursement program to invest in healthy habits as well as support better colleague productivity and stress management
* Additional coverages available – Pet Insurance, Critical Illness Insurance, and Voluntary Life \&amp; AD\&amp;D coverage
* Flexible PTO not available in California or the UK
**Who We Are**
 Origami Risk delivers single\-platform SaaS solutions that help organizations best navigate the complexities of risk, insurance, compliance, and safety management.
 Founded by industry veterans who recognized the need for risk management technology that was more configurable, intuitive, and scalable, Origami continues to add to its innovative product offerings for managing both insurable and uninsurable risk; facilitating compliance; improving safety; and helping insurers, MGAs, TPAs, and brokers provide enhanced services that drive results.
 A singular focus on client success underlies Origami’s approach to developing, implementing, and supporting our award\-winning software solutions.
 Origami Risk is proud to be an equal opportunity employer. We thrive and benefit from diversity and are committed to creating an inclusive and equitable environment for all employees. We do not discriminate against any individual based upon race, religion, gender (including pregnancy, childbirth, or related medical conditions), sexual orientation, gender identity, gender expression, color, sex, national origin, age, marital status, military or veteran status, disability, or any other characteristic protected by applicable law.
**Caution** 
 : Be alert to recruiting scams. We have received reports of individuals impersonating Origami Risk recruiters to deceive candidates into disclosing personal information. These impostors use fake Origami Risk domain names and email addresses. Please double\-check that any email address from an Origami Risk recruiter ends with origamirisk.com or talent.icims.com . And to confirm the legitimacy of any recruiting communication, feel free to email transparencycheck@origamirisk.com .</t>
        </is>
      </c>
    </row>
    <row r="44">
      <c r="A44" t="inlineStr">
        <is>
          <t>li-4326807335</t>
        </is>
      </c>
      <c r="B44" t="inlineStr">
        <is>
          <t>Staff Product Manager</t>
        </is>
      </c>
      <c r="C44" t="inlineStr">
        <is>
          <t>Affirm</t>
        </is>
      </c>
      <c r="D44" t="inlineStr">
        <is>
          <t>linkedin</t>
        </is>
      </c>
      <c r="E44" t="inlineStr"/>
      <c r="F44" t="inlineStr"/>
      <c r="G44" t="inlineStr">
        <is>
          <t>New York, NY</t>
        </is>
      </c>
      <c r="H44" t="inlineStr"/>
      <c r="I44" t="inlineStr">
        <is>
          <t>Affirm is reinventing credit to make it more honest and friendly, giving consumers the flexibility to buy now and pay later without any hidden fees or compounding interest.
 The Affirm Card is at a massive inflection point. We have reached millions of cardholders inside our network, but we are just scratching the surface of a 150M\+ external TAM. We are looking for a Staff Product Manager to own the critical "Pre\-Swipe" Experience \- the defining moments between a user saying "yes" to the card and making their first purchase.
 This is not just an optimization role; it is a 0\-\&gt;1 strategic ownership role. You will be responsible for the Activation Journey, New User Experience (NUX), and the Checkout experience. Your mandate is to make the onboarding process "butter smooth" in an industry known for friction, turning complex financial compliance into a magical, instant consumer experience.
 You will lead the vision for how we welcome millions of new users, creating the fastest, most delightful path to share of wallet. You will build the bets that change how people think about cards, spend and pay over time for many years to come.
**What You'll Do**
* Own the "Pre\-Swipe" Vision: Define the long\-term strategy for Card Activation and New User Experience. You will own the roadmap for taking a user from "Interested" to "Ready to Transact," bridging the gap between digital provisioning and physical card unboxing.
* Build 0\-\&gt;1 Growth Bets: Identify and launch net\-new features that drive activation. Whether it’s gamified onboarding, instant wallet provisioning (Apple/Google Pay), or novel "first\-use" incentives, you will lead the charge on innovation.
* Obsess Over the Funnel: Manage the end\-to\-end checkout and activation funnel. You will ruthlessly eliminate friction, optimizing for speed, clarity, and delight, ensuring our drop\-off rates are industry\-leading lows.
* Cross\-Functional Leadership: As a Staff PM, you will act as the conductor for a complex group of stakeholders. You will partner deeply with Engineering to decouple growth from platform debt, and work with Design to ensure our UX is world\-class.
* Navigate Complexity: You will work hand\-in\-glove with Risk, Legal, and Compliance to invent new ways to onboard users safely without sacrificing speed. You will turn regulatory requirements into seamless product experiences.
* Drive Activation Economics: Own the metrics that matter. You are responsible for Time\-to\-First\-Transaction, 30\-Day Activation Rates, and Wallet Provisioning penetration.
**What We Look For**
* 7\+ years of Product Management experience, with a clear track record in consumer mobile apps, fintech, or neobanks.
* Experience Owning Critical Funnels: You have deep experience optimizing high\-stakes conversion flows (e.g., checkouts, sign\-ups, KYC) and understand the psychology of user activation.
* 0\-\&gt;1 Builder Mentality: You aren’t just an optimizer; you have a history of launching new products or features from scratch that fundamentally changed user behavior.
* Technical \&amp; Design Fluency: You can speak the language of engineering (API constraints, latency) and have an incredibly high bar for UI/UX design. You know what "butter smooth" feels like and won't settle for clunky interactions.
* Strategic Influence: You have experience leading without authority, capable of aligning senior stakeholders and guiding embedded engineering/design pods through ambiguity.
* Data\-Driven Intuition: You are fluent in SQL/Amplitude and use data to find the bottleneck, but use product intuition to solve it.
* This position requires either equivalent practical experience or a Bachelor’s degree in a related field
 Pay Grade \- P
 Equity Grade \- 13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$225,000 \- $275,000
 USA base pay range (all other U.S. states) per year: $200,000 \- $250,000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45">
      <c r="A45" t="inlineStr">
        <is>
          <t>li-4310449669</t>
        </is>
      </c>
      <c r="B45" t="inlineStr">
        <is>
          <t>Product Manager- Motherboard (27038)</t>
        </is>
      </c>
      <c r="C45" t="inlineStr">
        <is>
          <t>Supermicro</t>
        </is>
      </c>
      <c r="D45" t="inlineStr">
        <is>
          <t>linkedin</t>
        </is>
      </c>
      <c r="E45" t="inlineStr"/>
      <c r="F45" t="inlineStr"/>
      <c r="G45" t="inlineStr">
        <is>
          <t>San Jose, CA</t>
        </is>
      </c>
      <c r="H45" t="inlineStr"/>
      <c r="I45" t="inlineStr">
        <is>
          <t>****Job Req ID: 27038****
**About Supermicro**
 Supermicro® is a Top Tier provider of advanced server, storage, and networking solutions for Data Center, Cloud Computing, Enterprise IT, Hadoop/ Big Data, Hyperscale, HPC and IoT/Embedded customers worldwide. We are the \#5 fastest growing company among the Silicon Valley Top 50 technology firms. Our unprecedented global expansion has provided us with the opportunity to offer a large number of new positions to the technology community. We seek talented, passionate, and committed engineers, technologists, and business leaders to join us.
**Job Summary**
 The Product Manager position will be a leader in technology to create aggressive go\-to market plans, and develop product roadmaps to promote to internal team and customers. In addition, this position is a core member of Motherboard Product Management team and engages in technical, product development, marketing, and pre/post\-sales support activities.
**Essential Duties And Responsibilities**
**Includes the following essential duties and responsibilities (other duties may also be assigned):**
* TTM for new product training to customers
* Develop relationship with customer and promote the right product and work with sale/FAE to close the deal
* Execute in\-depth research about customer applications and provide feedback to engineering teams on how to optimize products
* Work with relate team to promote products to internal team and customers
* Create positioning statements, marketing and sales training materials, product specifications
* Present training materials to internal sales force as well as externally
* Travel periodically to visit customers and attend trade shows
* Conduct competitive analysis and develop ecosystem with partners in the industry
* Drive technical issues to closure by arranging resources and engaging with other engineering teams to duplicate and debug
* Serve as third level technical support and provide pre/post\-sales
**Qualifications**
* BS or Master's degree in engineering discipline or business is highly preferable
* 5\+ years of IT relate experience preferred
* Knowledgeable in market trend
* Strong initiative and ability to work in a self\-directed environment
* Effective organization and planning skills
* Demonstrated experience working in cross\-functional organizations
* Creative thinker, to develop new strategies and solutions
* Ability to lead extended teams and meet deadlines
* Strong understanding of market trends and customer needs
* Strong analytical, negotiation and problem solving skills
* Solid communications skills, both verbal and written
* Ability to travel up to 40% of the time
****Salary Range****
 $88,000 \- $160,000
 The salary offered will depend on several factors, including your location, level, education, training, specific skills, years of experience, and comparison to other employees already in this role. In addition to a comprehensive benefits package, candidates may be eligible for other forms of compensation, such as participation in bonus and equity award programs.
****EEO Statement****
 Supermicro is an Equal Opportunity Employer and embraces diversity in our employee population. It is the policy of Supermicro to provide equal opportunity to all qualified applicants and employees without regard to race, color, religion, sex, sexual orientation, gender identity, national origin, age, disability, protected veteran status or special disabled veteran, marital status, pregnancy, genetic information, or any other legally protected status.</t>
        </is>
      </c>
    </row>
    <row r="46">
      <c r="A46" t="inlineStr">
        <is>
          <t>li-4373249622</t>
        </is>
      </c>
      <c r="B46" t="inlineStr">
        <is>
          <t>Sr. Product Manager-Tech, Photos on Alexa+, Amazon Photos</t>
        </is>
      </c>
      <c r="C46" t="inlineStr">
        <is>
          <t>Amazon</t>
        </is>
      </c>
      <c r="D46" t="inlineStr">
        <is>
          <t>linkedin</t>
        </is>
      </c>
      <c r="E46" t="inlineStr"/>
      <c r="F46" t="inlineStr"/>
      <c r="G46" t="inlineStr">
        <is>
          <t>Sunnyvale, CA</t>
        </is>
      </c>
      <c r="H46" t="inlineStr"/>
      <c r="I46" t="inlineStr">
        <is>
          <t>**Description**
 Amazon Photos is seeking a Technical Product Manager to define the future of AI\-powered memory experiences on Alexa\+. You'll build conversational, multimodal interactions that help families rediscover their most meaningful moments—leveraging LLMs, AI, and personalization to create an emotionally intelligent memories companion across Echo Show, Fire TV, and mobile devices.
 What you’ll do
* Own the vision \&amp; roadmap for Photos on Alexa\+: define the customer promise, 12–24\-month plan, and success metrics.
* Design multimodal experiences that blend voice, touch, and display (voice prompts, conversational flows, ambient slideshows, highlight reels).
* Ship cross\-device coherence: start on Echo Show and seamlessly continue on mobile or Fire TV.
* Partner across Alexa domains (e.g., Music, Household, Communications) to deliver simple, exceptional cross\-domain moments.
* Lead with a trust and privacy\-first approach: define how we earn and maintain customer trust when delivering interactions with personal photos via voice.
* Collaborate deeply with engineering, applied science, UXR, and design to productionize natural\-language/LLM\-powered features with strong guardrails and SLAs.
* Measure and learn: define and instrument clear success criteria; run A/B tests and longitudinal experiments; define clear user research questions to understand our customers.
* Own end\-to\-end delivery: strategy → spec → launch → iteration; write PR/FAQs and tenets; drive alignment across partner teams.
 Who you are
* An AI product builder who has shipped consumer\-facing LLM or conversational AI features (chat interfaces, voice assistants, or AI\-powered mobile experiences) and understands the product trade\-offs between model capability, latency, cost, and user trust.
* A human\-focused inventor who dives deep into behaviors via data and anecdotes to build for true needs.
* A data\-driven experimenter who knows when A/B testing, guardrail evaluations, or qualitative studies accelerate and improve product decision\-making.
* A technical PM who can dive into architecture, APIs, data contracts, and latency/quality trade\-offs to make better product decisions.
* A trusted partner who can independently own relationships with senior stakeholders across the Devices \&amp; Services organization
 A day in the life
* Conversational memory search: Design and instrument "Alexa, show me photos of my daughter's soccer games from this year"—defining intent classification, result ranking, and fallback experiences when the model is uncertain.
* Proactive AI curation: Build "memory moments" that surface meaningful photos at the right time (birthdays, anniversaries, travel memories)—balancing personalization with privacy and user control.
* Cross\-modal AI experiences: Blend voice input with visual browsing—e.g., start with "Show me vacation photos," then refine with touch gestures and follow\-up voice commands.
* Trust and transparency: Define how customers understand why the AI surfaced specific photos and how to correct or provide feedback when results miss the mark.
**About The Team**
 We’re a cross\-functional product, program, research, and design team focused on personal\-memories experiences that customers love and trust. We combine deep consumer instincts with strong technical understanding to ship high\-quality features at scale. We obsess over craft, iterate with data, and operate with an underdog mindset—raising the bar for product management at Amazon. Our team members bring experience from diverse disciplines, company sizes, and at least five countries.
**Basic Qualifications**
* 5\+ years of end to end product delivery experience
* 5\+ years of technical product or program management experience
* Experience contributing to engineering discussions around technology decisions and strategy related to a product
* Bachelor's degree
* Experience with feature delivery and tradeoffs of a product
* Experience owning/driving roadmap strategy and definition
* Experience managing technical products or online services
**Preferred Qualifications**
* 5–8 years of product management experience with at least 2\+ years building consumer\-facing AI/LLM products (conversational interfaces, chat experiences, voice assistants, or AI\-powered mobile apps)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\- 173,900\.00 \- 235,200\.00 USD annually
 USA, WA, Seattle \- 151,200\.00 \- 204,600\.00 USD annually
**Company** 
 \- Amazon.com Services LLC
 Job ID: A3181422</t>
        </is>
      </c>
    </row>
    <row r="47">
      <c r="A47" t="inlineStr">
        <is>
          <t>li-4351075643</t>
        </is>
      </c>
      <c r="B47" t="inlineStr">
        <is>
          <t>Senior Product Manager - Exam Gloves</t>
        </is>
      </c>
      <c r="C47" t="inlineStr">
        <is>
          <t>Medline</t>
        </is>
      </c>
      <c r="D47" t="inlineStr">
        <is>
          <t>linkedin</t>
        </is>
      </c>
      <c r="E47" t="inlineStr"/>
      <c r="F47" t="inlineStr"/>
      <c r="G47" t="inlineStr">
        <is>
          <t>Northfield, IL</t>
        </is>
      </c>
      <c r="H47" t="inlineStr"/>
      <c r="I47" t="inlineStr">
        <is>
          <t>**Job Summary**
 Medline has an immediate opening for a Senior Product Manager for our Exam Gloves division! This position is located at our headquarters in Northfield, IL on a hybrid basis. The Product Manager under minimal supervision, manage the full product lifecycle including the sourcing, marketing, new product development, sales support and financial growth of assigned products for a small (or stand\-alone business unit). This person will work with and train sales forces to be able to confidently sell product to customers and will have at least one Manager level direct report(s).
**Responsibilities**
**Job Description**
* Negotiate pricing with vendors for raw materials and finished goods. Visit vendors to develop products and train personnel in all aspects of each product and usages. Coordinate materials with vendors and develop finished custom items.
* Provide coaching and training to product management team. Service as a resource and provide project oversight.
* Develop and implement comprehensive marketing plans and promotional programs for existing products to include product strategy development, pricing strategy, collateral creation and brand management
* Review monthly financial performance and determine contributing factors. Offer solutions for detrimental sales or cost trends. Prepare product forecasts to include revenue and expense expectations. Analyze sales trends over time and impact of competitive strategies. Support forecasts and budgets with appropriately detailed marketing plans.
* Work with Manufacturing, Purchasing, and Engineering to reduce Cost of Goods by assessing packaging, alternate materials, new sources of material, stocking, make to order, direct to customer shipments, etc. Manage inventory by focusing on eliminating surplus and optimizing SKU count.
* Develop and deliver training materials for internal stakeholders, sales forces and customers. Create sales tools.
* Conduct effective market research and translate that research into new products, product improvements, or line extensions by providing leadership to a multi\-functional team.
* Travel with sales force to support efforts to convert customers to purchase Medline products. Provide timely follow up to sales forces by answering product questions via e\-mail and phone.
* Develop and mentor staff through on\-boarding, open communication, training and development opportunities and performance management processes; build and maintain employee morale and motivation; ensure the team is appropriately staffed with required competencies.
**Required Experience**
**Education**
* Bachelor’s degree.
**Minimum Job Requirements**
* Minimum of 4 years of experience in product management for physical products, preferably within the healthcare industry.
* Experience negotiating with outside vendors and internal resources.
* Experience collecting and analyzing financial data.
* Experience with managing multiple direct reports.
**Knowledge / Skills / Abilities**
* Willing to travel up to 50% of the time for business purposes (within state and out of state).
* Intermediate level skill in Microsoft Word (for example: inserting headers, page breaks, page numbers and tables and/or adjusting table columns).
* Intermediate level skill in Microsoft PowerPoint (for example: applying a theme, formatting character spacing, inserting a picture, changing slide layout and theme colors, adding transitions, customizing slide numbers, changing chart style and/or formatting font).
* Intermediate level skill in Microsoft Excel (for example: using SUM function, setting borders, setting column width, inserting charts, using text wrap, sorting, setting headers and footers and/or print scaling).
 Medline Industries, LP, and its subsidiaries, offer a competitive total rewards package, continuing education \&amp; training, and tremendous potential with a growing worldwide organization.
**The Anticipated Salary Range For This Position**
 $101,000\.00 \- $152,000\.00 Annual
 The actual salary will vary based on applicant’s location, education, experience, skills, and abilities. This role is bonus and/or incentive eligible. Medline will not pay less than the applicable minimum wage or salary threshold.
 Our benefit package includes health insurance, life and disability, 401(k) contributions, paid time off, etc., for employees working 30 or more hours per week on average. For a more comprehensive list of our benefits please click here. For roles where employees work less than 30 hours per week, benefits include 401(k) contributions as well as access to the Employee Assistance Program, Employee Resource Groups and the Employee Service Corp.
 We’re dedicated to creating a Medline where everyone feels they belong and can grow their career. We strive to do this by seeking diversity in all forms, acting inclusively, and ensuring that people have tools and resources to perform at their best. Explore our Belonging page here.
 Medline Industries, LP is an equal opportunity employer. Medline evaluates qualified individuals without regard to race, color, religion, gender, gender identity or expression, sexual orientation, national origin, age, disability, neurodivergence, protected veteran status, marital or family status, caregiver responsibilities, genetic information, or any other characteristic protected by applicable federal, state, or local laws.</t>
        </is>
      </c>
    </row>
    <row r="48">
      <c r="A48" t="inlineStr">
        <is>
          <t>li-4365608109</t>
        </is>
      </c>
      <c r="B48" t="inlineStr">
        <is>
          <t>Program Manager - Enterprise Applications</t>
        </is>
      </c>
      <c r="C48" t="inlineStr">
        <is>
          <t>Calumet</t>
        </is>
      </c>
      <c r="D48" t="inlineStr">
        <is>
          <t>linkedin</t>
        </is>
      </c>
      <c r="E48" t="inlineStr"/>
      <c r="F48" t="inlineStr"/>
      <c r="G48" t="inlineStr"/>
      <c r="H48" t="inlineStr"/>
      <c r="I48" t="inlineStr">
        <is>
          <t>**Who are we?**
 At Calumet we deliver innovative specialty products trusted by companies across the globe. We are the foundation to everyday essential products that help millions of people live and thrive. We are headquartered in Indianapolis and have numerous production locations in the US. We are customer focused and utilize our values of collaboration and entrepreneurship to grow the business. We offer a dynamic, high\-performance environment where team members can have real input and impact on our business. If you’re ready to roll up your sleeves, treat the business as if it is your own and add value accordingly, come see why we’re Calumet Proud!
**PURPOSE:**
 We are seeking a dynamic and results\-driven Enterprise Applications Program Manager who will shape and optimize program management processes. This role is ideal for a strategic thinker who thrives in complex environments and has a passion for driving enterprise\-wide SAP initiatives to success.
**KEY OBJECTIVES AND RESPONSIBILITIES:**
* Lead and manage end\-to\-end SAP programs, ensuring alignment with business goals and timelines.
* Design, implement, and continuously improve program processes, tools, and governance frameworks.
* Drive stakeholder engagement and build adoption of program processes across business units and technical teams.
* Lead planning iterations with IT and key stakeholders to align priorities, scope, and delivery timelines.
* Collaborate with enterprise and solution architects to ensure solution integrity across the SAP landscape and its peripheral systems.
* Work cross\-functionally with IT, finance, operations, and external vendors to align program execution with organizational priorities.
* Monitor program performance using KPIs and provide regular updates to senior leadership.
* Identify risks and develop mitigation strategies to ensure successful program delivery.
* Facilitate change management and ensure compliance with organizational standards and SAP best practices.
**REQUIRED EDUCATION/EXPERIENCES:**
* Bachelor’s degree in Accounting, Business, or Information Technology
* 5\+ years of experience in ERP (SAP) program management and process development
* Demonstrated success in building stakeholder buy\-in and adoption of project management frameworks
* Strong understanding of SAP modules (e.g., ECC, FICO, MM, SD)
* Familiarity with project planning, demand management, and portfolio management practices
* Experience working with architects to maintain solution consistency across integrated systems
* Proven ability to manage multiple projects and priorities in a fast\-paced environment
* Excellent communication, leadership, and stakeholder management skills
**PREFERRED EDUCATION/EXPERIENCES:**
* PMP, PMI\-ACP, or SAP certification
* Experience with ServiceNow Strategic Portfolio Management (SPM) for project tracking and portfolio governance
* Master’s Degree in Business or Information Technology
 Salary and benefits commensurate with experience. We are an equal opportunity employer including disability and veteran. All offers of employment are conditioned upon successfully passing a drug test.</t>
        </is>
      </c>
    </row>
    <row r="49">
      <c r="A49" t="inlineStr">
        <is>
          <t>li-4318369062</t>
        </is>
      </c>
      <c r="B49" t="inlineStr">
        <is>
          <t>Distribution and Marketing Data Product Manager</t>
        </is>
      </c>
      <c r="C49" t="inlineStr">
        <is>
          <t>Beazley</t>
        </is>
      </c>
      <c r="D49" t="inlineStr">
        <is>
          <t>linkedin</t>
        </is>
      </c>
      <c r="E49" t="inlineStr"/>
      <c r="F49" t="inlineStr"/>
      <c r="G49" t="inlineStr">
        <is>
          <t>West Hartford, CT</t>
        </is>
      </c>
      <c r="H49" t="inlineStr"/>
      <c r="I49" t="inlineStr">
        <is>
          <t>General
 Job Title: Distribution and Marketing Data Product Manager
 Division: Beazley Shared Services – Data Management
 Location: Multiple Locations, US
 Hybrid Role
 Reports To: Head of Data Products
 Key Relationships: Chief Data Office, Data Leadership Team, Data Owners, Distribution and Marketing, CRM, Data Governance and Quality, Data Stewards, Data Architects, Delivery Team members, Technology Team, Finance, Underwriting, Operations and other Business Stakeholders
**Beazley**
 Beazley is a global specialist insurance company with over 30 years’ experience helping people,
 communities, and businesses to manage risk all around the world. Our products are wide ranging from cyber \&amp; tech to marine, healthcare, financial institutions, and contingency, covering risks like the weather, film production or protection from deadly weapons.
 We are a flexible and innovative employer offering a friendly, collaborative, diverse and inclusive work environment. We encourage applications from all backgrounds. Collaboration in office spaces is important and we use a hybrid approach with a minimum of 2 days in the office per week.
 We have a wonderful mix of cultures, experiences, and backgrounds at Beazley with over 1500 of us working around the world. Employee’s diversity, experience and passion allow us to keep innovating and moving forward, delivering the best. We hire people with wide perspectives, and we have set bold diversity targets as we work towards excellence.
 Data @ Beazley:
 Our Data team supports Beazley’s vision by...
* Being bold through pioneering \&amp; championing an exciting vision of how people interact with data
* Facilitating innovation by leading the pace of change in data \&amp; analytics, and facilitating the latest capabilities and innovative technologies
* Doing the right thing by providing a controlled working data environment that allows all business domains to thrive independently
* Being the single source of truth for enterprise\-wide reporting metrics and KPIs
 Our Data team is located at multiple offices across UK, Europe and the US. The specified home office location options provide the best balance for being co\-located with key Data Office colleagues and business stakeholders.
**The Role**
 Data is one of Beazley’s greatest assets and this roles is critical to supporting our Distribution and Marketing insights, which includes Customer, Broker and Marketing data. We’re seeking a strategic and technically savvy Data Product Manager to lead the strategy, development and evolution of data products and insights that empower our distribution and marketing teams. This role is critical to aligning our data, unlocking insights, and informing growth opportunities across our specialty portfolio. In this role, you will also work to mature data literacy and capabilities as Beazley undertakes a significant investment in modernization, enabling you to embed a culture of data excellence and innovation in our delivery.
**Key Responsibilities**
* Partner with the global Distribution and Marketing team to understand, prioritize and develop data products and insights that support their business strategy.
* Build and own a roadmap to provide regular updates on delivery commitments for data products, insights, enhancements and queries.
* Manage stakeholder relationships to support the growth strategy for Beazley customers, brokers, teams and products.
* Produce insights and key data trends that highlight business performance, RoI, efficiencies and game\-changing growth opportunities.
* Inspire the adoption and use of insights to drive decisions in investment and operations that improve efficiency and drive growth by leading demonstrations and hands on training sessions.
* Lead a team of Product Owners, Product Analysts, Business Analysts and a development team to deliver and maintain data products and insights; maintaining a backlog of work within Jira.
* Represent the business in data governance discussions, escalating issues as appropriate.
* Ensure that data product development considers policy, methodology and standards, and ensure these are adhered to during product development.
* Evaluate the performance of your data product portfolio against KPIs defined by the business and provide feedback on the value delivered.
* Proactively anticipate business needs and look for opportunities to bring innovation or new approaches into the user design, experience, product development and insights.
* Relentlessly focus on the Distribution and Marketing team as a customer, delivering high quality data and insights that are clear and inspire action.
* Partner with the Data Governance Group and CRM solution team (Customer Relationship Management) to drive improvements in our Customer and Broker data quality through MDM and other tools.
* Provide leadership, direction, development and support to direct reports (including off\-shore resources).
**Essential Criteria**
* Bachelor’s degree in Business, Marketing, Data Science, Computer Science, Economics, Statistics or related field; Master’s degree preferred
* Proven experience in data product management, marketing analytics or distribution strategy, preferably in insurance or financial services
* Experience working with data, building data models, and sharing insights
**Skills And Abilities**
* Strategic and curious with the ability to design and develop data and insights that support our Distribution and Marketing team’s goals, planning, performance and incentives that drive growth
* Understand the specialty insurance market, customer segmentation and distribution channels, with experience in North America, Lloyd’s, Retail and Wholesale markets preferred
* Ability to lead workshops that help your stakeholders identify data needs and articulate their desired user experience, with the ability to build dashboards preferred
* Strong organization and communication skills with the ability to direct work, document requirements and present demos
* Advanced technical skills with the ability to dive into the data, identify anomalies, and provide high quality, trusted data
* Understanding of Specialty Insurance principles and key drivers to create opportunities, loyalty and growth
**Knowledge And Experience**
* Experience in Data Products, Data Analytics, Data Science, Statistics, Economics or related fields in Insurance, Financial or sales organizations preferred
* Strong understanding of MDM and CRM systems and their use with Customer and Broker data
* Proficiency in data visualization (Power BI), analytics platform (Snowflake), dashboard design and data storytelling
* Experience working with insurance data, and in particular a strong understanding of pipeline intelligence for sales growth/ targeting and performance
* Ability to use predictive modeling to drive an understanding of performance, customer behavior, and prospective renewals/ growth to help the Distribution Sales team focus on the best opportunities
* Experience managing relationships and teams of stakeholders, business analysts, data analysts, data architects, data modelers, data engineers and testers using agile processes
* Skills in data engineering technologies like Kafka, Snowflake / Snowpark, DataBricks, Jira and Agile principles
* Experience in managing and manipulating large internal and external datasets
* Knowledge of relational and dimensional database structures, theories, principles, and practices
* Driven and proven team player with ability to work with all levels in a highly intellectual, collaborative, and fast paced environment
* Excellent communication skills, with the ability to tailor them appropriately for different audiences, technical backgrounds, and seniority
**Who We Are**
 Beazley is a specialist insurance company with over 30 years’ experience helping people, communities and businesses to manage risk all around the world. Our mission is to inspire our clients and people with the confidence and freedom to explore, create and build – to enable businesses to thrive. Our clients want to live and work freely and fully, knowing they are benefitting from the most advanced thinking in the insurance market. Our goal is to become the highest performing sustainable specialist insurer.
 Our products are wide ranging, from cyber \&amp; tech insurance to marine, healthcare, financial institutions and contingency; covering risks such as the weather, film production or protection from deadly weapons.
**Our Culture**
 We have a wonderful mix of cultures, experiences, and backgrounds at Beazley with over 2,000 of us working around the world. Employee’s diversity, experience and passion allow us to keep innovating and moving forward, delivering the best. We are proud of our family\-feel culture at Beazley that empowers our staff to work from when and where they want, in an adult environment that is big on collaboration, diversity of thought and personal accountability. Our three core values inspire the way we work and how we treat our people and customers.
* Be bold
* Strive for better
* Do the right thing
 Upholding these values every day has enabled us to become an innovative and responsive organization in touch with the changing world around us – our ambitious inclusion \&amp; diversity and sustainability targets are testament to this.
 We are a flexible and innovative employer offering a friendly, collaborative, and inclusive working environment. We actively encourage and expect applications from all backgrounds. Our commitment to fostering a supportive and dynamic workplace ensures that every employee can thrive and contribute to our collective success.
 Explore a variety of networks to assist with professional and/or personal development. Our Employee Networks include:
* Beazley RACE \- Including, understanding and celebrating People of Colour
* Beazley SHE \- Successful, High potential, Empowered women in insurance
* Beazley Proud \- Our global LGBTQ\+ community
* Beazley Wellbeing \- Supporting employees with their mental wellbeing
* Beazley Families \- Supporting families and parents\-to\-be
 We Encourage Internal Career Progression At Beazley, Giving You All The Tools You Need To Drive Your Own Career Here, Such As
* Internal Pathways (helping you grow into an underwriting role)
* iLearn (our own learning \&amp; development platform)
* LinkedIn Learning
* Mentorship program
* External qualification sponsorship
* Continuing education and tuition reimbursement
* Secondment assignments
**The Rewards**
* The opportunity to connect and build long\-lasting professional relationships while advancing your career with a growing, dynamic organization
* Attractive base compensation and discretionary performance related bonus
* Competitively priced medical, dental and vision insurance
* Company paid life, and short\- and long\-term disability insurance
* 401(k) plan with 5% company match and immediate vesting
* 22 days PTO (prorated for 1st calendar year of employment), 11 paid holidays per year, with the ability to flex the religious bank holidays to suit your religious beliefs
* Up to $700 reimbursement for home office setup
* Free in\-office lunch, travel reimbursement for travel to office, and monthly lifestyle allowance
* Up to 26 weeks of fully paid parental leave
* Up to 2\.5 days paid annually for volunteering at a charity of your choice
* Flexible working policy, trusting our employees to do what works best for them and their teams
 Salary for this role will be tailored to the successful individual’s location and experience. The expected compensation range for this position is $130,000\-$150,000 per year plus discretionary annual bonus.
**Don’t meet all the requirements? At Beazley we're committed to building a diverse, inclusive, and authentic workplace. If you’re excited about this role but your experience doesn’t perfectly align with every requirement and qualification in the job specification, we encourage you to apply anyway. You might just be the right candidate for this, or one of our other roles.**
 We are an equal opportunities employer and as such, we will make reasonable adjustments to our selection process for candidates that indicate that, owing to disability, our arrangements might otherwise disadvantage them. If you have a disability, including dyslexia or other non\-visible ones, which you believe may affect your performance in selection, please advise us in good time and we’ll make reasonable adjustments to our processes for you.</t>
        </is>
      </c>
    </row>
    <row r="50">
      <c r="A50" t="inlineStr">
        <is>
          <t>li-4365591198</t>
        </is>
      </c>
      <c r="B50" t="inlineStr">
        <is>
          <t>Program Manager</t>
        </is>
      </c>
      <c r="C50" t="inlineStr">
        <is>
          <t>Veracity Insurance Solutions, LLC</t>
        </is>
      </c>
      <c r="D50" t="inlineStr">
        <is>
          <t>linkedin</t>
        </is>
      </c>
      <c r="E50" t="inlineStr"/>
      <c r="F50" t="inlineStr"/>
      <c r="G50" t="inlineStr"/>
      <c r="H50" t="inlineStr"/>
      <c r="I50" t="inlineStr">
        <is>
          <t>At Veracity, we aim to be a different kind of insurance partner—one that is free from outside investors, venture capital, or the pressures of a corporate parent.
 Ours is a culture of empowerment – one that believes in effort, results, and accountability. We believe that transparency fosters trust, trust fosters growth, and that growth drives innovation. Our commitment to rigorous evaluation and relentless execution lead to rapid evolution.
 We answer only to the small business owners we serve, and this independence allows us to stay focused on what matters most: helping their businesses thrive by providing expert guidance and best\-in\-class insurance policies.
 We’re growing fast and want you to be a part of it!
 We are seeking a strategic and results\-driven
 **Program Manager** 
 to join our team. Reporting to the Vice President of Program Development, this remote role will drive the success of assigned Veracity programs by managing all insurance\-related components from underwriting audits, performance tracking, renewals, referrals, price optimization, compliance reviews, and more. The Program Manager will play a key role in shaping strategy, fostering cross\-department collaboration, and ensuring programs deliver measurable results and long\-term value to the organization.
**Key Responsibilities** 
* Track, analyze, and report on key performance indicators such as hit ratios, premium growth, loss ratios, claims trends, and retention, using data insights to inform strategy and mitigate risk
* Oversee policy and form development, review, and continuous improvement to support program compliance and competitiveness
* Review and manage referrals or exceptions, including non\-renewals and cancellations
* Analyze claims and loss reports, identifying trends and areas of concern
* Serve as a subject matter expert and trusted advisor across departments, providing guidance, insights, and approvals for customer\-facing content
* Cultivate and manage strong carrier partnerships, from identifying best\-fit carriers to leading ongoing communication that maintains, enhances, and expands program offering
* Architect and refine sales and support processes, including distribution strategy, technology platforms, account management, accounting, and surplus lines compliance
* Identify and apply, where applicable, AI\-driven solutions, including generative AI, to improve efficiency, strengthen decision\-making, and support the ongoing success of insurance programs
* Partner with Product Owners, Product Marketing Managers, and other stakeholders to ensure seamless program execution and measurable success
* Prepare business cases and executive summaries that influence strategic decisions and leadership alignment
* Required to perform other duties as requested, directed, or assigned
**Requirements And Qualifications** 
* Bachelor’s degree in Business, Finance, Risk Management, or related field preferred
* 5\+ years of experience in the insurance industry, with a strong understanding of underwriting principles, claims, program management, and carrier relationships.
* Proficiency with insurance platforms, data analysis tools, and emerging technologies, including experience leveraging generative AI to improve efficiency and support program development
* Professional insurance designations such as CPCU, ASLI, or equivalent strongly valued
* Excellent communication, collaboration, and relationship\-building skills with both internal teams and external partners
* Strong analytical, problem\-solving, and business development abilities with proven success driving growth, optimizing performance, and supporting program adoption
**Perks** 
* Health, dental, and vision plans
* Amazing work\-life balance with 4 weeks of Paid Time Off
* 9 Paid Company Holidays with 2 floating holidays
* 401K Programs with employer match
* Personal assistant programs for support in a healthy personal and work life
**Why Veracity?** 
 Here at Veracity, you’ll be part of a team of trailblazers and visionaries. We’re not just revolutionizing the way people “do” insurance; we are creating a whole new paradigm. Here, you will experience a vibrant and inclusive workplace where your ideas matter! With us, you have a chance to:
* Engage in groundbreaking projects that are reshaping the insurance landscape
* Collaborate with a group of dedicated, like\-minded professionals
* Experience a culture that prioritizes growth and development
**Compensation** 
**Range: $90k/yr** 
**\- $125k/yr** 
 We are proud to be an equal\-opportunity employer. We are committed to providing equal opportunities to all qualified applicants, regardless of race, color, religion, sex, national origin, disability, or any other legally protected characteristics.
 If you need accommodation, please let us know during the interview process.</t>
        </is>
      </c>
    </row>
    <row r="51">
      <c r="A51" t="inlineStr">
        <is>
          <t>li-4321364348</t>
        </is>
      </c>
      <c r="B51" t="inlineStr">
        <is>
          <t>Technical Program Manager, Operations</t>
        </is>
      </c>
      <c r="C51" t="inlineStr">
        <is>
          <t>ALSO.</t>
        </is>
      </c>
      <c r="D51" t="inlineStr">
        <is>
          <t>linkedin</t>
        </is>
      </c>
      <c r="E51" t="inlineStr"/>
      <c r="F51" t="inlineStr"/>
      <c r="G51" t="inlineStr">
        <is>
          <t>Palo Alto, CA</t>
        </is>
      </c>
      <c r="H51" t="inlineStr"/>
      <c r="I51" t="inlineStr">
        <is>
          <t>**About ALSO.**
 We’re ALSO, an electric mobility company originally conceived as a part of Rivian. We’re a passionate team of builders, dreamers, doers and innovators, focused on creating entirely new (not to mention, innovative and delightful) vertically integrated, small EVs designed to meet the global mobility challenges of today and tomorrow. Our mission is to inspire everyone to ride ALSO—replacing many local car, truck and SUV miles with ones on vehicles that are more affordable, more enjoyable and 10\-50x more efficient.
 Join as our first Technical Program Manager, Operations of Also’s Program Management Team. You’ll be responsible for driving execution of manufacturing for our small electric vehicle products. You will partner with TPMs, GSMs, manufacturing, quality, and hardware engineering teams driving consumer level products through NPI. You’ll work with our manufacturing partners and supply chain teams to ensure we can productionize our vehicles to deliver quality products at scale as well as sustain product post\-launch.
**What You Will Do**
* Own the operations / manufacturing readiness NPI and mass production schedule — ensuring timely execution, factory bring\-up, tooling, production ramp plans, and operational readiness. Integrate manufacturing schedule to overall vehicle program and development.
* Lead coordination between technical program management, manufacturing, supply chain, logistics, engineering, and finance teams to align on build schedule, ramp readiness, production plans.
* Develop and track readiness of critical manufacturing and tooling equipment across global supply chains.
* Identify, assess, and manage program risks across hardware design, supply chain, cost, and manufacturing quality.
* Define and implement business processes, success metrics, and dashboards to monitor project health and performance, continuously driving improvements in throughput, yield, and cost.
* Work with global supply manager and manufacturing/quality teams to plan factory capacity, lead equipment budgeting, and ensure testability, manufacturability, and scalability of hardware products.
* Lead operational program communications across organizational levels, providing regular updates on status, risks, and mitigation strategies to executives and stakeholders.
**What You Will Bring**
* Bachelor’s degree in Engineering, Operations, Supply Chain Management, or a related field.
* 7\+ years of overall experience
* Proven track record in managing NPI programs and launching products into mass production.
* Strong leadership and cross\-functional influence without direct authority.
* Experience working with overseas suppliers and contract manufacturers (especially in Asia).
* Experience with complex hardware involving PCBA, mechanical assemblies, batteries, and plastics in industries such as consumer electronics or automotive
* Proven experience launching Tier 1 manufacturing sites.
* Skilled in project management and planning tools; proficiency with ERP systems, PLM tools (e.g. Arena), JIRA, and Confluence.
* Excellent communication skills—both verbal and written.
* Ability to work independently in dynamic, ambiguous environments.
* Ability to travel internationally up to \~30%.
* Mandarin language proficiency.
 The salary for this position ranges from $210,000 \- $240,000 per year, depending on experience and qualifications.
**Why ALSO.**
 We’re passionate about helping the world find a better way to get there—wherever it is you’re headed.
 We’re located in the heart of Silicon Valley and have brought together a world\-class team from some of the biggest brands in the technology, automotive, cycling, outdoor recreation and retail spaces.
 Together we’re working hands\-on to imagine, design and build an entirely new solution to a global set of transportation challenges.
**Perks And Benefits**
* Robust health coverage. Excellent health, dental and vision insurance covered up to 100% by ALSO with FSA \&amp; HSA options.
* One Medical membership and dedicated insurance advocates.
* Rich fertility and family building benefits with Progyny.
* Flexible time off.
* 401(k) match.</t>
        </is>
      </c>
    </row>
    <row r="52">
      <c r="A52" t="inlineStr">
        <is>
          <t>li-4338298144</t>
        </is>
      </c>
      <c r="B52" t="inlineStr">
        <is>
          <t>Lead Program Manager</t>
        </is>
      </c>
      <c r="C52" t="inlineStr">
        <is>
          <t>OutSystems</t>
        </is>
      </c>
      <c r="D52" t="inlineStr">
        <is>
          <t>linkedin</t>
        </is>
      </c>
      <c r="E52" t="inlineStr"/>
      <c r="F52" t="inlineStr"/>
      <c r="G52" t="inlineStr">
        <is>
          <t>Boston, MA</t>
        </is>
      </c>
      <c r="H52" t="inlineStr"/>
      <c r="I52" t="inlineStr">
        <is>
          <t>**There are NO limits to your career: come shape the future and be part of a truly unique global culture at OutSystems!**
**About This Role**
 There are NO limits to your career: come shape the future and be part of a truly unique global culture at OutSystems!
 As a Program Manager, you are expected to help the organization manage a group of related projects to bring a significant business change and set of benefits, across the company. The stakeholders of such projects will be both internal to Global Support and external, from other areas of the company.
 The projects that make up the programme can be complex in their own right. The Program Manager needs to guide the ones managing the projects and steer them through the project lifecycle, managing schedules and resources, identifying risks and communicating with stakeholders.
 It is the Program Manager's responsibility to track the project's progress and KPI’s and raise the flag if the timeline is compromised, unforeseen risks appear or roadblocks are in the way of project success.
**What You Will Lead/Do Or Key Responsibilities**
* Define and implement governance processes for the programme
* Develop the programme brief and business case
* Assure strategic alignment between multiple stakeholders
* Define the appropriate project KPI’s and their targets
* Manage relationships and communication with senior stakeholders
* Develop integrated plans and reporting across all projects in the programme
* Allocate and balance resources to meet project needs
* Motivate, lead and coach project managers to ensure effective delivery
* Implement regular reviews to ensure the programme is on track to achieve benefits
* Report on program progress to senior management
**Qualifications / What You Need To Succeed**
* A degree in Business Management or Software Engineering;
* Experience in Project Management
* Strong interpersonal, organizational and communication skills
* Strong time management skills, and ability to effectively prioritize;
* Ability to quickly switch context
* Ability to work independently and seek innovative ways to creatively solve problems;
* Strategic thinker, constantly seeking to understand the driver for results;
* Fast learner with curiosity about the world
* Accountability with great work ethic;
* Embraces a challenge and asks why
* Team player;
* Ability to work in a fast\-paced company;
* English is mandatory
* ITIL processes knowledge preferred
* Experience in IT companies preferred
**The Longer Story**
 OutSystems enables enterprise teams to build AI\-powered applications and agents that reduce manual work, streamline internal operations, and accelerate impact. A proven low\-code foundation combined with agentic AI and AI app generation capabilities empowers teams to move up to 10x faster with the assurance of security, scalability, and governance built in.
 As the future becomes agentic, our customers need us now more than ever. AI has opened the door to extraordinary possibilities—but inside the enterprise, things are moving fast and feeling chaotic. Some early adopters are making progress in production, but for many, AI tools are sprawling without governance, data isn’t ready, and talent isn’t there yet. Enterprises are still drowning in application backlogs and struggling with legacy systems. But with the right platform, AI doesn’t have to add to the chaos. It can become the breakthrough that brings clarity—and drives real, enterprise\-wide impact. At OutSystems, we’ve built that platform, providing the tools necessary for enterprises to overcome these hurdles.
 We are looking for passionate, talented, and motivated people to join us in helping our customers build, deploy, and scale apps and agents—fast, helping them accelerate innovation while enabling secure, governed human\-AI collaboration.
 OutSystems is a truly global company, with more than 850,000 developer community members, 1,700 employees, more than 500 partners, and thousands of active customers in over 75 countries and across 21 industries. Founded in 2001, OutSystems has offices in the United States, United Kingdom, the Netherlands, Portugal, Germany, the UAE, Japan, Hong Kong, Malaysia, Australia, India, and Singapore, and of course has a thriving, worldwide community of remote employees.
 Amongst our customers are some of the world's most recognizable brands across diverse industries—brands like Toyota, Heineken, Bosch, KeyBank, and UCLA. These customers are the reason we have a 4\.6 star rating on G2\. Their success is ours, and their stories demonstrate tangible ROI and transformational impact. We are a 9x Gartner Magic Quadrant Leader for Low\-Code Application Platforms and a multi\-year leader in the Forrester Wave. We’re recognized not just as leaders but as visionaries with a strong ability to execute, now extending our leadership into the AI and agentic application development arena.
**Working at OutSystems**
 Our goal is to ensure that OutSystems is a place for bright, happy, and motivated people who share a common purpose and take pride in doing excellent work to pursue our vision of providing the AI\-powered low\-code development platform enterprise leaders trust to build, secure, and evolve their business applications, agents, and core systems. Our culture is focused on our core values of trust, customer success, innovation, and alignment. Our team members operate with transparency, integrity, and accountability, define success through the lens of the outcomes we deliver for our customers, push the boundaries with excellence, and work together toward our shared vision to deliver on what matters most.
**What do we have to offer you?**
* A company that is always growing, changing, and innovating. We challenge each other to innovate in our products, in our team, and how we use our own technology. And we give our teams space to be proactive and creative.
* Real career opportunities. We care about growth and development. Yes, vertical career progression is a possibility, but it's not the only one. From lateral moves and joining different teams to mastering specialized skills, we support your growth no matter what your goals are.
* Work colleagues that are as smart, hard\-working, and driven as you. We act as one global OutSystems team, taking ownership and working together toward a shared vision.
* Disrupting the status quo is in our DNA. In fact, it’s why our company exists.
* We ask “why” a lot. It helps us connect our individual work to the bigger picture and sometimes even uncover a better way.
 Are you ready for the next step in your career? Then we’d love to hear from you!
 OutSystems nurtures an inclusive culture of diversity, where everyone feels empowered to be their authentic self and perform at their best. A company that embraces the creativity and innovation that comes through diverse perspectives. We are committed to creating a team that reflects society through inclusive programs and initiatives and are proud to be an equal opportunity employer. All qualified applicants receive equal consideration regardless of race, place of origin, color, age, marital status, religion, sex, sexual orientation, gender expression or identity, protected veteran status, disability status or any other status protected by law.</t>
        </is>
      </c>
    </row>
    <row r="53">
      <c r="A53" t="inlineStr">
        <is>
          <t>li-4355570109</t>
        </is>
      </c>
      <c r="B53" t="inlineStr">
        <is>
          <t>Sr. Program Manager, Data for Good</t>
        </is>
      </c>
      <c r="C53" t="inlineStr">
        <is>
          <t>Databricks</t>
        </is>
      </c>
      <c r="D53" t="inlineStr">
        <is>
          <t>linkedin</t>
        </is>
      </c>
      <c r="E53" t="inlineStr"/>
      <c r="F53" t="inlineStr"/>
      <c r="G53" t="inlineStr">
        <is>
          <t>Seattle, WA</t>
        </is>
      </c>
      <c r="H53" t="inlineStr"/>
      <c r="I53" t="inlineStr">
        <is>
          <t>RDQ427R179
 Are you a mission\-driven leader with a passion for how data and AI can play a meaningful role in addressing global challenges? Do you enjoy shaping narratives, building programs, and translating complex work into stories that inspire action?
 As the Lead for Databricks for Good, you will own Databricks’ social impact initiative end to end. You will work closely with Databricks teams and with nonprofits, universities, and public\-interest organizations to design and scale programs that apply data and AI to real\-world challenges.
 You will set the vision for Databricks for Good and ensure it delivers real, lasting impact, while clearly articulating how that impact is created and why it matters.
**About Databricks For Good**
 At Databricks, we believe data and AI can be a force for positive change. Databricks for Good exists to ensure our platform empowers organizations working on humanity’s most pressing challenges, including responding to crises, advancing education, improving health outcomes, and accelerating climate action.
 This role is an opportunity to define and lead that mission and shape how Databricks shows up in the world through meaningful, real\-world impact.
**What You’ll Do**
 Your responsibilities will span program design and management, storytelling, and owning execution across Databricks and its partners.
* Build and lead Databricks for Good from the ground up, defining its mission, success metrics, execution strategy, and long\-term vision.
* Design and run high\-impact programs such as social impact partnerships, hackathons, student and university initiatives, and nonprofit enablement programs.
* Serve as a public\-facing representative for Databricks for Good by hosting events, delivering talks, moderating panels, and representing Databricks in global social impact forums.
* Own the partnership funnel for Databricks for Good technical engagements, with the goal of helping nonprofits apply Databricks to real\-world challenges.
* Create compelling content \- case studies, talks, blogs, and learning resources \- that highlight how data and AI can be used for social good.
* Work cross\-functionally with Field Engineering, Developer Relations, Marketing, Legal, and Sales to ensure social impact initiatives are scalable, technically sound, and aligned with company priorities.
* Act as a trusted internal advisor on social impact use cases, helping teams understand the needs, constraints, and operating realities of mission\-driven organizations.
* Gather feedback from both internal and external collaborators to continuously improve programs and inform program direction.
**The impact you will have**
* Establish Databricks for Good as a credible, respected, and scalable social impact initiative throughout the tech industry.
* Enable nonprofits, universities, and public\-sector organizations to unlock insights and outcomes that are uniquely possible with data and AI.
* Build durable partnerships that align Databricks’ strengths with real\-world societal needs.
* Inspire employees, customers, and students to contribute their skills toward meaningful causes.
* Influence how Databricks technologies are used, taught, and evolved for public good.
* Help define what “data and AI for good” looks like at enterprise scale.
**What We Look For**
* 7\+ years of experience in social impact programs, developer relations, partnerships, technical program management, or a related field.
* Proven ability to build and scale programs from zero to one, with ownership over strategy, execution, and outcomes.
* Experience working with nonprofits, universities, NGOs, public\-sector institutions, or mission\-driven organizations.
* High\-level technical understanding of Databricks’ product\-market fit, enabling robust direction of partnerships and engagement selection.
* Exceptional communication and storytelling skills, with comfort presenting to both technical and non\-technical audiences.
* Demonstrated ability to convene communities and stakeholders across sectors and geographies.
* High empathy, strong judgment, and the ability to navigate ambiguity while driving clarity and momentum.
* A collaborative mindset and a track record of working cross\-functionally to turn ideas into execution.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Zone 2 Pay Range
 $109,400—$150,350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please visit https://www.mybenefitsnow.com/databricks.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is>
      </c>
    </row>
    <row r="54">
      <c r="A54" t="inlineStr">
        <is>
          <t>li-4321304533</t>
        </is>
      </c>
      <c r="B54" t="inlineStr">
        <is>
          <t>Principal Product Manager: AI Measurement, Adobe Mix Modeler</t>
        </is>
      </c>
      <c r="C54" t="inlineStr">
        <is>
          <t>Adobe</t>
        </is>
      </c>
      <c r="D54" t="inlineStr">
        <is>
          <t>linkedin</t>
        </is>
      </c>
      <c r="E54" t="inlineStr"/>
      <c r="F54" t="inlineStr"/>
      <c r="G54" t="inlineStr">
        <is>
          <t>San Francisco, CA</t>
        </is>
      </c>
      <c r="H54" t="inlineStr"/>
      <c r="I54"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Mix Modeler (AMM) is redefining how enterprises measure, plan, and optimize marketing investment by combining advanced modeling with business user focused experiences. The solution helps organizations move beyond fragmented attribution toward comprehensive, trustworthy insights that guide budget allocation, forecasting, and decision\-making across channels and marketing teams.
 As
 **Principal Product Manager, AI Measurement in Adobe Mix Modeler** 
 , own core areas of AMM’s roadmap inclusive of researching, incubating, and delivering AI\-powered capabilities that help marketers and analysts understand what’s working, predict outcomes, and confidently act on insights.
 Your areas of responsibility will be especially focused on AI based marketing measurement capabilities. Depending on a given project, you could also influence data ingestion/mapping, scenario planning, user experience and various internal and external integrations. You will be responsible for the end\-to\-end success of these features; from discovering customer problems, establishing business opportunity, collaborating x\-functionally to make your solutions come to life and finally ensuring customer and business success.
 This is a senior, hands\-on product role that blends execution excellence with strategic influence. You will also meet directly with customers in pre\- and post\-sale contexts and help Adobe scale and evolve Mix Modeler as a core part of the Adobe Analytics family of solutions.
 Your work will directly influence how some of the largest brands measure the performance of their campaigns and how they allocate billions in media spend to drive growth.
 It’s an exciting time to join the team. We are firmly in the incubation and growth stages of the product\-set. Our culture is to build value quickly, learn, iterate, and repeat. Come help drive this vision!
**What You’ll Do**
**Product Strategy \&amp; Execution**
 Own strategy, roadmap, and execution for one or more functional areas within Adobe Mix Modeler; starting with the AI Measurement capabilities as a focus area.
 Set near\- and mid\-term product vision within your domains, identifying high\-impact opportunities where AI can improve insight generation, usability, and decision support.
 Drive execution end to end by writing clear, detailed product requirement documents (PRDs/RPDs), user stories, and supporting documentation.
 Work closely with globally distributed engineering and data science teams to define scope, evaluate trade\-offs, review technical approaches, and ensure high\-quality delivery.
 Balance speed and rigor—shipping “good” solutions quickly, learning from customer feedback, and iterating rapidly is essential. Waiting to discover what perfection looks like before executing may happen from time to time but is far less common in this role.
 Define success metrics and evaluate post\-launch performance to guide iteration and investment.
**ML \&amp; AI Feature Development**
 Research, prototype, and incubate new ML/AI capabilities using a 0→1 mentality, starting with slim, focused customer value.
 Translate complex modeling approaches into usable product experiences tailored to analysts, data scientist and marketer personas.
 Partner with data science teams to shape novel modeling capabilities and build associated requirements, interpret outputs, and ensure transparency, explainability, and customer trust.
 Collaborate deeply with design partners to create intuitive workflows that make complex analytics understandable and actionable.
 Develop UX artifacts, mockups, and flows to clarify product intent and accelerate alignment with deep collaboration with the UX Design team.
**Customer \&amp; Market Engagement**
 Work closely with product marketing, sales, customer success, and enablement teams to support positioning, launches, adoption, marketing collateral and enablement sessions.
 Engage directly with prospective and existing customers to understand marketing measurement workflows, validate problems, and test early solutions and alter product roadmap as needed.
 Participate in pre\-sales conversations by articulating product capabilities, roadmap direction, and analytical concepts.
 Provide post\-sale consulting support to help customers successfully adopt new features and realize value.
 Travel periodically to support customer engagements, internal planning, and cross\-functional collaboration as needed.
**Team Leadership \&amp; Mentorship**
 Act as a senior individual contributor and role model for how to operate effectively in a fast paced, AI driven product environment.
 Raise the overall bar for product craft, requirement documentation quality, and collaboration within the team.
 Coach and mentor various consulting teams so that there is a broad understanding of AMM and related measurement methodologies ensuring a scaled approach to customer support.
**Required Experience**
**What You Need To Succeed**
* 8\+ years of product management experience building and delivering SaaS products.
* Strong background in marketing analytics, marketing measurement, media measurement, experimentation; ad tech experience is highly preferred.
* Hands\-on experience researching, launching, and iterating on ML\- or AI\-powered product features.
* Demonstrated ability to be a ‘player/coach’; balancing strategic ideation with execution\-heavy ownership, including writing detailed requirements, producing mock\-ups and driving delivery.
* Experience driving globally distributed cross functional teams including leading morning/night calls as needed.
* Proven success building 0→1 or incubated products with comfort operating in ambiguity with a strong bias toward action, learning, and iteration.
* Familiarity with Adobe Experience Cloud products or large\-scale enterprise SaaS environments a plus.
**Domain \&amp; Product Skills**
* Deep understanding of marketing measurement challenges and how insights are used by marketers, analysts, and executives.
* Expertise with two or more of the following modeling concepts: Media Mix Modeling, Multi\-Touch Attribution, Causal Inference, Incremental lift studies and experimentation
* Ability to translate complex data, models, and technical concepts into clear requirements and intuitive user experiences.
* Working knowledge of UX fundamentals, including the ability to create basic mockups, flows, or prototypes.
* Strong cross\-functional leadership skills, with experience partnering with engineer, marketing and pre/post\-sales teams.
 Our compensation reflects the cost of labor across several  U.S. geographic markets, and we pay differently based on those defined markets. The U.S. pay range for this position is $148,100 \-\- $282,100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$194,800 \- $282,100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55">
      <c r="A55" t="inlineStr">
        <is>
          <t>li-4373247401</t>
        </is>
      </c>
      <c r="B55" t="inlineStr">
        <is>
          <t>Principal Program Manager</t>
        </is>
      </c>
      <c r="C55" t="inlineStr">
        <is>
          <t>Onto Innovation</t>
        </is>
      </c>
      <c r="D55" t="inlineStr">
        <is>
          <t>linkedin</t>
        </is>
      </c>
      <c r="E55" t="inlineStr"/>
      <c r="F55" t="inlineStr"/>
      <c r="G55" t="inlineStr">
        <is>
          <t>Milpitas, CA</t>
        </is>
      </c>
      <c r="H55" t="inlineStr"/>
      <c r="I55" t="inlineStr">
        <is>
          <t>Onto Innovation is a leader in process control, combining global scale with an expanded portfolio of leading\-edge technologies that include: 3D metrology spanning the chip from nanometer\-scale transistors to micron\-level die\-interconnects; macro defect inspection of wafers and packages; metal interconnect composition; factory analytics; and lithography for advanced semiconductor packaging. Our breadth of offerings across the entire semiconductor value chain helps our customers solve their most difficult yield, device performance, quality, and reliability issues. Onto Innovation strives to optimize customers’ critical path of progress by making them smarter, faster and more efficient.
**Job Summary \&amp; Responsibilities**
* The Material Program Manager will serve as the single\-point operations leader for assigned Product Lifecycle (PLC) programs, with end\-to\-end accountability for material strategy, sourcing execution, and cost control from concept through commercialization. This role is central to our transformation of operations—driving scalability, supply assurance, and cost optimization in alignment with our Product Introduction (PI) roadmap. You will work cross\-functionally with engineering, sourcing, quality, and manufacturing teams, playing a highly influential role in ensuring sourcing decisions are sound from day one. Your strategic insight, assertive leadership, and ownership mindset will directly impact the cost structure, lead\-time, and overall success of our next\-generation products. This is not a coordination role—it is an ownership role. You are the operational face of the program. The success of sourcing, cost, and material readiness lies with you.
* Responsibilities
+ Act as the single owner of the material strategy and sourcing execution for assigned PLC programs.
+ Partner with engineering early in design to influence specifications, identify long\-lead and critical parts, and drive cost\-effective, scalable design decisions.
+ Forecast and communicate materials, engineering, and manufacturing needs to suppliers; lead early engagement to minimize risk and ensure readiness.
+ Lead the Materials Core Team, driving cross\-functional accountability through matrix leadership (buyers, planners, production control).
+ Develop, release, and continuously refine project\-level materials strategy with minimal supervision.
+ Drive source decisions and BOM cost ownership from initial concept through ramp; collaborate with Commodity Business Managers as needed.
+ Support supplier negotiations, perform make\-vs\-buy analysis, and guide selection using structured risk assessments and preferred supplier frameworks.
+ Monitor and manage supplier performance (delivery, quality, cost); lead escalation and resolution of quality and fulfillment issues.
+ Drive commercialization materials readiness, transition planning, and change control for new product launches.
+ Track and report on key KPIs (cost, schedule, risk), including total landed cost and supplier readiness metrics.
**Qualifications**
* Act as the single owner of the material strategy and sourcing execution for assigned PLC programs.
* Partner with engineering early in design to influence specifications, identify long\-lead and critical parts, and drive cost\-effective, scalable design decisions.
* Forecast and communicate materials, engineering, and manufacturing needs to suppliers; lead early engagement to minimize risk and ensure readiness.
* Lead the Materials Core Team, driving cross\-functional accountability through matrix leadership (buyers, planners, production control).
* Develop, release, and continuously refine project\-level materials strategy with minimal supervision.
* Drive source decisions and BOM cost ownership from initial concept through ramp; collaborate with Commodity Business Managers as needed.
* Support supplier negotiations, perform make\-vs\-buy analysis, and guide selection using structured risk assessments and preferred supplier frameworks.
* Monitor and manage supplier performance (delivery, quality, cost); lead escalation and resolution of quality and fulfillment issues.
* Drive commercialization materials readiness, transition planning, and change control for new product launches.
* Track and report on key KPIs (cost, schedule, risk), including total landed cost and supplier readiness metrics.
 Why Join Onto Innovation?
 At Onto Innovation, we believe your work should matter—and so should your well\-being. That’s why we offer competitive salaries and a comprehensive benefits package designed to support you and your family. From health, dental, and vision coverage to life and disability insurance, PTO, and a 401(k) with employer match, we’ve got you covered. You’ll also enjoy access to our Employee Stock Purchase Program (ESPP), wellness initiatives, and cutting\-edge tools—all within a collaborative, inclusive culture where your contributions are valued and recognized.
**Compensation \&amp; Growth**
* Base Salary Range:
 $160,000\.00 \- $240,000\.00, offered in good faith and based on experience, location, and qualifications.
* Additional Rewards: Annual bonus opportunities and potential long\-term incentives tied to both company and individual success.
**Empowering Every Voice To Shape The Future**
 Onto Innovation is committed to creating a workplace where every qualified candidate has an equal opportunity to succeed. We evaluate applicants based on skills, experience, and potential \- without regard to race, color, religion, gender, sexual orientation, national origin, age, disability, veteran status, or any other characteristic protected by law. We believe diversity of thought and background drives innovation and strengthens our team.
 Important Note on Export Compliance
 For certain positions requiring access to technical data, U.S. export licensing review may be necessary for applicants who are not U.S. Citizens, Permanent Residents, or other protected persons under 8 U.S.C. 1324b(a)(3\).</t>
        </is>
      </c>
    </row>
    <row r="56">
      <c r="A56" t="inlineStr">
        <is>
          <t>li-4343406529</t>
        </is>
      </c>
      <c r="B56" t="inlineStr">
        <is>
          <t>Global Flame Retardants Product Manager</t>
        </is>
      </c>
      <c r="C56" t="inlineStr">
        <is>
          <t>LANXESS</t>
        </is>
      </c>
      <c r="D56" t="inlineStr">
        <is>
          <t>linkedin</t>
        </is>
      </c>
      <c r="E56" t="inlineStr"/>
      <c r="F56" t="inlineStr"/>
      <c r="G56" t="inlineStr">
        <is>
          <t>Pittsburgh, PA</t>
        </is>
      </c>
      <c r="H56" t="inlineStr"/>
      <c r="I56" t="inlineStr">
        <is>
          <t>Requisition ID: 7615
 Location:
 Pittsburgh, PA, US, 15275\-1112
 Business Unit / Group Function: Polymer Additives
 Work Arrangement: Partially remote
 Level of Experience: Intermediate
**Job Highlights**
* Global Marketing Strategy: Develop and implement marketing strategies for the portfolio of plasticizers and specialty additives, ensuring strong product positioning, deep customer intimacy, and understanding of target markets and key success factors to drive market development.
* Pricing \&amp; Profitability: Apply and refine data\-driven pricing strategies to optimize and grow profitability, leveraging existing tools and ensuring targeted margin achievement across product lines.
* Portfolio \&amp; Market Analysis: Manage product portfolio strategy, conduct market analysis, and identify growth opportunities in collaboration with Sales and Application Technology, enabling innovation together with customers.
* Contract Management \&amp; Negotiations: Oversee contract creation, administration, and support Sales in customer negotiations to ensure effective and profitable agreements across product lines.
* Market Presence \&amp; Customer Engagement: Contribute to customer visits, promotional activities, trade shows, and industry associations; maintain strong relationships with key accounts and external and internal stakeholders.
* Forecasting \&amp; Planning: Prepare short\-, medium\-, and long\-term forecasts to ensure accurate business planning.
**Experience And Skills**
* Master in Business Administration or Chemistry preferred
* Minimum of 5 – 10 years of relevant experience in global organizations
* Proficiency in Microsoft Office tools, particularly Excel and PowerPoint
* Analytical thinking and acting with an entrepreneurial mindset
* Profound knowledge about financial KPI’s and adequate marketing and pricing strategies
* Excellent communication and presentation skills tailored to diverse stakeholder groups
* Ability to build strong relationships and negotiate effectively at all organizational levels
* Willingness to travel (20%)
 Location: Pittsburgh
 Employee Type: Regular
**Who We Are**
 LANXESS is a leading specialty chemicals company with about 12,000 employees in 32 countries. The core business of LANXESS is the development, manufacturing and marketing of chemical intermediates, additives and consumer protection products. LANXESS has achieved leading positions in the Dow Jones Best\-in\-Class Index and the MSCI ESG and ISS ESG ratings, among others, for its commitment to sustainability.
 Be part of it!
**What We Offer You**
* Compensation: We offer competitive compensation packages, inclusive of a global bonus program.
* Comprehensive Benefits: We provide a variety of benefits to support your financial security, health and wellbeing including retirement plans, health programs, life insurance and medical care.
* Work\-Life \&amp; Flexibility: We support you in maintaining a balance between working hours and personal life. With our global “Xwork” program, we offer flexible working arrangements in all countries in which we operate.
* Training \&amp; Development: We are committed to your professional and personal development and encourage you in the ongoing pursuit of education, training and knowledge through both formal and informal learning.
* Diversity: LANXESS is an Equal Opportunity Employer and all qualified applicants will receive consideration for employment without regard to race, color, ethnicity, gender, gender identity, sex, sexual orientation, age, social class, physical ability or attributes, religion, national origin, veteran status and political beliefs.
 LANXESS has a value\-based performance culture. We are seeking a range of human interests, backgrounds, and experiences that can be engaged to achieve respect, ownership, trust, professionalism, integrity and healing across all sectors.
 We are looking to find diverse and talented people to join our team. Studies have shown that some individuals are less likely to apply if they do not meet 100% of the criteria. We are looking to equalize the gap! If you are excited about this role but your past experiences do not align perfectly with every qualification, we encourage you to apply. We will look to assess your talent against our competencies, values and requirements to get the best organizational fit. You might be the right candidate for this or other roles we have available!
 Join the LANXESS team!</t>
        </is>
      </c>
    </row>
    <row r="57">
      <c r="A57" t="inlineStr">
        <is>
          <t>li-4363466348</t>
        </is>
      </c>
      <c r="B57" t="inlineStr">
        <is>
          <t>Staff Technical Program Manager - Vehicle Hardware Engineering</t>
        </is>
      </c>
      <c r="C57" t="inlineStr">
        <is>
          <t>Rivian</t>
        </is>
      </c>
      <c r="D57" t="inlineStr">
        <is>
          <t>linkedin</t>
        </is>
      </c>
      <c r="E57" t="inlineStr"/>
      <c r="F57" t="inlineStr"/>
      <c r="G57" t="inlineStr">
        <is>
          <t>Irvine, CA</t>
        </is>
      </c>
      <c r="H57" t="inlineStr"/>
      <c r="I57" t="inlineStr">
        <is>
          <t>**About Rivian**
 Rivian is on a mission to keep the world adventurous forever. This goes for the emissions\-free Electric Adventure Vehicles we build, and the curious, courageous souls we seek to attract.
 As a company, we constantly challenge what’s possible, never simply accepting what has always been done. We reframe old problems, seek new solutions and operate comfortably in areas that are unknown. Our backgrounds are diverse, but our team shares a love of the outdoors and a desire to protect it for future generations.
**Role Summary**
 As Vehicle Hardware Engineering (VHE) Sr. Technical Program Manager, you will have the responsibility of managing the development and delivery of VHE sub\-systems from concept to market execution within the program timeline and established cost, mass, investment and
 performance targets. A successful candidate exhibits a proactive, positive attitude towards difficult engineering challenges. In this role, you will collaborate with cross\-functional teams to align on overall program deliverables and report on status and risks to ensure visibility across
 teams.
**Responsibilities**
* Lead a matrix organization to ensure delivery of vehicle hardware engineering sub\-systems through the complete Rivian Development Process.
* Champion and drive cross\-functional issue resolution (RCs), change management (CRs/CAs), Deviations (DVI), and large program changes (PCCR).
* Drive the key external departments towards alignment on program execution direction (Purchasing, Manufacturing, Finance, Quality, Attributes, Studio, other PD functions).
* Manage key performance metrics including issues and change management, quality, validation, and sub\-system performance. Support sub\-system imperative balance. The TPM must ensure piece cost, tooling, ED\&amp;D, mass etc, are cascaded, communicated, reported, and achieved through the RDP.
* Verify all VHE components and systems meet the vehicle requirements and assist engineers with solving and managing cross\-functional issues.
* Own the creation of sub\-system development timing plans including supplier sourcing, surface release, engineering release, virtual validation loops, tooling timing, part maturation, and validation.
* Assist in the development and implementation of plans to ensure on\-time delivery of parts to Mule and pre\-production builds, establishing and implementing recovery plans as needed.
* Coordinate cross\-functional issue resolution on\-site at launch locations.
* Exhibit “Rivian Compass” in everything you do.
**Qualifications**
* Bachelor’s in engineering or equivalent technical degree.
* 5\+ years’ experience of Automotive product development, ideally experiencing at least 1 vehicle launch.
* Detailed knowledge of the automotive design and development process, system requirements, and general engineering best practices.
* The ability and eagerness to lead a multi disciplinary team through a fast paced, dynamic environment.
* Outstanding communication skills for both detailed technical discussions and high level executive audiences.
* A demonstrated ability to solve problems using a first\-principal approach
* Excellent commercial and financial awareness.
* Knowledge of materials, processes, \&amp; technologies used to deliver hardware engineering content .
* Knowledge in operating CAD systems, preference towards CATIA experience.
* Travel Requirements: As needed based on production support and priorities.
**Pay Disclosure**
 Salary Range Irvine\-Based Applicants: $154,000\-$192,500 (actual compensation will be determined based on experience, and other factors permitted by law).
 Benefits Summary: Rivian provides robust medical/Rx, dental and vision insurance packages for full\-time and part\-time employees, their spouse or domestic partner, and children up to age 26\. Full Time Employee coverage is effective on the first day of employment. Part\-Time employee coverage is effective the first of the month following 90 days of employment.
 International Relocation is not available for this role.
**Equal Opportunity**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Rivian’s service providers, including providers of background checks, staffing services, and cloud services.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t>
        </is>
      </c>
    </row>
    <row r="58">
      <c r="A58" t="inlineStr">
        <is>
          <t>li-4365535453</t>
        </is>
      </c>
      <c r="B58" t="inlineStr">
        <is>
          <t>Senior Associate, Product Manager - Data Publishing Modernization</t>
        </is>
      </c>
      <c r="C58" t="inlineStr">
        <is>
          <t>Capital One</t>
        </is>
      </c>
      <c r="D58" t="inlineStr">
        <is>
          <t>linkedin</t>
        </is>
      </c>
      <c r="E58" t="inlineStr"/>
      <c r="F58" t="inlineStr"/>
      <c r="G58" t="inlineStr">
        <is>
          <t>Wilmington, DE</t>
        </is>
      </c>
      <c r="H58" t="inlineStr"/>
      <c r="I58" t="inlineStr">
        <is>
          <t>****Product Management****
 At Capital One, we believe great products begin with a deep understanding of our customers. From our earliest days, we pioneered the use of predictive modeling to individually personalize credit card offers, turning the entire industry on its head. As we’ve grown bigger, we’ve found more and more ways to use technology and face\-to\-face conversations to understand the human problems associated with money and finances.
 In the Consumer Bank, we’ve combined this human\-centered approach with our heritage of data\-driven decision making to design, build and test our way to truly enabling financial experiences. Are you passionate about improving the way people interact with their money? Are you driven by the delight you bring to customers? Do you keep asking, “why,” until you hit the root? It’s common to fall in love with solutions, but have you ever fallen in love with the problem? If you’re nodding your head, then we want you!
**About The Role**
 As a Product Manager on the Bank Data Team, you’ll be joining a passionate team of product managers, engineers, data scientists, and analysts working to create the real time, intelligent, Bank of the future. To make this future a reality, you will be responsible for building and executing the strategy to modernize how we publish and consume data at Capital One. Creating this strategy will involve working across the Bank to understand where we are now and where we need to go. We have a long journey ahead and are excited to bring on inquisitive, strategic, thought leaders to make our data dreams a reality.
****On any given day in the Bank you’ll be:****
* Empowered. Part of a team responsible for defining the central data strategy for Retail Bank. Delivering data platforms that will drive how we embrace emerging technologies and power our business agenda by enabling real\-time, intelligent decisions and creating a competitive advantage for the Bank and Capital One
* Learning constantly. Work deeply with customers, associates, designers, technologists and data scientists to build cutting edge solutions
* Innovating relentlessly. Pushing big change by asking bold questions; starting small, testing, and learning your way to something dramatically better
* Sharing openly. Telling stories that change the way people think about building products and solving problems, and that illustrate the power of what software can do to make them even better
* Connecting creatively. Jumpstarting a self\-supporting community by sowing the right seeds, building the right tools, integrating the right off\-the\-shelf products and just plain elbow grease
* Succeeding strategically. Solving the right problem and holding on the wrong one.
****Here is what you will bring to the table:****
* Curious. You ask why, you explore, you're not afraid to blurt out your crazy idea, or follow an email chain for weeks to find someone with an answer.
* Do\-er. You have a bias toward action, you try things, and sometimes you fail. You dug up a hidden feature in an API that let you do something really cool or introduced a new routine that broke down silos that led to better decisions.
* Passionate. You care about growing others and bringing them together around what’s possible. You’ve started meetup groups or taught General Assembly courses because you love enabling others.
* Communicator. You can communicate complex ideas clearly, your team knows their priorities and why they’re doing what they’re doing. Maybe you’re an introvert, or maybe you’re an extrovert, but nobody accuses you of keeping them out of the loop.
* Wrangler. You’ve gotten back\-end engineers to play nice with iOS developers, you can inspire an ETL developer to write creatively about her latest pipeline.
* Fearless. Big, undefined problems don't frighten you. You can work at a tiny crack until you've broken open the whole nut. You are comfortable saying no.
****Here is what we will bring to the table:****
* Competitive salary and equity (including a robust 401(k) plan)
* Excellent medical and dental insurance (and other health benefits)
* Superstar product, design, data and engineering leaders \[Paypal, Google, Gilt, Yodle, AOL, Adaptive Path]
* Top class engineering teams that you will lead and build product alongside
* Continuous learning budget
* Highly supportive and “bought in” leadership environment
****Basic Qualifications:****
* At least 2 years of experience working with cross\-functional teams to deliver consumer experiences.
* At least 2 years of experience working on the core product platforms that power digital experiences
* At least 2 years of digital industry experience for consumers
* Bachelor’s Degree or military experience
****Preferred Qualifications:****
* At least 3 years of experience with web and client\-side mobile platforms
* At least 2 years of experience as a Product Owner in an Agile development process
* MBA
* Familiarity with databases, ETL processes, and other data infrastructure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$111,200 \- $126,900 for Sr. Associate, Product Management
 New York, NY: $121,300 \- $138,400 for Sr. Associate, Product Management
 Wilmington, DE: $101,100 \- $115,400 for Sr. Associate,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9">
      <c r="A59" t="inlineStr">
        <is>
          <t>li-4355700509</t>
        </is>
      </c>
      <c r="B59" t="inlineStr">
        <is>
          <t>Senior Product Owner - Project Accounting</t>
        </is>
      </c>
      <c r="C59" t="inlineStr">
        <is>
          <t>Eaton</t>
        </is>
      </c>
      <c r="D59" t="inlineStr">
        <is>
          <t>linkedin</t>
        </is>
      </c>
      <c r="E59" t="inlineStr"/>
      <c r="F59" t="inlineStr"/>
      <c r="G59" t="inlineStr">
        <is>
          <t>Menomonee Falls, WI</t>
        </is>
      </c>
      <c r="H59" t="inlineStr"/>
      <c r="I59" t="inlineStr">
        <is>
          <t>Eaton’s Corporate Sector division is currently seeking a Senior Product Owner \- Project Accounting.
 The expected annual salary range for this role is $130000 \- $190000 a year.
 Please note the salary information shown above is a general guideline only. Salaries are based upon candidate skills, experience, and qualifications, as well as market and business considerations.
**What You'll Do**
 Job Summary:
 The Accounting Senior Product Owner will set and communicate the product vision, develop and maintain the product roadmap, and define key operational processes like the product release schedule. The individual in this role will work closely with business partners and customers to define epics that align with key business objectives for the Scrum or Kanban team.
 This Senior Product Owner tracks and manages product funding and defines work priorities for individuals dedicated to the product team. They will balance new features against continuous improvement, system health, and support.
 The Senior Product Owner works directly with a team of analysts, engineers and other product team members to execute the product roadmap, guide the product development lifecycle, define user stories, and provide voice of the customer within product processes. This position is responsible for maximizing the value , prioritizing, and managing the product backlog.
 The Product Owner is responsbile for simple products with small levels of impact on Eaton Business Outcomes. Work on these products is foundational to the business.
 The Product Owner will set and communicate the product vision, develop and maintain the product roadmap, and define influence key operational processes like the product release schedule. The individual in this role will work closely with business partners and customers to define epics that align with key business objectives for the Scrum or Kanban team.
 The Product Owner tracks and manages product funding and defines work priorities for individuals dedicated to the product team. They will balance new features against continuous improvement, system health, and support.
 The Product Owner works directly with analysts, engineers and other product team members to execute the product roadmap, guide the product development lifecycle, define user stories, and provide voice of the customer within product processes."
**What You’ll Do**
 Job Responsibilities:
* Define and communicate the product vision, roadmap, and epics to meet customer and business needs
* Own the product backlog, managing and prioritizing user stories, decomposing epics into features, and continuous improvement work
* Plan, manage, and track product funding. Is fully responsible for product budget and profit plan
* Develops and maintains product\-specific persona and customer journeys
* Work closely with business stakeholders and customers, understanding their priorities and defining business outcomes and KPIs for the product in collaboration with those key stakeholders
* Communicate goals for product increments and releases. Define goals for team sprints.
* Support the onboarding of internal and external resources
* Accountable for product support, stability, and governance: including data, policy, cybersecurity, and usage
* Act as a functional expert in areas related to the product
* Define product processes (e.g., release schedule) and support process improvement activities across product processes (Lean, Agile, Scrum, DevSecOps, etc.)
* Understand the different types of projects and full end to end lifecycles to enable robust process definitions with other key capability owners.
* Understand commercial, business and go\-to\-market strategies where applicable.
* Support a Secure Product Development Lifecycle approach that establishes a strong cybersecurity focus and culture across the entire engineering lifecycle.
* Manage contracts with software and service vendors to support the product stratgegy
* Drive development of features that provide rigorous project financial tracking and cost control.
* Champion capabilities like project budgeting, cost forecasting, and profitability analysis to give stakeholders real\-time visibility into project spend vs. budget. Set product outcomes around improved cost transparency
* Embed robust financial controls and compliance checks into the product. Ensure all project accounting processes and data handling meet corporate and regulatory standards (e.g. SOX, revenue recognition policies, capital vs. expense treatment)
* Ensure the product supports complex project structures spanning multiple business units or legal entities"
**Qualifications**
**Basic Qualifications:**
* Bachelor's Degree from an accredited institution.
* Min 5\+ years specifically in highly complex Accounting projects and programs.
* Minimum of 7 years of experience as an analyst, project manager, engineer, business manager or program lead on moderate to highly complex Accounting projects and programs.
* 2\+ years of experience as a Product Owner or equivalent position within large global corporation.
* Eaton will not consider applicants for employment immigration sponsorship or support for this position. This means that Eaton will not support any CPT, OPT, or STEM OPT plans, F\-1 to H\-1B, H\-1B cap registration, O\-1, E\-3, TN status, I\-485 job portability, etc.”
* Must be able to work without sponsorship now or in the future.
* Must currently reside within 50 miles of posted locations(s). Relocation is not available for this role.
**Preferrred Qualifications**
* Preferred MS/ MBA with concentration in Finance or Accounting.
* Significant understanding of Corporate Accounting Principles
* The Product Owner should have expertise in SAP’s Project Systems module and Oracle’s Project Accounting module, including how they handle Work Breakdown Structures (WBS), project lifecycles, and financial postings.
* Understanding of integration points between the project accounting system and other enterprise tools
* Product Owner must also have expertise in financial compliance requirements and internal controls."
* Practical knowledge and experience with product management and modern product delivery processes
* Practical knowledge of and experience working with Agile, Scrum, and/or Kanban software delivery teams
* General understanding of DevSecOps principles
* General familiarity with modern software development principles including code management, test automation, APIs, microservices, and cloud services.
**Skills**
* Excellent communication skills, both written and verbal. This position will often work with other business analysts, project managers and business teams on a regular basis.
* Good team\-oriented interpersonal skills. Assists with facilitation sessions, may require some coaching on how to lead and influence others, and to effectively interface and work with a wide variety of people.
* Good team player, self\-motivated and committed with an ability to work under pressure and to tight deadlines.
 We are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
 Eaton believes in second chance employment. Qualified applicants with arrest or conviction history will be considered regardless of their arrest or conviction history, consistent with the Los Angeles County Fair Chance Ordinance, the California Fair Chance Act and other local laws.
 You do not need to disclose your conviction history or participate in a background check until a conditional job offer is made to you. After making a conditional offer and running a background check, if Eaton is concerned about conviction that is directly related to the job, you will be given the chance to explain the circumstances surrounding the conviction, provide mitigating evidence, or challenge the accuracy of the background report.
 To request a disability\-related reasonable accommodation to assist you in your job search, application, or interview process, please call us at 1\-800\-836\-6345 to discuss your specific need. Only accommodation requests will be accepted by this phone number.
 We know that good benefit programs are important to employees and their families. Eaton provides various Health and Welfare benefits as well as Retirement benefits, and several programs that provide for paid and unpaid time away from work. Click here for more detail: Eaton Benefits Overview. Please note that specific programs and options available to an employee may depend on eligibility factors such as geographic location, date of hire, and the applicability of collective bargaining agreements.</t>
        </is>
      </c>
    </row>
    <row r="60">
      <c r="A60" t="inlineStr">
        <is>
          <t>li-4343328958</t>
        </is>
      </c>
      <c r="B60" t="inlineStr">
        <is>
          <t>Lead Software Engineer Product Owner</t>
        </is>
      </c>
      <c r="C60" t="inlineStr">
        <is>
          <t>SAIC</t>
        </is>
      </c>
      <c r="D60" t="inlineStr">
        <is>
          <t>linkedin</t>
        </is>
      </c>
      <c r="E60" t="inlineStr"/>
      <c r="F60" t="inlineStr"/>
      <c r="G60" t="inlineStr">
        <is>
          <t>Broomfield, CO</t>
        </is>
      </c>
      <c r="H60" t="inlineStr"/>
      <c r="I60" t="inlineStr">
        <is>
          <t>Job ID 2512339
**Location** 
 BROOMFIELD, CO, US
**Date Posted** 
 2025\-12\-12
**Category** 
 Software
**Subcategory** 
 SW Engineer
**Schedule** 
 Full\-time
**Shift** 
 Day Job
**Travel** 
 Yes, 10 % of the Time
**Minimum Clearance Required TS/SCI**
**Clearance Level Must Be Able to Obtain** 
 None
**Potential for Remote Work** 
 Yes
**Description**
**Job Description** 
 We are seeking a highly skilled and motivated Software Product Owner/Lead Software Engineer to lead our software development initiatives and manage product lifecycles. The successful candidate will combine technical expertise with product management skills to deliver innovative software solutions that meet our business objectives and exceed customer expectations.
**Program Overview** 
 The Resilient Missile Warning and Missile Tracking (RMWT) Ground Management and Integration (GMI) program will support the management and integration of ground system capabilities for missile tracking satellites. This includes the development of a primary MEO Satellite Operations Center (MSOC) and Ground Entry Points (GEPs) to facilitate the operations of missile tracking satellites.
**Key Responsibilities**
* Act as the primary point of contact for product stakeholders, gathering and prioritizing requirements to ensure alignment with business goals.
* Develop and maintain a clear product vision and roadmap, translating strategic objectives into actionable tasks for the development team.
* Lead a team of software engineers, providing technical direction, mentorship, and support throughout the development lifecycle.
* Collaborate with other departments (e.g., marketing, sales, customer support) to ensure seamless integration of product features and alignment with broader business strategies.
* Oversee the design, implementation, and deployment of high\-quality software solutions, ensuring adherence to best practices and industry standards.
* Conduct regular backlog grooming sessions, sprint planning, and retrospectives to ensure continuous improvement and timely delivery of product features.
* Monitor and analyze key performance indicators (KPIs) to assess product performance and identify opportunities for enhancement.
* Engage with customers and end\-users to gather feedback and insights, incorporating their needs and preferences into the product development process.
* Stay updated on emerging technologies, market trends, and competitive landscape to inform product strategy and innovation.
* Ensure effective communication and collaboration within the development team, fostering a culture of transparency, accountability, and continuous learning.
**Qualifications**
* Active TS/SCI clearance.
* Bachelor’s degree in computer science, Software Engineering, or a related field. Advanced degree preferred.
* Minimum of 9 years of experience in software development, with at least 3 years in a product owner or lead engineering role.
* Proven experience managing software products through their entire lifecycle, from concept to launch and ongoing support.
* Strong technical background with proficiency in modern programming languages and frameworks (e.g., Java, Python, JavaScript, .NET).
* Excellent understanding of Agile methodologies and software development lifecycle (SDLC) best practices.
* Exceptional leadership, communication, and interpersonal skills.
* Ability to work collaboratively with cross\-functional teams and stakeholders at all levels of the organization.
* Strong analytical and problem\-solving abilities.
* Relevant certifications such as CSPO, CSM, or equivalent are highly desirable.
**Preferred Skills**
* Experience with cloud\-based platforms and services (e.g., AWS, Azure, Google Cloud).
* Familiarity with DevOps practices and tools (e.g., CI/CD, Jenkins, Docker).
* Knowledge of UI/UX design principles and practices.
* Experience in a customer\-facing role, with a strong focus on user experience and satisfaction.
 Target salary range $120,001 \- $160,000\. The estimate displayed represents the typical salary range for this position based on experience and other factors.</t>
        </is>
      </c>
    </row>
    <row r="61">
      <c r="A61" t="inlineStr">
        <is>
          <t>li-4326902986</t>
        </is>
      </c>
      <c r="B61" t="inlineStr">
        <is>
          <t>Senior Program Manager, Technical Sales Onboarding</t>
        </is>
      </c>
      <c r="C61" t="inlineStr">
        <is>
          <t>Pure Storage</t>
        </is>
      </c>
      <c r="D61" t="inlineStr">
        <is>
          <t>linkedin</t>
        </is>
      </c>
      <c r="E61" t="inlineStr"/>
      <c r="F61" t="inlineStr"/>
      <c r="G61" t="inlineStr">
        <is>
          <t>Chicago, IL</t>
        </is>
      </c>
      <c r="H61" t="inlineStr"/>
      <c r="I61" t="inlineStr">
        <is>
          <t>We’re in an unbelievably exciting area of tech and are fundamentally reshaping the data storage industry. Here, you lead with innovative thinking, grow along with us, and join the smartest team in the industry.
 This type of work—work that changes the world—is what the tech industry was founded on. So, if you're ready to seize the endless opportunities and leave your mark, come join us.
**THE ROLE**
 Everpure is on a transformation journey with ambitious growth goals, and our Technical Sellers play a key role in bringing our innovative platform and solutions to our customers. We are looking for a dynamic and accomplished Senior Program Manager to join our Global Enablement team to design, manage, and continuously evolve our world\-class Technical Sales Onboarding program. This individual will be responsible for working within Enablement and in partnership with Sales, Operations, Product, and Human Resources to ensure our new Systems Engineers, Specialists, and Architects achieve the technical depth and sales acumen necessary to be highly productive and successful.
 The ideal candidate is passionate about learning with a proven track record of managing strategic enablement programs, strong interpersonal and organizational skills, experience working with Sales and Technical Sales, and the ability to work collaboratively and cross\-functionally to deliver highly effective programs with measurable business impact.
**What You'll Do**
* Program Strategy \&amp; Ownership: Own the vision, strategy, design, and execution of the end\-to\-end Technical Sales Onboarding program, ensuring it effectively prepares Technical Sellers to perform in role.
* Stakeholder Management: Establish strong, collaborative relationships with Sales Leadership, Product, Sales Operations, Human Resources, and Enablement to ensure the program aligns with business priorities and performance expectations.
* Curriculum Development \&amp; Management: Oversee the development and delivery of the program curriculum, including self\-paced training, hands\-on workshops, technical training, and certification, working in collaboration with the curriculum development team.
* Program Enrollment \&amp; Communications: Manage program enrollment and orchestrate all program\-related communications to participants, managers, stakeholders, and key contributors, ensuring clear and timely messaging throughout the program.
* Measurement \&amp; Reporting: Define and measure program reach, effectiveness, and impact to key business metrics; analyze performance data and regularly report to stakeholders.
* Facilitation \&amp; Coaching: Facilitate live sessions and coach new hires through the onboarding experience.
* We are primarily an in\-office environment and therefore, you will be expected to work from the Santa Clara, Chicago or New York office in compliance with Everpure’s policies, unless you are on PTO, or work travel, or other approved leave.
**What You Bring**
* Strong understanding of technical sales roles and the journey from hire to field readiness.
* Experience measuring program effectiveness and business impact.
* Experience working with Instructional Designers and Sales Enablement systems.
* Strong team\-oriented leadership skills, with the ability to build rapport, collaborate, motivate, influence, and advise indirect staff.
* PMP certification is a plus.
*Salary ranges are determined based on role, level and location. For positions open to candidates in multiple geographical locations, the base salary range is reflective of the labor market across the applicable locations.*
*This role may be eligible for incentive pay and/or equity.*
*There is no application deadline and we accept applications on an ongoing basis until the job is filled.*
**The Annual Base Salary Range Is**
 $94,000—$202,000 USD
**What You Can Expect From Us**
* Innovation: We celebrate those who think critically, like a challenge, and aspire to be trailblazers.
* Growth: We give you the space and support to grow along with us and to contribute to something meaningful. We have been named Fortune's Best Workplaces in Technology™, Fortune's Best Workplaces in the Bay Area™, and certified as a Great Place to Work®!
* Team: We build each other up and set aside ego for the greater good.
 And because we understand the value of bringing your full and best self to work, we offer a variety of perks to manage a healthy balance, including flexible time off, wellness resources, and company\-sponsored team events. Check out purebenefits.com for more information.
**Accommodations And Accessibility**
 Candidates with disabilities may request accommodations for all aspects of our hiring process. For more on this, contact us at TA\-Ops@purestorage.com if you’re invited to an interview.
**Our Commitment To a Strong And Inclusive Team**
 We’re forging a future where everyone finds their rightful place and where every voice matters. Where uniqueness isn’t just accepted but embraced. That’s why we are committed to fostering the growth and development of every person, cultivating a sense of community through our Employee Resource Groups and advocating for inclusive leadership.
 Everpure is proud to be an equal opportunity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any other characteristic legally protected by the laws of the jurisdiction in which you are being considered for hire.
**Join us and bring your best.**
**Bring your bold.**
**Pure and simple.**</t>
        </is>
      </c>
    </row>
    <row r="62">
      <c r="A62" t="inlineStr">
        <is>
          <t>li-4338203922</t>
        </is>
      </c>
      <c r="B62" t="inlineStr">
        <is>
          <t>Program Manager</t>
        </is>
      </c>
      <c r="C62" t="inlineStr">
        <is>
          <t>Magna International</t>
        </is>
      </c>
      <c r="D62" t="inlineStr">
        <is>
          <t>linkedin</t>
        </is>
      </c>
      <c r="E62" t="inlineStr"/>
      <c r="F62" t="inlineStr"/>
      <c r="G62" t="inlineStr">
        <is>
          <t>Muncie, IN</t>
        </is>
      </c>
      <c r="H62" t="inlineStr"/>
      <c r="I62" t="inlineStr">
        <is>
          <t>**Job descriptions may display in multiple languages based on your language selection.**
**What We Offer**
 At Magna, you can expect an engaging and dynamic environment where you can help to develop industry\-leading automotive technologies. We invest in our employees, providing them with the support and resources they need to succeed. As a member of our global team, you can expect exciting, varied responsibilities as well as a wide range of development prospects. Because we believe that your career path should be as unique as you are.
**Group Summary**
 Transforming mobility. Making automotive technology that is smarter, cleaner, safer and lighter. That’s what we’re passionate about at Magna Powertrain, and we do it by creating world\-class powertrain systems. We are a premier supplier for the global automotive industry with full capabilities in design, development, testing and manufacturing of complex powertrain systems. Our name stands for quality, environmental consciousness, and safety. Innovation is what drives us and we drive innovation. Dream big and create the future of mobility at Magna Powertrain.
**Job Responsibilities**
**Minimum Qualifications**
* Must possess a combined 5 years of program management experience along with a verifiable record of results in both disciplines within the automotive industry.
* Bachelor’s degree Required or equivalent (6 additional years of related technical experience in addition to experience referenced above). Technical / Engineering Degree is highly preferred.
* Strong technical background that may include knowledge of powertrain systems \&amp; components (including 4WD/AWD, fluid pressure \&amp; controls, stampings \&amp; castings) and a good understanding of cross\-functional responsibilities.
* Must possess moderately advanced usage of Microsoft Office (Word, Excel, \&amp; PowerPoint); must be/become proficient in company \&amp; customer systems.
* Previous experience in a plant operations role or environment is preferred.
* Strong Financial acumen, considered an asset.
**Key Responsibilities**
* Primary point of communication interface to the customer for the respective program(s).
* Possesses the interpersonal skills to build relationships with key customer contacts responsible for the decision\-making process. Actively listens, probes, and identifies concerns. Understands customer's business and speaks their language. Develops credibility, loyalty, trust, and commitment.
* Responsible for leading the preparation and business case review of quotations for customers. Responsible for ensuring quotes target profitable and/or strategic business opportunities and performing contract reviews when awarded.
* Cohesively aligns with Global Product Managers, Product Engineering, and Sales by providing customer feedback on products and features as well as competitive information within their respective product group.
* Owns program management through complete product life cycle from concept, quoting, program award, product development, supplier selection, launch, post–production performance, \&amp; lessons learned utilizing the Magna Global Program Management System (GPMS):
* Preparation and communication of program status meetings to management steering committee and escalation of critical issues.
* Coordinating / monitoring project documentation, timelines, technical performance, budget, production, quality deliverables, and corrective action initiatives.
* Full program management ownership of program\-related functional activities: quoting, purchasing, product engineering, quality, manufacturing / launch management, \&amp; finance/budget.
* Manage Series Production Phase including claims management, change management \&amp; continuous improvement, VA/VE activities, and execution of ongoing price negotiations / adjustments.
* Supports and adheres to policies, procedures, and operational guidelines related to established quality management system (IATF 16949\).
* Maintains working knowledge of safety policies and regulations to ensure duties of self and others are performed in a safe manner.
* Additional duties and responsibilities as assigned.
* Must understand the financial aspects of the business
**Awareness, Unity, Empowerment**
 At Magna, we believe that a diverse workforce is critical to our success. That’s why we are proud to be an equal opportunity employer. We hire on the basis of experience and qualifications, and in consideration of job requirements, regardless of, in particular, color, ancestry, religion, gender, origin, sexual orientation, age, citizenship, marital status, disability or gender identity. Magna takes the privacy of your personal information seriously. We discourage you from sending applications via email or traditional mail to comply with GDPR requirements and your local Data Privacy Law.
**Worker Type**
 Regular / Permanent
**Group**
 Magna Powertrain</t>
        </is>
      </c>
    </row>
    <row r="63">
      <c r="A63" t="inlineStr">
        <is>
          <t>li-4343516642</t>
        </is>
      </c>
      <c r="B63" t="inlineStr">
        <is>
          <t>Senior Technical Program Manager, Device Software &amp; Services</t>
        </is>
      </c>
      <c r="C63" t="inlineStr">
        <is>
          <t>Amazon</t>
        </is>
      </c>
      <c r="D63" t="inlineStr">
        <is>
          <t>linkedin</t>
        </is>
      </c>
      <c r="E63" t="inlineStr"/>
      <c r="F63" t="inlineStr"/>
      <c r="G63" t="inlineStr">
        <is>
          <t>Bellevue, WA</t>
        </is>
      </c>
      <c r="H63" t="inlineStr"/>
      <c r="I63" t="inlineStr">
        <is>
          <t>**Description**
 Shape the future of Amazon's device development tools by driving technical program execution across our most complex, cross\-platform initiatives. As a Senior Technical Program Manager, you'll lead cross\-functional programs that enable large\-scale product management for millions of Amazon devices worldwide \- from Echo and Alexa to Fire TV, Kindle, and emerging connected devices. You'll also drive AI\-powered automation initiatives that enhance device development workflows and enable intelligent tooling for our engineering teams.
 You'll be the leader defining execution strategies and driving delivery across multiple service teams, working directly with senior leadership to set program vision and priorities. This role offers the opportunity to simplify complex technical work and deliver measurable impact while building trust through clear communication and demonstrated results.
* Lead program execution for horizontally\-scaled services supporting all Amazon device product lines
* Drive cross\-team alignment on technical standards and delivery milestones that impact millions of customers
* Partner with engineering teams to balance speed with scale, finding practical paths forward
* Build trust with diverse stakeholders by making program value visible and communicating progress clearly
* Influence technical priorities and organizational changes to enable innovative customer experiences
 Key job responsibilities
 This role combines strategic program management, technical leadership, and stakeholder collaboration to deliver large\-scale platform capabilities that serve multiple product lines.
 Program Strategy \&amp; Execution
* Lead complex cross\-functional technical programs from conception through delivery
* Define and drive program strategy, roadmaps, and success metrics
* Coordinate dependencies and unblock delivery across multiple engineering teams
* Identify and escalate risks effectively to drive timely resolution
 Technical Leadership
* Review and influence technical designs and architecture decisions
* Champion AI/ML integration opportunities to automate workflows and enhance developer productivity across the platform
* Drive adoption of technical standards across teams
* Define integration approaches that scale across multiple services
* Create technical implementation plans that balance speed and quality
 Stakeholder Management
* Build and maintain relationships with engineering teams and senior leadership
* Drive alignment and resolution of contentious technical issues
* Negotiate resources and priorities across organizational boundaries
* Provide timely and clear updates on program status and risks
 A day in the life
 As a Senior Technical Program Manager in Device Software and Services, you'll drive complex technical initiatives that enable efficient development and management of Amazon devices at scale. You'll find yourself whiteboarding with developers to map out technical solutions, reviewing PR/FAQs that shape quarterly priorities, and helping teams successfully launch new services. You'll explore opportunities to leverage AI and machine learning to automate repetitive tasks, improve developer workflows, and create intelligent features that make device development more efficient.
 Stakeholders \&amp; Customers: You'll partner with Engineering Managers, Product Leaders, and technical teams across Amazon's device organization. Your work streamlines processes for internal teams who build and manage devices, ultimately helping them deliver better experiences to millions of customers worldwide.
 Problems You'll Solve: You'll dive deep into architecture discussions with senior engineers, coordinate complex technical programs across teams, and find elegant solutions to challenging integration problems. Your impact comes from making complex systems work together seamlessly and helping diverse technical organizations deliver faster for our customers.
**About The Team**
 Amazon's device organization is at the forefront of innovation, developing products like Alexa, Echo, Fire TV, Kindle, Ring, and more that enrich the lives of millions of customers worldwide. We provide the essential tools and services that power the development of these devices, from concept to launch and beyond.
 Our team builds the unified development platform that brings together these diverse tools and services. We're reimagining how Amazon builds devices at scale by simplifying complex technical processes and creating standardized patterns that help teams work more efficiently to bring new products to life.
**Basic Qualifications**
* 7\+ years of working directly with engineering teams experience
* 5\+ years of technical product or program management experience
* 5\+ years of technical program management working directly with software engineering teams experience
* 3\+ years of software development experience
* Experience managing programs across cross functional teams, building processes and coordinating release schedules
**Preferred Qualifications**
* 5\+ years of project management disciplines including scope, schedule, budget, quality, along with risk and critical path management experience
* Experience defining KPI's/SLA's used to drive multi\-million dollar businesses and reporting to senior leadership
* Experience working with customers with a passion for delivering exceptional service, or experience in technical support and experience that includes strong analytical skills, attention to detail, and effective communication 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\- 148,700\.00 \- 201,200\.00 USD annually
 USA, WA, Seattle \- 148,700\.00 \- 201,200\.00 USD annually
**Company** 
 \- Amazon.com Services LLC
 Job ID: A3142152</t>
        </is>
      </c>
    </row>
    <row r="64">
      <c r="A64" t="inlineStr">
        <is>
          <t>li-4338411445</t>
        </is>
      </c>
      <c r="B64" t="inlineStr">
        <is>
          <t>Program Manager – Operations and Supply Chain</t>
        </is>
      </c>
      <c r="C64" t="inlineStr">
        <is>
          <t>Parker Hannifin</t>
        </is>
      </c>
      <c r="D64" t="inlineStr">
        <is>
          <t>linkedin</t>
        </is>
      </c>
      <c r="E64" t="inlineStr"/>
      <c r="F64" t="inlineStr"/>
      <c r="G64" t="inlineStr">
        <is>
          <t>Dayton, OH</t>
        </is>
      </c>
      <c r="H64" t="inlineStr"/>
      <c r="I64" t="inlineStr">
        <is>
          <t>**Position Summary**
**About Us:** 
 NVH is a best\-in\-class innovator in the aerospace and industrial markets, specializing in the custom design and manufacturing of advanced vibration, motion management and control feedback solutions. We are committed to delivering high\-quality products that enhance the performance and safety of various aerospace applications. Our team is dedicated to fostering a collaborative and dynamic work environment that encourages innovation and professional growth.
**Position Overview:** 
 We are seeking a proactive and results\-driven Program Manager of Operations and Supply Chain initiatives with a focus on resolving complex cross\-functional challenges. This role will be instrumental in driving past due backlog recovery, developing sustained recovery plans, supporting line of balance analysis, managing production ramp\-ups, supporting alternative sourcing, and addressing obsolescence issues. The ideal candidate will have a strong bias for action, excellent problem\-solving skills, and the ability to collaborate across multiple stakeholders including customers, operations, supply chain, quality, and engineering. Regular travel within the U.S. to customer sites, supplier locations, and production facilities will be required. This role will report to the Aerospace and Defense Business Unit Manager.
**Responsibilities**
**Key Responsibilities:**
**Key Projects You Will Lead As Needed**
* Backlog Recovery: Lead efforts to identify, analyze, and recover past due backlogs. Develop and execute recovery plans to meet customer delivery commitments.
* Obsolescence Management: Manage obsolescence risk projects, working with cross\-functional teams to develop mitigation and replacement strategies.
* Production Ramp\-Up: Manage and coordinate various production ramp\-up activities to meet increasing demand while maintaining quality and schedule. Support plant capital projects activities.
***Functions you support as needed – may turn into cross functional projects you may lead:***
* Line of Balance Analysis: Support line of balance and capacity analysis completed by the Demand Planning team to optimize production flow and identify bottlenecks.
* Alternative Sourcing: Collaborate with supply chain and engineering teams to identify and qualify alternative suppliers and materials to mitigate risks related to supply disruptions and obsolescence.
* Continuous Improvement: Support opportunities for process improvements across the product lifecycle to enhance efficiency, reduce costs, and improve customer satisfaction.
**Expectations For The Role**
* Cross\-Functional Collaboration: Act as the primary liaison between customers, operations, supply chain, quality, and engineering to ensure alignment and timely resolution of production and delivery issues.
* Travel: Willingness to travel domestically and occasionally internationally to visit customers, suppliers, and manufacturing sites as needed to support program objectives.
**Qualifications**
**Required Qualifications:**
* Bachelor’s degree in Business Administration, Engineering, Supply Chain, or related field.
* 5\+ years of combined experience in program management, preferably in managing initiatives within the serial production environment.
* Proven ability to manage complex programs with cross\-functional teams in a matrixed environment.
* Excellent communication, negotiation, and stakeholder management skills.
* Proficient in project management tools (e.g., MS Project, JIRA, Smartsheet)
* Knowledge of product lifecycle management (PLM) principles and best practices.
* Ability to prioritize and manage multiple projects simultaneously under tight deadlines.
**Preferred Qualifications**
* MBA or advanced degree preferred.
* Experience in manufacturing, aerospace, industrial products, or technology sectors is a plus.
* PMP Certification.
**Conditions of Employment**
*This position is subject to meeting U.S. export compliance and/or U.S. Government contracting citizenship eligibility requirements.*
**Parker Hannifin**
 Parker Hannifin is a Fortune 250 global leader in motion and control technologies. For more than a century, we’ve enabled engineering breakthroughs that make energy cleaner, transportation safer, medical treatments more effective, and manufacturing more efficient.
 With empowered team members in more than 40 countries, Parker serves customers across aerospace \&amp; defense, energy, HVAC \&amp; refrigeration, in\-plant \&amp; industrial equipment, off\-highway and transportation.
 Our scale is global, but our purpose is personal. We enable breakthroughs that improve lives, strengthen communities and create a brighter future.
 Our Purpose — Enabling Engineering Breakthroughs that Lead to a Better Tomorrow — comes to life through our people\-first culture where teamwork drives performance, inclusion fuels innovation and growth is encouraged. This environment fosters collaboration and empowers team members from engineering and manufacturing to finance, supply chain, human resources, information technology and beyond.
 By combining deep expertise with an entrepreneurial spirit, we help customers succeed in markets that demand performance, reliability, and sustainability.
 As we look to the future, Parker is advancing initiatives in energy efficiency and sustainability while developing the next generation of talent and leaders to engineer a better tomorrow.
**Equal Employment Opportunity**
 Parker is an Equal Opportunity and Affirmative Action Employer. Parker is committed to ensuring equal employment opportunities for all job applicants and employees. Employment decisions are based upon job related reasons regardless of race, ethnicity, color, religion, sex, sexual orientation, age, national origin, disability, gender identity, genetic information, veteran status, or any other status protected by law. However, U.S. Citizenship, Permanent Residency or other appropriate status is required for certain positions, in accord with U.S. import \&amp; export regulations.
 (“Minority / Female / Disability / Veteran / VEVRAA Federal Contractor”)
 If you would like more information about Equal Employment Opportunity as an applicant under the law, please go to Employees \&amp; Job Applicants \| U.S. Equal Employment Opportunity Commission
**Drug Tests**
**Drug\-Free Workplace**
 In accordance with Parker’s policies and applicable state laws, Parker provides for a drug\-free workplace. Therefore, all applicants seeking employment with Parker will be subject to drug testing as a condition of employment.</t>
        </is>
      </c>
    </row>
    <row r="65">
      <c r="A65" t="inlineStr">
        <is>
          <t>li-4363457436</t>
        </is>
      </c>
      <c r="B65" t="inlineStr">
        <is>
          <t>Senior Program Manager</t>
        </is>
      </c>
      <c r="C65" t="inlineStr">
        <is>
          <t>Merrick &amp; Company</t>
        </is>
      </c>
      <c r="D65" t="inlineStr">
        <is>
          <t>linkedin</t>
        </is>
      </c>
      <c r="E65" t="inlineStr"/>
      <c r="F65" t="inlineStr"/>
      <c r="G65" t="inlineStr">
        <is>
          <t>Aiken, SC</t>
        </is>
      </c>
      <c r="H65" t="inlineStr"/>
      <c r="I65" t="inlineStr">
        <is>
          <t>**Overview**
 Merrick \&amp; Company's Nuclear Services \&amp; Technology team provides full service nuclear design solutions to the federal government (DOE, NNSA and NIST), nuclear research, nuclear medicine, and the commercial nuclear power industries. Merrick is seeking a highly motivated, team\-oriented individual to serve as a Program Manager to support our operations in Aiken, SC, Los Alamos, NM, and Greenwood Village, CO.
 Merrick has some very exciting projects including design of specialty equipment for the National Nuclear Security Administration and Department of Energy. With our success in winning some large, complex, and exciting projects, we need a strong Program Manager accustomed to a regulated work environment with discipline, ingenuity, motivation and skills to lead a multi\-disciplined team of engineers and designers. Merrick is seeking candidates who have technical and project management experience with design and construction of nuclear/hazardous facility systems, structures and components with an emphasis on confinement of radioactive and other hazardous materials.
**Annual salary range for this position is $169,800 – $219,800\. Pay offered may vary depending on job related knowledge, skills, and experience.**
**What You'll Do**
 Manage and provide the A\-E services for maintaining and building the nuclear and non\-nuclear infrastructure (buildings, facilities, roads, water, wastewater, waste management, and utilities) that provides the foundation for the mission activities of SRS and LANL. The work scope is to manage and execute the engineering and design activities, meeting all applicable national standards, DOE, NNSA, local, and state, regulations for General Plant Projects (GPP) and Line Item (LI) construction projects under the management and control of SRS and LANL. The successful candidate will be responsible for managing and controlling this work scope to the satisfaction of the tier one Prime contractor under an expected cost\-plus type subcontract vehicle.
**Program \&amp; Project Oversight**
* Manage day\-to\-day program operations across all architectural and engineering disciplines.
* Develop and maintain program plans, schedules, and budgets.
* Coordinate activities among design, engineering, and construction/fabrication teams.
* Track, report, and communicate program progress.
* Serve as primary point of contact between clients, design teams, consultants, and permitting authorities.
* Support contract negotiations and consultant coordination.
* Implement and refine program management processes to improve efficiency.
**Required Qualifications**
* Twenty (20\) plus years’ experience working in the design and engineering of nuclear and non\-nuclear facilities and infrastructure systems for the US Department of Energy (including the National Nuclear Security Administration), or the US. Department of Defense (USACE or NAVFAC).
* Experience with supervising engineers and designers
* Experience with Microsoft Office and Scheduling Software (e.g. MS Office, Primavera)
* Strong leadership and interpersonal communication skills
* Degree Requirements: Bachelor of Sciences in Engineering from ABET Accredited Program.
* Client projects for this position require your ability to obtain and maintain a LANL uncleared badge.
* Client projects for this position require U.S. Citizenship.
**Desired Qualifications**
* Savannah River Site or LANL experience.
* Experience with NRC licensing requirement.
* Active Q\-Clearance or ability to obtain Q\-Clearance
* Certifications:
+ Professional licensure
+ PMI Certificate
**PERKS**
* Employee Owned \- all eligible U.S. employees have an Employee Stock Ownership Account.
* Robust Employee Referral Program.
* Annual performance and compensation reviews.
* Professional Training and Development.
* Employee Recognition Awards.
* Peer Mentor Program
* And Much More!
**Additional Information**
* Apply online only. No e\-mail, hard copy or third\-party resumes accepted.
* At Merrick, every resume is carefully reviewed by our team of experienced human recruiters—never by AI. We are committed to a fully human\-centered hiring process, ensuring each candidate receives thoughtful, personalized attention at every stage.
* Merrick \&amp; Company offers a competitive compensation and benefits package which includes health insurance, dental and vision coverage, 401(k), and paid time off (PTO).
* Merrick is an Equal Opportunity Employer, including disability/vets.
* Employment with Merrick is contingent upon completion of a pre\-employment background check, MVR check, and drug screen.</t>
        </is>
      </c>
    </row>
    <row r="66">
      <c r="A66" t="inlineStr">
        <is>
          <t>li-4329918194</t>
        </is>
      </c>
      <c r="B66" t="inlineStr">
        <is>
          <t>Program Manager</t>
        </is>
      </c>
      <c r="C66" t="inlineStr">
        <is>
          <t>Community Options, Inc.</t>
        </is>
      </c>
      <c r="D66" t="inlineStr">
        <is>
          <t>linkedin</t>
        </is>
      </c>
      <c r="E66" t="inlineStr"/>
      <c r="F66" t="inlineStr"/>
      <c r="G66" t="inlineStr">
        <is>
          <t>Moorestown, NJ</t>
        </is>
      </c>
      <c r="H66" t="inlineStr"/>
      <c r="I66" t="inlineStr">
        <is>
          <t>**Description**
**Community Options, Inc.** 
 is a national non\-profit agency providing services to individuals with disabilities in 12 states.
 We are actively seeking an experienced
 **Residential Program Manager** 
 in
 **Moorestown, NJ** 
**State.** 
 The Program Manager leads a team to provide person\-centered care tailored to meet the needs of individuals with intellectual and developmental disabilities. This person will support teams with day\-to\-day operations and challenges to achieve programmatic goals.
***Starting pay is $50,000/per year***
**Responsibilities**
* Manage staff schedules and ensure shifts are adequately staffed
* Manage team performance through effective communication, training, performance management, staff meetings, and employee recognition
* Develop and implement activity programs including the Meaningful Day curriculum
* Communicate with the families and guardians of individuals we support as needed
* Ensure individuals are supported per their ISP/PCP including medication management, meal planning, and behavior management
* Ensure program documentation and billable records are completed accurately and timely
* Monitor the health and medical needs of individuals and immediately report any concerns
* Manage relationships with the families and guardians of the individuals in our care
* Ensure work locations and vehicles are clean, well maintained, and stocked with necessary supplies including groceries, medications, and cleaning supplies
* Additional tasks and responsibilities may be assigned
* Employee must cooperate with the license and department staff in any inspection, inquiry, or investigation
**Minimum Requirements**
* Bachelor's degree preferred; High school diploma or equivalent required
* Two years’ full\-time work experience in supporting people with disabilities
* Valid driver’s license with a satisfactory driving record
* Knowledge of state regulatory agency operations and standards relevant to supporting individuals with intellectual or developmental disabilities
* Employment is contingent upon successful completion of checks of criminal background, central registry, child abuse registry, and drug testing
**Working Conditions**
* Work in residential programs, day programs, and in the community
* Schedule may change due to business needs and may include evening and weekend hours
* May be required to be on\-call in cooperation with other management staff
**Why Community Options?**
* Competitive Insurance Benefits (Medical, Dental, Vision)
* Paid Holidays—Including a Birthday Holiday
* Generous PTO
* Employee Incentive \&amp; Discount Programs
* 403b Retirement Plan
* Incredible career growth opportunities
* University partnerships that include tuition reduction
**Please Visit Our Website to Complete an Online Application!** 
 Careers.comop.org
*Community Options is an Equal Opportunity Employer M/F/D/V*</t>
        </is>
      </c>
    </row>
    <row r="67">
      <c r="A67" t="inlineStr">
        <is>
          <t>li-4361152550</t>
        </is>
      </c>
      <c r="B67" t="inlineStr">
        <is>
          <t>Principal Product Manager, Search Platform</t>
        </is>
      </c>
      <c r="C67" t="inlineStr">
        <is>
          <t>Moveworks</t>
        </is>
      </c>
      <c r="D67" t="inlineStr">
        <is>
          <t>linkedin</t>
        </is>
      </c>
      <c r="E67" t="inlineStr"/>
      <c r="F67" t="inlineStr"/>
      <c r="G67" t="inlineStr">
        <is>
          <t>Mountain View, CA</t>
        </is>
      </c>
      <c r="H67" t="inlineStr"/>
      <c r="I67" t="inlineStr">
        <is>
          <t>Location: In Office \- Mountain View, CA
 At Moveworks, we’re building the most advanced enterprise AI platform in the world — combining generative LLMs, agentic reasoning, enterprise search, and natural conversation into one cohesive product experience. As a Principal Product Manager, you’ll play a key role in shaping the future of our Enterprise Search product and search platform.
 This is a high\-impact role for a technical and strategic product manager who can partner cross\-functionally to build foundational capabilities that solve real business problems with AI.
**What You Will Do:**
* Lead the development of search platform and infrastructure that enables Moveworks Search to scale to billions of documents, while building advanced capabilities for evaluating product performance and search quality.
* Partner closely with other PMs, ML, engineering, and UX to identify critical platform needs to ship delightful and performant AI\-powered products.
* Translate ambiguous problems and user feedback into clear product specs and success metrics that guide engineering execution.
* Stay ahead of the curve on AI trends and research, turning cutting\-edge developments into strategic product bets and differentiated features.
* Develop scalable platform capabilities to power internal teams and customer\-facing applications alike.
* Build alignment across cross\-functional partners by clearly communicating product vision, roadmaps, and outcomes.
**What You Bring to the Table:**
* End\-to\-end product management experience (5\+ years) owning technically complex, high\-impact products — ideally with building platforms for machine learning or generative AI products. Bonus points for having launched features that delivered measurable impact by solving real user problems with AI.
* Deep familiarity with machine learning concepts and a track record of working closely with ML engineers, particularly in areas such as natural language understanding, semantic search, conversational AI, agentic workflows, and speech technologies.
* Understanding of real\-time ML performance requirements (e.g., latency, accuracy, relevance) and the ability to make informed tradeoffs to optimize for user experience and business goals.
* Strong technical acumen, including previous experience as a software or ML engineer, or a technical degree (B.S. or M.S. in CS or related field), enabling you to dive deep on system architecture, APIs, and infrastructure\-level decisions.
* Proven success shipping enterprise\-grade products to large user bases — including developing rollout strategies, customer feedback loops, and go\-to\-market coordination for features that scale to hundreds of thousands or millions of users.
* Exceptional written and verbal communication skills — from clear and structured PRDs to compelling product narratives. Bonus points for communicating vision and outcomes through blog posts, talks, or webinars.
* Sharp analytical and problem\-solving abilities, with a demonstrated ability to simplify complexity, make decisions amid ambiguity, and use available data to drive clarity and outcomes.
* Demonstrated strength in cross\-functional collaboration — aligning engineering, design, data science, marketing, and customer teams around a shared product vision.
* A balanced approach to strategy and execution: able to think long\-term while consistently delivering high\-impact work in the near term. You lead with both empathy and urgency.
* Startup DNA — you thrive in fast\-paced environments, are energized by ambiguity, and naturally bring structure, prioritization, and momentum to everything you touch.
* Our compensation package includes a market competitive salary, equity for all full time roles, exceptional benefits, and, for applicable roles, commissions or bonus plans.
 Ultimately, in determining pay, final offers may vary from the amount listed based on geography, the role’s scope and complexity, the candidate’s experience and expertise, and other factors.
 Moveworks Is An Equal Opportunity Employer
* Moveworks is proud to be an equal opportunity employer. We provide employment opportunities without regard to age, race, color, ancestry, national origin, religion, disability, sex, gender identity or expression, sexual orientation, veteran status, or any other characteristics protected by law.
**Who We Are**
 Moveworks is the Agentic AI Assistant platform that empowers the entire workforce.
 Our platform enables employees to converse with all of their business systems through natural language to quickly find answers and automate tasks. Powered by the world's most advanced LLMs, our proprietary models, and a sophisticated Agentic AI platform, we're transforming how work gets done by allowing AI to take initiative, streamline complex workflows, and continuously learn and adapt.
 Moveworks is trusted by over 5\.5 million employees at more than 350 of the world’s largest companies, including 10% of the Fortune 500, to automate everyday tasks and streamline business operations. Recognized on the Forbes Cloud 100 and AI 50 lists, Moveworks was also named one of Fast Company’s 2025 Most Innovative Companies and Inc’s Best in Business, in the Best in Innovation category. Moveworks was also recognized at Microsoft’s 2025 Partner of the Year and in 2024, received the AI Breakthrough Award.
 In December 2025, Moveworks was acquired by ServiceNow, marking a pivotal milestone in our journey to create a single front door to work for all business systems. By combining ServiceNow’s leading workflow automation with Moveworks’ Reasoning Engine and natural language capabilities, we deliver the AI platform for every person and every workflow. Built to go beyond basic summaries to deliver meaningful business impact. Together, our AI acts across enterprise systems to turn conversations into completed work.
 By joining our team, you’ll be at the forefront of the AI transformation, backed by the global scale of ServiceNow and the agility of a high\-growth company. We are looking for world\-class talent to help us extend agentic AI to every employee across every corner of the business.
 Come join us!
**ServiceNow**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t>
        </is>
      </c>
    </row>
    <row r="68">
      <c r="A68" t="inlineStr">
        <is>
          <t>li-4365664887</t>
        </is>
      </c>
      <c r="B68" t="inlineStr">
        <is>
          <t>Lead Technical Program Manager - Teller Space</t>
        </is>
      </c>
      <c r="C68" t="inlineStr">
        <is>
          <t>JPMorganChase</t>
        </is>
      </c>
      <c r="D68" t="inlineStr">
        <is>
          <t>linkedin</t>
        </is>
      </c>
      <c r="E68" t="inlineStr"/>
      <c r="F68" t="inlineStr"/>
      <c r="G68" t="inlineStr">
        <is>
          <t>Westerville, OH</t>
        </is>
      </c>
      <c r="H68" t="inlineStr"/>
      <c r="I68" t="inlineStr">
        <is>
          <t>**Job Description**
 Leverage your deep technical expertise and leadership to guide cutting\-edge projects, fostering growth and innovation in a dynamic environment.
 As a Lead Technical Program Manager in Consumer \&amp; Community Banking and Branch Operations, you will drive the successful delivery of complex technology projects and programs that will help reaching business goals across the firm. Leveraging your deep knowledge of technical principles, practices, and theories is essential for developing innovative solutions, while simultaneously effectively managing resources, budgets, and high\-performing teams. Your strong analytical reasoning and adaptability skills will enable you to navigate through ambiguity and change, ensuring that technology initiatives align with business goals. With advanced communication and stakeholder management abilities, you will foster productive working relationships and influence decision\-making to achieve mutually beneficial outcomes. As a subject matter expert, you will contribute to the development of operational plans and risk management strategies, ensuring the highest quality and professionalism in service delivery.
**Job Responsibilities**
* Develop and execute comprehensive project plans, translating business requirements into actionable technical tasks, and managing resource allocation and timelines to ensure on\-time delivery of technology solutions.
* Lead multiple projects within the Teller space, with the potential to expand to product\-level initiatives in the future.
* Identify and mitigate risks, proactively addressing potential roadblocks and implementing contingency plans to maintain project and program momentum; utilize risk management tools such as Clarity.
* Collaborate with cross\-functional teams—including engineering, product, business stakeholders, and external vendors—to define program scope, objectives, and deliverables, ensuring alignment with overall business goals.
* Facilitate and lead status calls, architecture, design, and testing meetings, ensuring all stakeholders are informed and engaged throughout the project lifecycle.
* Champion the adoption of agile methodologies and technical solutions, fostering a culture of continuous learning, innovation, and process improvement within the team.
* Utilize advanced analytical reasoning to assess program performance, identify areas for improvement, and implement data\-driven optimizations to enhance efficiency and effectiveness.
* Manage and coordinate workstreams, ensuring seamless integration and delivery across multiple scrum teams (currently working with three scrum teams of eight members each).
* Raise and escalate issues as needed, ensuring timely resolution and minimal impact to project delivery.
* Oversee the modernization of legacy systems and drive the implementation of new technologies and processes within the Teller domain.
* Develop and maintain comprehensive project documentation, including technical specifications, progress reports, and post\-implementation reviews.
**Required Qualifications, Capabilities, And Skills**
* 5\+ years of experience or equivalent expertise in technical program management, leading complex technology projects and programs in a large organization.
* Proven proficiency with project management tools such as MS Project, PowerPoint, JIRA, Excel, Confluence, and a background in application development.
* Advanced expertise in stakeholder management, with the ability to establish productive working relationships and influence decision\-making across cross\-functional teams and clients.
* Demonstrated experience in attending and contributing to architecture, design, and testing meetings, translating business requirements into technical deliverables.
* Advanced experience in utilizing technical fluency, including knowledge of vendor products and managing vendor relations, to enable on\-demand access to shared pools of applications and services.
* Proven track record of effectively managing resources, budgets, and high\-performing teams in a fast\-paced, agile environment.
* Demonstrated proficiency in applying analytical reasoning and problem\-solving techniques to break down business, technical, or operational objectives into manageable tasks and activities.
* Experience in leading workstreams, coordinating across multiple teams, and driving modernization initiatives.
* Ability to facilitate and lead status calls, ensuring clear communication and alignment among all project participants.
* Strong organizational skills, with the ability to manage multiple priorities and deliver results under tight deadlines.
* Excellent written and verbal communication skills, with the ability to produce clear and concise project documentation and reports.
**Preferred Qualifications, Capabilities, And Skills**
* Experience leading projects in the Teller or financial services space.
* Familiarity with risk management tools such as Clarity.
* Experience working with multiple scrum teams and coordinating agile delivery across large teams.
* Background in modernizing legacy systems and implementing new technology solutions.
* Strong understanding of business process transformation and change management.
* Experience in product\-level program management and scaling initiatives across multiple domains.
* Relevant certifications in project management (e.g., PMP, Scrum Master, Agile).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69">
      <c r="A69" t="inlineStr">
        <is>
          <t>li-4323545495</t>
        </is>
      </c>
      <c r="B69" t="inlineStr">
        <is>
          <t>Power System Automation Product Owner (Automation Team)</t>
        </is>
      </c>
      <c r="C69" t="inlineStr">
        <is>
          <t>Electric Power Engineers</t>
        </is>
      </c>
      <c r="D69" t="inlineStr">
        <is>
          <t>linkedin</t>
        </is>
      </c>
      <c r="E69" t="inlineStr"/>
      <c r="F69" t="inlineStr"/>
      <c r="G69" t="inlineStr">
        <is>
          <t>Austin, TX</t>
        </is>
      </c>
      <c r="H69" t="inlineStr"/>
      <c r="I69" t="inlineStr">
        <is>
          <t>**Overview**
**We are designing the grid of the future!**
 EPE seeks a Power System Automation Product Owner to drive automation and software development efforts. We are looking for an individual who drives on solving hard problems and enjoys working at the intersection of power system studies, product development and software development.
 This is not a traditional product owner role. The ideal candidate will serve as a bridge between our consulting teams and software group driving various software development and automation initiatives. You will combine technical understanding of power systems modelling and analysis or software development with product leadership to translate complex engineering workflows into practical and scalable software tools.
**Responsibilities**
**How you can make an impact :**
* Own the product vision and translate the product roadmap into well\-defined user stories and acceptance criteria for the development team.
* Collaborate with software developers, data engineers, and consulting teams to design, prioritize, and deliver product features that create measurable impact.
* When required, step in to support the development of automation scripts for various modules of the overall product and leverage your technical skills to assist the team in troubleshooting complex issues.
* Participate in Agile processes including sprint planning, reviews, and retrospectives, ensuring alignment between development outputs and engineering needs.
* Support product quality by defining acceptance criteria, participating in user acceptance testing (UAT), and validating the accuracy of technical data and calculations within the platform.
* Assist in creating product documentation, training materials, and conducting technical demonstrations for internal teams and external customers.
**Qualifications**
**Bring your passion, here's what’s needed:**
* Bachelor's Degree in Electrical Engineering (EE) or Computer Science (CS)
* 5\+ years of experience as a Power System Studies Engineer with a heavy focus on automating workflows, Software Developer or Technical Product Manager
* Experience in one or more of the following technical areas:
+ Inverter\-based resource modeling in PSSE and PSCAD
+ Steady\-state interconnection or transmission planning studies
+ Software Development
* Experience participating in sales enablement activities or delivering software demonstrations is a plus.
* Ability to clearly articulate technical product value to both technical and non\-technical audiences.
* Excellent ability to understand and translate complex technical concepts into clear, actionable requirements for development teams.
* Strong analytical, problem\-solving, and communication skills, with the ability to collaborate effectively across technical and non\-technical teams.
**Beneficial Experience**
* Proven experience working within an Agile/Scrum development framework, managing backlogs, and writing user stories.
* Experience with agile management tools (e.g., Jira).
**Lead the change!**
 Be a part of an innovative team shaping the grid of the future through advanced energy intelligence . For more than half a century, Electric Power Engineers (EPE) has partnered with power and energy clients across the globe, providing consulting expertise and energy intelligence software solutions for complex engineering and grid modeling challenges. As leaders in the renewables space, we are focused on building a modern, secure, and resilient grid. Join us in making an impact on the communities we serve and the environment in which we live. Together we can transform the future of energy.
**How We Support You**
* Comprehensive health and wellness benefits including medical, dental, and vision with 100% premium coverage for you
* Generous PTO and paid holidays
* MyShare Employee Ownership Program
* Work with industry leaders
* 401K, up to a 4% match (100% vested from day 1\)
* Flexible Work including hybrid and remote possibilities based on position.
**Location** 
 : This position is remote US.
**Travel** 
 : Occasional travel may be needed (10% or less) for team meetings, client interactions, or industry events.
 EPE is an equal opportunity/AA/Disability/Veteran employer. The EEO is the Law poster, and its supplement are available using the following links: EEOC is the Law Poster
**Third\-Party Recruiting Notification**
 EPE does not accept unsolicited resumes from
 **third\-party recruiters** 
 . Any unsolicited third\-party resumes forwarded by recruiters to EPE via our career page or to any of our managers or employees will be considered public information, may be treated as a direct application from the person identified in the resume, and will not be eligible for placement fee payment to the agency. EPE will not pay a fee to a third\-party recruiter or agency without a previously signed third\-party agreement and has not coordinated their recruiting activity with the appropriate member of the Talent Acquisition team.</t>
        </is>
      </c>
    </row>
    <row r="70">
      <c r="A70" t="inlineStr">
        <is>
          <t>li-4315965994</t>
        </is>
      </c>
      <c r="B70" t="inlineStr">
        <is>
          <t>Product Manager</t>
        </is>
      </c>
      <c r="C70" t="inlineStr">
        <is>
          <t>Stainless</t>
        </is>
      </c>
      <c r="D70" t="inlineStr">
        <is>
          <t>linkedin</t>
        </is>
      </c>
      <c r="E70">
        <f>HYPERLINK("https://www.linkedin.com/jobs/view/4315965994", "https://www.linkedin.com/jobs/view/4315965994")</f>
        <v/>
      </c>
      <c r="F70">
        <f>HYPERLINK("https://jobs.ashbyhq.com/stainlessapi/ce139a3d-fc08-4c00-8eb4-f9d22a033d19/application?utm_source=5BxzzeG4L1&amp;urlHash=3DEJ", "https://jobs.ashbyhq.com/stainlessapi/ce139a3d-fc08-4c00-8eb4-f9d22a033d19/application?utm_source=5BxzzeG4L1&amp;urlHash=3DEJ")</f>
        <v/>
      </c>
      <c r="G70" t="inlineStr">
        <is>
          <t>New York, NY</t>
        </is>
      </c>
      <c r="H70" t="inlineStr"/>
      <c r="I70" t="inlineStr">
        <is>
          <t>**About Stainless**
 Stainless is a fast\-growing tech startup building the future of APIs. Our customers include industry leaders like OpenAI, Anthropic, and Cloudflare.
 We have raised over $35 million from a16z, Sequoia, and founders/C\-levels from Stripe, Datadog, Segment, Linear, and more.
 We are headquartered in NYC, just west of SoHo, and are a team of \~60 strong expecting to double in the next \~9 to 12 months.
**About The Role**
 We're hiring our first Product Manager at Stainless.
 We’ve built a strong technical foundation and are seeing real traction with customers. Now we’re looking for someone to help scale the product thoughtfully. As the first PM, you’ll work directly with the founder and engineering team to shape what we build, how we build it, and when.
 We’re looking for someone who's very technical and loves digging into real customer needs and translating them into high\-leverage product decisions. You'll have a ton of ownership and impact from day one.
**What You’ll Do**
* Work closely with engineering to scope and ship features quickly and thoughtfully
* Talk regularly with users, understand their workflows, and turn insights into product improvements
* Define product requirements and drive clarity across teams
* Contribute to positioning, launches, and go\-to\-market alongside marketing and sales
**Who You Are**
* You have a software engineering background and a strong technical foundation — enough to deeply understand APIs, architecture, and developer workflows
* Clear, structured thinking and excellent communication skills
* You’ve started something before: a business, a club, a nonprofit, a student org; anything that shows you’re a builder at heart.
* Comfort with ambiguity and a desire to help build from the ground up
**Benefits**
* We offer competitive salary and generous equity grants.
* Great healthcare coverage options (e.g., fully covered platinum plans).
* Paid commuter benefits \&amp; similar.
* Paid team lunch/meals during workdays.
* Flexible PTO plus 3 weeks of company\-wide vacation a year (2 weeks in December, 1 week at the end of the summer).
* Flexible WFH and 1 month fully remote per year ("remote February").</t>
        </is>
      </c>
    </row>
    <row r="71">
      <c r="A71" t="inlineStr">
        <is>
          <t>li-4312911567</t>
        </is>
      </c>
      <c r="B71" t="inlineStr">
        <is>
          <t>Product Manager</t>
        </is>
      </c>
      <c r="C71" t="inlineStr">
        <is>
          <t>Brain Co.</t>
        </is>
      </c>
      <c r="D71" t="inlineStr">
        <is>
          <t>linkedin</t>
        </is>
      </c>
      <c r="E71">
        <f>HYPERLINK("https://www.linkedin.com/jobs/view/4312911567", "https://www.linkedin.com/jobs/view/4312911567")</f>
        <v/>
      </c>
      <c r="F71" t="inlineStr"/>
      <c r="G71" t="inlineStr"/>
      <c r="H71" t="inlineStr"/>
      <c r="I71" t="inlineStr">
        <is>
          <t>**About Brain Co.**
 Brain Co. is building the infrastructure that turns advanced AI research into real\-world impact. We work at the frontier of productionizing AI for complex, high\-stakes environments—particularly in government and regulated industries where manual workflows still dominate.
 Our mission is to make AI systems
 **reliable, scalable, and dependable** 
 in the real world. That means going beyond demos and models to build robust platforms that support complex workflows, human\-in\-the\-loop processes, and production\-grade reliability at scale.
**About The Role**
 We’re looking for a Product Manager to join our growing Product team and take full ownership of a well\-scoped product area from day one. You’ll translate business problems into PRDs, partner closely with engineering and design, and drive projects through build, launch, and iteration.
 This role is ideal for someone who thrives in fast\-paced, early\-stage environments, can bring structure to ambiguity, and enjoys turning complex ideas into clear, executable plans. Success in this role will open the path to broader product ownership and leadership scope over time.
 This role will be filled through a referral\-only network approach. We are not accepting inbound applications.
**In This Role, You Will**
* Own a defined product area end\-to\-end — from discovery and scoping through design, development, and delivery
* Write crisp PRDs and translate complex problems into actionable technical requirements
* Collaborate with engineering, design, and operations to ship high\-quality products quickly
* Manage execution timelines, milestones, and dependencies to ensure on\-time delivery
* Establish clarity and alignment across teams in a fast\-moving environment
* Measure impact, gather feedback, and drive iteration to ensure continuous improvement
* Help shape Brain Co.’s product development culture and best practices as the team scales
**You Might Thrive In This Role If You**
* Have product experience in tech\-forward companies within insurance, finance, or legal domains
* Bring early\-stage or startup experience, thriving in high\-ownership, low\-structure environments
* Have a track record of taking projects from concept or statement of work through launch
* Communicate clearly across technical and business audiences
* Are proactive, detail\-oriented, and comfortable managing multiple workstreams at once
* Enjoy building process lightly but effectively to help teams move faster
* Are motivated by seeing your work deployed and making real\-world impact
**Benefits**
* Competitive salary plus equity
* Daily lunches
* Commuter benefits
* 401(k)
* Medical, Dental, and Vision
* Unlimited PTO
**Why Join Us**
* Ship quickly, iterate constantly, and see your work deployed at global scale
* Collaborate with industry veterans from Tesla, DeepMind, Databricks, and more
* Accelerate your career with ownership based on impact, not tenure
* Earn competitive compensation \+ meaningful equity in a high\-growth company
* Thrive in a culture built on speed, curiosity, and impact</t>
        </is>
      </c>
    </row>
    <row r="72">
      <c r="A72" t="inlineStr">
        <is>
          <t>li-4308851890</t>
        </is>
      </c>
      <c r="B72" t="inlineStr">
        <is>
          <t>Product Manager - AI Agents</t>
        </is>
      </c>
      <c r="C72" t="inlineStr">
        <is>
          <t>Assembled</t>
        </is>
      </c>
      <c r="D72" t="inlineStr">
        <is>
          <t>linkedin</t>
        </is>
      </c>
      <c r="E72">
        <f>HYPERLINK("https://www.linkedin.com/jobs/view/4308851890", "https://www.linkedin.com/jobs/view/4308851890")</f>
        <v/>
      </c>
      <c r="F72">
        <f>HYPERLINK("https://jobs.ashbyhq.com/assembledhq/435ab351-1ec1-42bf-a6bc-882f3cde255c?utm_source=KPB0dJG4AX&amp;urlHash=QhX4", "https://jobs.ashbyhq.com/assembledhq/435ab351-1ec1-42bf-a6bc-882f3cde255c?utm_source=KPB0dJG4AX&amp;urlHash=QhX4")</f>
        <v/>
      </c>
      <c r="G72" t="inlineStr">
        <is>
          <t>New York, United States</t>
        </is>
      </c>
      <c r="H72" t="inlineStr"/>
      <c r="I72" t="inlineStr">
        <is>
          <t>**About Assembled**
 Great customer support requires human agents and AI in perfect balance, and Assembled is the only unified platform that orchestrates both at scale. Companies like Canva, Etsy, and Robinhood use Assembled to coordinate their entire support operation — in\-house agents, BPOs, and AI — in a single operating system. With AI Agents that resolve cases end\-to\-end, AI Copilot for agent assistance, and AI\-powered workforce management that optimizes both human and AI capacity, Assembled helps teams deliver faster, better service while making smarter decisions about how to staff and automate. Backed by $70M from NEA, Emergence Capital, and Stripe, we're building the platform that makes AI and human collaboration actually work.
**The Team**
 We are building products at Assembled that our customers absolutely love that are helping a ton of real people around the globe get better customer support. Our AI Agents are solving cases across channels. We are looking for another product manager to join our team and help us continue to delight and grow in this fast\- moving and highly competitive AI for Support space.
 Product Management at Assembled is responsible for articulating the most important problems to solve in a way that will delight customers and grow the business. To do this, you should expect to partner closely with support teams at the world's best brands (of all sizes) and regularly meet with prospects to paint the vision and learn about their problems and what resonates. PMs here also grease the works across the company to make everything go smoother, from understanding impact to enabling teams to evangelizing new ways to leverage AI to shouting out wins.
 In this role, you bring strategy to life and drive innovation at the intersection of what's possible with rapidly evolving models, rich data, strong user experience. And, you'll work with a small team of phenomenal PMs from diverse and impressive backgrounds who are all innovating in how to build products in the age of AI.
**Your Day To Day Will Include**
* Work with prospects and customers to deeply understand problems and needs. Conduct research and interviews, partner across functions, and analyze feedback and usage data.
* Collaborate with engineering and design teams to design and deliver impactful solutions. Provide clear requirements and direction, prioritize key features, and remove blockers. Our team is highly collaborative and individual engineers and designers wear a lot of hats. Expect and empower rigorous discussion and debate.
* Evangelize the product vision and roadmap to internal and external stakeholders. Share the "why" behind key decisions and rally teams around the product strategy.
* Foster a culture of experimentation and iteration. Design ways to test and validate new features or strategies, measuring impact \&amp; adoption and incorporating learnings.
* Drive product performance and key metrics. Report on insights to leadership and cross\-functional teams and craft strategies to drive adoption and value.
* Champion high product quality. We hold a high bar for usability, visual design, as well as relevance to complex user workflows.
* Foster a fast\-paced, growth\-mindset, empathetic culture. The needs of our customers are changing quickly as companies grow (or shrink) and navigate new ways of working. At the same time, our company has more than doubled the number of customers in the past year. The ability to thrive in ambiguity and change and help us proactively shape the function and culture is critical.
**Preferred Qualifications**
* Minimum of 3 years of product management experience in fast\-growing tech environments (Enterprise SaaS experience strongly preferred)
* Passion for AI and experience either as a deep personal user and/or in work
* Collaborative style, with a track record of building strong partnerships, trust, and respect across functions and making the people around you more effective
* You've led and shipped complex, impactful products that show you know how to handle tradeoffs and obstacles
* Strong written and verbal communication skills: this is a rigorous writing culture that welcomes discussion and feedback
* Customer orientation, with a passion for translating business problems into product solutions
* Analytical mindset and ability to meaningfully engage with data
* Technical fluency to drill into complex design and implementation challenges
 The estimated base salary range for this role is $180,000 \- $225,000 per year. The base pay offered may vary depending on location, job\-related knowledge, skills, and experience. Stock options are provided as part of the compensation package, in addition to a full range of medical, financial, and/or other benefits, dependent on the position offered.
*We know great candidates don’t always meet every requirement listed in a job description. If the role excites you and you believe you can make an impact at Assembled, we encourage you to apply. We value diverse perspectives and are committed to building an inclusive workplace where everyone feels like they belong and has the opportunity to do their best work. We look forward to hearing from you!*
**For United States Applicants**
*Assembled participates in E\-Verify and will provide the federal government with your Form I\-9 information to confirm that you are authorized to work in the United States.*
**For United Kingdom Applicants**
*Assembled is required to verify your right to work in the UK and will conduct a Right to Work check prior to employment in accordance with applicable law.*</t>
        </is>
      </c>
    </row>
    <row r="73">
      <c r="A73" t="inlineStr">
        <is>
          <t>li-4363435892</t>
        </is>
      </c>
      <c r="B73" t="inlineStr">
        <is>
          <t>Associate Product Manager</t>
        </is>
      </c>
      <c r="C73" t="inlineStr">
        <is>
          <t>PrePass</t>
        </is>
      </c>
      <c r="D73" t="inlineStr">
        <is>
          <t>linkedin</t>
        </is>
      </c>
      <c r="E73">
        <f>HYPERLINK("https://www.linkedin.com/jobs/view/4363435892", "https://www.linkedin.com/jobs/view/4363435892")</f>
        <v/>
      </c>
      <c r="F73" t="inlineStr"/>
      <c r="G73" t="inlineStr">
        <is>
          <t>Phoenix, AZ</t>
        </is>
      </c>
      <c r="H73" t="inlineStr"/>
      <c r="I73" t="inlineStr">
        <is>
          <t>**About PrePass**
 PrePass® is North America's most trusted weigh station bypass and toll management platform. We're transforming how the transportation industry operates—creating solutions that keep trucks moving safely, efficiently, and compliantly. This means making bold decisions and building scalable systems that support not only fleets but the broader economy. It all starts with enabling commercial vehicles to keep rolling through seamless toll management, weigh station bypass, and safety solutions. It's what we do best, and we do it to meet the demands of the road every day.
 That's why people join us: our solutions operate in real time on highways and interstates across the nation, helping fleets go farther, faster. This work is high\-impact and complex, requiring thoughtful leadership, strong execution, and a deep understanding of customer and business needs. We hire bold thinkers with a heart for impact, a passion for progress, and the optimism to shape the future of transportation.
**About The Role**
 We are seeking an Associate Product Manager to play a senior\-level Product Owner role leading development for our Web Platform in a fast\-paced, collaborative environment. This role carries significant ownership and influence, requiring strong product judgment, adaptability, and the ability to deliver high\-quality solutions aligned with business strategy and customer outcomes.
 You will work closely with Product Management, Engineering, Design, and cross\-functional stakeholders to translate product vision and strategic initiatives into well\-defined, high\-impact software solutions. The ideal candidate demonstrates maturity in decision\-making, a strong grasp of web\-based platforms, and the confidence to lead within Agile teams while balancing tactical execution with long\-term product goals. This is a hybrid position based out of our Downtown Phoenix corporate office.
**Essential Responsibilities**
**Product Ownership \&amp; Delivery**
* Own and drive the product backlog, ensuring alignment with product strategy, business objectives, and customer needs
* Make informed prioritization decisions within and across sprints to maximize customer and business value
* Ensure backlog items are clearly articulated, well\-refined, and appropriately estimated to support predictable delivery
* Lead sprint planning, backlog refinement, and discovery sessions, translating complex requirements into clear, actionable user stories
* Partner with Product Management to support roadmap execution and incremental delivery of strategic initiatives
**Collaboration \&amp; Stakeholder Engagement**
* Collaborate closely with engineering, design, QA, and business stakeholders to deliver high\-quality features on time
* Act as a trusted subject matter expert for the web platform, serving as a key point of contact for internal teams
* Proactively communicate priorities, trade\-offs, risks, and progress to stakeholders across the organization
* Support alignment across teams by balancing technical constraints, user experience, and business priorities
**Innovation \&amp; Continuous Improvement**
* Stay current on industry trends, web and API technologies, and Agile best practices to inform product decisions
* Identify opportunities to improve development processes, product scalability, and customer experience
* Contribute to a culture of continuous improvement through data\-informed decision\-making and iterative learning
**Requirements**
****Qualifications****
* Bachelor's degree or equivalent practical experience
* 5\+ years of experience as a Product Owner, Associate Product Manager, or in a similar product\-focused role
* Strong experience in business process analysis and translating requirements into technical solutions
* Solid understanding of web application and API\-based systems
* Proficiency with Agile/Scrum methodologies and backlog management tools (e.g., Jira, Azure DevOps)
* Excellent decision\-making, communication, and organizational skills
* Familiarity with user\-centered design principles and modern web usability standards
* Ability to influence cross\-functional teams and drive outcomes without direct authority
* Some travel may be required
**Desired Characteristics**
* Strategic, outcome\-oriented thinker with a proactive problem\-solving mindset
* Comfortable operating in ambiguity while maintaining clarity and forward momentum
* Strong collaborator with the ability to influence across technical and non\-technical teams
* High level of ownership, accountability, and follow\-through
* Passion for continuous improvement and delivering meaningful customer value
**Benefits**
****How We Will Take Care of You****
* Robust benefit package that includes medical, dental, and vision that start on date of hire.
* Paid Time Off, to include vacation, sick, holidays, and floating holidays.
* Paid parental leave.
* 401(k) plan with employer match.
* Company\-funded "lifestyle account" upon date of hire for you to apply toward your physical and mental well\-being (i.e., ski passes, retreats, gym memberships).
* Tuition Reimbursement Program.
* Voluntary benefits, to include, but not limited to Legal and Pet Discounts.
* Employee Assistance Program (available at no cost to you).
* Company\-sponsored and funded "Culture Team" that focuses on the Physical, Mental, and Professional well\-being of employees.
* Community Give\-Back initiatives.
* Culture that focuses on employee development initiatives.
* Company\-wide bonus and commission plans
**Join Us**
**At PrePass, our mission drives us.**
 We invest in relationships. We challenge ourselves to innovate and improve. We win together. Simply put, we live our Core Values.
**Ready to help move the transportation industry forward? Join us and let's drive progress—together.**</t>
        </is>
      </c>
    </row>
    <row r="74">
      <c r="A74" t="inlineStr">
        <is>
          <t>li-4381519546</t>
        </is>
      </c>
      <c r="B74" t="inlineStr">
        <is>
          <t>Product Manager</t>
        </is>
      </c>
      <c r="C74" t="inlineStr">
        <is>
          <t>Haystack</t>
        </is>
      </c>
      <c r="D74" t="inlineStr">
        <is>
          <t>linkedin</t>
        </is>
      </c>
      <c r="E74">
        <f>HYPERLINK("https://www.linkedin.com/jobs/view/4381519546", "https://www.linkedin.com/jobs/view/4381519546")</f>
        <v/>
      </c>
      <c r="F74">
        <f>HYPERLINK("https://us.haystackapp.io/roles/69a42de3908df05de9f6ece1?src=direct&amp;urlHash=mZl1", "https://us.haystackapp.io/roles/69a42de3908df05de9f6ece1?src=direct&amp;urlHash=mZl1")</f>
        <v/>
      </c>
      <c r="G74" t="inlineStr"/>
      <c r="H74" t="inlineStr"/>
      <c r="I74" t="inlineStr">
        <is>
          <t>**Product Manager \| NYC \| Hybrid \| $68,000 \- $179,000** 
 We're working with a global financial powerhouse that influences nearly 20% of the world's investable assets on this exciting opportunity. We are looking for a visionary leader to drive the "North Star" for enterprise\-level Entitlements and Authentication services within a cutting\-edge portal platform team.
 In this high\-impact role, you will bridge the gap between complex engineering and seamless client experiences. You will leverage advanced AI and API\-driven technologies to redefine identity management and access control for the future of global finance.
**The Role** 
 • Define and execute the product vision for authentication and identity management services across multiple global business lines.
 • Lead high\-performing agile pods, prioritizing complex backlogs for web, mobile, and API\-based product suites.
 • Drive product adoption by aligning releases with major platform milestones and tracking success through rigorous OKR frameworks.
 • Architect detailed technical requirements for design, development, and testing within a "Design First" development lifecycle.
 • Mentor and coach a cross\-functional team of Product Owners, fostering a culture of excellence in technical product management.
**What You'll Need** 
 • 5\+ years of experience in Technical Product Management within Financial Services, Fintech, or large\-scale Enterprise SaaS.
 • Hands\-on expertise with Authentication protocols, Entitlement engines, Identity Access Management (IAM), and API integrations.
 • Strong technical fluency in web/mobile app development cycles and data analytics tools.
 • Proven track record of leading product strategy and managing diverse stakeholders in a complex, regulated environment.
 • Bachelor’s degree in Computer Science, Finance, or Business; an MBA is highly desirable for this level of leadership.
**What's On Offer** 
 • Competitive base salary up to $179,000 with a performance\-driven bonus structure.
 • Comprehensive global wellbeing programs and high\-tier healthcare benefits.
 • Generous paid leave policies, including dedicated time for volunteer work.
 • The chance to work at a "World's Most Admired Company" using AI to transform the global financial system.
**Apply via Haystack today!**</t>
        </is>
      </c>
    </row>
    <row r="75">
      <c r="A75" t="inlineStr">
        <is>
          <t>li-4381515574</t>
        </is>
      </c>
      <c r="B75" t="inlineStr">
        <is>
          <t>Product Owner - Project Hire</t>
        </is>
      </c>
      <c r="C75" t="inlineStr">
        <is>
          <t>The Walt Disney Company</t>
        </is>
      </c>
      <c r="D75" t="inlineStr">
        <is>
          <t>linkedin</t>
        </is>
      </c>
      <c r="E75">
        <f>HYPERLINK("https://www.linkedin.com/jobs/view/4381515574", "https://www.linkedin.com/jobs/view/4381515574")</f>
        <v/>
      </c>
      <c r="F75" t="inlineStr"/>
      <c r="G75" t="inlineStr">
        <is>
          <t>Burbank, CA</t>
        </is>
      </c>
      <c r="H75" t="inlineStr"/>
      <c r="I75" t="inlineStr">
        <is>
          <t>**Department Description**
 At Disney, we’re storytellers. We make the impossible, possible. The Walt Disney Company is a world\-class entertainment and technological leader. Walt’s passion was to continuously envision new ways to move audiences around the world—a passion that remains our touchstone in an enterprise that stretches from theme parks, resorts and a cruise line to sports, news, movies and a variety of other businesses. Uniting each endeavor is a commitment to creating and delivering unforgettable experiences — and we’re constantly looking for ways to improve these exciting experiences.
 The Enterprise Technology mission is to deliver technology solutions that align to business strategies while enabling enterprise efficiency and promoting cross\-company collaborative innovation. Our group drives competitive advantage by improving our consumer experiences, enabling business growth, and advancing operational excellence.
**Team Description**
 This Product Owner role would be part of our Business Technology Platforms group, which is responsible for the products and platforms that support Disney’s corporate business functions, and our enterprise service management platforms (Appian, Salesforce, \&amp; ServiceNow). This role supports the development efforts of one or more agile teams, in partnership with the individual Product Owners supporting each agile team, to aid maintaining a prioritized focus to delivering commitments to our customers. We’re looking for an individual who is passionate about building outstanding products and is focused on continuously maintaining and enhancing existing products, all to improve Disney’s technical excellence.
* This is an estimated 30\-month project hire placement, with no guarantee of permanent placement.
**What You’ll Do**
* Identify key customers to build relationships with, in order to develop effective product feedback loops for integration to the agile delivery cycle
* Work with partners and team to develop strategy and roadmaps for implementation into Disney Technology business planning cycles and cross\-functional development management
* Define priorities of agile team, managing the team backlog, and prioritizing the user stories, defects, and enablers \- ensuring that these efforts align with the strategic priorities of product strategy and overall roadmap
* Ensure the development of well\-defined user stories and acceptance criteria based on established requirements
* Collaborate with technology and end\-user communities to understand business process and elicit, define, and ensure vital information is detailed for the agile team to deliver the intended business outcomes
* Partner with quality engineering to develop test strategy and write test cases across in alignment with the established standards and practice, execute tests and analyze their results, and resolve defects as needed
* Evaluate the delivered stories against the definition of done and the established acceptance criteria
* Collaborate with business partners on implementation including training, organizational change, and communications
* Partner with the Program Management Office on product/project budgets and forecasting processes
* Remediate difficult problems and sophisticated inquiries related to the development backlog and requirements to ensure successful agile team outcomes; on time, on budget and on function
* Act as a peer group leader to and help train staff on product delivery standards and processes
* Act as subject matter resources with internal customers and the assigned product areas
**Required Qualifications \&amp; Skills**
* 5\+ years of related experience in a Product Owner or related role – driving outcomes for both single products or complex features
* Validated experience working in, and leading within, an Agile environment – managing backlog, prioritizing user stories, and related efforts
* Strong technology background and applicable technical skills
* Ability to translate sophisticated ideas into understandable requirements, value statements, and business outcomes
* Strong communication, writing, and executive presentation skills
**Required Education**
* Bachelor’s degree in Computer Science, Information Systems, Software, Electrical or Electronics Engineering, or comparable field of study, and/or equivalent work experience
**Preferred Education/Certifications**
* Masters Degree in a related field
* Agile product owner certifications (ex. CSPO, SAFe PO/PM)
 \#DISNEYTECH
 The hiring range for this position in Burbank, CA is 117,500 \- $155,500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76">
      <c r="A76" t="inlineStr">
        <is>
          <t>li-4381509902</t>
        </is>
      </c>
      <c r="B76" t="inlineStr">
        <is>
          <t>Senior Product Manager</t>
        </is>
      </c>
      <c r="C76" t="inlineStr">
        <is>
          <t>Findhelp</t>
        </is>
      </c>
      <c r="D76" t="inlineStr">
        <is>
          <t>linkedin</t>
        </is>
      </c>
      <c r="E76">
        <f>HYPERLINK("https://www.linkedin.com/jobs/view/4381509902", "https://www.linkedin.com/jobs/view/4381509902")</f>
        <v/>
      </c>
      <c r="F76">
        <f>HYPERLINK("https://jobs.lever.co/findhelp/e9533cf4-f0d5-4430-a28a-abfadbc9ff26/apply?source=LinkedIn&amp;urlHash=gQ-F", "https://jobs.lever.co/findhelp/e9533cf4-f0d5-4430-a28a-abfadbc9ff26/apply?source=LinkedIn&amp;urlHash=gQ-F")</f>
        <v/>
      </c>
      <c r="G76" t="inlineStr">
        <is>
          <t>New York, NY</t>
        </is>
      </c>
      <c r="H76" t="inlineStr"/>
      <c r="I76" t="inlineStr">
        <is>
          <t>**We’re changing the way people connect to social care.**
 At Findhelp, we’ve built a comprehensive platform of products and services that make it easy for you to connect people to resources, follow them on their journey, and track your impact in a fast and reliable way. Our industry\-leading social care network includes more than half a million local, state, and national programs that serve every ZIP Code in the country, from rural areas to major metropolitan centers.
 Findhelp is headquartered in Austin, Texas and has been enabling healthcare, government, education, and other organizations to connect people with the social care resources that serve them, with privacy and security, since 2010\.
 As a mission driven organization, we are focused on creating a positive impact by connecting people in need to the programs that serve them with dignity and ease. Powered by our proprietary technology that enables people to find the resources available in their area, we have helped millions of Seekers find food, health, housing and employment programs.
**Job Overview:** 
 At Findhelp, we believe everyone deserves access to the help they need, with dignity and ease. As a Senior Product Manager on the Uno Health team, you will play a pivotal role in shaping and delivering the experience of eligibility, enrollment, and redetermination for millions of people across the U.S.
 This is a senior individual\-contributor role with broad ownership and high autonomy. You will own major product initiatives end\-to\-end — from framing the problem and defining strategy, through execution, launch, and iteration — in a complex, regulated environment. You will work closely with design, engineering, data, customer success, and leadership to translate business goals and constraints into clear product direction and shipped customer value.
 The ideal candidate is energized by ambiguity, detail\-oriented without losing sight of outcomes, deeply data\-driven, and motivated by building products that have real\-world impact. This role does not require direct management of people, but involves leading highly cross functional teams and efforts. It’s also about owning hard problems, and being a driver of a value\-packed roadmap.
**Responsibilities and Duties:**
* Own and deliver large, cross\-functional product initiatives that drive core business outcomes for Uno’s seeker\-facing and navigator\-facing digital products within the Findhelp ecosystem.
* Set clear product direction by translating business objectives, regulatory constraints, and user needs into well\-scoped initiatives, roadmaps, and execution plans.
* Lead product development from discovery through launch and iteration, ensuring high\-quality execution, clear sequencing, and thoughtful trade\-offs.
* Establish and model a high bar for product rigor, including problem framing, success metrics, experimentation, and post\-launch learning.
* Partner closely with Engineering and Design to run effective sprints, write clear requirements, and unblock teams in a resource\-constrained environment.
* Use data of all kinds deeply to inform prioritization, assess performance, diagnose issues, and guide iteration.
* Navigate and incorporate regulatory and operational complexity into product decisions without losing velocity or clarity and interface with knowledge and policy experts across the organization to obtain these inputs.
* Communicate concisely and clearly with executives and cross\-functional stakeholders, articulating the why, what, and how behind product decisions.
* Collaborate across R\&amp;D leaders to inform and evolve Uno’s broader product roadmap and strategy.
* Mentor and support more junior product team members through example, feedback, and shared standards of excellence.
**Qualifications:**
* 7\+ years of experience as a Product Manager, with demonstrated success as a Senior\-level individual contributor.
* Proven track record of owning and shipping products end\-to\-end, not just features, with clear business impact.
* Experience building products in highly regulated or complex domains (e.g., healthcare, fintech, insurance, gov\-tech).
* Strong product fundamentals, including discovery, strategy, roadmapping, execution, and lifecycle management.
* Deep comfort working with data: defining metrics, interpreting results, and using evidence to guide decisions.
* Exceptional communication skills — able to clearly articulate problems, decisions, trade\-offs, and outcomes to varied audiences.
* Demonstrated ability to operate effectively in ambiguous, resource\-constrained environments.
* Strong judgment, attention to detail, and ownership mindset.
* Ability to collaborate effectively across Engineering, Design, Operations, Data, and Leadership.
* And any of this nice to have experience:
* Experience with consumer\-facing or B2B2C digital products.
* Background in marketplaces, eligibility systems, workflows, or operationally complex products.
* Experience rebuilding or significantly evolving a product function or product area.
* Exposure to experimentation frameworks, A/B testing, or growth\-oriented product work.
* Familiarity with public benefits, healthcare systems, or social impact technology.
 $152,400 \- $190,500 a year
 The salary range provided reflects the national average for this job title and does not represent compensation specific to Findhelp. Actual compensation will vary based on experience, qualifications, and market factors relevant to the position.
**We value being together**
 We believe being together enables stronger relationships, collaboration, and culture.
**This position is in office and candidates must be located in Austin, Texas, Madison, Wisconsin, New York City, New York, or Denver, Colorado**
**Perks at Findhelp**
* 401k \&amp; equity grants
* Free food and onsite gym at our Austin HQ
* Paid parental leave
* Competitive PTO \&amp; 10 paid holidays
* Employee only paid Health, Dental, and Vision insurance
* Dog\-friendly office in Austin HQ
* 24/7 access to telemedicine and counseling
* Book Purchasing Program
**We’re building a diverse, inclusive team**
 You’re welcome here. We want everyone to be able to easily connect to the help they need, and we want our teams to reflect and represent our communities. It is our policy to recruit, hire, train, and promote individuals, as well as administer any and all Company policies, without regard to age, color, disability, ethnicity, family or marital status, gender identity or expression, language, national origin or ancestry, physical and mental ability, political affiliation, race, religion, creed, sexual orientation, socio\-economic status, veteran status, or any other protected class, in accordance with applicable laws. Accommodations are available for applicants with disabilities.
 Here are some of the ways we support our staff:
* Culture Committee
* Leadership Development Training
* Paid Volunteering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7">
      <c r="A77" t="inlineStr">
        <is>
          <t>li-4381529000</t>
        </is>
      </c>
      <c r="B77" t="inlineStr">
        <is>
          <t>Product Manager</t>
        </is>
      </c>
      <c r="C77" t="inlineStr">
        <is>
          <t>Haystack</t>
        </is>
      </c>
      <c r="D77" t="inlineStr">
        <is>
          <t>linkedin</t>
        </is>
      </c>
      <c r="E77">
        <f>HYPERLINK("https://www.linkedin.com/jobs/view/4381529000", "https://www.linkedin.com/jobs/view/4381529000")</f>
        <v/>
      </c>
      <c r="F77" t="inlineStr"/>
      <c r="G77" t="inlineStr"/>
      <c r="H77" t="inlineStr"/>
      <c r="I77" t="inlineStr">
        <is>
          <t>**Senior Technical Product Manager \| NYC \| Hybrid $102,000 \- $221,000** 
 We're working with a titan of global finance that influences nearly 20% of the world’s investible assets on this exciting opportunity. We are looking for a visionary leader to drive the technical product strategy for a mission\-critical portal platform, leveraging AI\-driven technologies and data analytics to redefine the future of financial services.
**The Role** 
 • Define the "North Star" product vision and long\-term strategy for common platform services, including reporting, access, and authentication modules.
 • Lead cross\-functional product development across multiple pods, guiding Product Owners in backlog prioritization and high\-stakes technical intake.
 • Drive the integration and deployment of cutting\-edge AI technologies, specifically focusing on AI\-driven chatbots and virtual assistants to transform user support.
 • Scale product adoption across the enterprise by aligning roadmap releases with OKRs and maintaining a "design\-first" sensibility for web and mobile applications.
 • Mentor and coach a high\-performing team of technical product managers, fostering a culture of innovation and agile best practices.
**What You'll Need** 
 • Minimum 8 years of high\-impact experience in Technical Product Management within Financial Services or the Fintech sector.
 • Proven expertise in digital product lifecycles, with deep technical knowledge of APIs, Data Analytics, and enterprise\-grade mobile/web applications.
 • Hands\-on experience implementing AI/ML technologies to enhance customer experiences and automate complex support workflows.
 • Strong academic background with a Bachelor’s degree in Computer Science, Finance, or Business; an MBA or relevant advanced degree is highly preferred.
 • Exceptional leadership skills with the ability to navigate a global financial system and influence senior stakeholders through data\-driven insights.
**What's On Offer** 
 • Competitive executive compensation package including a base salary up to $221,000 plus performance\-based bonuses.
 • Opportunity to work at a "World's Most Admired Company" and "America's Most Innovative Company" for 2025\.
 • Comprehensive global benefits, generous paid leave, and dedicated time for volunteer initiatives.
**Apply via Haystack today!**</t>
        </is>
      </c>
    </row>
    <row r="78">
      <c r="A78" t="inlineStr">
        <is>
          <t>li-4381526061</t>
        </is>
      </c>
      <c r="B78" t="inlineStr">
        <is>
          <t>Senior Product Manager</t>
        </is>
      </c>
      <c r="C78" t="inlineStr">
        <is>
          <t>Findhelp</t>
        </is>
      </c>
      <c r="D78" t="inlineStr">
        <is>
          <t>linkedin</t>
        </is>
      </c>
      <c r="E78">
        <f>HYPERLINK("https://www.linkedin.com/jobs/view/4381526061", "https://www.linkedin.com/jobs/view/4381526061")</f>
        <v/>
      </c>
      <c r="F78">
        <f>HYPERLINK("https://jobs.lever.co/findhelp/e9533cf4-f0d5-4430-a28a-abfadbc9ff26/apply?source=LinkedIn&amp;urlHash=gQ-F", "https://jobs.lever.co/findhelp/e9533cf4-f0d5-4430-a28a-abfadbc9ff26/apply?source=LinkedIn&amp;urlHash=gQ-F")</f>
        <v/>
      </c>
      <c r="G78" t="inlineStr">
        <is>
          <t>Denver, CO</t>
        </is>
      </c>
      <c r="H78" t="inlineStr"/>
      <c r="I78" t="inlineStr">
        <is>
          <t>**We’re changing the way people connect to social care.**
 At Findhelp, we’ve built a comprehensive platform of products and services that make it easy for you to connect people to resources, follow them on their journey, and track your impact in a fast and reliable way. Our industry\-leading social care network includes more than half a million local, state, and national programs that serve every ZIP Code in the country, from rural areas to major metropolitan centers.
 Findhelp is headquartered in Austin, Texas and has been enabling healthcare, government, education, and other organizations to connect people with the social care resources that serve them, with privacy and security, since 2010\.
 As a mission driven organization, we are focused on creating a positive impact by connecting people in need to the programs that serve them with dignity and ease. Powered by our proprietary technology that enables people to find the resources available in their area, we have helped millions of Seekers find food, health, housing and employment programs.
**Job Overview:** 
 At Findhelp, we believe everyone deserves access to the help they need, with dignity and ease. As a Senior Product Manager on the Uno Health team, you will play a pivotal role in shaping and delivering the experience of eligibility, enrollment, and redetermination for millions of people across the U.S.
 This is a senior individual\-contributor role with broad ownership and high autonomy. You will own major product initiatives end\-to\-end — from framing the problem and defining strategy, through execution, launch, and iteration — in a complex, regulated environment. You will work closely with design, engineering, data, customer success, and leadership to translate business goals and constraints into clear product direction and shipped customer value.
 The ideal candidate is energized by ambiguity, detail\-oriented without losing sight of outcomes, deeply data\-driven, and motivated by building products that have real\-world impact. This role does not require direct management of people, but involves leading highly cross functional teams and efforts. It’s also about owning hard problems, and being a driver of a value\-packed roadmap.
**Responsibilities and Duties:**
* Own and deliver large, cross\-functional product initiatives that drive core business outcomes for Uno’s seeker\-facing and navigator\-facing digital products within the Findhelp ecosystem.
* Set clear product direction by translating business objectives, regulatory constraints, and user needs into well\-scoped initiatives, roadmaps, and execution plans.
* Lead product development from discovery through launch and iteration, ensuring high\-quality execution, clear sequencing, and thoughtful trade\-offs.
* Establish and model a high bar for product rigor, including problem framing, success metrics, experimentation, and post\-launch learning.
* Partner closely with Engineering and Design to run effective sprints, write clear requirements, and unblock teams in a resource\-constrained environment.
* Use data of all kinds deeply to inform prioritization, assess performance, diagnose issues, and guide iteration.
* Navigate and incorporate regulatory and operational complexity into product decisions without losing velocity or clarity and interface with knowledge and policy experts across the organization to obtain these inputs.
* Communicate concisely and clearly with executives and cross\-functional stakeholders, articulating the why, what, and how behind product decisions.
* Collaborate across R\&amp;D leaders to inform and evolve Uno’s broader product roadmap and strategy.
* Mentor and support more junior product team members through example, feedback, and shared standards of excellence.
**Qualifications:**
* 7\+ years of experience as a Product Manager, with demonstrated success as a Senior\-level individual contributor.
* Proven track record of owning and shipping products end\-to\-end, not just features, with clear business impact.
* Experience building products in highly regulated or complex domains (e.g., healthcare, fintech, insurance, gov\-tech).
* Strong product fundamentals, including discovery, strategy, roadmapping, execution, and lifecycle management.
* Deep comfort working with data: defining metrics, interpreting results, and using evidence to guide decisions.
* Exceptional communication skills — able to clearly articulate problems, decisions, trade\-offs, and outcomes to varied audiences.
* Demonstrated ability to operate effectively in ambiguous, resource\-constrained environments.
* Strong judgment, attention to detail, and ownership mindset.
* Ability to collaborate effectively across Engineering, Design, Operations, Data, and Leadership.
* And any of this nice to have experience:
* Experience with consumer\-facing or B2B2C digital products.
* Background in marketplaces, eligibility systems, workflows, or operationally complex products.
* Experience rebuilding or significantly evolving a product function or product area.
* Exposure to experimentation frameworks, A/B testing, or growth\-oriented product work.
* Familiarity with public benefits, healthcare systems, or social impact technology.
 $152,400 \- $190,500 a year
 The salary range provided reflects the national average for this job title and does not represent compensation specific to Findhelp. Actual compensation will vary based on experience, qualifications, and market factors relevant to the position.
**We value being together**
 We believe being together enables stronger relationships, collaboration, and culture.
**This position is in office and candidates must be located in Austin, Texas, Madison, Wisconsin, New York City, New York, or Denver, Colorado**
**Perks at Findhelp**
* 401k \&amp; equity grants
* Free food and onsite gym at our Austin HQ
* Paid parental leave
* Competitive PTO \&amp; 10 paid holidays
* Employee only paid Health, Dental, and Vision insurance
* Dog\-friendly office in Austin HQ
* 24/7 access to telemedicine and counseling
* Book Purchasing Program
**We’re building a diverse, inclusive team**
 You’re welcome here. We want everyone to be able to easily connect to the help they need, and we want our teams to reflect and represent our communities. It is our policy to recruit, hire, train, and promote individuals, as well as administer any and all Company policies, without regard to age, color, disability, ethnicity, family or marital status, gender identity or expression, language, national origin or ancestry, physical and mental ability, political affiliation, race, religion, creed, sexual orientation, socio\-economic status, veteran status, or any other protected class, in accordance with applicable laws. Accommodations are available for applicants with disabilities.
 Here are some of the ways we support our staff:
* Culture Committee
* Leadership Development Training
* Paid Volunteering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9">
      <c r="A79" t="inlineStr">
        <is>
          <t>li-4349872548</t>
        </is>
      </c>
      <c r="B79" t="inlineStr">
        <is>
          <t>Principal Product Manager, Marketplace Optimization</t>
        </is>
      </c>
      <c r="C79" t="inlineStr">
        <is>
          <t>Upstart</t>
        </is>
      </c>
      <c r="D79" t="inlineStr">
        <is>
          <t>linkedin</t>
        </is>
      </c>
      <c r="E79">
        <f>HYPERLINK("https://www.linkedin.com/jobs/view/4349872548", "https://www.linkedin.com/jobs/view/4349872548")</f>
        <v/>
      </c>
      <c r="F79">
        <f>HYPERLINK("https://app.greenhouse.io/embed/job_app?token=7391982&amp;gh_src=8c01b2f01&amp;source=LinkedIn&amp;urlHash=Y5Ea", "https://app.greenhouse.io/embed/job_app?token=7391982&amp;gh_src=8c01b2f01&amp;source=LinkedIn&amp;urlHash=Y5Ea")</f>
        <v/>
      </c>
      <c r="G79" t="inlineStr"/>
      <c r="H79" t="inlineStr"/>
      <c r="I79" t="inlineStr">
        <is>
          <t>**About Upstart**
 At Upstart, we’re united by a mission that matters: to radically reduce the cost and complexity of borrowing for all Americans. Every day, we bring creativity, experimentation, and advanced AI to reshape access to credit, helping millions move forward financially with clarity and confidence.
 As the leading AI lending marketplace, we partner with banks and credit unions to expand access to affordable credit through technology that’s both radically intelligent and deeply human. Our platform runs over one million predictions per borrower using more than 1,800 signals, powering smarter, fairer decisions for millions of customers. But the numbers only hint at the impact. Every idea, every voice, and every contribution moves us closer to a world where credit never stands between people and their financial progress.
 We’re proudly digital\-first, giving most Upstarters the flexibility to do their best work from wherever they thrive, alongside teammates across 80\+ cities in the US and Canada. Digital\-first doesn’t mean distant. We’re intentional about in\-person connection through team onsites, planning sessions, and moments that spark creativity and trust. And whether you choose to work primarily from home or collaborate in\-person from one of our offices in Columbus, Austin, the Bay Area, or New York City (opening Summer 2026\), you’ll have the support to work in the way that works best for you.
 If you’re energized by tackling meaningful problems, excited to innovate with purpose, and motivated by work that truly matters, we’d love to hear from you.
**The Team:**
 Upstart’s Marketplace Optimization team builds and scales systems that clear Upstart’s marketplace by balancing tradeoffs for borrowers, lenders, investors, and Upstart. We enable borrowers to access credit, and our capital partners to deploy capital efficiently and with confidence
 **.**
 As the
 **Principal Product Manager, Marketplace Optimization** 
 at Upstart, you will partner with Machine Learning to optimize those systems, and work with our engineering and business teams to simplify and automate the operations of the system. You will design experiments to test your best ideas, and be responsible for defining and hitting goals for every side of Upstart’s marketplace.
**How You’ll Make An Impact**
* You’ll create the mechanisms that clear Upstart’s marketplace, improving rates for customers and returns for capital partners.
* Shape the algorithms that determine how participants are matched, and define the rules that support stable, trusted outcomes for all participants at scale.
* You’ll collaborate on the vision and strategy for Upstart’s marketplace with Machine learning, our business teams, and engineering. What should we focus on, why, and when?
* Ultimately customers tangibly save money and capital partners earn superior risk\-adjusted returns thanks to your work.
**Minimum Qualifications**
* 8\+ years experience in a marketplace product management role, with demonstrated success leading an engineering team to deliver critical initiatives in the domains of pricing, monetization, matching, routing, incentives.
* Ability to build relationships and effectively collaborate with all levels of the organization, from C\-level to individual contributors
* Ability to manage and influence through persuasion, negotiation, and consensus building.
**Preferred Qualifications**
* Academic degree in Economics, Econometrics, Statistics, Operations Research
* Hands\-on experience applying optimization and simulation to real business problems.
* Track record driving automation that reduces manual work in operational workflows.
* Background in marketplace pricing, matching, or capital/finance products — able to translate business constraints into system configs
* Strong experiment design\+analysis experience (A/B testing, offline simulations, and metrics\-driven decisions)
**Position location** 
 This role is available in the following locations: Remote
**Time zone requirements** 
 The team operates on the East/West coast time zones.
**Travel requirements** 
 As a digital first company, the majority of your work can be accomplished remotely. The majority of our employees can live and work anywhere in the U.S but are encouraged to to still spend high quality time in\-person collaborating via regular onsites. The in\-person sessions’ cadence varies depending on the team and role; most teams meet once or twice per quarter for 2\-4 consecutive days at a time.
 At Upstart, your base pay is one part of your total compensation package. The anticipated base salary for this position is expected to be within the below range. Your actual base pay will depend on your geographic location–with our “digital first” philosophy, Upstart uses compensation regions that vary depending on location. Individual pay is also determined by job\-related skills, experience, and relevant education or training. Your recruiter can share more about the specific salary range for your preferred location during the hiring process.
 In addition, Upstart provides employees with target bonuses, equity compensation, and generous benefits packages (including medical, dental, vision, and 401k).
 United States \| Remote \- Anticipated Base Salary Range
 $187,900—$260,000 USD
**What You'll Love**
 At Upstart, our benefits are designed to support your health, financial well\-being, family, and personal growth. Here’s what you can expect:
* Competitive compensation, including base pay, bonus opportunities, and annual equity grants that vest quarterly
* Generous 401(k) plan with Upstart matching $2 for every $1 contributed, up to $15,000 per year
* Employee Stock Purchase Plan (ESPP) with discounted stock purchase options for eligible employees
* Affordable medical, dental, and vision coverage, with multiple plan options \- Upstart covers 90% to 100% of the cost depending on the plans you choose
* Health Savings Account contributions from Upstart for eligible plans
* Income protection benefits, including company\-paid Basic Life, AD\&amp;D, and Short\- and Long\-Term Disability coverage, with options to purchase supplemental coverage
* Paid time off, sick and safe time, and company holidays
* Paid family and parental leave to support caregiving and major life moments
* Family\-centered benefits through Carrot and Cleo, supporting fertility, parenthood, and caregiving
* Employee Assistance Program (EAP) offering mental health support and life\-centered resources
* Financial wellness resources, including access to financial planning tools and a financial concierge service
* Annual wellness allowance to support your physical and emotional well\-being and personal development, based on what matters most to you
* Annual productivity allowance to invest in relevant tools and resources you need to do your best work, no matter where you work from
* Connection and community through team events and onsites, all\-company updates, and employee resource groups (ERGs)
* Onsite perks, including catered lunches and fully stocked micro\-kitchens when working from one of our four offices, located in the Bay Area, Austin, Columbus, and New York City (opening Summer 2026!).
 Upstart is a proud Equal Opportunity Employer. Just as we are dedicated to improving access to affordable credit for all, we are committed to inclusive and fair hiring practices.
*If you require reasonable accommodation in completing an application, interviewing, completing any pre\-employment testing, or otherwise participating in the employee selection process, please email* 
*candidate\_accommodations@upstart.com*
 https://www.upstart.com/candidate\_privacy\_policy</t>
        </is>
      </c>
    </row>
    <row r="80">
      <c r="A80" t="inlineStr">
        <is>
          <t>li-4381508912</t>
        </is>
      </c>
      <c r="B80" t="inlineStr">
        <is>
          <t>Senior Product Manager</t>
        </is>
      </c>
      <c r="C80" t="inlineStr">
        <is>
          <t>Findhelp</t>
        </is>
      </c>
      <c r="D80" t="inlineStr">
        <is>
          <t>linkedin</t>
        </is>
      </c>
      <c r="E80">
        <f>HYPERLINK("https://www.linkedin.com/jobs/view/4381508912", "https://www.linkedin.com/jobs/view/4381508912")</f>
        <v/>
      </c>
      <c r="F80" t="inlineStr"/>
      <c r="G80" t="inlineStr">
        <is>
          <t>Austin, TX</t>
        </is>
      </c>
      <c r="H80" t="inlineStr"/>
      <c r="I80" t="inlineStr">
        <is>
          <t>**We’re changing the way people connect to social care.**
 At Findhelp, we’ve built a comprehensive platform of products and services that make it easy for you to connect people to resources, follow them on their journey, and track your impact in a fast and reliable way. Our industry\-leading social care network includes more than half a million local, state, and national programs that serve every ZIP Code in the country, from rural areas to major metropolitan centers.
 Findhelp is headquartered in Austin, Texas and has been enabling healthcare, government, education, and other organizations to connect people with the social care resources that serve them, with privacy and security, since 2010\.
 As a mission driven organization, we are focused on creating a positive impact by connecting people in need to the programs that serve them with dignity and ease. Powered by our proprietary technology that enables people to find the resources available in their area, we have helped millions of Seekers find food, health, housing and employment programs.
**Job Overview:** 
 At Findhelp, we believe everyone deserves access to the help they need, with dignity and ease. As a Senior Product Manager on the Uno Health team, you will play a pivotal role in shaping and delivering the experience of eligibility, enrollment, and redetermination for millions of people across the U.S.
 This is a senior individual\-contributor role with broad ownership and high autonomy. You will own major product initiatives end\-to\-end — from framing the problem and defining strategy, through execution, launch, and iteration — in a complex, regulated environment. You will work closely with design, engineering, data, customer success, and leadership to translate business goals and constraints into clear product direction and shipped customer value.
 The ideal candidate is energized by ambiguity, detail\-oriented without losing sight of outcomes, deeply data\-driven, and motivated by building products that have real\-world impact. This role does not require direct management of people, but involves leading highly cross functional teams and efforts. It’s also about owning hard problems, and being a driver of a value\-packed roadmap.
**Responsibilities and Duties:**
* Own and deliver large, cross\-functional product initiatives that drive core business outcomes for Uno’s seeker\-facing and navigator\-facing digital products within the Findhelp ecosystem.
* Set clear product direction by translating business objectives, regulatory constraints, and user needs into well\-scoped initiatives, roadmaps, and execution plans.
* Lead product development from discovery through launch and iteration, ensuring high\-quality execution, clear sequencing, and thoughtful trade\-offs.
* Establish and model a high bar for product rigor, including problem framing, success metrics, experimentation, and post\-launch learning.
* Partner closely with Engineering and Design to run effective sprints, write clear requirements, and unblock teams in a resource\-constrained environment.
* Use data of all kinds deeply to inform prioritization, assess performance, diagnose issues, and guide iteration.
* Navigate and incorporate regulatory and operational complexity into product decisions without losing velocity or clarity and interface with knowledge and policy experts across the organization to obtain these inputs.
* Communicate concisely and clearly with executives and cross\-functional stakeholders, articulating the why, what, and how behind product decisions.
* Collaborate across R\&amp;D leaders to inform and evolve Uno’s broader product roadmap and strategy.
* Mentor and support more junior product team members through example, feedback, and shared standards of excellence.
**Qualifications:**
* 7\+ years of experience as a Product Manager, with demonstrated success as a Senior\-level individual contributor.
* Proven track record of owning and shipping products end\-to\-end, not just features, with clear business impact.
* Experience building products in highly regulated or complex domains (e.g., healthcare, fintech, insurance, gov\-tech).
* Strong product fundamentals, including discovery, strategy, roadmapping, execution, and lifecycle management.
* Deep comfort working with data: defining metrics, interpreting results, and using evidence to guide decisions.
* Exceptional communication skills — able to clearly articulate problems, decisions, trade\-offs, and outcomes to varied audiences.
* Demonstrated ability to operate effectively in ambiguous, resource\-constrained environments.
* Strong judgment, attention to detail, and ownership mindset.
* Ability to collaborate effectively across Engineering, Design, Operations, Data, and Leadership.
* And any of this nice to have experience:
* Experience with consumer\-facing or B2B2C digital products.
* Background in marketplaces, eligibility systems, workflows, or operationally complex products.
* Experience rebuilding or significantly evolving a product function or product area.
* Exposure to experimentation frameworks, A/B testing, or growth\-oriented product work.
* Familiarity with public benefits, healthcare systems, or social impact technology.
 $152,400 \- $190,500 a year
 The salary range provided reflects the national average for this job title and does not represent compensation specific to Findhelp. Actual compensation will vary based on experience, qualifications, and market factors relevant to the position.
**We value being together**
 We believe being together enables stronger relationships, collaboration, and culture.
**This position is in office and candidates must be located in Austin, Texas, Madison, Wisconsin, New York City, New York, or Denver, Colorado**
**Perks at Findhelp**
* 401k \&amp; equity grants
* Free food and onsite gym at our Austin HQ
* Paid parental leave
* Competitive PTO \&amp; 10 paid holidays
* Employee only paid Health, Dental, and Vision insurance
* Dog\-friendly office in Austin HQ
* 24/7 access to telemedicine and counseling
* Book Purchasing Program
**We’re building a diverse, inclusive team**
 You’re welcome here. We want everyone to be able to easily connect to the help they need, and we want our teams to reflect and represent our communities. It is our policy to recruit, hire, train, and promote individuals, as well as administer any and all Company policies, without regard to age, color, disability, ethnicity, family or marital status, gender identity or expression, language, national origin or ancestry, physical and mental ability, political affiliation, race, religion, creed, sexual orientation, socio\-economic status, veteran status, or any other protected class, in accordance with applicable laws. Accommodations are available for applicants with disabilities.
 Here are some of the ways we support our staff:
* Culture Committee
* Leadership Development Training
* Paid Volunteering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81">
      <c r="A81" t="inlineStr">
        <is>
          <t>li-4342135291</t>
        </is>
      </c>
      <c r="B81" t="inlineStr">
        <is>
          <t>Senior Product Manager</t>
        </is>
      </c>
      <c r="C81" t="inlineStr">
        <is>
          <t>Ambient.ai</t>
        </is>
      </c>
      <c r="D81" t="inlineStr">
        <is>
          <t>linkedin</t>
        </is>
      </c>
      <c r="E81">
        <f>HYPERLINK("https://www.linkedin.com/jobs/view/4342135291", "https://www.linkedin.com/jobs/view/4342135291")</f>
        <v/>
      </c>
      <c r="F81">
        <f>HYPERLINK("https://jobs.ashbyhq.com/ambient.ai/6a15cf0a-6e35-452a-92ba-5e4072a2a6d5?ambient=Linkedinjobs&amp;urlHash=8YL9", "https://jobs.ashbyhq.com/ambient.ai/6a15cf0a-6e35-452a-92ba-5e4072a2a6d5?ambient=Linkedinjobs&amp;urlHash=8YL9")</f>
        <v/>
      </c>
      <c r="G81" t="inlineStr"/>
      <c r="H81" t="inlineStr"/>
      <c r="I81" t="inlineStr">
        <is>
          <t>**Build a safer world with us, one incident at a time.**
 Ambient.ai is the leading agentic physical security platform built to prevent incidents and modernize physical security operations. Our products help the world’s leading enterprises reduce risk, improve operational efficiency, and gain critical insights. Seven of the top 10 U.S. technology companies, along with multiple Fortune 500 organizations, rely on Ambient.ai to protect their people, places and assets.
 Our platform uses state\-of\-the\-art AI to seamlessly integrate with existing camera and sensor systems, enabling real\-time monitoring and proactive threat detection. By reducing false alarms by over 95%, Ambient.ai allows security teams to focus on real threats and prevent incidents before they occur.
 Founded in 2017 and backed by Andreessen Horowitz, Y Combinator, and Allegion Ventures, Ambient.ai is a Series B company on a mission to make every security incident preventable.
 We’ve found that in\-person time meaningfully supports collaboration, creativity, and team alignment. Our engineering, product, design, and marketing teams work from our Redwood City office three days a week. All other Bay Area employees join on Fridays to stay connected and close out the week together.
 Ready to learn more? Connect with us on
 **LinkedIn** 
 \|
 **YouTube**
**About The Role**
 Reporting to Ben Goeing as one of the first product managers at Ambient, you will oversee all phases of product feature development for a substantial surface area of the product. This includes end\-to\-end full responsibility of the roadmap, strategy, and execution for our large enterprise customers. In this role, you will work cross\-functionally across sales, marketing, engineering, and leadership to guide products from conception to launch by connecting the technical and business worlds. You will also engage extensively with external customers to better understand how we can improve current products while also bringing new features and value to support their needs.
 At Ambient, product managers have a direct impact on our growth and success in the market. We are creating a new category in the enterprise physical security market, and this role puts you right at the heart of an industry transformation.
**What You'll Do**
* Work with a cross\-functional team to manage and coordinate the product roadmap, strategy, and long\-term vision
* Drive new feature developments from start to finish
* Run user research, usability studies, and data\-driven experiments to inform product direction
* Establish, monitor, and measure success metrics after deployment
**What You'll Bring**
* 5\+ years experience in product management, with demonstrated experience in building and shipping products for enterprise customers
* B2B SaaS background, with experience working directly with enterprise customers
* Experience managing ambiguity, complexity, and interdependencies within a product development cycle
* Define and analyze metrics that inform the success of products
* Strong communication and project management skills with the ability to work with multiple stakeholders, manage stakeholder relationships, and prioritize stakeholder requests
* Proactive, resourceful, and able to excel in a fast\-paced environment
**Why Join Us**
* We are creating an entirely new category within a 180\+ billion\-dollar physical security industry and looking for team members who are also passionate about our mission to prevent every security incident possible
* We partner with an incredible customer roster of F500 companies, including Adobe, TikTok, Gap and SentinelOne
* Regular Full\-time employees receive stock options for the opportunity to share ownership in the success of our company
* Comprehensive health \+ welfare package (Medical, Dental, Vision, Life, EAP, Legal Services, 401k plan)
* We offer flexible time off to rest and recharge, including Winter Break (time off between Christmas and New Year’s for most roles depending on customer demand)
* The latest tech and awesome swag delivered to your door
* Enjoy a full range of opportunities to connect with your awesome co\-workers
* We love to hike, are foodies, and love music! Check out our most recent Ambient Spotify Playlist
 Ambient.ai is proud to be an Equal Opportunity Employer. Ambient does not unlawfully discriminate on the basis of race, color, religion, sex (including pregnancy, childbirth, breastfeeding, or related medical conditions), gender identity, gender expression, national origin, ancestry citizenship, age, physical or mental disability, legally protected medical condition, family care status, military or veteran status, marital status, registered domestic partner status, sexual orientation, genetic information, or any other basis protected by local, state, or federal laws. Ambient is an E\-Verify participant.</t>
        </is>
      </c>
    </row>
    <row r="82">
      <c r="A82" t="inlineStr">
        <is>
          <t>li-4381525106</t>
        </is>
      </c>
      <c r="B82" t="inlineStr">
        <is>
          <t>Product Manager</t>
        </is>
      </c>
      <c r="C82" t="inlineStr">
        <is>
          <t>Haystack</t>
        </is>
      </c>
      <c r="D82" t="inlineStr">
        <is>
          <t>linkedin</t>
        </is>
      </c>
      <c r="E82">
        <f>HYPERLINK("https://www.linkedin.com/jobs/view/4381525106", "https://www.linkedin.com/jobs/view/4381525106")</f>
        <v/>
      </c>
      <c r="F82" t="inlineStr"/>
      <c r="G82" t="inlineStr"/>
      <c r="H82" t="inlineStr"/>
      <c r="I82" t="inlineStr">
        <is>
          <t>**Senior Product Manager \| Seattle, Washington \| Remote\-Friendly \| $151,200 \- $204,600** 
 We're working with the world’s pioneer in digital reading and consumer electronics on this exciting opportunity.
 Are you ready to redefine the future of the written word for millions of global readers? We are looking for a high\-octane Senior PM\-T to lead the software evolution for iconic hardware like Paperwhite, Colorsoft, and Scribe, utilizing deep data analytics and user\-centric design to build the next generation of digital ink experiences.
**The Role** 
 • Define and execute the technical software roadmap for flagship e\-reader devices, balancing immediate feature launches with long\-term architectural bets.
 • Lead cross\-functional squads of Engineering, UX Design, and Data Science to deliver intuitive features that merge physical\-world reading with digital\-first innovation.
 • Leverage big data and customer insights to conduct deep\-dive audits of business strategy, ensuring every feature is grounded in quantifiable user needs.
 • Drive global product launches by collaborating with PR, Legal, and Marketing teams to bring your vision to a worldwide audience of millions.
 • Influence the broader hardware ecosystem by integrating software capabilities that unlock the full potential of advanced display technologies and stylus input.
**What You'll Need** 
 • 5\+ years of experience in Technical Product Management, Program Management, or Software Engineering leadership.
 • Proven track record of shipping complex consumer\-facing software products or mobile applications at scale.
 • Strong technical fluency with the ability to engage in architectural discussions regarding cloud services, APIs, and embedded software systems.
 • Mastery of data\-driven decision\-making, including experience with SQL, Tableau, or similar analytical tools to uncover customer pain points.
 • Exceptional writing and communication skills, with the ability to craft compelling "Working Backwards" documents and strategic PRFAQs.
**What's On Offer** 
 • Competitive base salary and a comprehensive total compensation package including restricted stock units (RSUs).
 • The opportunity to innovate on a product that is literally part of history and shapes how the world consumes knowledge.
 • A high\-growth environment with a culture of "Day 1" thinking and significant visibility to executive leadership.
 • Flexible, remote\-friendly workplace options within a global team culture.
**Apply via Haystack today!**</t>
        </is>
      </c>
    </row>
    <row r="83">
      <c r="A83" t="inlineStr">
        <is>
          <t>li-4381520451</t>
        </is>
      </c>
      <c r="B83" t="inlineStr">
        <is>
          <t>Senior Product Manager</t>
        </is>
      </c>
      <c r="C83" t="inlineStr">
        <is>
          <t>Findhelp</t>
        </is>
      </c>
      <c r="D83" t="inlineStr">
        <is>
          <t>linkedin</t>
        </is>
      </c>
      <c r="E83">
        <f>HYPERLINK("https://www.linkedin.com/jobs/view/4381520451", "https://www.linkedin.com/jobs/view/4381520451")</f>
        <v/>
      </c>
      <c r="F83" t="inlineStr"/>
      <c r="G83" t="inlineStr">
        <is>
          <t>Madison, WI</t>
        </is>
      </c>
      <c r="H83" t="inlineStr"/>
      <c r="I83" t="inlineStr">
        <is>
          <t>**We’re changing the way people connect to social care.**
 At Findhelp, we’ve built a comprehensive platform of products and services that make it easy for you to connect people to resources, follow them on their journey, and track your impact in a fast and reliable way. Our industry\-leading social care network includes more than half a million local, state, and national programs that serve every ZIP Code in the country, from rural areas to major metropolitan centers.
 Findhelp is headquartered in Austin, Texas and has been enabling healthcare, government, education, and other organizations to connect people with the social care resources that serve them, with privacy and security, since 2010\.
 As a mission driven organization, we are focused on creating a positive impact by connecting people in need to the programs that serve them with dignity and ease. Powered by our proprietary technology that enables people to find the resources available in their area, we have helped millions of Seekers find food, health, housing and employment programs.
**Job Overview:** 
 At Findhelp, we believe everyone deserves access to the help they need, with dignity and ease. As a Senior Product Manager on the Uno Health team, you will play a pivotal role in shaping and delivering the experience of eligibility, enrollment, and redetermination for millions of people across the U.S.
 This is a senior individual\-contributor role with broad ownership and high autonomy. You will own major product initiatives end\-to\-end — from framing the problem and defining strategy, through execution, launch, and iteration — in a complex, regulated environment. You will work closely with design, engineering, data, customer success, and leadership to translate business goals and constraints into clear product direction and shipped customer value.
 The ideal candidate is energized by ambiguity, detail\-oriented without losing sight of outcomes, deeply data\-driven, and motivated by building products that have real\-world impact. This role does not require direct management of people, but involves leading highly cross functional teams and efforts. It’s also about owning hard problems, and being a driver of a value\-packed roadmap.
**Responsibilities and Duties:**
* Own and deliver large, cross\-functional product initiatives that drive core business outcomes for Uno’s seeker\-facing and navigator\-facing digital products within the Findhelp ecosystem.
* Set clear product direction by translating business objectives, regulatory constraints, and user needs into well\-scoped initiatives, roadmaps, and execution plans.
* Lead product development from discovery through launch and iteration, ensuring high\-quality execution, clear sequencing, and thoughtful trade\-offs.
* Establish and model a high bar for product rigor, including problem framing, success metrics, experimentation, and post\-launch learning.
* Partner closely with Engineering and Design to run effective sprints, write clear requirements, and unblock teams in a resource\-constrained environment.
* Use data of all kinds deeply to inform prioritization, assess performance, diagnose issues, and guide iteration.
* Navigate and incorporate regulatory and operational complexity into product decisions without losing velocity or clarity and interface with knowledge and policy experts across the organization to obtain these inputs.
* Communicate concisely and clearly with executives and cross\-functional stakeholders, articulating the why, what, and how behind product decisions.
* Collaborate across R\&amp;D leaders to inform and evolve Uno’s broader product roadmap and strategy.
* Mentor and support more junior product team members through example, feedback, and shared standards of excellence.
**Qualifications:**
* 7\+ years of experience as a Product Manager, with demonstrated success as a Senior\-level individual contributor.
* Proven track record of owning and shipping products end\-to\-end, not just features, with clear business impact.
* Experience building products in highly regulated or complex domains (e.g., healthcare, fintech, insurance, gov\-tech).
* Strong product fundamentals, including discovery, strategy, roadmapping, execution, and lifecycle management.
* Deep comfort working with data: defining metrics, interpreting results, and using evidence to guide decisions.
* Exceptional communication skills — able to clearly articulate problems, decisions, trade\-offs, and outcomes to varied audiences.
* Demonstrated ability to operate effectively in ambiguous, resource\-constrained environments.
* Strong judgment, attention to detail, and ownership mindset.
* Ability to collaborate effectively across Engineering, Design, Operations, Data, and Leadership.
* And any of this nice to have experience:
* Experience with consumer\-facing or B2B2C digital products.
* Background in marketplaces, eligibility systems, workflows, or operationally complex products.
* Experience rebuilding or significantly evolving a product function or product area.
* Exposure to experimentation frameworks, A/B testing, or growth\-oriented product work.
* Familiarity with public benefits, healthcare systems, or social impact technology.
 $152,400 \- $190,500 a year
 The salary range provided reflects the national average for this job title and does not represent compensation specific to Findhelp. Actual compensation will vary based on experience, qualifications, and market factors relevant to the position.
**We value being together**
 We believe being together enables stronger relationships, collaboration, and culture.
**This position is in office and candidates must be located in Austin, Texas, Madison, Wisconsin, New York City, New York, or Denver, Colorado**
**Perks at Findhelp**
* 401k \&amp; equity grants
* Free food and onsite gym at our Austin HQ
* Paid parental leave
* Competitive PTO \&amp; 10 paid holidays
* Employee only paid Health, Dental, and Vision insurance
* Dog\-friendly office in Austin HQ
* 24/7 access to telemedicine and counseling
* Book Purchasing Program
**We’re building a diverse, inclusive team**
 You’re welcome here. We want everyone to be able to easily connect to the help they need, and we want our teams to reflect and represent our communities. It is our policy to recruit, hire, train, and promote individuals, as well as administer any and all Company policies, without regard to age, color, disability, ethnicity, family or marital status, gender identity or expression, language, national origin or ancestry, physical and mental ability, political affiliation, race, religion, creed, sexual orientation, socio\-economic status, veteran status, or any other protected class, in accordance with applicable laws. Accommodations are available for applicants with disabilities.
 Here are some of the ways we support our staff:
* Culture Committee
* Leadership Development Training
* Paid Volunteering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84">
      <c r="A84" t="inlineStr">
        <is>
          <t>li-4381514887</t>
        </is>
      </c>
      <c r="B84" t="inlineStr">
        <is>
          <t>Product Manager</t>
        </is>
      </c>
      <c r="C84" t="inlineStr">
        <is>
          <t>Haystack</t>
        </is>
      </c>
      <c r="D84" t="inlineStr">
        <is>
          <t>linkedin</t>
        </is>
      </c>
      <c r="E84">
        <f>HYPERLINK("https://www.linkedin.com/jobs/view/4381514887", "https://www.linkedin.com/jobs/view/4381514887")</f>
        <v/>
      </c>
      <c r="F84">
        <f>HYPERLINK("https://us.haystackapp.io/roles/69ad84af1f75a4a75bc1d532?src=google-paid&amp;urlHash=a17H", "https://us.haystackapp.io/roles/69ad84af1f75a4a75bc1d532?src=google-paid&amp;urlHash=a17H")</f>
        <v/>
      </c>
      <c r="G84" t="inlineStr"/>
      <c r="H84" t="inlineStr"/>
      <c r="I84" t="inlineStr">
        <is>
          <t>**Technical Product Manager \| NYC \| Hybrid \| $100,000 \- $260,000** 
 We're working with a global financial powerhouse that influences 20% of the world's investible assets on this exciting opportunity.
 As the Director of Technical Product Management, you will architect the future of finance by leading high\-impact GenAI and Agentic AI initiatives. This is a high\-visibility role where you'll combine deep technical fluency in LLMs and distributed systems with sophisticated product strategy to transform complex business processes into scalable digital products.
**The Role** 
 • Lead the strategy and roadmap for AI\-driven business transformation, focusing on Large Language Models (LLMs) and multi\-agent coordination frameworks.
 • Design and scale agentic architectures, event\-driven microservices, and metadata\-aware retrieval systems (RAG) to eliminate manual workflows.
 • Partner with Engineering and Data Science to operationalize AI at scale, ensuring model observability, guardrails, and production\-grade reliability.
 • Drive enterprise\-wide modernization by translating ambiguous business problems into clear product tenets, PR/FAQs, and high\-performance execution plans.
 • Manage the full AI lifecycle, balancing innovation velocity with rigorous governance, security, and explainability standards in a regulated environment.
**What You'll Need** 
 • Approximately 10\+ years of experience in technical product management or AI platform delivery, ideally within Big Tech or Fortune 500 environments.
 • Deep technical expertise in Generative AI, Agentic workflows, Orchestration frameworks, and Cloud architectures (AWS/Azure/GCP).
 • Proven track record of building distributed systems, microservices, and API\-first integration layers at enterprise scale.
 • Strong systems\-thinking capabilities with the ability to influence C\-suite stakeholders and lead multidisciplinary teams through complex change management.
 • Bachelor’s degree in STEM, Economics, or a related field; professional certifications such as AWS Cloud Practitioner or specialized AI training are highly preferred.
**What's On Offer** 
 • Competitive base salary ranging from $100,000 to $260,000 based on experience and impact.
 • Comprehensive total compensation package including discretionary bonuses and long\-term incentive programs.
 • Exceptional benefits including generous paid leave, volunteer time, and world\-class health and wellness programs.
 • A high\-innovation culture recognized as one of "America’s Most Innovative Companies" by Fortune.
**Apply via Haystack today!**</t>
        </is>
      </c>
    </row>
    <row r="85">
      <c r="A85" t="inlineStr">
        <is>
          <t>li-4346917328</t>
        </is>
      </c>
      <c r="B85" t="inlineStr">
        <is>
          <t>Product Manager</t>
        </is>
      </c>
      <c r="C85" t="inlineStr">
        <is>
          <t>Motion Recruitment</t>
        </is>
      </c>
      <c r="D85" t="inlineStr">
        <is>
          <t>linkedin</t>
        </is>
      </c>
      <c r="E85">
        <f>HYPERLINK("https://www.linkedin.com/jobs/view/4346917328", "https://www.linkedin.com/jobs/view/4346917328")</f>
        <v/>
      </c>
      <c r="F85">
        <f>HYPERLINK("https://motionrecruitment.com/tech-jobs/new-york/direct-hire/product-manager/860788?utm_source=linkedin&amp;utm_medium=feed&amp;utm_campaign=paid-20210428&amp;urlHash=aGCe", "https://motionrecruitment.com/tech-jobs/new-york/direct-hire/product-manager/860788?utm_source=linkedin&amp;utm_medium=feed&amp;utm_campaign=paid-20210428&amp;urlHash=aGCe")</f>
        <v/>
      </c>
      <c r="G85" t="inlineStr">
        <is>
          <t>New York, NY</t>
        </is>
      </c>
      <c r="H85" t="inlineStr"/>
      <c r="I85" t="inlineStr">
        <is>
          <t>Job Title: Product Manager
 100% Remote (EST Hours)
* Must be located and authorized to work in the US without visa sponsorship/transfer now or in the future. No C2C inquiries, please\*
 A rapidly growing, venture\-backed B2B SaaS startup in the fintech and compliance sector is expanding its product team. They have built an AI\-driven platform that streamlines complex regulatory processes for financial institutions, significantly reducing manual workflows. With a lean, collaborative team and strong market validation, they are scaling operations to meet increasing demand across the U.S.
**They're looking to add their 2nd Product Manager to the team!** 
 Reporting directly to the Head of Product, you will drive day\-to\-day execution, acting as the operational hub between Engineering, Sales, and Customer Success. This role focuses heavily on delivery and transforming high\-level strategy into actionable user stories and shipping features that solve tangible problems.
 The team is specifically looking for somebody with a background in
 **Engineering or Customer Success** 
 who has successfully transitioned into Product Management.
**Requirements**
* 2 to 4 years of Product Management experience (B2B SaaS required; Fintech or Compliance tech preferred).
* Must have prior professional experience in Software Engineering or Customer Success.
* Demonstrated ability to ship products on time in a fast\-paced, unstructured startup environment.
* Strong ability to communicate technical concepts to non\-technical teams.
* Must be based in the US and strictly available during East Coast (EST) business hours.
**Responsibilities**
* Own the tactical execution of the roadmap, from writing user stories to leading QA/UAT.
* Collaborate closely with engineers to deliver AI\-powered features and improvements.
* Partner with Sales to support technical discovery and scope client implementations.
* Work with Customer Success to troubleshoot issues and incorporate user feedback into future releases.
* Maintain the backlog and ensure efficient delivery cycles.
**The Offer**
 This is a fully remote position offering a base salary between
 **$85,000 and $125,000** 
 , plus equity. You will be joining a remote\-first culture that values autonomy and impact. While the role is flexible on location, you must be available during standard EST business hours.
**Posted By:** 
 Jason Weiss</t>
        </is>
      </c>
    </row>
    <row r="86">
      <c r="A86" t="inlineStr">
        <is>
          <t>li-4361152550</t>
        </is>
      </c>
      <c r="B86" t="inlineStr">
        <is>
          <t>Principal Product Manager, Search Platform</t>
        </is>
      </c>
      <c r="C86" t="inlineStr">
        <is>
          <t>Moveworks</t>
        </is>
      </c>
      <c r="D86" t="inlineStr">
        <is>
          <t>linkedin</t>
        </is>
      </c>
      <c r="E86">
        <f>HYPERLINK("https://www.linkedin.com/jobs/view/4361152550", "https://www.linkedin.com/jobs/view/4361152550")</f>
        <v/>
      </c>
      <c r="F86">
        <f>HYPERLINK("https://www.moveworks.com/us/en/company/careers/position?gh_jid=8194533002&amp;gh_src=690c36f92us&amp;urlHash=XSE-", "https://www.moveworks.com/us/en/company/careers/position?gh_jid=8194533002&amp;gh_src=690c36f92us&amp;urlHash=XSE-")</f>
        <v/>
      </c>
      <c r="G86" t="inlineStr">
        <is>
          <t>Mountain View, CA</t>
        </is>
      </c>
      <c r="H86" t="inlineStr"/>
      <c r="I86" t="inlineStr">
        <is>
          <t>Location: In Office \- Mountain View, CA
 At Moveworks, we’re building the most advanced enterprise AI platform in the world — combining generative LLMs, agentic reasoning, enterprise search, and natural conversation into one cohesive product experience. As a Principal Product Manager, you’ll play a key role in shaping the future of our Enterprise Search product and search platform.
 This is a high\-impact role for a technical and strategic product manager who can partner cross\-functionally to build foundational capabilities that solve real business problems with AI.
**What You Will Do:**
* Lead the development of search platform and infrastructure that enables Moveworks Search to scale to billions of documents, while building advanced capabilities for evaluating product performance and search quality.
* Partner closely with other PMs, ML, engineering, and UX to identify critical platform needs to ship delightful and performant AI\-powered products.
* Translate ambiguous problems and user feedback into clear product specs and success metrics that guide engineering execution.
* Stay ahead of the curve on AI trends and research, turning cutting\-edge developments into strategic product bets and differentiated features.
* Develop scalable platform capabilities to power internal teams and customer\-facing applications alike.
* Build alignment across cross\-functional partners by clearly communicating product vision, roadmaps, and outcomes.
**What You Bring to the Table:**
* End\-to\-end product management experience (5\+ years) owning technically complex, high\-impact products — ideally with building platforms for machine learning or generative AI products. Bonus points for having launched features that delivered measurable impact by solving real user problems with AI.
* Deep familiarity with machine learning concepts and a track record of working closely with ML engineers, particularly in areas such as natural language understanding, semantic search, conversational AI, agentic workflows, and speech technologies.
* Understanding of real\-time ML performance requirements (e.g., latency, accuracy, relevance) and the ability to make informed tradeoffs to optimize for user experience and business goals.
* Strong technical acumen, including previous experience as a software or ML engineer, or a technical degree (B.S. or M.S. in CS or related field), enabling you to dive deep on system architecture, APIs, and infrastructure\-level decisions.
* Proven success shipping enterprise\-grade products to large user bases — including developing rollout strategies, customer feedback loops, and go\-to\-market coordination for features that scale to hundreds of thousands or millions of users.
* Exceptional written and verbal communication skills — from clear and structured PRDs to compelling product narratives. Bonus points for communicating vision and outcomes through blog posts, talks, or webinars.
* Sharp analytical and problem\-solving abilities, with a demonstrated ability to simplify complexity, make decisions amid ambiguity, and use available data to drive clarity and outcomes.
* Demonstrated strength in cross\-functional collaboration — aligning engineering, design, data science, marketing, and customer teams around a shared product vision.
* A balanced approach to strategy and execution: able to think long\-term while consistently delivering high\-impact work in the near term. You lead with both empathy and urgency.
* Startup DNA — you thrive in fast\-paced environments, are energized by ambiguity, and naturally bring structure, prioritization, and momentum to everything you touch.
* Our compensation package includes a market competitive salary, equity for all full time roles, exceptional benefits, and, for applicable roles, commissions or bonus plans.
 Ultimately, in determining pay, final offers may vary from the amount listed based on geography, the role’s scope and complexity, the candidate’s experience and expertise, and other factors.
 Moveworks Is An Equal Opportunity Employer
* Moveworks is proud to be an equal opportunity employer. We provide employment opportunities without regard to age, race, color, ancestry, national origin, religion, disability, sex, gender identity or expression, sexual orientation, veteran status, or any other characteristics protected by law.
**Who We Are**
 Moveworks is the Agentic AI Assistant platform that empowers the entire workforce.
 Our platform enables employees to converse with all of their business systems through natural language to quickly find answers and automate tasks. Powered by the world's most advanced LLMs, our proprietary models, and a sophisticated Agentic AI platform, we're transforming how work gets done by allowing AI to take initiative, streamline complex workflows, and continuously learn and adapt.
 Moveworks is trusted by over 5\.5 million employees at more than 350 of the world’s largest companies, including 10% of the Fortune 500, to automate everyday tasks and streamline business operations. Recognized on the Forbes Cloud 100 and AI 50 lists, Moveworks was also named one of Fast Company’s 2025 Most Innovative Companies and Inc’s Best in Business, in the Best in Innovation category. Moveworks was also recognized at Microsoft’s 2025 Partner of the Year and in 2024, received the AI Breakthrough Award.
 In December 2025, Moveworks was acquired by ServiceNow, marking a pivotal milestone in our journey to create a single front door to work for all business systems. By combining ServiceNow’s leading workflow automation with Moveworks’ Reasoning Engine and natural language capabilities, we deliver the AI platform for every person and every workflow. Built to go beyond basic summaries to deliver meaningful business impact. Together, our AI acts across enterprise systems to turn conversations into completed work.
 By joining our team, you’ll be at the forefront of the AI transformation, backed by the global scale of ServiceNow and the agility of a high\-growth company. We are looking for world\-class talent to help us extend agentic AI to every employee across every corner of the business.
 Come join us!
**ServiceNow**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t>
        </is>
      </c>
    </row>
    <row r="87">
      <c r="A87" t="inlineStr">
        <is>
          <t>li-4321402458</t>
        </is>
      </c>
      <c r="B87" t="inlineStr">
        <is>
          <t>Product Manager Senior</t>
        </is>
      </c>
      <c r="C87" t="inlineStr">
        <is>
          <t>City National Bank of Florida</t>
        </is>
      </c>
      <c r="D87" t="inlineStr">
        <is>
          <t>linkedin</t>
        </is>
      </c>
      <c r="E87">
        <f>HYPERLINK("https://www.linkedin.com/jobs/view/4321402458", "https://www.linkedin.com/jobs/view/4321402458")</f>
        <v/>
      </c>
      <c r="F87" t="inlineStr"/>
      <c r="G87" t="inlineStr">
        <is>
          <t>Miami, FL</t>
        </is>
      </c>
      <c r="H87" t="inlineStr"/>
      <c r="I87" t="inlineStr">
        <is>
          <t>**Overview**
**About the Role**
 The Product Manger Senior is responsible for working with an interdepartmental team to develop and implement the TotalDirectBank (TDB) strategy. TDB is a 100% internet\-based banking platform. The Product Manager will lead an interdepartmental team from across the bank and work with internal and external stakeholders to find optimal solutions that balance growth, profitability, client experience (NPS), and risk (fraud/operational/consumer compliance).
**Key Collaborators Include**
 Prelim, external partner managing the TDB application process.
 External risk partners like LexisNexis.
 CNB Call Center, fostering strong relationships with management and staff to ensure exceptional client service delivery.
 Digital channels operations team, overseeing electronic services such as online banking, mobile banking, and electronic funds transfers.
 Consumer compliance team, ensuring products, services, and policies comply with regulatory requirements.
 Fraud team and detection vendors (e.g., LexisNexis, Persona, Chexsystems) involved in platform optimization.
 Marketing team, responsible for digital marketing, website management, brand, and client experience.
 Transformation team focusing on data, analytics, and marketing cloud.
 Finance team for rate management.
 In this role, the Product Manager Senior exercises discretion to navigate complex relationships and decisions critical to achieving strategic objectives for TDB, while ensuring alignment with organizational goals and regulatory compliance.
**What You'll Do**
* Lead an interdepartmental team to achieve divisional goals, focusing on new client acquisition through optimization of rate/marketing spend, client experience, and application friction points.
* Interpret and improve the division's Profit and Loss (P\&amp;L) over time.
* Ensure alignment and communication across Finance, Marketing \&amp; Client Experience, Digital Channels, IT and Operations, and Enterprise Risk Management.
* Report weekly on key performance indicators (KPIs) to Partnership \&amp; Products Manager, and bi\-monthly at Business Unit Reviews (BUR), including application volume (\# and $), pull\-through (\# and $), significant client increases and decreases, CD renewal rates, online and mobile banking penetration, phone calls (\#, duration, type, complaints), fraud incidents (potential losses, actual losses), and postmortems on incidents over $20k.
* Collaborate with strategy, IT, Digital Channels, Marketing, and external partners to enhance the overall client experience, improve onboarding, and increase pull\-through rates to over 40%.
* Enhance post\-onboarding online banking experience and expand platform with new products (e.g., ACH, Zelle, RDC) to drive divisional growth and profitability.
* Manage Risk Assessments and audit requests specific to TDB.
* Build strong relationships with call center management and staff to ensure they are equipped to handle client inquiries, guide applicants through the application process, manage CD renewals and closures, address client concerns, and maintain proper documentation and responses to complaints.
* Maintain high client retention by improving client experience and Net Promoter Score (NPS).
* Enhance operational efficiency by collaborating with partners to improve policies, procedures, call center, IT, and operations workflows.
* Recommend and implement product enhancements (e.g., onboarding, mobile banking, online banking, money transfers), including expanding product offerings to include Residential and SBA lending.
* Mitigate fraud, operational, and regulatory risks by defining risks and developing mitigation plans in compliance with rules and regulations.
**Qualifications**
* 8\-10years prior experience managing online banking platform at a retail or commercial financial institution.
* Thorough understanding of banking products and services.
* Successful record of accomplishment in establishing effective cross\-functional partnerships and relationships.
* Strong written and verbal communication/presentation skills. Good interpersonal and excellent communication skills.
* Excellent numerical skills and some financial modeling ability in excel.
* Competent in the use of Microsoft Office, especially Word, Excel, and Power Point.
* Sufficient knowledge of Federal and State banking regulations.
* Demonstrated executive level relationship building and partnering skills.
* Working knowledge of regulations and best practices regarding personal, commercial, or business banking.
* Comfortable with legacy pushback, managing up, communicating to executives your vision.
* Customer\-focused approach to solving problems.
* Meticulous attention to detail.
* Experience building new capabilities and challenging the status quo.
**Education**
* Bachelor's Degree in Business Administration, Economics, Math, or Statistics.
* An equivalent combination of education and relevant professional experience may be considered in lieu of a degree.
**Special Information To Candidates**
 City National Bank of Florida is an Equal Opportunity Employer and is committed to providing equal employment opportunities to all applicants. We do not discriminate on the basis of race, color, religion, sex, pregnancy, national origin, age, disability, genetic information, protected veteran status, or any other status protected under federal, state, or Florida law. City National Bank of Florida complies with the Americans with Disabilities Act (ADA) and applicable Florida laws. Qualified individuals with disabilities who require a reasonable accommodation in order to complete the online application or participate in the hiring process may contact our Human Resources Talent Attraction Department talent.attraction@citynational.com.</t>
        </is>
      </c>
    </row>
    <row r="88">
      <c r="A88" t="inlineStr">
        <is>
          <t>li-4381530157</t>
        </is>
      </c>
      <c r="B88" t="inlineStr">
        <is>
          <t>Product Manager (Early Career)</t>
        </is>
      </c>
      <c r="C88" t="inlineStr">
        <is>
          <t>Jobright.ai</t>
        </is>
      </c>
      <c r="D88" t="inlineStr">
        <is>
          <t>linkedin</t>
        </is>
      </c>
      <c r="E88">
        <f>HYPERLINK("https://www.linkedin.com/jobs/view/4381530157", "https://www.linkedin.com/jobs/view/4381530157")</f>
        <v/>
      </c>
      <c r="F88">
        <f>HYPERLINK("https://jobright.ai/jobs/info/b2b_1770936743518_149?utm_source=5012&amp;utm_campaign=b2b_1770936743518_149&amp;urlHash=C2hC", "https://jobright.ai/jobs/info/b2b_1770936743518_149?utm_source=5012&amp;utm_campaign=b2b_1770936743518_149&amp;urlHash=C2hC")</f>
        <v/>
      </c>
      <c r="G88" t="inlineStr"/>
      <c r="H88" t="inlineStr"/>
      <c r="I88" t="inlineStr">
        <is>
          <t>Jobright is your personal AI job search agent that transforms the job search process into a fast, expert\-guided journey. They are seeking an AI Engineer to build and scale business\-facing AI agents, managing the entire lifecycle from prototype to production.
**Why Join Us** 
* Build real, production AI agents used by real users
* High ownership and impact
* Work at the intersection of AI, agents, and product
* Shape how people experience AI\-driven job search
**Responsibilities** 
* Own the end\-to\-end lifecycle of specific AI agent features, from initial ideation and requirement gathering to launch and iteration
* Analyze user feedback, market trends, and product metrics to define and prioritize the product backlog
* Create detailed wireframes, user stories, and product requirement documents (PRDs) that bridge the gap between user needs and technical execution
* Conduct user research and usability testing to validate that our AI agents are solving real\-world career challenges effectively
**Qualification** 
 Required
* Recent graduate or entry\-level professional (0–2 years of experience) with a degree in Business, Computer Science, Human\-Computer Interaction, or a related field
* A strong passion for AI technology and a baseline understanding of how Large Language Models and autonomous agents function
* Exceptional communication skills, with the ability to articulate 'the why' behind product decisions to both technical and non\-technical stakeholders
* High levels of dependability and the organizational skills necessary to manage multiple moving parts in an early\-stage startup
* Must live in and be authorized to work in the United States
 Preferred
* Previous internship experience in product management, project management, or a startup environment
* Experience with design and prototyping tools (such as Figma or Balsamiq) and agile project management software (such as Jira or Linear)
* Demonstrated ability to turn ambiguous problems into clear, actionable product roadmaps</t>
        </is>
      </c>
    </row>
    <row r="89">
      <c r="A89" t="inlineStr">
        <is>
          <t>li-4321343298</t>
        </is>
      </c>
      <c r="B89" t="inlineStr">
        <is>
          <t>Senior Product Manager</t>
        </is>
      </c>
      <c r="C89" t="inlineStr">
        <is>
          <t>Press Ganey</t>
        </is>
      </c>
      <c r="D89" t="inlineStr">
        <is>
          <t>linkedin</t>
        </is>
      </c>
      <c r="E89">
        <f>HYPERLINK("https://www.linkedin.com/jobs/view/4321343298", "https://www.linkedin.com/jobs/view/4321343298")</f>
        <v/>
      </c>
      <c r="F89" t="inlineStr"/>
      <c r="G89" t="inlineStr"/>
      <c r="H89" t="inlineStr"/>
      <c r="I89" t="inlineStr">
        <is>
          <t>**Company Description**
 PG Forsta is the leading experience measurement, data analytics, and insights provider for complex industries—a status we earned over decades of deep partnership with clients to help them understand and meet the needs of their key stakeholders. Our earliest roots are in U.S. healthcare –perhaps the most complex of all industries. Today we serve clients around the globe in every industry to help them improve the Human Experiences at the heart of their business. We serve our clients through an unparalleled offering that combines technology, data, and expertise to enable them to pinpoint and prioritize opportunities, accelerate improvement efforts and build lifetime loyalty among their customers and employees.
 Like all great companies, our success is a function of our people and our culture. Our employees have world\-class talent, a collaborative work ethic, and a passion for the work that have earned us trusted advisor status among the world’s most recognized brands. As a member of the team, you will help us create value for our clients, you will make us better through your contribution to the work and your voice in the process. Ours is a path of learning and continuous improvement; team efforts chart the course for corporate success.
**Our Mission**
 We empower organizations to deliver the best experiences. With industry expertise and technology, we turn data into insights that drive innovation and action.
**Our Values**
 To put Human Experience at the heart of organizations so every person can be seen and understood.
* Energize the customer relationship: Our clients are our partners. We make their goals our own, working side by side to turn challenges into solutions.
* Success starts with me: Personal ownership fuels collective success. We each play our part and empower our teammates to do the same.
* Commit to learning: Every win is a springboard. Every hurdle is a lesson. We use each experience as an opportunity to grow.
* Dare to innovate: We challenge the status quo with creativity and innovation as our true north.
* Better together: We check our egos at the door. We work together, so we win together.
 As a Senior Product Manager, you’ll be working directly with the Member Experience team, with a particular focus on developing and growing products/solutions that are primarily focused on the health insurance market. You will be part of a dynamic and collaborative environment where you will work with cross\-functional teams to design, build, and bring to market our products.
 We are seeking a candidate who is passionate about understanding our users and customers, and who loves creating amazing user experiences.
 This role will focus specifically on designing and building products for the payvider market. A
 **payvider** 
 is an integrated healthcare organization that both delivers medical care and operates a health insurance plan, aligning provider services and payer functions under a single system to improve cost, quality, and care coordination.
**Duties \&amp; Responsibilities**
* Gain a deep understanding of the market, competitive landscape, and client experiences.
* Develop, document, and maintain product strategy by analyzing product performance, identifying and filling product gaps, and generating new ideas that grow market share, improve client experience, and drive growth.
* Generate product consensus with key stakeholders through product demos and presentations, and act as a product evangelist to build awareness and understanding. Be the central point of communication around your product.
* Translate product strategy into the product roadmap containing new product development, as well as product enhancements \&amp; refinements. Design, scope, and prioritize requirements based on business and client impact, and create product specifications for engineering.
* Provide some cross\-functional project management oversight for product development initiatives, including pilot projects, product enhancements, and new product development.
* Drive product launches by working closely with operational, marketing, educational services, talent development, and other key stakeholders.
* Work closely with …
+ Executives and leadership to gain a stronger understanding of the business needs and priorities.
+ Clients to solicit feedback on products and services, and to better understand their problems and pain points.
+ The design team to make sure that user experience is integrated from day one for accessible products which are attractive, intuitive, and efficient.
+ The Engineering team to ensure the product is brought to market according to business requirements and client expectations.
+ The marketing and sales teams to develop positioning and promotional plans that are aligned with product strategy.
+ The client services teams to respond to requests and questions, plus assisting in ROI reporting to the clients.
* May require occasional travel a few times a year.
**Qualifications**
* Bachelor’s degree in a related field is required, MBA/MHA preferred
* 5\+ years of SaaS product management experience, preferably within healthcare
* Experience working with payers and/or understanding landscape of the US Healthcare Insurance marketplace strongly preferred
* Survey/ Market Research or Voice of Customer experience preferred but not required.
* Self\-starter with a bias toward action and a proven track record of results, who can think strategically, prioritize ruthlessly, and execute methodically.
* Experience working in agile product development methodology
* Have a passion for user experience, getting to the root of user problems, and solving them creatively while still balancing the needs of the business
* Experience soliciting user and industry feedback: interviewing customers and non\-customers, leading focus groups for product design/development
* Understanding of key technologies and ability to converse at a technical level; can understand work effort and trade\-offs with technical solutions
* Think and build products with a platform mindset, specifically how features fit into the overall platform, how they scale, etc.
* Experience with customer/client management, and managing the tension between customers’ wants and needs as part of the broader product/portfolio strategy
* Proven ability to develop product and marketing strategies, including managing all aspects of a successful product through its lifecycle
* Excellent strategic thinking, analytical and critical thinking skills
* Superior project management, time management, and organizational skills, and the ability to quickly adapt to multiple priorities
* Outstanding written and verbal communication skills
**Don’t meet every single requirement?** 
 Studies have shown that women and people of color are less likely to apply to jobs unless they meet every single qualification. At PG Forsta we are dedicated to building a diverse, inclusive and authentic workplace, so if you’re excited about this role but your past experience doesn’t align perfectly with every qualification in the job description, we encourage you to apply anyways. You may be just the right candidate for this or other roles.
**Additional Information For US Based Jobs**
 Press Ganey Associates LLC is an Equal Employment Opportunity/Affirmative Action employer and well committed to a diverse workforce. We do not discriminate against any employee or applicant for employment because of race, color, sex, age, national origin, religion, sexual orientation, gender identity, veteran status, and basis of disability or any other federal, state, or local protected class.
 Pay Transparency Non\-Discrimination Notice – Press Ganey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The expected salary for this position ranges from $140,000 to $155,000\. It is not typical for offers to be made at or near the top of the range. Salary offers are based on a wide range of factors including relevant skills, training, experience, education, and, where applicable, licensure or certifications obtained. Market and organizational factors are also considered. In addition to base salary and a competitive benefits package, successful candidates are eligible to receive a discretionary bonus or commission tied to achieved results.
 All your information will be kept confidential according to EEO guidelines.
 Our privacy policy can be found here: https://www.pressganey.com/legal\-privacy/</t>
        </is>
      </c>
    </row>
    <row r="90">
      <c r="A90" t="inlineStr">
        <is>
          <t>li-4323605354</t>
        </is>
      </c>
      <c r="B90" t="inlineStr">
        <is>
          <t>Data Product Manager</t>
        </is>
      </c>
      <c r="C90" t="inlineStr">
        <is>
          <t>Capital Group</t>
        </is>
      </c>
      <c r="D90" t="inlineStr">
        <is>
          <t>linkedin</t>
        </is>
      </c>
      <c r="E90">
        <f>HYPERLINK("https://www.linkedin.com/jobs/view/4323605354", "https://www.linkedin.com/jobs/view/4323605354")</f>
        <v/>
      </c>
      <c r="F90">
        <f>HYPERLINK("https://capgroup.wd1.myworkdayjobs.com/capitalgroupcareers/job/Irvine/Data-Product-Manager_JR5980?source=srm_linkedin_jb&amp;urlHash=uxhN", "https://capgroup.wd1.myworkdayjobs.com/capitalgroupcareers/job/Irvine/Data-Product-Manager_JR5980?source=srm_linkedin_jb&amp;urlHash=uxhN")</f>
        <v/>
      </c>
      <c r="G90" t="inlineStr">
        <is>
          <t>Irvine, CA</t>
        </is>
      </c>
      <c r="H90" t="inlineStr"/>
      <c r="I90" t="inlineStr">
        <is>
          <t>**“I can be myself at work.”**
 You are more than a job title. We want you to feel comfortable doing great work and bringing your best, authentic self to everything you do. We value your talents, traditions, and uniqueness—and we’re committed to fostering a strong sense of belonging in a respectful workplace.
 We intentionally seek diverse perspectives, experiences, and backgrounds, investing in a culture designed to celebrate differences. We believe that belonging leads to better outcomes and a stronger community of associates united by our mission. At Capital, we live our core values every day: Integrity, Client Focus, Diverse Perspectives, Long\-Term Thinking, and Community.
**“I can influence my income.”**
 You want to feel recognized at work. Your performance will be reviewed annually, and your compensation will be designed to motivate and reward the value that you provide. You’ll receive a competitive salary, bonuses and benefits. Your company\-funded retirement contribution will factor in salary and variable pay, including bonuses.
**“I can lead a full life.”**
 You bring unique goals and interests to your job and your life. Whether you’re raising a family, you’re passionate about where you volunteer, or you want to explore different career paths, we’ll give you the resources that can set you up for success.
* Enjoy generous time\-away and health benefits from day one, with the opportunity for flexible work options
* Receive 2\-for\-1 matching gifts for your charitable contributions and the opportunity to secure annual grants for the organizations you love
* Access on\-demand professional development resources that allow you to hone existing skills and learn new ones
**“I can succeed as a Data Product Manager at Capital Group”**
**Role summary:** 
 The Data Product Manager works closely with business stakeholders and engineering teams to manage and enhance trade data processing platform, ensuring availability of accurate, reliable, and well\-governed data.
 This role is pivotal in driving the modernization of our data infrastructure and contributing to the success of our growing data processing needs. You will partner closely with Business to gain understanding of compensation framework and requirements and work closely with Engineering to enable the implementation of these. A key focus in the near term will be supporting the Product and Technology team’s re\-platforming initiative, which is building on the foundation to enable nimble enhancements and automation. You will challenge the team to think bigger and bolder about opportunities to leverage data in new ways, while also delivering the current needs of our business and users.
**Primary Responsibilities**
* Define and execute a comprehensive product strategy in alignment with enterprise goals. Translate the strategy into an executable roadmap, prioritizing features that have the most significant impact on customers and stakeholders.
* Lead design and operationalization of technology solutions focused on enhancing data quality, and operational efficiencies.
* Manage the end\-to\-end product development lifecycle, delivering features iteratively to address business challenges: Drive product discovery, requirements definition, and feature prioritization, leveraging product management best practices. Responsible for product launch activities, including user acceptance testing, change management, collateral development and user rollout.
* Monitor product performance and report KPIs. Own product communication.
* Establish strong partnerships with internal teams and stakeholders, fostering continuous feedback loops to understand their data\-related needs.
* Develop a deep understanding of upstream/downstream systems and processes to shape data model design and impact adjacent systems.
**“I am the person Capital Group is looking for.”**
* 5\+ years of relevant Product Management experience with a proven track record of successfully launching and scaling data products.
* Proficiency in advanced tools such as Alteryx, Tableau, SQL, R, Python or other equivalent programs.
* Bachelor’s degree in one of the following areas: business, accounting, statistics, math, finance, economics, engineering, other related fields. Master’s degree preferred.
* Demonstrated ability to manage complexity, communicate effectively, and collaborate with stakeholders.
* Demonstrated ability to plan and align, drive results, balancing stakeholders, and navigating the organization.
* Experience managing B2B2C or B2B products throughout the product development lifecycle, preferably in the Financial Services/Asset Management industry for data platforms, data experience, tools, workflows, and/or data infrastructure.
* Ability to effectively prioritize and communicate product roadmap across business functions including leadership.
* Exceptional communication skills, both written and verbal, capable of engaging in discussions at various levels within the organization.
* Ability to inspire, motivate, and lead cross\-functional teams, including other product managers, architects, engineers, and business partners.
* Proficiency in applying a combination of qualitative and quantitative methods to define and measure product success.
* Entrepreneurial mindset, comfortable working with ambiguity, rolling up your sleeves, and getting the work done.
**“I can apply in less than 4 minutes.”**
 You’ve reviewed this job posting and you’re ready to start the candidate journey with us. Apply now to move to the next step in our recruiting process. If this role isn’t what you’re looking for, check out our other opportunities and join our talent community.
**“I Can Learn More About Capital Group.”**
 At Capital Group, the success of the people who invest with us depends on the people in whom we invest. That’s why we offer a culture, compensation and opportunities that empower our associates to build successful and prosperous careers. Through nine decades, our goal has been to improve people’s lives through successful investing. We know that our history is a testament to the strength of the people we hire. More than 9,000 associates in 30\+ offices around the world help our clients and each other grow and thrive every day. Find us on LinkedIn, Instagram, YouTube and Glassdoor.‎
 Southern California Base Salary Range: $141,648\-$226,637
 ‎
 ‎
 ‎
 ‎
 ‎
 ‎
 ‎
 ‎
 ‎
 ‎
 ‎
 ‎
 ‎
 ‎
 ‎
*In addition to a highly competitive base salary, per plan guidelines, restrictions and vesting requirements, you also will be eligible for an individual annual performance bonus, plus Capital’s annual profitability bonus plus a retirement plan where Capital contributes 15% of your eligible earnings.*
*You can learn more about our compensation and benefits* 
*here* 
*.*
* Temporary positions in the United States are excluded from the above mentioned compensation and benefit plans.
*We are an equal opportunity employer, which means we comply with all federal, state and local laws that prohibit discrimination when making all decisions about employment. As equal opportunity employers, our policies prohibit unlawful discrimination on the basis of race, religion, color, national origin, ancestry, sex (including gender and gender identity), pregnancy, childbirth and related medical conditions, age, physical or mental disability, medical condition, genetic information, marital status, sexual orientation, citizenship status, AIDS/HIV status, political activities or affiliations, military or veteran status, status as a victim of domestic violence, assault or stalking or any other characteristic protected by federal, state or local law.*</t>
        </is>
      </c>
    </row>
    <row r="91">
      <c r="A91" t="inlineStr">
        <is>
          <t>li-4381528100</t>
        </is>
      </c>
      <c r="B91" t="inlineStr">
        <is>
          <t>Senior Product Manager</t>
        </is>
      </c>
      <c r="C91" t="inlineStr">
        <is>
          <t>Haystack</t>
        </is>
      </c>
      <c r="D91" t="inlineStr">
        <is>
          <t>linkedin</t>
        </is>
      </c>
      <c r="E91">
        <f>HYPERLINK("https://www.linkedin.com/jobs/view/4381528100", "https://www.linkedin.com/jobs/view/4381528100")</f>
        <v/>
      </c>
      <c r="F91" t="inlineStr"/>
      <c r="G91" t="inlineStr"/>
      <c r="H91" t="inlineStr"/>
      <c r="I91" t="inlineStr">
        <is>
          <t>**Senior Product Manager \| Seattle, Washington \| Remote\-Friendly \| $151,200 \- $204,600** 
 We're working with the world’s pioneer in digital reading and consumer electronics on this exciting opportunity.
 Are you ready to redefine the future of the written word for millions of global readers? We are looking for a high\-octane Senior PM\-T to lead the software evolution for iconic hardware like Paperwhite, Colorsoft, and Scribe, utilizing deep data analytics and user\-centric design to build the next generation of digital ink experiences.
**The Role** 
 • Define and execute the technical software roadmap for flagship e\-reader devices, balancing immediate feature launches with long\-term architectural bets.
 • Lead cross\-functional squads of Engineering, UX Design, and Data Science to deliver intuitive features that merge physical\-world reading with digital\-first innovation.
 • Leverage big data and customer insights to conduct deep\-dive audits of business strategy, ensuring every feature is grounded in quantifiable user needs.
 • Drive global product launches by collaborating with PR, Legal, and Marketing teams to bring your vision to a worldwide audience of millions.
 • Influence the broader hardware ecosystem by integrating software capabilities that unlock the full potential of advanced display technologies and stylus input.
**What You'll Need** 
 • 5\+ years of experience in Technical Product Management, Program Management, or Software Engineering leadership.
 • Proven track record of shipping complex consumer\-facing software products or mobile applications at scale.
 • Strong technical fluency with the ability to engage in architectural discussions regarding cloud services, APIs, and embedded software systems.
 • Mastery of data\-driven decision\-making, including experience with SQL, Tableau, or similar analytical tools to uncover customer pain points.
 • Exceptional writing and communication skills, with the ability to craft compelling "Working Backwards" documents and strategic PRFAQs.
**What's On Offer** 
 • Competitive base salary and a comprehensive total compensation package including restricted stock units (RSUs).
 • The opportunity to innovate on a product that is literally part of history and shapes how the world consumes knowledge.
 • A high\-growth environment with a culture of "Day 1" thinking and significant visibility to executive leadership.
 • Flexible, remote\-friendly workplace options within a global team culture.
**Apply via Haystack today!**</t>
        </is>
      </c>
    </row>
    <row r="92">
      <c r="A92" t="inlineStr">
        <is>
          <t>li-4382674206</t>
        </is>
      </c>
      <c r="B92" t="inlineStr">
        <is>
          <t>Product Manager - Order Fulfillment Logic</t>
        </is>
      </c>
      <c r="C92" t="inlineStr">
        <is>
          <t>Staples</t>
        </is>
      </c>
      <c r="D92" t="inlineStr">
        <is>
          <t>linkedin</t>
        </is>
      </c>
      <c r="E92">
        <f>HYPERLINK("https://www.linkedin.com/jobs/view/4382674206", "https://www.linkedin.com/jobs/view/4382674206")</f>
        <v/>
      </c>
      <c r="F92">
        <f>HYPERLINK("https://careers.staples.com/job/-/-/44412/92493416784?utm_medium=jobboard&amp;utm_source=LinkedIn&amp;urlHash=QbSi", "https://careers.staples.com/job/-/-/44412/92493416784?utm_medium=jobboard&amp;utm_source=LinkedIn&amp;urlHash=QbSi")</f>
        <v/>
      </c>
      <c r="G92" t="inlineStr">
        <is>
          <t>Framingham, MA</t>
        </is>
      </c>
      <c r="H92" t="inlineStr"/>
      <c r="I92" t="inlineStr">
        <is>
          <t>**Staples is business to business. You’re what binds us together.**
 Our eCommerce team delivers customer\-centric site experiences to position Staples as a digital selling platform of choice. Our team ensures that our mobile, desktop, and app platforms deliver the digital experience that our customers expect. We do this through customer insights, analytics, and testing to build a strong innovation pipeline for the future and to bring products and solutions to market seamlessly. We utilize online merchandising and campaigns executed by both humans and automated tools to convert new and returning website visitors into customers. We work end\-to\-end with our sales, merchandising, finance, logistics, marketing, and technology teams to provide a world\-class, holistic digital experience, growing profitable results in a fun and rewarding work environment. We are inclusive, customer\-obsessed, and are looking for well\-rounded professionals with strong eCommerce business acumen to join our team.
 The Product Manager plays a critical role in shaping the future of our eCommerce platforms. This individual is responsible for leveraging customer insights, analytics, and market trends to define and prioritize product backlogs, ensuring our mobile, desktop and app platforms deliver exceptional digital experiences. This role collaborates closely with engineering teams to bring innovative products and solutions to market, driving growth and enhancing customer satisfaction.
**What You’ll Be Doing:**
* Collaborate with leadership to define the product vision and align it with the overarching business and digital strategy.
* Own the product backlog, meticulously managing and prioritizing user stories, bugs and tasks based on strategic business goals, customer value, and team capacity.
* Serve as the key point of contact between the development team and stakeholders.
* Craft detailed user stories and acceptance criteria to guide the development process.
* Champion a mindset of continuous improvement, encouraging the team to experiment with new ideas and approaches to solve customer problems.
**What You Bring To The Table:**
* Strong analytical and problem\-solving skills, with the ability to make data\-driven decisions.
* Excellent communication and interpersonal skills, capable of working effectively with technical and non\-technical teams.
* Agile and adaptable, with a proactive approach to addressing challenges and seizing opportunities.
* Leadership and mentorship capabilities, with a passion for fostering team growth and development.
* Ability to translate complex algorithmic or machine‑learning–driven insights into clear product decisions that improve delivery speed, cost, and customer outcomes.
* Strong technical fluency with data\-intensive backend systems, enabling confident partnership with engineering, data science, and research teams.
* A proactive mindset for identifying network inefficiencies and uncovering optimization opportunities across routing, carrier selection, inventory availability, and delivery promises.
**What’s needed\- Basic Qualifications:**
* Bachelor's degree in Business, Technology, or a related field, or equivalent work experience.
* 5\+ years of related experience in product management, with a focus on eCommerce or digital products.
* Manage the end\-to\-end lifecycle of digital products from conception through development, launch, and iteration
* Comprehensive understanding and practical application of Agile methodologies, tools, and systems
**What’s needed\- Preferred Qualifications:**
* Master’s degree in a related field
* Professional certifications in Agile methodologies (e.g., Certified Scrum Master (CSM), SAFe Agilist, or PMI Agile Certified Practitioner (PMI\-ACP)) or product management certifications (e.g., AIPMM Certified Product Manager)
* Experience in the specific industry (e.g. B2B, supply chain, office supplies)
* Hands\-on experience working with data analytics tools and languages such as SQL, Python, Snowflake, or Power BI to support product discovery and decision\-making.
* Familiarity with machine learning concepts, routing algorithms, or network optimization models in fulfillment, transportation, or logistics environments.
* Background in backend\-focused digital product development, particularly within order fulfillment, delivery networks, or predictive/algorithmic decision systems.
**We Offer:**
* Inclusive culture with associate\-led Business Resource Groups
* 22 days of PTO and Holiday Schedule (7 observed paid holidays \+ 1 floating holiday)
* Online and Retail Discounts, Company Match 401(k), Physical and Mental Health Wellness programs, and more!
 The salary range represents the expected compensation for this role at the time of posting. The specific base pay may be influenced by a variety of factors to include the candidate's experience, skill set, education, geography, business considerations, and internal equity. In addition to base pay, this role may be eligible for bonuses, or other forms of variable compensation.</t>
        </is>
      </c>
    </row>
    <row r="93">
      <c r="A93" t="inlineStr">
        <is>
          <t>li-4341873151</t>
        </is>
      </c>
      <c r="B93" t="inlineStr">
        <is>
          <t>Staff Product Manager - Marketplace</t>
        </is>
      </c>
      <c r="C93" t="inlineStr">
        <is>
          <t>Snorkel AI</t>
        </is>
      </c>
      <c r="D93" t="inlineStr">
        <is>
          <t>linkedin</t>
        </is>
      </c>
      <c r="E93">
        <f>HYPERLINK("https://www.linkedin.com/jobs/view/4341873151", "https://www.linkedin.com/jobs/view/4341873151")</f>
        <v/>
      </c>
      <c r="F93">
        <f>HYPERLINK("https://job-boards.greenhouse.io/snorkelai/jobs/5713066004?gh_src=2df9ee274us&amp;urlHash=ZOCS", "https://job-boards.greenhouse.io/snorkelai/jobs/5713066004?gh_src=2df9ee274us&amp;urlHash=ZOCS")</f>
        <v/>
      </c>
      <c r="G93" t="inlineStr">
        <is>
          <t>San Francisco, CA</t>
        </is>
      </c>
      <c r="H93" t="inlineStr"/>
      <c r="I93" t="inlineStr">
        <is>
          <t>**About Snorkel**
 At Snorkel, we believe meaningful AI doesn’t start with the model, it starts with the data.
 We’re on a mission to help enterprises transform expert knowledge into specialized AI at scale. The AI landscape has gone through incredible changes between 2015, when Snorkel started as a research project in the Stanford AI Lab, to the generative AI breakthroughs of today. But one thing has remained constant: the data you use to build AI is the key to achieving differentiation, high performance, and production\-ready systems. We work with some of the world’s largest organizations to empower scientists, engineers, financial experts, product creators, journalists, and more to build custom AI with their data faster than ever before. Excited to help us redefine how AI is built? Apply to be the newest Snorkeler!
**The Role**
 We are seeking an experienced product manager to own our expert contributor product ecosystem. The ideal candidate has led product initiatives within fast\-moving, real\-world marketplaces where supply and demand must be continuously balanced, operational efficiency is critical, and user experience directly impacts growth. They understand how to build and optimize multi\-sided marketplaces that maintain healthy economics, drive sustained engagement and retention, and deliver reliable, high\-quality outcomes at scale.
 In this role, you will define product strategy, build features, and run experiments that optimize marketplace outcomes, driving matching efficiency, fulfillment quality, conversion, retention, and unit economics. You will partner closely with Operations, Research, Engineering, Analytics, and GTM teams to refine marketplace dynamics across supply, demand, pricing, incentives, and quality.
**Minimum Qualifications**
* 7\+ years of experience as a Product Manager
* Experience building products for the gig economy, focused on supply\-side onboarding, lifecycle management, user experience, quality, and other aspects
* Strong SaaS UI/UX design sense and product\-building experience
* Experience working closely with enterprise customers and channel partners in the enterprise software industry
* Demonstrated ability to hire, develop, and lead world\-class product teams from the ground up
* Educational background in computer science or related engineering practice
**Preferred Qualifications**
* 8\+ years of product management experience, including 4\+ years working on marketplace, logistics, supply/demand, or growth systems.
* Experience from a marketplace or platform\-based organization
* Strong analytical and problem\-solving skills, with experience in metrics\-driven decision\-making, experimentation, and portfolio tradeoffs.
* Demonstrated ability to partner closely with data science and engineering to deliver scalable, measurable outcomes.
* Deep intuition and rigor around user behavior, incentives, and marketplace mechanics.
 Salary Range
 $240,000—$300,000 USD
**Be Your Best at Snorkel**
 Joining Snorkel AI means becoming part of a company that has market proven solutions, robust funding, and is scaling rapidly—offering a unique combination of stability and the excitement of high growth. As a member of our team, you’ll have meaningful opportunities to shape priorities and initiatives, influence key strategic decisions, and directly impact our ongoing success. Whether you’re looking to deepen your technical expertise, explore leadership opportunities, or learn new skills across multiple functions, you’re fully supported in building your career in an environment designed for growth, learning, and shared success.
*Snorkel AI is proud to be an Equal Employment Opportunity employer and is committed to building a team that represents a variety of backgrounds, perspectives, and skills. Snorkel AI embraces diversity and provides equal employment opportunities to all employees and applicants for employment. Snorkel AI prohibits discrimination and harassment of any type on the basis of race, color, religion, age, sex, national origin, disability status, genetics, protected veteran status, sexual orientation, gender identity or expression, or any other characteristic protected by federal, state, or local law. All employment is decided on the basis of qualifications, performance, merit, and business need.*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t>
        </is>
      </c>
    </row>
    <row r="94">
      <c r="A94" t="inlineStr">
        <is>
          <t>li-4382676221</t>
        </is>
      </c>
      <c r="B94" t="inlineStr">
        <is>
          <t>Senior Product Manager - Xbox Data Analytics</t>
        </is>
      </c>
      <c r="C94" t="inlineStr">
        <is>
          <t>Microsoft</t>
        </is>
      </c>
      <c r="D94" t="inlineStr">
        <is>
          <t>linkedin</t>
        </is>
      </c>
      <c r="E94">
        <f>HYPERLINK("https://www.linkedin.com/jobs/view/4382676221", "https://www.linkedin.com/jobs/view/4382676221")</f>
        <v/>
      </c>
      <c r="F94">
        <f>HYPERLINK("https://apply.careers.microsoft.com/careers/job/1970393556824299?utm_source=linkedin&amp;domain=microsoft.com&amp;src=LinkedIn&amp;urlHash=AUBS", "https://apply.careers.microsoft.com/careers/job/1970393556824299?utm_source=linkedin&amp;domain=microsoft.com&amp;src=LinkedIn&amp;urlHash=AUBS")</f>
        <v/>
      </c>
      <c r="G94" t="inlineStr">
        <is>
          <t>Redmond, WA</t>
        </is>
      </c>
      <c r="H94" t="inlineStr"/>
      <c r="I94" t="inlineStr">
        <is>
          <t>**Overview**
 On Team Xbox, we aspire to empower the world’s 3 billion gamers to play the games they want, with the people they want, anywhere they want. Gaming, the largest and fastest growing category in media \&amp; entertainment, represents an important growth opportunity for Microsoft. We are leading with innovation, as highlighted by bringing Xbox to new devices with Cloud Gaming, bringing the Game Pass subscription to PC, and our recent acquisition of Activision Blizzard King creating exciting new possibilities for players.
 The Xbox Platform team is home to the engineering work that makes this vision possible, building the developer tools and services that enable game creators to craft incredible experiences, the commerce systems that connect publishers with their audience and help gamers engage with their next favorite games, the platforms on which those games play at their best, and the experiences that turn every screen into an Xbox.
 Do you want to influence product engineering teams to shape the next generation of data and analytics capabilities for Xbox? The Xbox Platform Data Intelligence team is looking for a highly\-motivated Senior Product Manager with data platform experience. You will work closely with Product Managers across the Xbox Platform team in designing, implementing, and evolving innovative capabilities tailored to drive analytics and insights on engineering features. You will also partner with business stakeholders to understand data requirements to support business intelligence. Our capabilities influence data\-driven decision making across Xbox Leadership, Finance, Business Planning, and Engineering teams. Collaboration, diversity, \&amp; self\-direction are valued here. Expect to be given room and support to grow personally and professionally. Technically challenging projects, a healthy and high\-caliber team, game\-changing products for excited fans… don’t miss this rewarding opportunity!
**Responsibilities**
* Work within and across teams to solve complex technical challenges
* Develop engineering best\-practices – continuously evaluate our processes to identify opportunities to improve, enhance, and automate existing and new capabilities with a fundamental understanding of the end\-to\-end scenario
* Drive new projects from idea inception to completion
* Balance technical and business requirements as input to establishing a solid roadmap
* Regularly engage with various levels of Gaming Leadership to provide roadmap/progress updates against commitments
* Measure the success and usage patterns of the product / feature at various levels as well as key engineering metrics
* Provide thought leadership, creation, and execution on data platform capabilities
* Grow \&amp; foster an inclusive, creative, high\-performance team culture
* Coach \&amp; mentor other team members
**Qualifications**
**Required Qualfication:**
* Bachelor's Degree AND 5\+ years experience in product/service/program management or software development OR equivalent experience.
**Preferred Qualfications**
* 5\+ years of data analytics or data science experience
* Experience working with cloud\-based technologies, including relational databases, data warehouse, big data (e.g., Hadoop, Spark), orchestration/data pipeline tools, data lakes.
* Self\-motivated and organized to deliver results
* Experience engineering new platforms requiring 3rd party integration, operational standards, and/or data insights
* Passion for large\-scale distributed system engineering such as Azure or Xbox Live
* Ability to use judgement and rating schemes to turn qualitative information into quantitative estimates
* Proficiency in scenario analytics, mining for insights
* Experience with any or similar technologies: Azure Data Explorer (Kusto), Azure Cosmos DB, Reporting applications (Power BI, Tableau, Grafana), Applied LLM to local data stores
* Motivated to learn challenging technical domains
* Good interpersonal and communications (verbal and written) skills, including the ability to effectively communicate with both business and technical teams
* Drives Clarity \- Can you take a complex system with multiple moving parts and be able to understand and explain the output succinctly?
* Collaborates \- Partnering with others is at the heart of this role, so top\-notch collaboration skills are essential. Great collaborators aren't just easy to work with \- they also raise tough questions, deliver bad news with grace, challenge others as necessary and negotiate win/win solutions
* Self\-starter who not only deals well with but thrives in ambiguity and has the ability to successfully execute across a complex environment to deliver a great product
 \#gamingjobs
 Product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95">
      <c r="A95" t="inlineStr">
        <is>
          <t>li-4323586238</t>
        </is>
      </c>
      <c r="B95" t="inlineStr">
        <is>
          <t>Staff Product Manager, Scoping &amp; Segmentation</t>
        </is>
      </c>
      <c r="C95" t="inlineStr">
        <is>
          <t>Vanta</t>
        </is>
      </c>
      <c r="D95" t="inlineStr">
        <is>
          <t>linkedin</t>
        </is>
      </c>
      <c r="E95">
        <f>HYPERLINK("https://www.linkedin.com/jobs/view/4323586238", "https://www.linkedin.com/jobs/view/4323586238")</f>
        <v/>
      </c>
      <c r="F95">
        <f>HYPERLINK("https://jobs.ashbyhq.com/vanta/3d69ef05-99a1-44ec-a35a-8e2439d484f0?source=linkedin&amp;urlHash=qAWo", "https://jobs.ashbyhq.com/vanta/3d69ef05-99a1-44ec-a35a-8e2439d484f0?source=linkedin&amp;urlHash=qAWo")</f>
        <v/>
      </c>
      <c r="G95" t="inlineStr"/>
      <c r="H95" t="inlineStr"/>
      <c r="I95" t="inlineStr">
        <is>
          <t>At Vanta, our mission is to help businesses earn and prove trust. We believe that security should be monitored and verified continuously, and we empower companies to practice better security and prove it with ease. Vanta has a kind and talented team, and while some have prior security experience, many have been successful at Vanta without it.
 As a Staff Product Manager at Vanta, you will be responsible for the overall efficacy and impact of the product features in your area of responsibility. You will own the customer voice for your product area and prioritization for your cross\-functional team of designers and engineers. You will also be responsible for collaborating with cross\-departmental partners like Sales, Marketing and Customer Service to deeply serve customers throughout their Vanta journey.
 The Scoping \&amp; Segmentation team at Vanta builds the tools that help customers manage complex compliance programs as their organizations grow. Companies use Vanta to stay organized across multiple frameworks and business units, and this team makes it simple to define what’s in scope for each area of their business. In this role, you’ll make it easier for customers to manage their compliance work across teams, track progress, and stay audit\-ready with less manual effort. You’ll shape how Vanta uses AI to help customers manage millions of assets, simplify setup, recommend next steps, and surface insights that help customers prevent issues before they happen. By improving how customers organize and automate their programs, you’ll help Vanta scale to meet the needs of larger and more sophisticated companies.
**What you’ll do as a Staff Product Manager, Scoping \&amp; Segmentation at Vanta:**
* Deeply understand our customers and our market
* Own the vision and strategy for Scoping \&amp; Segmentation and play a key role in defining the broader Vanta GRC strategy
* Identify opportunities to leverage AI to enhance product differentiation and deliver measurable value to customers
* Distill complex problems and opportunities into clearly prioritized product goals for your team, collaborate with partner teams, and drive high\-quality execution in collaboration with stakeholders across the company
* Deliver a high quality product addressing key customer pain points and creating opportunities for competitive advantage
**How to be successful in this role:**
* Have 10\+ years of product management experience, with a proven track record for delivering high\-quality products to customers in the SaaS/B2B space
* Bring experience and drive to ship AI\-powered products, including rapid experimentation, rigorous evaluation, and LLM prompt tuning to ensure high product quality
* Possess a customer\-focused mindset, proactively reach out to customers and prospects, while simultaneously partnering with go\-to\-market teams
* Strong analytical skills and the ability to bring clarity to complex problem areas through data\-driven decision making
* Be deeply curious, empathetic, and user\-centric, with a knack for driving effective collaboration amongst your stakeholders
* Have the ability to bring a product roadmap to life through consistent execution and project management
* Excellent communication both written and verbal, to effectively communicate ideas, requirements, and product vision to team members, stakeholders, and executives
**What you can expect as a Vanta'n:**
* Industry\-competitive salary and equity
* Comprehensive medical, dental, and vision coverage, with 100% of employee\-only benefit premiums covered for most medical plans
* 16 weeks fully\-paid Parental Leave for all new parents
* Health \&amp; wellness stipend
* Remote workspace, internet, and cellphone stipend
* Commuter benefits for team members who report to the SF and NYC office
* Family planning benefits
* Matching 401(k) contribution with immediate vesting
* Flexible PTO policy, plus 80 hours of Sick Time
* 11 company\-paid holidays
* Virtual team building activities, lunch and learns, and other company\-wide events!
* Offices in SF, NYC, London, Dublin, Tel Aviv, and Sydney
 To provide greater transparency to candidates, we share base pay ranges for all US\-based job postings regardless of state. We set standard base pay ranges for all roles based on function, level, and country location, benchmarked against similar\-stage growth companies. Final offer amounts are determined by multiple factors and may vary based on candidate location, skills, depth of work experience, and relevant licenses/credentials.
*At Vanta, we are committed to hiring diverse talent of different backgrounds and as such, it is important to us to provide an inclusive work environment for all. We do not discriminate on the basis of race, gender identity, age, religion, sexual orientation, veteran or disability status, or any other protected class. As an equal opportunity employer, we encourage and welcome people of all backgrounds to apply.*
**About Vanta**
 We started in 2018, in the wake of several high\-profile data breaches. Online security was only becoming more important, but we knew firsthand how hard it could be for fast\-growing companies to invest the time and manpower it takes to build a solid security foundation. Vanta was inspired by a vision to restore trust in internet businesses by enabling companies to improve and prove their security. From our early days automating security monitoring for compliance standards like SOC 2, HIPAA and ISO 27001 to creating the world's leading Trust Management Platform, our vision remains unchanged.
 Now more than ever, making security continuous—not just a point\-in\-time check— is essential. Thousands of companies rely on Vanta to build, maintain and demonstrate their trust— all in a way that's real\-time and transparent.</t>
        </is>
      </c>
    </row>
    <row r="96">
      <c r="A96" t="inlineStr">
        <is>
          <t>li-4334521986</t>
        </is>
      </c>
      <c r="B96" t="inlineStr">
        <is>
          <t>Sr. Product Manager, Supply Chain</t>
        </is>
      </c>
      <c r="C96" t="inlineStr">
        <is>
          <t>Jiffy.com</t>
        </is>
      </c>
      <c r="D96" t="inlineStr">
        <is>
          <t>linkedin</t>
        </is>
      </c>
      <c r="E96">
        <f>HYPERLINK("https://www.linkedin.com/jobs/view/4334521986", "https://www.linkedin.com/jobs/view/4334521986")</f>
        <v/>
      </c>
      <c r="F96" t="inlineStr"/>
      <c r="G96" t="inlineStr">
        <is>
          <t>Irvine, CA</t>
        </is>
      </c>
      <c r="H96" t="inlineStr"/>
      <c r="I96" t="inlineStr">
        <is>
          <t>**Description**
 We're a fast\-growing and profitable startup building the defining company at the intersection of AI, apparel, and culture. We move at a blinding pace, operate in one\-week release cycles, and are looking for a builder with a founder's mentality to join our core team. We are not iterating; we are inventing. If you're tired of big\-tech bureaucracy and want to build a rocketship from the ground up, this is your call.
 This is not a typical Product Manager role. We are looking for a first\-principles thinker and seasoned product leader to be the architect of our logistics network. Your mission is to solve a complex, multi\-sided logistics problem involving centralized warehouses, distributed partners, middle\-mile bulk transit, and on\-demand last\-mile fleets.
 You will be pointed at this ambiguous, mission\-critical challenge and given the autonomy to transform a functional pilot into a highly optimized, scalable, and profitable business line. You will own the product vision, strategy, and execution of the core pathfinding algorithm that balances customer experience, operational cost, and network speed. Your performance will be measured by what you ship and the impact it has.
 This role follows a
 **hybrid work model** 
 with a requirement of
 **a minimum of three (3\) days per week onsite** 
 . Employees should expect to work regularly from the office to support collaboration and business needs.
 The base compensation for this role is expected to range from
 **$150,000 \- $200,000** 
 per year. Actual compensation will be based on a variety of factors, including skills, experience, qualifications, and overall fit for the role.
**Requirements**
**Basic Qualifications**
* Bachelors Degree required
* 6\+ years of product management
* Deep Logistics \&amp; Supply Chain Expertise: You live and breathe concepts like network density, pathfinding, unit economics, and multi\-modal logistics. You have deep domain expertise in logistics, supply chain, operations research, or two\-sided marketplace dynamics.
* Last\-mile Experience: Direct experience with gig economy platforms (e.g., Uber, DoorDash) or working with third\-party logistics (3PL) providers and APIs.
* Deep Technical Literacy: You have a Computer Science/engineering background or equivalent hands\-on experience. You can hold your own in a system architecture discussion, understand optimization models, read API documentation for fun, and debate infrastructure trade\-offs with senior engineers.
* A "Wartime" Owner Mentality: You are an independent, relentlessly resourceful operator. You have an obsessive bias for action and run through walls to get the job done. You see a problem, you validate it, you define a solution, you rally a team, and you ship it. End\-to\-end.
* First\-Principles Logic \&amp; Analytical Rigor: You are data\-obsessed. You instinctively deconstruct complex problems into their purest logical components (expected paths, alternate paths, exception paths) and build simple, elegant solutions. You are skilled in A/B testing, data analysis (SQL proficiency is a strong plus), and KPI definition.
* Proven Shipping Experience: You have 3\+ years of product management experience with a proven track record of shipping complex, data\-intensive products. You've been in the trenches and have the scars to prove it.
* AI\-Native Execution: You don't just use AI; you think with it. You leverage modern AI tools to accelerate velocity and quality—from generating interactive prototypes in hours to analyzing user feedback and formulating data\-driven hypotheses before a line of code is written.
* Exceptional Written \&amp; Verbal Clarity: You can articulate complex technical and strategic concepts to any audience, from an engineering stand\-up to an executive business review. Your product specs are so clear and precise they are impossible to misinterpret.
* Intellectual Honesty \&amp; Adaptability: You hold strong opinions, weakly held. You are committed to the mission, not your own ideas. When the data tells you to pivot, you do so instantly and without ego. You understand the roadmap is a living document, not a sacred text.
**Preferred Qualifications**
* Startup DNA: You've worked at a seed or Series A startup or have tried to build your own thing.
* Advanced Education: An MBA or a graduate degree in Operations Research, Supply Chain Management, Computer Science, or a related quantitative field.
* Design Acumen: You have a strong sense of UX and can work with designers to craft beautiful, intuitive products.
**This Job Is Not A Fit For You If...**
* You see product management as "CEO of the product." We are a team of servants to our users and our mission.
* You are a "glorified project manager." Your job is to define the what and the why with extreme clarity, not just track the how.
* You need months to research a problem or believe in long, multi\-week release cycles. We ship in one week.
* You feel your job is to "manage" engineers. Your job is to empower them with a clear vision and the context they need to build.
* You are married to your roadmap and find it difficult to pivot when a better opportunity presents itself.
**Location:** 
 Irvine CA
**Why You Will Love Working At Jiffy**
* Opportunity to grow company market share through innovation in the rapidly evolving e\-commerce, AI, and image processing space.
* Thrive in a collaborative, high\-growth environment where your ideas directly influence how Jiffy evolves as a leading e\-commerce destination.
* High visibility and influence in solving complex problems and delivering cutting edge solutions resulting in direct impact on Jiffy’s seamless customer experience.
* Access to career development opportunities in a company that invests deeply in professional growth.
**Benefits**
**What We Offer**
* Compensation \&amp; Growth: Competitive salary, equity opportunities, and performance\-based bonuses.
* Comprehensive Benefits: Full medical, dental, and vision coverage, with a portion of premiums paid by Jiffy.
* Retirement Planning: 401(k)
* Wellness Support: Annual wellness benefits to help you stay healthy and balanced.
* Tools for Success: Choice of MacBook or PC laptop, plus equipment for your home office setup.
* Perks \&amp; Extras: Annual credit of $200 to use on our website plus more team merch drops than you will know what to do with!
* Professional Development: Annual stipend to support your learning and career growth.
**EEO**
 Jiffy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characteristics. Jiffy considers qualified applicants with criminal histories, consistent with applicable federal, state and local law. Jiffy is also committed to providing reasonable accommodations for qualified individuals with disabilities and disabled veterans in our job application procedures.</t>
        </is>
      </c>
    </row>
    <row r="97">
      <c r="A97" t="inlineStr">
        <is>
          <t>li-4343489126</t>
        </is>
      </c>
      <c r="B97" t="inlineStr">
        <is>
          <t>Principal Product Manager</t>
        </is>
      </c>
      <c r="C97" t="inlineStr">
        <is>
          <t>Microsoft</t>
        </is>
      </c>
      <c r="D97" t="inlineStr">
        <is>
          <t>linkedin</t>
        </is>
      </c>
      <c r="E97">
        <f>HYPERLINK("https://www.linkedin.com/jobs/view/4343489126", "https://www.linkedin.com/jobs/view/4343489126")</f>
        <v/>
      </c>
      <c r="F97">
        <f>HYPERLINK("https://apply.careers.microsoft.com/careers/job/1970393556641799?utm_source=linkedin&amp;domain=microsoft.com&amp;src=LinkedIn&amp;urlHash=bl36", "https://apply.careers.microsoft.com/careers/job/1970393556641799?utm_source=linkedin&amp;domain=microsoft.com&amp;src=LinkedIn&amp;urlHash=bl36")</f>
        <v/>
      </c>
      <c r="G97" t="inlineStr">
        <is>
          <t>Redmond, WA</t>
        </is>
      </c>
      <c r="H97" t="inlineStr"/>
      <c r="I97" t="inlineStr">
        <is>
          <t>**Overview**
 What We Do:
 We build Employee Service Delivery capabilities for Microsoft 365 Copilot. Through these capabilities, we are making Microsoft 365 Copilot the single starting point for all of employee’s needs as well as giving the tools and capabilities Leaders need to successfully transform their organizations around AI.
**Our Culture**
 We are a geo\-distributed team of product managers and technical program managers. We are primarily focused on creating experiences for Microsoft 365 Copilot and Copilot Studio that complete user jobs around Employee Experience – leveraging the data and capabilities of the Microsoft Graph, Microsoft Viva, and Microsoft 365\. We are customer obsessed, data informed, and hypothesis driven and measure our outcomes to prove we deliver value to customers. We partner closely with a talented and senior set of engineers, designers, and researchers.
 The Work:
 We are looking for a talented
 **Principal Product Manager** 
 who has high customer empathy, is passionate about building great end to end experiences, is comfortable and skilled in representing Microsoft to high profile customers with complex needs, can effectively collaborate with and drive dependencies through partnerships, understands working and partnerships with Independent Software Vendors (ISVs), and can think through the entire range of maker\-to\-the\-end\-user experiences. As a Principal Product Manager, you will have the opportunity to lead and influence a truly global charter that has a material impact on Microsoft 365 Copilot and Microsoft Viva, and the ability to shape the future of a new and emerging product.
 Creating a successful team involves fostering an inclusive environment where everyone feels welcome. We prioritize inclusive meetings to encourage valuable dialogue and maintain transparency as a cultural cornerstone. We support talent mobility and experimentation within the team and company. Additionally, we track key metrics to measure our successes and failures, celebrate wins, and learn from mistakes.
 The product is very much a v1 / startup modality. Thus, we are looking for a Principal Program Manager that thrives in ambiguity, is willing to evolve quickly and fast as we learn and adapt, and is comfortable working with a tightly\-knit team to adjust.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You will influence others to drive business impact across the organization and track success criteria for multiple feature areas across divisions. You’ll also be an expert in identifying long\-term investment opportunities and engaging partners to garner support for those feature areas.
* You will define a feature set and facilitate senior\-level usability reviews with customers. You’ll own the roadmap for multiple feature areas across divisions, and will collaborate with a partner team to build golden configurations and drive scenario walkthroughs.
* You will scale Product Marketing teams by building marketing and roll\-out plans, as well as leading the creation of customer support plans. You’ll also take advantage of major opportunities to promote the feature areas you worked on and present at large events.
* As an expert, you will partner with others to collect performance metrics and form hypotheses for complex technical needs in order to improve product development in multiple areas. You’ll also identify features to deprecate, manage customer communities, and build trust with targeted customers across sectors.
**Qualifications**
**Required Qualifications:**
* Bachelor's Degree AND 8\+ years experience in product/service/program management or software development
+ OR equivalent experience.
* 8\+ years as product or program manager overall working on large scale projects across diverse organizations and product offerings.
* Deeply technical person who understands Copilot and Copilot\-led experiences.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Experience in building data driven products, ability to use data to inform product decisions.
* Experiences with Copilot Studio and/or maker/power\-user experiences.
* Experience partnering with 3P ISVs.
* A track\-record of independence, thinking freely and delivering world class solutions.
* The ability to lead across disciplines, collaborate, and influence your peers.
* The ability to empathize, listen, and obsess over our customers.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98">
      <c r="A98" t="inlineStr">
        <is>
          <t>li-4373220745</t>
        </is>
      </c>
      <c r="B98" t="inlineStr">
        <is>
          <t>Senior Product Manager</t>
        </is>
      </c>
      <c r="C98" t="inlineStr">
        <is>
          <t>Microsoft</t>
        </is>
      </c>
      <c r="D98" t="inlineStr">
        <is>
          <t>linkedin</t>
        </is>
      </c>
      <c r="E98">
        <f>HYPERLINK("https://www.linkedin.com/jobs/view/4373220745", "https://www.linkedin.com/jobs/view/4373220745")</f>
        <v/>
      </c>
      <c r="F98">
        <f>HYPERLINK("https://apply.careers.microsoft.com/careers/job/1970393556735193?utm_source=linkedin&amp;domain=microsoft.com&amp;src=LinkedIn&amp;urlHash=ZoxZ", "https://apply.careers.microsoft.com/careers/job/1970393556735193?utm_source=linkedin&amp;domain=microsoft.com&amp;src=LinkedIn&amp;urlHash=ZoxZ")</f>
        <v/>
      </c>
      <c r="G98" t="inlineStr">
        <is>
          <t>Redmond, WA</t>
        </is>
      </c>
      <c r="H98" t="inlineStr"/>
      <c r="I98" t="inlineStr">
        <is>
          <t>**Overview**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Within Azure Data, the databases team builds and maintains Microsoft's operational Database systems. We store and manage data in a structured way to enable multitude of applications across various industries. We are on a journey to enable developer friendly, mission\-critical, AI enabled operational Databases across relational, non\-relational and OSS offerings.
 In this Product Manager role on the Azure Database for PostgreSQL team, you will operate as a forward deployed engineer, partnering directly with our largest Azure Database for PostgreSQL customers at the intersection of product strategy and customer impact. You will engage with technical and business stakeholders to unblock adoption challenges, and translate critical feedback into clear, prioritized requirements for our engineering team. This role requires a combination of deep database technical knowledge (preferably PostgreSQL), and a passion for customer success, with experience working directly with enterprise customers at technical and exec levels.
 We do not just value differences or different perspectives. We seek them out and invite them in so we can tap into the collective power of everyone in the company. As a result, our customers are better served.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Partner with customers to understand business goals, workloads, and adoption challenges, bringing insights back to inform product direction.
* Convert customer feedback, usage patterns, and operational needs into prioritized product requirements that align with the Azure Database for PostgreSQL roadmap and platform strategy.
* Act as a customer advocate during feature definition and delivery to ensure customer scenarios are well understood and outcomes meet customer needs.
* Partner with customer account teams to support key engagements, providing product and engineering context and technical guidance to help accelerate adoption and success.
* Identify patterns and opportunities across customer engagements to help drive durable product improvements rather than one‑off solutions.
* Embody our culture and values.
**Qualifications**
**Required Qualifications:**
* Bachelor's Degree AND 5\+ years' experience in product/service/program management or software development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**Preferred/Additional Qualifications**
* Bachelor's Degree AND 8\+ years experience in product/service/program management or software development OR equivalent experience.
* Demonstrated experience working with customers building technical architecture and solutions. e.g., Cloud Solution Architect Role.
* In\-depth knowledge of cloud database technology, preferably PostgreSQL.
* Experience coding, scripting and working with open\-source technologies.
**\#Azuredataplatform**
 Product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99">
      <c r="A99" t="inlineStr">
        <is>
          <t>li-4327313471</t>
        </is>
      </c>
      <c r="B99" t="inlineStr">
        <is>
          <t>Product Manager</t>
        </is>
      </c>
      <c r="C99" t="inlineStr">
        <is>
          <t>Deluxe</t>
        </is>
      </c>
      <c r="D99" t="inlineStr">
        <is>
          <t>linkedin</t>
        </is>
      </c>
      <c r="E99">
        <f>HYPERLINK("https://www.linkedin.com/jobs/view/4327313471", "https://www.linkedin.com/jobs/view/4327313471")</f>
        <v/>
      </c>
      <c r="F99" t="inlineStr"/>
      <c r="G99" t="inlineStr">
        <is>
          <t>Burbank, CA</t>
        </is>
      </c>
      <c r="H99" t="inlineStr"/>
      <c r="I99" t="inlineStr">
        <is>
          <t>Job
 Product Manager
**Description**
**POSITION TITLE:** 
 Product Manager, AI
**LOCATION:** 
 Burbank, CA
**About The Role**
**Position Overview**
 We’re searching for a Product Manager who knows their way around AI, data, media workflows, and actual delivery pressure. This role will drive the vision, strategy, and execution for AI\-powered capabilities across Deluxe’s localization and distribution ecosystem. You will partner with our AI Agent engineering team to design, prioritize, and launch AI solutions that automate tedious workflows, assist operators throughout the order\-to\-delivery lifecycle, and uncover optimization opportunities hidden inside our enormous historical dataset.
 If you enjoy identifying inefficiencies, transforming them into elegant product opportunities, and building AI systems that help real humans do their jobs better and faster, welcome aboard.
**Objectives Of This Role**
* Define and maintain the AI product vision, roadmap, and strategic outcomes aligned with Deluxe’s platform modernization initiatives.
* Work closely with AI Agent developers, product managers, and operational teams to identify high\-impact use cases across localization, metadata, asset management, and distribution workflows.
* Analyze existing processes and datasets to uncover automation opportunities, predictive insights, and agentic AI applications that deliver measurable ROI.
* Ensure AI capabilities enhance user experience, reduce manual data entry, and streamline order\-to\-delivery execution.
* Communicate strategy, roadmap, milestones, and performance metrics to stakeholders across technology, product, operations, and executive leadership.
**Responsibilities**
* Lead backlog creation and prioritization for AI initiatives, aligning development with business value, operational efficiency, and technical feasibility.
* Partner with engineering to translate complex AI use cases into clear product requirements, user stories, and acceptance criteria.
* Drive discovery efforts: workflow mapping, data analysis, interviews with operators, and evaluation of current tools and systems.
* Build and maintain detailed product specifications for AI agents, automation features, predictive models, and workflow\-optimized experiences.
* Facilitate sprint planning, demos, and ongoing refinement with AI development teams.
* Manage risks, dependencies, and roadblocks to ensure reliable delivery of AI features.
* Partner with UX teams to ensure agent\-driven workflows remain intuitive, trustworthy, and operator\-approved.
* Validate releases using KPIs such as time savings, accuracy improvements, error reduction, and operational throughput.
* Serve as the internal and external advocate for Deluxe’s AI strategy, capabilities, and roadmap.
**Required Skills And Qualifications**
* 5\+ years of experience in product management or product development, ideally with exposure to AI/ML, data\-driven products, or workflow automation.
* Strong familiarity with Agile methodologies and managing iterative development cycles.
* Experience transforming business needs into refined roadmaps and backlogs.
* Analytical mindset with the ability to interpret data, evaluate workflows, and quantify product value.
* Excellent communication and presentation skills, able to interface confidently with executive stakeholders, engineers, and operators.
* Demonstrated ability to manage competing priorities and build alignment across cross\-functional teams.
**Preferred Skills And Qualifications**
* Bachelor’s degree in Computer Science, Engineering, Product Management, Media Technology, or a related field.
* Understanding of post\-production, localization, content supply\-chain workflows, or media technology.
* Experience working with large datasets, AI agents, LLM\-driven workflows, or automation platforms.
* Familiarity with tools like JIRA, Confluence, analytics platforms, and modern AI development environments.
**What Success Looks Like**
* AI agents reducing manual data entry by measurable percentages.
* Predictive insights that help teams make faster, better decisions.
* Increased throughput in order\-to\-delivery workflows.
* Higher operational satisfaction because tedious tasks become automated or assisted.
* A roadmap that continuously expands AI’s footprint across Deluxe platforms, grounded in real business impact.
**About The Company**
 Deluxe, a subsidiary of Platinum Equity, is a global leader in media and entertainment services for film, video, and online content. Since 1915, Deluxe has been the trusted partner for the world’s most successful Hollywood studios, independent film companies, TV networks, exhibitors, advertisers and others, offering best\-in\-class solutions in post\-production, distribution, asset and workflow management, and cloud\-based technologies.
 With headquarters in Los Angeles and offices around the globe, the company employs over 3,500 of the most talented individuals, developers, and industry veterans worldwide. For more information, please visit www.bydeluxe.com.
 We offer competitive pay and benefits program including medical, dental \&amp; vision coverage, vacation \&amp; sick leave, 401(k), and more.
**Diversity Statement**
 Deluxe is committed to inclusivity, fostering an environment where every employee feels comfortable bringing their full selves to work. It is our policy to provide equal employment opportunities to all applicants and employees.
 Applicants will receive consideration for employment without regard to, and will not be discriminated against, on the basis of race, color, religion, creed, national origin or ancestry, sex, age, physical or mental disability, veteran status, sexual orientation, gender identity or expression, genetic information or any other legally recognized protected basis under federal, state or local laws, regulations or ordinances. Deluxe will consider qualified applicants with criminal histories in a manner consistent with the requirements of applicable local, state, and federal law.
 Applicants with disabilities may be entitled to reasonable accommodation under the terms of the Americans with Disabilities Act and certain state or local laws. A reasonable accommodation is a change in the way things are normally done which will ensure an equal employment opportunity without imposing undue hardship on Deluxe. Please inform the company's HR representative if you need assistance completing any forms or to otherwise participate in the application process.
 This role is based in Burbank, CA and the base pay range for this role is $160,000\.00 \- $200,000\.00 annually. Actual amounts will vary depending on education, skills, experience, and geographic location.</t>
        </is>
      </c>
    </row>
    <row r="100">
      <c r="A100" t="inlineStr">
        <is>
          <t>li-4381514984</t>
        </is>
      </c>
      <c r="B100" t="inlineStr">
        <is>
          <t>Sr. Technical Product Manager</t>
        </is>
      </c>
      <c r="C100" t="inlineStr">
        <is>
          <t>Eagleview</t>
        </is>
      </c>
      <c r="D100" t="inlineStr">
        <is>
          <t>linkedin</t>
        </is>
      </c>
      <c r="E100">
        <f>HYPERLINK("https://www.linkedin.com/jobs/view/4381514984", "https://www.linkedin.com/jobs/view/4381514984")</f>
        <v/>
      </c>
      <c r="F100" t="inlineStr"/>
      <c r="G100" t="inlineStr">
        <is>
          <t>Rochester, NY</t>
        </is>
      </c>
      <c r="H100" t="inlineStr"/>
      <c r="I100" t="inlineStr">
        <is>
          <t>Eagleview
 Locations: Rochester, New York
 Categories: Product
 Job Type: Regular Full\-Time
 Work Type: Remote
 Req ID: 2760
 \#\#
**Job Description About Us**
 Eagleview is a leading provider of aerial imagery, property insights and software that transforms the way people work. EagleView holds more than 300 patents and owns a large geospatial data and imagery library encompassing 94 percent of the US population. EagleView provides the most accurate data, enabling customers in the government, construction, solar and insurance industries to make timely, informed and better decisions.
**Overview**
 EagleView, the leader in aerial imagery and geospatial intelligence, is seeking a Sr. Technical Product Manager in Data \&amp; AI to define and scale the companys Geospatial Content Platform. This role is accountable for identifying, defining, and documenting platform requirements for ML\-derived datasets, data taxonomy, and enterprise\-scale distribution models. The Sr. TPM will shape how AI\-generated data and insights are structured, versioned, governed, and distributed via APIs, MCP, Agents, and ecosystem integrations.This role will operate at the intersection of data engineering, machine learning, platform architecture, and go\-to\-market enablement to ensure scalable, secure, and monetizable AI\-native capabilities.
**Responsibilities**
 Platform Strategy
* Define roadmap and requirements for the Content Platform supporting ML\-derived content.
* Establish requirements for data taxonomy, schema governance, versioning, and lineage.
* Translate AI research outputs into production\-grade, enterprise\-ready platform capabilities.Data \&amp; AI Productionization
* Own creation of PRDs and structured requirements for ML derived features and attributes, confidence scoring, and quality frameworks.
* Partner with ML, Data Engineering, and Architecture teams to ensure NFRs such as performance and availability are well defined.Enterprise Distribution \&amp; Ecosystem
* Define content distribution requirements driving the evolution of our APIs, geospatial data pipelines, event\-driven workflows, MCP integrations, and agent\-based consumption models.
* Ensure platform scalability, performance, security, and multi\-tenant readiness.
* Support platform capabilities that enable monetization models including Data\-as\-a\-Service and API enablement.Customer \&amp; Market Alignment
* Engage go\-to\-market product managers and internal stakeholders to identify integration and AI workflow requirements.
* Translate vertical use cases into reusable platform capabilities and POVs (proof\-of\-value).Metrics \&amp; Governance
* Define success metrics across adoption, quality, latency, and uptime.
* Establish telemetry, observability, and SLAs for platform performance.Cross\-Functional Leadership
* Lead backlog prioritization across platform initiatives.
* Align research, engineering, and go\-to\-market stakeholders on scalable delivery.
* Communicate roadmap, releases, and impact to leadership.
**Qualifications**
* Experience defining requirements for enterprise\-scale data platforms and AI\-integrated systems.
* Familiarity with cloud platforms (AWS or equivalent).
* Demonstrated ability to translate complex technical systems into structured, actionable requirements.
* Strong analytical thinking, business acumen, and executive\-level communication skills.Preferred
* Background in geospatial data, imagery, or 3D modeling.
* Experience with SQL/NoSQL systems, vector databases, feature stores, RAG architectures, and agent frameworks.
* Experience with MCP or AI protocol integrations.
* Experience building data monetization platforms (DaaS, APIs, subscription models).
* Familiarity with ontology design and cross\-domain data normalization.
* Experience supporting enterprise customers at scale.
 EEO State</t>
        </is>
      </c>
    </row>
    <row r="101">
      <c r="A101" t="inlineStr">
        <is>
          <t>li-4299041496</t>
        </is>
      </c>
      <c r="B101" t="inlineStr">
        <is>
          <t>Senior Product Manager, Manage</t>
        </is>
      </c>
      <c r="C101" t="inlineStr">
        <is>
          <t>Clio</t>
        </is>
      </c>
      <c r="D101" t="inlineStr">
        <is>
          <t>linkedin</t>
        </is>
      </c>
      <c r="E101">
        <f>HYPERLINK("https://www.linkedin.com/jobs/view/4299041496", "https://www.linkedin.com/jobs/view/4299041496")</f>
        <v/>
      </c>
      <c r="F101" t="inlineStr"/>
      <c r="G101" t="inlineStr"/>
      <c r="H101" t="inlineStr"/>
      <c r="I101" t="inlineStr">
        <is>
          <t>Clio is the global leader in legal AI technology, empowering legal professionals and law firms of every size to work smarter, faster, and more securely.
 We are transforming the legal experience for all by bettering the lives of legal professionals while increasing access to justice.
**Summary:**
 We are seeking a
 **Senior Product Manager** 
 to join our product team. This role is to lead a product portfolio that shapes
 *how lawyers practice law and makes legal services more accessible* 
*.* 
 This role is available to candidates across the United States or Canada (excluding Quebec) in a remote capacity. If you are local to one of our hubs (Burnaby, Calgary, or Toronto) you will be expected to be in office minimum two days per week for our Anchor Days.
**What your team does:**
 This role will be focused on Clio's core case management product, which is a foundational part of the platform. The team is working to dramatically improve usability, drive automation, and simplify attorney workflow with AI\-powered tools.
****Who you are:****
 Core Skills and Traits
* Execution and Ownership: You are an outcomes\-obsessed leader with a proven ability to make things happen, owning mission\-critical products throughout their lifecycle.
* Strategic Thinking: You are a visionary who uses both qualitative and quantitative data to drive product strategy, defining requirements and measuring impact.
* Collaboration: You are a natural collaborator who builds strong partnerships with Product, Design, and Engineering to deliver high\-impact features that users love.
* Data\-Driven Mindset: Your decisions are guided by a balanced mix of data and research, and you are relentless in measuring the impact of your work.
 Vision and Execution
* Transforming Legacy Products: You have a passion for simplifying legacy, form\-heavy experiences into efficient, intuitive workspaces.
* Driving Innovation: You are excited about using AI\-driven automation to radically simplify attorney workflows and create "step\-function improvements."
* Product\-Led Growth: You are driven by a product\-led growth mindset and excited by the challenge of applying it to a foundational, core product. You will lead with intuitive onboarding and automation solutions to make getting started and managing cases "dramatically easier," thereby driving user adoption and business growth.
* Scaling Impact: You want to support the "hockey\-stick" growth of a market\-leading SaaS company by shaping a foundational product that will have a direct impact on legal professionals worldwide.
****What you’ll work on:****
* Own an exciting product portfolio with a direct impact on how legal work is practiced and delivered.
* Collect and synthesize business requirements and collaborate with Product, Design, and Engineering to design and deliver high\-impact features.
* Conduct research, gather feedback, and drive the product strategy and roadmap for the core case management experience.
* Use data to define requirements, measure impact, and guide decision\-making.
* Ship and launch features end\-to\-end, collaborating with cross\-functional teams like Development, Product Design, Marketing, Sales, and Support.
* Simplify legacy, form\-heavy, multi\-tab experiences into efficient, intuitive workspaces.
* Drive “quickstart” onboarding and automation solutions to make getting started and managing cases easier.
* Take accountability for features throughout their lifecycle, championing iteration and improvement based on user adoption and feedback.
****What you bring:****
* At least 5 years of SaaS product management or other relevant experience, preferably with workflow, project management, or B2B productivity platforms.
* A proven track record of owning and shipping mission\-critical products, iterating quickly, and reducing product friction at scale.
* Experience with customer\-centric product research, requirements gathering, and data\-driven prioritization.
* Expertise in collaborating with cross\-functional teams and launching features that users love.
* An execution\-first mindset: decisive, analytical, and outcomes\-obsessed.
****Nice to have****
* Familiarity with AI\-driven automation
* MBA or related advanced degree
 This role is a backfill for an existing position.
**What you will find here:**
 Compensation is one of the main components of Clio’s Total Rewards Program. We have developed a series of programs and processes to ensure we are creating fair and competitive pay practices that form the foundation of our human and high\-performing culture.
**Some highlights of our Total Rewards program include:**
* Competitive, equitable salary with top\-tier health benefits, dental, and vision insurance
* Hybrid work environment, with expectation for local Clions (Vancouver, Calgary, Toronto, Dublin and Sydney) to be in office min. twice per week.
* Flexible time off policy, with an encouraged 20 days off per year.
* $2000 annual counseling benefit
* RRSP matching and RESP contribution
* Clioversary recognition program with special acknowledgement at 3, 5, 7, and 10 years
 The expected salary range\* for this role is $137,500 to $161,800 to $186,100 CAD. There are a separate set of salary bands for other regions based on local currency.
* Our salary bands are designed to reflect the range of skills and experience needed for the position and to allow room for growth at Clio. For experienced individuals, we typically hire at or around the midpoint of the band. The top portion of the salary band is reserved for employees who demonstrate sustained high performance and impact at Clio. Those who are new to the role may join below the midpoint and develop their skills over time. The final offer amount for this role will be dependent on geographical region, applicable experience, and skillset of the candidate.
**Diversity, Inclusion, Belonging and Equity (DIBE) \&amp; Accessibility**
 Our team shows up as their authentic selves, and are united by our mission. We are dedicated to diversity, equity and inclusion. We pride ourselves in building and fostering an environment where our teams feel included, valued, and enabled to do the best work of their careers, wherever they choose to log in from. We believe that different perspectives, skills, backgrounds, and experiences result in higher\-performing teams and better innovation. We are committed to equal employment and we encourage candidates from all backgrounds to apply.
 Clio provides accessibility accommodations during the recruitment process. Should you require any accommodation, please let us know and we will work with you to meet your needs.
 Learn more about our culture at clio.com/careers
 We're a Human and High Performing AI company, meaning we use artificial intelligence to improve all of our operations. In recruitment, AI helps us streamline the process for greater efficiency. However, we've built our systems to ensure that a human always reviews AI\-generated output, and we never make automated hiring decisions.
***Disclaimer:** 
 We only communicate with candidates through official @clio.com email addresses.*</t>
        </is>
      </c>
    </row>
    <row r="102">
      <c r="A102" t="inlineStr">
        <is>
          <t>li-4341817544</t>
        </is>
      </c>
      <c r="B102" t="inlineStr">
        <is>
          <t>Principal Product Manager</t>
        </is>
      </c>
      <c r="C102" t="inlineStr">
        <is>
          <t>Circle</t>
        </is>
      </c>
      <c r="D102" t="inlineStr">
        <is>
          <t>linkedin</t>
        </is>
      </c>
      <c r="E102">
        <f>HYPERLINK("https://www.linkedin.com/jobs/view/4341817544", "https://www.linkedin.com/jobs/view/4341817544")</f>
        <v/>
      </c>
      <c r="F102" t="inlineStr"/>
      <c r="G102" t="inlineStr"/>
      <c r="H102" t="inlineStr"/>
      <c r="I102" t="inlineStr">
        <is>
          <t>Circle is a financial technology company at the epicenter of the emerging internet of money, where value can finally travel like other digital data — globally, nearly instantly and less expensively than legacy settlement systems. This ground\-breaking new internet layer opens up previously unimaginable possibilities for payments, commerce and markets that can help raise global economic prosperity and enhance inclusion. Our infrastructure – including USDC, a blockchain\-based dollar – helps businesses, institutions and developers harness these breakthroughs and capitalize on this major turning point in the evolution of money and technology.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and diverse work environment where new ideas are encouraged and everyone is a stakeholder.
******What You’ll Be Part Of:******
 Circle is a financial technology company at the epicenter of the emerging internet of money, where value can finally travel like other digital data — globally, nearly instantly and less expensively than legacy settlement systems. This ground\-breaking new internet layer opens up previously unimaginable possibilities for payments, commerce and markets that can help raise global economic prosperity and enhance inclusion. Our infrastructure – including USDC, a blockchain\-based dollar – helps businesses, institutions and developers harness these breakthroughs and capitalize on this major turning point in the evolution of money and technology.
 Circle is committed to visibility and stability in everything we do. As we grow as an organization, we’re expanding into some of the world’s strongest jurisdictions. Speed and efficiency are motivators for our success and our employees live by our company values: Multistakeholder, Mindfulness, Driven by Excellence and High Integrity. Circlers are consistently evolving in a remote world where strength in numbers fuels team success. We have built a flexible and diverse work environment where new ideas are encouraged and everyone is a stakeholder.
****What you’ll be responsible for****
 As a Principal Product Manager at Circle, you will own the strategy and execution of our risk platform, ensuring it scales to support new products, markets, and global regulatory requirements. You will act as a cross\-functional leader, partnering with compliance, legal, engineering, data science, and business stakeholders to align priorities and deliver resilient infrastructure that supports both crypto and traditional financial rails. By combining product vision, technical fluency, and deep compliance expertise, you will enable Circle to manage risk with precision, meet evolving regulatory expectations, and uphold the highest standards of trust and safety.
****What you’ll work on****
* Design and scale a modular, extensible risk platform that supports crypto\- and traditional financial rails, as well as risk\-related use cases across onboarding, account linking, and other customer lifecycle events — with a focus on building a user\-friendly rules engine and intuitive tooling for risk operators.
* Define and implement observability strategies to ensure risk platform integrity, including monitoring performance, validating critical flows, and surfacing key risk indicators to inform prioritization and executive decision\-making.
* Evolve Circle’s travel rule platform to ensure jurisdictional coverage, interoperability, and seamless integration with internal systems and partner networks.
* Leverage AI/ML to automate risk decisioning and operational processes; lead feature/context engineering, model development, evaluation/monitoring frameworks.
* Maintain clear, comprehensive documentation of platform design, functionality, and dependencies to ensure internal transparency and audit readiness.
* Translate regulatory requirements and business needs into clear product requirements, insights, and user stories for engineering execution.
* Represent the risk platform in senior leadership and regulatory forums, aligning cross\-functional strategy and demonstrating how Circle’s infrastructure meets evolving compliance obligations at scale.
****What you’ll bring to Circle****
****Core Requirements****
* 10\+ years of product management experience building risk, compliance, or trust \&amp; safety platforms in fintech, crypto, or financial services.
* Deep expertise in fraud, AML, sanctions screening, and onboarding compliance (e.g., KYC/KYB), with hands\-on experience crafting risk rules based on real\-world typologies.
* Track record of translating regulatory requirements into scalable, policy\-driven platform capabilities that support both real\-time and asynchronous risk decisioning across crypto and fiat rails.
* Experience leading modular platform design, including refactoring monolithic services into scalable, service\-oriented architectures.
* Skilled in collaborating with engineering, data science, and operations teams to ship complex infrastructure products; able to influence senior stakeholders and drive alignment across functions.
* Highly analytical and data\-driven, with experience applying ML, risk signals, and scoring models to improve detection, decisioning, and operational efficiency.
* Strong technical fluency, including working knowledge of APIs, event\-driven architectures like SNS/SQS or equivalent, SQL, GitHub or equivalent.
******Preferred Requirements******
* Background in RegTech, banking, or scaled fintech, with direct exposure to complex regulatory environments.
* Expertise in blockchain technologies and crypto compliance, including chain types, on\-chain travel rule requirements, blockchain monitoring, and evolving crypto regulations.
* Experience with rapid prototyping using AI tools to accelerate product exploration, workflow automation, or internal tooling development.
*Circle is on a mission to create an inclusive financial future, with transparency at our core. We consider a wide variety of elements when crafting our compensation ranges and total compensation packages.*
*Starting pay is determined by various factors, including but not limited to: relevant experience, skill set, qualifications, and other business and organizational needs. Please note that compensation ranges may differ for candidates in other locations.*
 Base Pay Range: $187,500 \- $240,000
 We are an
 **equal opportunity employer** 
 . We do not discriminate on the basis of race, religion, color, national origin, gender, sexual orientation, age, marital status, veteran status, or disability status, or any other protected status required by the laws in the locations where we hire. Additionally, Circle participates in the E\-Verify Program in certain locations, as required by law.
*Should you require accommodations or assistance in our interview process because of a disability, please reach out to* 
*accommodations@circle.com* 
*for support. We respect your privacy and will connect with you separately from our interview process to accommodate your needs.*</t>
        </is>
      </c>
    </row>
    <row r="103">
      <c r="A103" t="inlineStr">
        <is>
          <t>li-4321481044</t>
        </is>
      </c>
      <c r="B103" t="inlineStr">
        <is>
          <t>Forward-Deployed Product Manager</t>
        </is>
      </c>
      <c r="C103" t="inlineStr">
        <is>
          <t>Normal Computing</t>
        </is>
      </c>
      <c r="D103" t="inlineStr">
        <is>
          <t>linkedin</t>
        </is>
      </c>
      <c r="E103">
        <f>HYPERLINK("https://www.linkedin.com/jobs/view/4321481044", "https://www.linkedin.com/jobs/view/4321481044")</f>
        <v/>
      </c>
      <c r="F103" t="inlineStr"/>
      <c r="G103" t="inlineStr"/>
      <c r="H103" t="inlineStr"/>
      <c r="I103" t="inlineStr">
        <is>
          <t>**Normal Computing \| Incredible Opportunities**
 The Normal Team builds foundational software and hardware that help move technology forward \- supporting the semiconductor industry, critical AI infrastructure, and the broader systems that power our world. We work as one team across New York, San Francisco, Copenhagen, Seoul, and London.
**Your Role In Our Mission**
 As a Forward\-Deployed Product Manager (FDPM), you operate at the forefront of Normal’s product evolution. You will embed closely with our most strategic semiconductor partners and own Normal’s product success within their organizations. Product success in this role spans the full arc of engagement \- from initial use case discovery, to scaled adoption, and to shaping the next generation of Normal’s product surfaces. The best of what you build ships to every Normal customer in the world.
 You will work directly with the leadership teams of the world’s most influential companies and operate with a high degree of ownership and autonomy with Normal’s resources, relationships, and scale behind you.
 You’re comfortable engaging across levels, from strategic discussions with senior client leadership to working through product and build details with engineers. You’ve shipped products that delivered real adoption and outcomes, and you’re motivated to do so at greater scale, on more consequential problems.
**Responsibilities**
* Be the product leader for our most critical customers. Take ownership of product success across the full engagement from early discovery through scaled production adoption, ensuring that Normal EDA product platform becomes embedded in production chip design workflows and delivers measurable impact.
* Trusted thought partner. Earn trust at the highest levels of our customer organizations \- not as a vendor, but as the person who understands their business well enough to build for it. You'll set the product vision for what Normal can become inside their organization and be accountable to deliver it.
* Lead opportunity discovery. Lead with a clear point of view, not just a list of questions. Diagnose how our customers and product users operate, identify where Normal EDA can meaningfully shift outcomes, and translate that insight into product hypotheses. Define new use cases and product surfaces, and work closely with our forward\-deployed engineering team to turn validated hypotheses into delivered product capabilities.
* Shape Normal’s product roadmap. Distill customer insight into structured product direction and prioritization. Separate one\-off constraints from systemic opportunities and directly shape how Normal EDA evolves as an end\-to\-end AI platform for chip design.
* Scale what proves itself. Once something works, you'll make it repeatable, helping the broader team build on what you've learned. Turn successful engagements into repeatable patterns and durable platform capabilities that compound over time.
**What Makes You A Great Fit**
* Experience in enterprise B2B product at a high\-growth technology company, and/or management consulting at a top\-tier consulting firm.
* Strong technical background (CS/ EE background or similar technical field)
* Exceptional written and verbal communication skills, with the ability to bring clarity to complex, ambiguous situations.
* Executive presence and strong business judgment, with the ability to operate effectively with senior leadership and connect product to business outcomes.
* Low ego, analytical rigor, and strong intellectual honesty. Open to feedback, receptive to diverse perspectives, and motivated by continuous learning and growth.
* An entrepreneurial sense of ownership for overall team and product success, with the ability to mobilize cross\-functional teams and drive progress.
**Bonus Points For**
* Background in semiconductors, or strong interest in getting up to speed on chip design and semiconductor engineering workflows.
* Experience building AI products in early\-stage startups or 0 to 1 environments, including founder or early founding team experience.
***Equal Employment Opportunity Statement***
*Normal Computing is an Equal Opportunity Employer. We celebrate diversity and are committed to creating an inclusive environment for all employees. All qualified applicants will receive consideration for employment without regard to race, color, religion, sex, sexual orientation, gender identity, national origin, disability, veteran status, or any other legally protected status.*
***Accessibility Accommodations***
*Normal Computing is committed to providing reasonable accommodations to individuals with disabilities. If you need assistance or an accommodation due to a disability, please let us know at accomodations@normalcomputing.ai.*
***Privacy Notice***
*By submitting your application, you agree that Normal Computing may collect, use, and store your personal information for employment\-related purposes in accordance with our Privacy Policy.*</t>
        </is>
      </c>
    </row>
    <row r="104">
      <c r="A104" t="inlineStr">
        <is>
          <t>li-4333042365</t>
        </is>
      </c>
      <c r="B104" t="inlineStr">
        <is>
          <t>Staff Product Manager, ICP Roadmap &amp; Delivery</t>
        </is>
      </c>
      <c r="C104" t="inlineStr">
        <is>
          <t>Intuit</t>
        </is>
      </c>
      <c r="D104" t="inlineStr">
        <is>
          <t>linkedin</t>
        </is>
      </c>
      <c r="E104">
        <f>HYPERLINK("https://www.linkedin.com/jobs/view/4333042365", "https://www.linkedin.com/jobs/view/4333042365")</f>
        <v/>
      </c>
      <c r="F104">
        <f>HYPERLINK("https://dsp.prng.co/U-5BjBb&amp;urlHash=jDXh", "https://dsp.prng.co/U-5BjBb&amp;urlHash=jDXh")</f>
        <v/>
      </c>
      <c r="G104" t="inlineStr">
        <is>
          <t>Mountain View, CA</t>
        </is>
      </c>
      <c r="H104" t="inlineStr"/>
      <c r="I104" t="inlineStr">
        <is>
          <t>**Overview**
 Mailchimp is a leading marketing automation platform, empowering millions of small businesses to grow through smarter marketing and customer engagement. Now, as part of Intuit, we’re building the next generation of connected tools that help small businesses and mid\-sized companies thrive. We’ve identified and invested in a set of Ideal Customer Profiles (ICPs) — including Professional Services, Mid\-Market, and others — to guide our product strategy. Each ICP represents a major opportunity to deliver tailored, end\-to\-end solutions that drive measurable growth for our customers. We’re hiring a Staff Product Manager responsible for ICP Coordination \&amp; delivery to ensure these strategies come to life. This role is responsible for connecting ICP visions with cross\-functional delivery, ensuring that features and functionality across the organization add up to cohesive customer experiences. You’ll partner closely with ICP leads, orchestrating dependencies, aligning priorities, and driving execution against a unified roadmap.
**Responsibilities**
* Align ICP strategies with execution – Partner with ICP leads to translate vision into actionable, coordinated delivery plans.
* Orchestrate cross\-functional delivery – Ensure that features from different product areas come together to create cohesive, end\-to\-end customer experiences.
* Manage dependencies and priorities – Anticipate overlaps across ICPs, identify trade\-offs, and ensure the right sequencing of work for maximum customer impact.
* Maintain roadmap visibility – Create clarity across teams by defining milestones, tracking progress, and communicating updates, risks, and adjustments.
* Anchor decisions in customer value – Keep ICP\-specific needs central to planning, ensuring that delivery ladders up to tangible outcomes for our customers.
* Foster accountability and alignment – Work across engineering, design, GTM, and other functions to ensure execution is consistent with ICP strategies and Intuit’s broader goals.
* Elevate product practices – Introduce frameworks, tools, and rituals that improve roadmap discipline and delivery excellence across ICPs.
**Qualifications**
* 3–7 years of product management experience, ideally in portfolio, platform, or cross\-functional delivery roles.
* Strategic and operational strength, able to balance long\-term vision with the details of execution.
* Exceptional organizational skills, with the ability to manage complex dependencies and drive clarity in ambiguous situations.
* Strong influencing skills, with experience aligning senior leaders and cross\-functional partners around shared priorities.
* Analytical and metrics\-driven, experienced in defining success measures and using data to drive accountability.
* Customer\-obsessed, ensuring delivery is always in service of real customer value.
* Outstanding communication and collaboration skills, capable of working across organizational levels and functions.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$180,500\.00 \- 244,000\.00
 Southern California $169,000\.00 \- 229,000\.00
 New York $177,500\.00 \- 240,500\.00</t>
        </is>
      </c>
    </row>
    <row r="105">
      <c r="A105" t="inlineStr">
        <is>
          <t>li-4321327149</t>
        </is>
      </c>
      <c r="B105" t="inlineStr">
        <is>
          <t>Staff Product Manager - MetaMask (Sports)</t>
        </is>
      </c>
      <c r="C105" t="inlineStr">
        <is>
          <t>Consensys</t>
        </is>
      </c>
      <c r="D105" t="inlineStr">
        <is>
          <t>linkedin</t>
        </is>
      </c>
      <c r="E105">
        <f>HYPERLINK("https://www.linkedin.com/jobs/view/4321327149", "https://www.linkedin.com/jobs/view/4321327149")</f>
        <v/>
      </c>
      <c r="F105" t="inlineStr"/>
      <c r="G105" t="inlineStr"/>
      <c r="H105" t="inlineStr"/>
      <c r="I105" t="inlineStr">
        <is>
          <t>Consensys is the leading blockchain and web3 software company founded by Joe Lubin, CEO of Consensys and Co\-Founder of Ethereum. Since 2014, Consensys has been at the forefront of innovation, pioneering technological developments within the web3 ecosystem.
 Through our product suite, including the MetaMask platform, Infura, Linea, Diligence, and our NFT toolkit Phosphor, we have become the trusted collaborator for users, creators, and developers on their path to build and belong in the world they want to see.
 Whether building a dapp, an NFT collection, a portfolio, or a better future, the instinct to build is universal. Consensys inspires and champions the builder instinct in everyone by making web3 universally easy to use and develop on.
 Our mission is to unlock the collaborative power of communities by making the decentralized web universally easy to access, use, and build on.
 You’ll get to work on the tools, infrastructure, and apps that scale these platforms to onboard one billion participants and 5 million developers. You’ll be constantly exposed to new concepts, ideas, and frameworks from your peers, and as you work on different projects — challenging you to stay at the top of your game. You’ll join a network of builders that reaches the edge of our ecosystem. Consensys alumni have moved on to become tech entrepreneurs, CEOs, and team leads at tech companies.
**About MetaMask**
 MetaMask is the world’s leading self\-custodial wallet, helping tens of millions of people discover and use web3\. The
 **Trade** 
 swimlane is where users go to
 *do things with their assets* 
 – swapping, bridging, trading perps, and soon:
 **betting on sports through on\-chain prediction markets** 
 .
 We’re building a new
 **Sports** 
 vertical under Trade, focused on sports betting as a subset of prediction markets. Our ambition is to create a sports experience that feels
 **instantly familiar** 
 to Web2 sportsbook users—but powered by open, composable, global infrastructure.
 We’re looking for a Senior / Staff Product Manager to lead this Sports vertical end\-to\-end.
 You will own the Sports product within Trade: from strategy to UX to execution. You’ll translate the language of sportsbooks—
 **moneyline, spread, totals, props, parlays, futures** 
 —into a product that sports fans love and that showcases the strengths of web3 prediction markets.
 You’ll work closely with:
* Engineering (client \+ backend \+ infra)
* Design (sports UX, onboarding, market views, slips)
* Data \&amp; research
* External sports consultants and partners
 Your job is to make MetaMask the most compelling on\-chain destination for sports fans who today live on DraftKings, FanDuel, Polymarket, Kalshi, and traditional sportsbooks.
 This is a high\-ownership, high\-leverage role: you’ll shape a net\-new product pillar in one of the most widely used apps in web3\.
**What You’ll Do**
 Own the Sports product vision \&amp; strategy
* Define the north star for sports within MetaMask Trade: target users, core use cases, and product thesis (why on\-chain, why prediction markets, why MetaMask).
* Map the competitive landscape across Web2 sportsbooks and Web3 prediction markets; identify where we should be familiar vs. where we should be different.
* Build a clear multi\-phase roadmap that gets us from v0 → v1 → scaled product, with explicit tradeoffs and milestones.
 Design a sportsbook\-native UX for web3
* Work with design to create intuitive sports flows:
+ League and event discovery (NFL, NBA, MLB, global football/soccer, F1, etc.).
+ Market displays (moneyline, spread, totals, props, parlays) that feel native to bettors.
+ Bet slip, confirmation, live updates, history, and cash\-like UX expectations.
* Make sure the experience is welcoming for Web2 sports fans who may be new to wallets, gas, and on\-chain concepts, without dumbing down the product for degens.
 Drive acquisition, engagement, and retention
* Define the funnel for sports:
+ From existing MetaMask users discovering sports
+ To net\-new sports users being onboarded into MetaMask
* Partner with PMM and Growth to design campaigns, promotions, and retention loops (e.g., seasonal events, big tournaments, ongoing incentives—within regulatory and policy guardrails).
* Instrument the product with clear metrics (active bettors, handle, repeat usage, retention, unit economics) and run experiments to improve them.
 Collaborate deeply with engineering \&amp; sports experts
* Work with engineering to define:
+ How markets are created, updated, and settled
+ Performance and reliability expectations for odds, market states, and settlement flows
* Translate discussions with sports consultants, quants, and traders into product requirements (market types, minimum/maximums, parlay logic, edge\-case handling).
* Ensure the product is designed with compliance, risk, and user protection in mind (in partnership with Legal/Compliance).
 Execute with rigor
* Run end\-to\-end product cycles: discovery → spec → design → implementation → testing → launch → learn.
* Define and enforce a clear Definition of Done for Sports features:
+ Edge cases in odds display, settlement, cancel/void rules, and bet slips
+ Performance and reliability thresholds for live events
+ Telemetry and alerting for critical failures
 Lead post\-mortems when incidents happen; turn them into durable improvements in process, tooling, and UX.
**Would be great if you brought this to the role**
* 6–10\+ years of product management experience, including:
+ Ownership of a core, revenue\-impacting surface (not just side features).
* Direct experience in at least one of:
+ Sportsbook / sports betting products (DraftKings, FanDuel, BetMGM, etc.), or
+ Prediction markets / event\-based markets (Polymarket, Kalshi, etc.).
* Deep, practical understanding of:
+ Sports betting mechanics: bet types, odds formats, settlement rules, edge cases.
+ Sports fan behavior: how and when people bet, what they care about, how they evaluate trust and value.
* Proven track record of:
+ Shipping impactful features end\-to\-end with measurable results.
+ Collaborating tightly with engineering and design on complex UX and system behavior.
* Strong analytical skills:
+ Comfortable defining KPIs, reading dashboards, and running experiments.
* Excellent written and verbal communication; you can explain complex flows simply to engineers, executives, and external partners.
**Nice\-to\-have**
* Web3 / crypto experience:
+ Prior work with wallets, DeFi, on\-chain data, or prediction markets.
+ Familiarity with self\-custody concepts and on\-chain UX constraints.
* Experience working with:
+ Market makers, trading teams, or quants.
+ Regulated or semi\-regulated financial/sports products.
 Previous role at a
 **high\-growth consumer product** 
 where you shipped rapidly while maintaining quality.
 Don't meet all the requirements? Don't sweat it. We’re passionate about building a diverse team of humans and as such, if you think you've got what it takes for our chaotic\-but\-fun, remote\-friendly, start\-up environment—apply anyway, detailing your relevant transferable skills in your cover letter. While we have a pretty good idea of what we need, we're ready for you to challenge our thinking on who needs to be in this role.
 It is a requirement of employment in this position that applicants will be required to submit to background checks including but not limited to employment, education and criminal record checks. Further details will be provided to applicants that successfully meet the criteria for the position as determined by the company in its sole discretion. By submitting an application for employment, you are acknowledging and consenting to this requirement.
*The salary range for US\-based candidates only will be determined throughout the interview process depending on experience and skills.*
 US pay range (not including bonus, equity or other benefits)
 $146,000—$220,000 USD
 In the rapidly evolving Web3 space, we believe that everyone is a builder. This expansive paradigm requires a range of backgrounds, talents, skills, and experiences to influence and shape the future. At Consensys, this diversity fuels our ability to shift control and redefine the realm of possibility. We are committed to ensuring that our technology empowers people and communities with economic and political agency through decentralized technologies. We welcome the range of perspectives and differences and celebrate them. We're excited to see how your unique skills as a builder can contribute to our vision, drive innovation, and help us shape a more inclusive Web3\.
 Consensys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Consensys is aware of fraudulent recruitment practices and we encourage all applicants to review our best practices to protect yourself which can be found (https://consensys.io/careers/best\-practices\-to\-avoid\-recruitment\-fraud/).</t>
        </is>
      </c>
    </row>
    <row r="106">
      <c r="A106" t="inlineStr">
        <is>
          <t>li-4321344025</t>
        </is>
      </c>
      <c r="B106" t="inlineStr">
        <is>
          <t>Senior Product Manager, Predictive Insights and Optimization</t>
        </is>
      </c>
      <c r="C106" t="inlineStr">
        <is>
          <t>Ibotta</t>
        </is>
      </c>
      <c r="D106" t="inlineStr">
        <is>
          <t>linkedin</t>
        </is>
      </c>
      <c r="E106">
        <f>HYPERLINK("https://www.linkedin.com/jobs/view/4321344025", "https://www.linkedin.com/jobs/view/4321344025")</f>
        <v/>
      </c>
      <c r="F106" t="inlineStr"/>
      <c r="G106" t="inlineStr">
        <is>
          <t>Denver, CO</t>
        </is>
      </c>
      <c r="H106" t="inlineStr"/>
      <c r="I106" t="inlineStr">
        <is>
          <t>Ibotta is seeking a
 **Senior Product Manager for Predictive Insights \&amp; Optimization** 
 to lead the development and execution of Machine Learning driven forecasting \&amp; optimization models. Your work will include predictive campaign performance, as well as campaign optimization. You will partner closely with Data Science, ML Engineering, Client Analytics, and Revenue teams to drive requirements and success criteria for model inputs, model features, and model outputs. Success is delivering solutions that maximize predictive performance, surface actionable signals that improve campaign performance, and deliver ML\-guided products to internal revenue teams and customers. You will define the vision, drive alignment, document the roadmap, and prioritize features of our forecasting and optimization capabilities.
 This position is located in Denver, Colorado as a hybrid position requiring 3 days in office (Tuesday, Wednesday, and Thursday). Candidates must live in the United States.
**What You Will Be Doing:**
* Own the Machine Learning product roadmap for forecasting and optimization to maximize business impact
* Lead development of pre\-flight and in\-flight prediction models and tooling that inform campaign design and real\-time optimization
* Partner with Data Science and ML Engineering to build and maintain scalable, reliable, and secure ML infrastructure and platform
* Define model inputs, feature priorities, experiment designs, and success metrics to improve predictive precision and business outcomes
* Translate model outputs into products and interfaces that Revenue teams and clients can act on; drive adoption and measure impact
* Work with Client Analytics, Revenue, and data teams to ensure model compatibility with downstream systems and reporting
* Evangelize ML best practices, run cross\-functional alignment, and maintain strong stakeholder relationships
**What We’re Looking For:**
* 5\+ years Product Management experience, with at least 2 years in applied ML / ML product management
* BA/BS in CS, Engineering, Economics, Math, or related field required
* Experience building Machine Learning ecosystems and production ML products at scale
* Strong quantitative skills with the ability to design tests, analyze large datasets, and draw actionable insights
* Up\-to\-date knowledge of ML best practices, modeling tradeoffs, and MLOps considerations
* Proven ability to become a subject matter expert in your domain and represent strategy to senior leadership
* Strong cross\-functional collaboration skills and comfort navigating high\-growth, ambiguous environments
* Excellent communication skills across visual, written, and verbal mediums
**About Ibotta ("I bought a...")**
 Ibotta (NYSE: IBTA) is a leading performance marketing platform allowing brands to deliver digital promotions to over 200 million consumers through a network of publishers called the Ibotta Performance Network (IPN). The IPN allows marketers to influence what people buy, and where and how often they shop – all while paying only when their campaigns directly result in a sale. American shoppers have earned over $2\.6 billion through the IPN since 2012\. The largest tech IPO in history to come out of Colorado, Ibotta is headquartered in Denver, and is continually listed as a top place to work by The Denver Post and Inc. Magazine.
 To learn more about what our Tech teams are doing day to day, visit Building Ibotta on Medium.com.
**Additional Details:**
* This position is located in Denver, CO and includes competitive pay, flexible time off, benefits package (including medical, dental, vision), Employee Stock Purchase Program, and 401k match. Denver office perks include paid parking, snacks, and occasional meals.
* Base compensation range: $123,000 \- $143,000\. Total compensation for this role also includes a variable component in addition to base salary. Equity is included in overall compensation package. This compensation range is specific to the United States labor market and may be adjusted based on actual experience.
* Ibotta is an Equal Opportunity Employer. Ibotta’s employment decisions are made without regard of race, color, religion, national origin, age, sex, marital status, ancestry, physical or mental disability, veteran status, gender identity, sexual orientation, or any other legally protected status.
* Applicants must be currently authorized to work in the United States on a full\-time basis.
* Applicants are accepted until the position is filled.
* For the security of our employees and the business, all employees are responsible for the secure handling of data in accordance with our security policies, identifying and reporting phishing attempts, as well as reporting security incidents to the proper Channels.
 \#BI\-Hybrid</t>
        </is>
      </c>
    </row>
    <row r="107">
      <c r="A107" t="inlineStr">
        <is>
          <t>li-4268694554</t>
        </is>
      </c>
      <c r="B107" t="inlineStr">
        <is>
          <t>Investment Management Product Owner</t>
        </is>
      </c>
      <c r="C107" t="inlineStr">
        <is>
          <t>Voya Financial</t>
        </is>
      </c>
      <c r="D107" t="inlineStr">
        <is>
          <t>linkedin</t>
        </is>
      </c>
      <c r="E107">
        <f>HYPERLINK("https://www.linkedin.com/jobs/view/4268694554", "https://www.linkedin.com/jobs/view/4268694554")</f>
        <v/>
      </c>
      <c r="F107">
        <f>HYPERLINK("https://godirect.wd5.myworkdayjobs.com/voya_jobs/job/New-York-NY/Investment-Management-Product-Owner_JR0031294?Codes=lkdin&amp;source=Linkedin&amp;urlHash=IODd", "https://godirect.wd5.myworkdayjobs.com/voya_jobs/job/New-York-NY/Investment-Management-Product-Owner_JR0031294?Codes=lkdin&amp;source=Linkedin&amp;urlHash=IODd")</f>
        <v/>
      </c>
      <c r="G107" t="inlineStr">
        <is>
          <t>New York, NY</t>
        </is>
      </c>
      <c r="H107" t="inlineStr"/>
      <c r="I107" t="inlineStr">
        <is>
          <t>*****Together we fight for everyone’s opportunity for a better financial future.*****
 We will do this together — with customers, partners and colleagues. We will fight for others, not against: We will stand up for and champion everyone’s access to opportunities. The status quo is not good enough … we believe every individual and every community deserves access to financial opportunities. We are determined to support both individuals and communities in reaching a better financial future. We know that reaching this future depends on our actions today.
 Like our Purpose Statement, Voya believes in being bold and committed to action. We are committed to a work environment where the differences that we are born with — and those we acquire throughout our lives — are understood, valued and intentionally pursued. We believe that our employees own our culture and have a responsibility to foster an environment where we all feel comfortable bringing our whole selves to work. Purposefully bringing our differences together to positively influence our culture, serve our clients and enrich our communities is essential to our vision.
****Are you ready to join a company with a strong purpose and a winning culture? Start your Voyage –****
****Apply Now****
 As the IT Product Owner at Voya Investment Management, you’ll be at the forefront of shaping innovative technology solutions that directly address real\-world business challenges. In this dynamic role, you’ll collaborate with cross\-functional teams, including operations support, information technology, and data science, to deliver high\-impact products that drive our ambitious data strategy forward. With Voya’s significant investment in AI and machine learning, this is an exceptional opportunity to contribute to cutting\-edge initiatives in a rapidly evolving space.
**Profile Description**
* Act as a voice of the customers – understand the business needs and translate them into technical requirements across trading, portfolio management and investment operations functions.
* Work with the business partners to define the future products and roadmap.
* Understand and articulate the technology vision and strategy, ensure that technology solution is successfully aligned with the business goals and priorities.
* Build a strong rapport with the investment teams, operations and information technology team members.
* Perform data\-driven analysis and develop recommendations to guide decision making.
* Key member of the scrum team responsible for making sure that development processes align with the product roadmap.
* Manage the Product Backlog effectively to maximize the delivered value, including developing and clearly communicating sprint goals and priorities; creating and clearly communicating product backlog items; ensuring that the product backlog is transparent, visible and understood.
* Define user stories based on customer requirements. Translate business needs into requirements for a technical audience, including creating user stories, synthesizing use cases, defining acceptance criteria, documenting features overview.
* Coordinate and assist in the testing of new products and features.
**Required Skills And Experience**
* Bachelor’s Degree or equivalent experience in computer science, finance, business administration or related field. Graduate degree is a plus.
* 10\+ years of professional experience in technology, business analysis within the investment management business.
* 5\+ years of product ownership experience.
* Knowledge and experience in the Investment Management industry.
* IBOR Data experience and/or data warehouse experience in asset/investment management.
* Experience working industry standard data providers like Bloomberg, Aladdin, StateStreet, Factset and MSCI.
* Experience with using AI prompts and demonstrated interest in AI and ML capabilities.
* Proven experience in a product owner role in an agile/scrum software development organization and understanding of the development lifecycle.
* Proven ability to manage multiple, concurrent work items with minimal supervision.
* Excellent decision\-making ability to manage a complex ever changing priority list and resolve conflicts to competing priorities.
* Excellent communication and influencing skills, both verbal and written. Capable of collaborating effectively functional communication to technical stakeholders, technical communication to non\-technical stakeholders).
* Strong analyst with a thorough understanding of how to interpret customer business needs and translate them into application and operational requirements.
* Strong problem solver. Ability to identify where focus is needed and bring clarity to business objectives, requirements and priorities.
* Business and Functional requirement knowledge (i.e. elicitation of requirements, planning, documentation, analysis, and alignment to standards).
* Ability to embrace, adapt and lead through change, fosters effective partnerships and drive effective collaboration with peers and vendor resources.
**Compensation Pay Disclosure**
 Voya is committed to pay that’s fair and equitable, which means comparable pay for comparable roles and responsibilities.
 The below annual base salary range reflects the expected hiring range(s) for this position in the location(s) listed. In addition to base salary, Voya offers incentive opportunities (i.e., annual cash incentives, sales incentives, and/or long\-term incentives) based on the role to reward the achievement of annual performance objectives. Please note that this salary information is solely for candidates hired to perform work within one of these locations, and refers to the amount Voya Financial is willing to pay at the time of this posting.
 Actual compensation offered may vary from the posted salary range based upon the candidate’s geographic location, work experience, education, licensure requirements and/or skill level and will be finalized at the time of offer. Salaries for part\-time roles will be prorated based upon the agreed upon number of hours to be regularly worked.
 $180,000\-$190,000
****Be Well. Stay Well.****
 Voya provides the resources that can make a difference in your lives. To us, this means thriving physically, financially, socially and emotionally. Voya benefits are designed to help you do just that. That’s why we offer an array of plans, programs, tools and resources with one goal in mind: To help you and your family be well and stay well.
****What We Offer****
* Health, dental, vision and life insurance plans
* 401(k) Savings plan – with generous company matching contributions (up to 6%)
* Voya Retirement Plan – employer paid cash balance retirement plan (4%)
* Tuition reimbursement up to $5,250/year
* Paid time off – including 20 days paid time off, nine paid company holidays and a flexible Diversity Celebration Day.
* Paid volunteer time — 40 hours per calendar year
**Learn More About Voya Benefits (download PDF)**
****Critical Skills****
 At Voya, we have identified the following critical skills which are key to success in our culture:
* Customer Focused: Passionate drive to delight our customers and offer unique solutions that deliver on their expectations.
* Critical Thinking: Thoughtful process of analyzing data and problem solving data to reach a well\-reasoned solution.
* Team Mentality: Partnering effectively to drive our culture and execute on our common goals.
* Business Acumen: Appreciation and understanding of the financial services industry in order to make sound business decisions.
* Learning Agility: Openness to new ways of thinking and acquiring new skills to retain a competitive advantage.
**Learn More About Critical Skills**
****Equal Employment Opportunity****
*Voya Financial is an equal\-opportunity employer. Voya Financial provides equal opportunity to qualified individuals regardless of race, color, sex, national origin, citizenship status, religion, age, disability, veteran status, creed, marital status, sexual orientation, gender identity, genetic information, or any other status protected by state or local law.*
****Reasonable Accommodations****
*Voya is committed to the inclusion of all qualified individuals. As part of this commitment, Voya will ensure that persons with disabilities are provided reasonable accommodations. If reasonable accommodation is needed to participate in the job application or interview process, to perform essential job functions, and/or to receive other benefits and privileges of employment, please reference* 
*resources for applicants with disabilities.*
 Misuse of Voya's name in fraud schemes</t>
        </is>
      </c>
    </row>
    <row r="108">
      <c r="A108" t="inlineStr">
        <is>
          <t>li-4365576519</t>
        </is>
      </c>
      <c r="B108" t="inlineStr">
        <is>
          <t>Senior Product Manager, Databases &amp; Analytics, Google Cloud</t>
        </is>
      </c>
      <c r="C108" t="inlineStr">
        <is>
          <t>Google</t>
        </is>
      </c>
      <c r="D108" t="inlineStr">
        <is>
          <t>linkedin</t>
        </is>
      </c>
      <c r="E108">
        <f>HYPERLINK("https://www.linkedin.com/jobs/view/4365576519", "https://www.linkedin.com/jobs/view/4365576519")</f>
        <v/>
      </c>
      <c r="F108">
        <f>HYPERLINK("https://careers.google.com/jobs/results/113198240416834246-senior-product-manager/?src=Online/LinkedIn/linkedin_us&amp;utm_source=linkedin&amp;utm_medium=jobposting&amp;utm_campaign=contract&amp;urlHash=vcKH", "https://careers.google.com/jobs/results/113198240416834246-senior-product-manager/?src=Online/LinkedIn/linkedin_us&amp;utm_source=linkedin&amp;utm_medium=jobposting&amp;utm_campaign=contract&amp;urlHash=vcKH")</f>
        <v/>
      </c>
      <c r="G108" t="inlineStr">
        <is>
          <t>San Francisco, CA</t>
        </is>
      </c>
      <c r="H108" t="inlineStr"/>
      <c r="I108" t="inlineStr">
        <is>
          <t>Applicants in San Francisco: Qualified applications with arrest or conviction records will be considered for employment in accordance with the San Francisco Fair Chance Ordinance for Employers and the California Fair Chance Act.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Kirkland, WA, USA; Seattle, WA, USA; San Francisco, CA, USA** 
 .
 **Minimum qualifications:**
* Bachelor's degree or equivalent practical experience.
* 8 years of experience in product management or related technical role.
* 3 years of experience taking technical products from conception to launch (e.g., ideation to execution, end\-to\-end, 0 to 1, etc).
* Experience developing or launching products or technologies within databases, analytics, big data, or a related area.
**Preferred qualifications:**
* Master's degree in a technology or business related field.
* 5 years of experience working cross\-functionally with engineering, UX/UI, sales finance, and other stakeholders.
* 5 years of experience in a business function or role (e.g., strategic marketing, business operations, consulting).
* 4 years of experience in a role preparing and delivering technical presentations to senior leadership.
* 3 years of experience in software development or engineering.
* 3 years of people management experience with direct reports, and in technical leadership.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PRDs by collaborating with partner teams (e.g., engineers, PgMs, UX) during product design and development to implement the requirements to turn PRDs into OKRs for multiple teams.
* Own and define project roadmaps.
* Drive development and secure buy\-in for a product vision that identifies, defines, and supports the overall product narrative and direction, achieving an outcome that is greater than the sum of its parts.
* Manage validation of market size and opportunity (e.g., user\-based, strategic opportunity, revenue).
* Lead and harmonize processes to define, identify, collect, and track appropriate product or business metrics, both quantitative and qualitative for new or existing products or business ventures.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09">
      <c r="A109" t="inlineStr">
        <is>
          <t>li-4338249935</t>
        </is>
      </c>
      <c r="B109" t="inlineStr">
        <is>
          <t>Principal Product Manager – GTM Strategy, Clinical Data Lake</t>
        </is>
      </c>
      <c r="C109" t="inlineStr">
        <is>
          <t>GE HealthCare</t>
        </is>
      </c>
      <c r="D109" t="inlineStr">
        <is>
          <t>linkedin</t>
        </is>
      </c>
      <c r="E109">
        <f>HYPERLINK("https://www.linkedin.com/jobs/view/4338249935", "https://www.linkedin.com/jobs/view/4338249935")</f>
        <v/>
      </c>
      <c r="F109" t="inlineStr"/>
      <c r="G109" t="inlineStr">
        <is>
          <t>Bellevue, WA</t>
        </is>
      </c>
      <c r="H109" t="inlineStr"/>
      <c r="I109" t="inlineStr">
        <is>
          <t>**Job Description Summary**
 The Clinical Data Lake is a cornerstone of GE HealthCare’s next\-generation AI strategy — designed to power enterprise\-scale AI, Machine Learning, Deep Learning, Generative AI, and Agentic AI applications across our device, edge, and cloud platforms.
 This role will lead the vision, strategy, and execution for building the Clinical Data Lake — an intelligent, multimodal data platform that unifies text, imaging, video, waveform, EHR, genomics, and operational data to accelerate AI innovation across GE HealthCare.
 The Principal Product Manager will work closely with engineering, AI science, and data teams to define and deliver the platform, while collaborating with business and product leaders across GE HealthCare to align on critical deliverables that leverage it. The Clinical Data Lake will serve as the enterprise data foundation for scientists and engineers across GEHC to build, train, and deploy AI and ML models, enabling the creation of intelligent applications across Edge AI, CareIntellect, SEI, and future products.
**Job Description**
**Key Responsibilities**
* Lead the product vision and roadmap for the Clinical Data Lake as the foundation for AI, ML, Deep Learning, Generative AI, and Agentic AI across device, edge, and cloud environments.
* Collaborate with engineering, AI platform, and infrastructure teams to design scalable systems for multimodal data ingestion, harmonization, and secure access for AI and ML development.
* Partner with GEHC scientists, researchers, and data science teams to ensure the platform provides standardized, high\-quality data access for experimentation, model training, and evaluation.
* Work with business and product leaders across GEHC segments (Imaging, Ultrasound, Patient Care Solutions, and Digital) to align on product deliverables powered by AI and multimodal data.
* Integrate the Clinical Data Lake with AI Fabric, Imaging Fabric, and related platforms to form a unified AI ecosystem.
* Establish robust frameworks for data governance, compliance, and Responsible AI to ensure privacy, security, and ethical use of clinical data.
* Partner with commercial and marketing teams to articulate how the platform powers differentiated, AI\-driven healthcare solutions.
* Define success metrics for platform adoption, data utilization, and AI enablement across GEHC.
**Qualifications**
* Bachelor’s degree in Computer Science, Engineering, or related field; MBA or advanced degree preferred.
* 7\+ years of experience in product management or platform leadership, preferably within data, AI/ML, or digital health.
* Demonstrated ability to define and deliver complex AI platform products in collaboration with engineering and scientific teams.
* Strong understanding of multimodal healthcare data (imaging, text, waveform, genomics, EHR) and its application in AI/ML and agentic workflows.
* Proven success aligning multiple business and technical teams toward shared, enterprise\-scale outcomes.
* Familiarity with Responsible AI, healthcare data standards (FHIR, DICOM, HL7\), and privacy regulations (HIPAA, GDPR).
* Excellent communication and stakeholder management skills, with the ability to connect platform strategy to AI development outcomes.
 We will not sponsor individuals for employment visas, now or in the future, for this job opening. For U.S. based positions only, the pay range for this position is $174,800\.00\-$262,200\.00 Annual. It is not typical for an individual to be hired at or near the top of the pay range and compensation decisions are dependent on the facts and circumstances of each case. The specific compensation offered to a candidate may be influenced by a variety of factors including skills, qualifications, experience and location. In addition, this position may also be eligible to earn performance based incentive compensation, which may include cash bonus(es) and/or long term incentives (LTI). GE HealthCare offers a competitive benefits package, including not but limited to medical, dental, vision, paid time off, a 401(k) plan with employee and company contribution opportunities, life, disability, and accident insurance, and tuition reimbursement.
 GE HealthCare offers a great work environment, professional development, challenging careers, and competitive compensation. GE HealthCare is an Equal Opportunity Employer. Employment decisions are made without regard to race, color, religion, national or ethnic origin, sex, sexual orientation, gender identity or expression, age, disability, protected veteran status or other characteristics protected by law.
 GE HealthCare will only employ those who are legally authorized to work in the United States for this opening. Any offer of employment is conditioned upon the successful completion of a drug screen (as applicable).
 While GE HealthCare does not currently require U.S. employees to be vaccinated against COVID\-19, some GE HealthCare customers have vaccination mandates that may apply to certain GE HealthCare employees.
**Relocation Assistance Provided:** 
 Yes</t>
        </is>
      </c>
    </row>
    <row r="110">
      <c r="A110" t="inlineStr">
        <is>
          <t>li-4347091519</t>
        </is>
      </c>
      <c r="B110" t="inlineStr">
        <is>
          <t>Senior Product Manager, GPU Compute</t>
        </is>
      </c>
      <c r="C110" t="inlineStr">
        <is>
          <t>CoreWeave</t>
        </is>
      </c>
      <c r="D110" t="inlineStr">
        <is>
          <t>linkedin</t>
        </is>
      </c>
      <c r="E110">
        <f>HYPERLINK("https://www.linkedin.com/jobs/view/4347091519", "https://www.linkedin.com/jobs/view/4347091519")</f>
        <v/>
      </c>
      <c r="F110" t="inlineStr"/>
      <c r="G110" t="inlineStr">
        <is>
          <t>Livingston, NJ</t>
        </is>
      </c>
      <c r="H110" t="inlineStr"/>
      <c r="I110"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**What You'll Do**
 At CoreWeave, the AI Hyperscaler™, we’re at the forefront of shaping the future of accelerated computing infrastructure. Our cutting\-edge GPU\-powered platforms support some of the world's most innovative LLMs and Generative AI applications, powering breakthroughs that redefine what's possible in AI and high\-performance computing.
**About The Role**
 As a Senior Product Manager for GPU Compute, you will own the end\-to\-end lifecycle for a key product line within our GPU Compute portfolio. You will be responsible for translating complex technical challenges and customer needs into a clear, actionable product roadmap. This role is critical to our success, placing you at the intersection of advanced technology and market\-leading innovation, where you will deliver products that directly empower our customers to achieve the next wave of AI breakthroughs.
**Key Responsibilities**
* Strategic Leadership: Define, manage, and execute the product roadmap for your specific GPU compute products or services. You will translate the high\-level vision into detailed product requirements, user stories, and feature prioritization.
* Market Analysis: Become the expert on your customer and the market. Conduct deep analysis of compute trends, competitive landscapes, and customer feedback to identify new opportunities and ensure your product's success.
* Product Development: Partner closely with world\-class engineering teams to define product specifications and manage the development lifecycle from concept through launch and iteration. You will be the point person for clarifying requirements and making trade\-off decisions.
* Go\-to\-Market \&amp; Lifecycle Management: Collaborate effectively with marketing, sales, solutions architecture, and capacity planning teams to orchestrate successful product launches, drive adoption, and manage the entire product lifecycle.
* Data\-Driven Decisions: Define and analyze key metrics to measure the success of your products. Use this data to inform priorities, drive improvements, and communicate the impact of your work to stakeholders and leadership.
**Who You Are**
* 5\+ years of product management experience, with a focus on cloud infrastructure, IaaS/PaaS, or accelerated computing products.
* Knowledge of GPU architectures and their applications in AI/ML and HPC workloads, including an understanding of the latest advancements and market trends.
* Proven track record of managing successful products from concept to launch.
* Excellent analytical and problem\-solving skills, with the ability to make data\-informed decisions in a fast\-paced environment.
* Strong communication and collaboration skills, with a demonstrated ability to work effectively with engineering teams and lead cross\-functional initiatives.
* Bachelor's or Master's degree in Computer Science, Engineering, or a related technical field
**Wondering if you’re a good fit?** 
**We believe in investing in our people, and value candidates who can bring their own diversified experiences to our teams – even if you aren't a 100% skill or experience match.** 
**Here are a few qualities we’ve found compatible with our team. If some of this describes you, we’d love to talk.**
* You love to act as the voice of the customer, gathering their requirements and feedback to continuously build better products that solve real\-world problems.
* You’re curious about the latest trends and opportunities in the AI and high\-performance computing domains and how GPU platforms can power the next wave of generative AI infrastructure
* You're an expert in GPU families and their unique performance characteristics within large\-scale cloud computing environments
**Why CoreWeave?**
**About**
 At CoreWeave,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 off, the growth opportunities within the organization are constantly expanding. You will be surrounded by some of the best talent in the industry, who will want to learn from you, too. Come join us!
*The base salary range for this role is $165,000 to $242,000\.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111">
      <c r="A111" t="inlineStr">
        <is>
          <t>li-4337078607</t>
        </is>
      </c>
      <c r="B111" t="inlineStr">
        <is>
          <t>Product Manager (Construction)</t>
        </is>
      </c>
      <c r="C111" t="inlineStr">
        <is>
          <t>Sage</t>
        </is>
      </c>
      <c r="D111" t="inlineStr">
        <is>
          <t>linkedin</t>
        </is>
      </c>
      <c r="E111">
        <f>HYPERLINK("https://www.linkedin.com/jobs/view/4337078607", "https://www.linkedin.com/jobs/view/4337078607")</f>
        <v/>
      </c>
      <c r="F111">
        <f>HYPERLINK("https://sagehr.my.salesforce-sites.com/careers/fRecruit__ApplyJob?vacancyNo=VN33866&amp;source=LinkedIn&amp;urlHash=hQVI", "https://sagehr.my.salesforce-sites.com/careers/fRecruit__ApplyJob?vacancyNo=VN33866&amp;source=LinkedIn&amp;urlHash=hQVI")</f>
        <v/>
      </c>
      <c r="G111" t="inlineStr">
        <is>
          <t>Atlanta, GA</t>
        </is>
      </c>
      <c r="H111" t="inlineStr"/>
      <c r="I111" t="inlineStr">
        <is>
          <t>**Job Description**
 Sage is a global leader in accounting, payroll, and people management software. Millions of businesses trust us to pay their people accurately and stay compliant every time.
 We are now accelerating our growth in the US construction market, one of the most complex and opportunity\-rich sectors in workforce management. Following our acquisition of Criterion HCM, we are expanding its powerful capabilities to help medium\-sized contractors run payroll, manage people, and stay compliant with confidence and control.
 We are looking for a bold, customer\-obsessed Product Manager to shape the next generation of Sage HCM for Construction. You will lead the evolution of a proven platform and help create a category\-defining product that makes workforce management effortless for contractors, where job sites are dynamic, rules are complex, and every pay cheque matters.
 This is a rare opportunity to build at scale with the backing of a trusted global brand, the momentum of a high\-growth acquisition, and the freedom to create products that simplify complexity for one of the world’s most vital industries.
 \*\*\* This is a hybrid position – you will work 3 days a week from our Atlanta or Portland office. \*\*\*
* Define the vision and roadmap for Sage’s Construction HCM offering, building on Criterion’s foundation to serve the US mid\-market with precision and impact.
* Lead discovery and validation with contractors, payroll administrators, and accountants across general and specialist trades to understand their workflows and pain points.
* Design for complexity without friction by bringing together time, job cost, HR, and payroll data into intelligent workflows that manage multiple pay groups, job sites, union rules, and multi\-state taxation.
* Partner with legal and compliance experts to maintain certified payroll reporting, prevailing wage, Davis\-Bacon, and local or state tax requirements.
* Drive seamless integration across Sage’s Construction suite including ERP, Project Management, Time, and HR as well as external systems such as time\-tracking, benefits, and certified payroll portals.
* Prioritise for impact, balancing customer outcomes, commercial opportunity, and technical feasibility to deliver a clear, confident roadmap.
* Collaborate with Product Marketing to position Sage HCM for the Construction market, refine pricing and packaging, and enable go\-to\-market success.
* Measure what matters by tracking indicators such as active companies, pay\-run success, certified payroll accuracy, and time to first pay run.
 What you’ll get:
* The opportunity to redefine how the construction industry pays and manages its workforce.
* A collaborative, mission\-driven culture that values customer impact over process.
* The backing of a trusted brand with a bold vision for Construction and Mid\-Market growth in North America.
 Required Skills:
* Proven product management experience in payroll, HCM, or ERP products serving the US market.
* Deep understanding of construction industry operations including job costing, certified payroll, prevailing wage, and union or non\-union labour rules.
* Ability to translate complex compliance and workflow challenges into clear user stories and product experiences.
* Strong collaboration skills across Engineering, Design, Compliance, Marketing, and Sales.
* Data\-driven and outcome\-focused approach, using insight and evidence to prioritise and iterate effectively.
 Nice to have:
* Experience with Sage Construction or competitors such as Procore, Viewpoint, or QuickBooks Contractor Payroll.
* Familiarity with AIA billing, project cost accounting, and time\-tracking integrations.
* Prior work in B2B SaaS targeting mid\-market construction, trades, or field\-based industries.
* Exposure to union contract management or certified payroll submission processes (e.g., LCPtracker, eMars).
* Prior experience or a desire to learn AI related technologies.
 Plenty of perks:
* Competitive salaries that landed us top 5% of similar sized companies (according to Comparably)
* Comprehensive health, dental and vision coverage
* 401(k) retirement match (100% matching up to 4%)
* 32 days paid time off (21 personal days, 10 national holidays, 1 floating holiday)
* 18 weeks paid parental leave for birth, adoption or surrogacy offered 1 year after start date
* 5 days paid yearly to volunteer (through Sage Foundation)
* $5,250 tuition reimbursement per calendar year starting 6 months after hire date
* Sage Wellness Rewards Program ($600 wellness credit and $360 fitness reimbursement annually)
* Library of on\-demand career development options and ongoing training offerings
 What it’s like to work at Sage:
 Careers homepage \- https://www.sage.com/en\-us/company/careers/
 Glassdoor reviews \- https://www.glassdoor.com/Reviews/Sage\-Reviews\-E1150\.htm
 LinkedIn page \- https://www.linkedin.com/company/sage\-software</t>
        </is>
      </c>
    </row>
    <row r="112">
      <c r="A112" t="inlineStr">
        <is>
          <t>li-4373222678</t>
        </is>
      </c>
      <c r="B112" t="inlineStr">
        <is>
          <t>Product Owner (Senior Specialist, Business System Analyst)</t>
        </is>
      </c>
      <c r="C112" t="inlineStr">
        <is>
          <t>L3Harris Technologies</t>
        </is>
      </c>
      <c r="D112" t="inlineStr">
        <is>
          <t>linkedin</t>
        </is>
      </c>
      <c r="E112">
        <f>HYPERLINK("https://www.linkedin.com/jobs/view/4373222678", "https://www.linkedin.com/jobs/view/4373222678")</f>
        <v/>
      </c>
      <c r="F112">
        <f>HYPERLINK("https://careers.l3harris.com/job/-/-/4832/91709206672?src=SNS-10240&amp;urlHash=nIDW", "https://careers.l3harris.com/job/-/-/4832/91709206672?src=SNS-10240&amp;urlHash=nIDW")</f>
        <v/>
      </c>
      <c r="G112" t="inlineStr">
        <is>
          <t>Nashville, TN</t>
        </is>
      </c>
      <c r="H112" t="inlineStr"/>
      <c r="I11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is the Trusted Disruptor in defense tech. With customers’ mission\-critical needs always in mind, our employees deliver end\-to\-end technology solutions connecting the space, air, land, sea and cyber domains in the interest of national security.
**Job Title** 
**:** 
 Product Owner (Senior Specialist, Business System Analyst)
**Job Code** 
 : 34078
**Job Location:** 
 Nashville, TN
**Schedule:** 
 9/80 (off every\-other Friday)
**Job Description:**
 The Business Systems Analyst at L3Harris ForceX serves as the Product Owner and as liaison between the customer and the development team. The BSA is responsible for setting the vision for the product, and for prioritizing and accepting the work generated by the team to ensure the vision is met. The BSA is also responsible for communicating customer requirements and feature requests to the software development team. The BSA will work closely with Systems Engineers, Solution Architects and software engineering teams to break customer requirements into work items. The BSA partners directly with Program Managers to effectively track product delivery and are responsible for creating and maintaining a Release Plan.
 ForceX BSAs are assigned to a program or programs, and will interface directly with customers, stakeholders and vendors. BSAs have an operational, high\-level knowledge of the software product and how it interfaces with the system as a whole, and can support technical customer meetings, integration events, and ground/flight test events. The BSA ensures an operational Software Integration Laboratory (SIL) is maintained to support iterative development and test.
 The Business Systems Analyst, Senior Specialist Level is a senior professional with experience as a Business Analyst or Product Owner, or significant experience in a related industry. The Senior Specialist BSA helps team members understand the integration of the software product on the SIL and has a strong working knowledge of the system as a whole. The Senior Specialist BSA builds effective working relationships across the team and organization and leads software development teams in day\-to\-day product development activities.
**Essential Functions:**
* Develops product vision and strategy, and communicates it with other BSAs, software development team members, customers and stakeholders
* Develops a product roadmap or release plan, and prioritizes features for development to ensure product delivery schedules are met or exceeded
* Serves as the Product Owner, and communicates product vision, strategy and purpose to the team, effectively translating customer requirements
* Tracks project deliveries, analyzes business metrics, and reports status of deliverables
* Uses strong communication skills (written, verbal, visual) to effectively bridge the knowledge gaps between the members of the team, technical and non\-technical
* Develops, maintains and prioritizes a healthy backlog using Agile Scrum practices, making informed prioritization decisions based on customer and stakeholder input
* Collaborates with team to build a complete understanding of the customer requirements
* Assist in writing and reviewing technical documentation
* Communicates with stakeholders at varying technical levels; coordinates directly with customers and contract officials, as well as give presentations and briefs of program status, including existing and new/future requirements
* Maintain a can\-do attitude; ability to tackle new and unique problems and reach solutions
* Other duties and responsibilities may be assigned as needed
**Qualifications:**
- Bachelor’s Degree in a technology or business related field and minimum 6 years of prior relevant experience. Graduate Degree in a technology or business related field and a minimum of 4 years of prior relevant experience. In lieu of a degree, minimum of 10 years of prior related experience.
* Experience working as a Business Analyst, Engineer or experience with Department of Defense customers, hardware and software integration, or installation/maintenance of avionics systems
* Ability to obtain a Secret security clearance
**Preferred Additional Skills:**
* Proven background of delivering quality requirements and seeing deliverables through to completion
* Proactive, self\-starter with excellent project management skills and ability to manage multiple tasks effectively
* Excellent communication skills with the ability to engage, influence, and inspire partners and stakeholders to drive collaboration and alignment
* Good critical thinking and analytical skills
* Good customer relations skills and the ability to build relationships
* Capable of effective time management
* Demonstrate sound judgment and strong reasoning skills as well as good analytical and problem\-solving abilities
* Highly proficient grammatical skills
* Ability to prioritize and organize tasks and assignments
* Ability to quickly learn and adapt to a changing environment
* Ability to utilize multiple desktop publishing and still\-image editing programs
* Strong presentation skills
* Strong understanding of requirements of engineering practices for solicitation of information and derivation of requirements
 Physical Demands:
* Required to sit for long periods of time
* Infrequent light physical effort required
* Written and verbal communication
* Dexterity of hands and fingers to operate a computer keyboard and mouse
* May require the ability to travel via automobile or airplane
* This is an on\-site position
 Personal Protective Equipment:
* As required by program needs
 Work Environment:
* Work performed in an office environment with people close to each other
* Working with computers, and other computer components
* Duties may require being on call periodically and working outside of normal working hours (evenings and weekends)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row>
    <row r="113">
      <c r="A113" t="inlineStr">
        <is>
          <t>li-4382667845</t>
        </is>
      </c>
      <c r="B113" t="inlineStr">
        <is>
          <t>Program Manager</t>
        </is>
      </c>
      <c r="C113" t="inlineStr">
        <is>
          <t>Akkodis Group Nordics</t>
        </is>
      </c>
      <c r="D113" t="inlineStr">
        <is>
          <t>linkedin</t>
        </is>
      </c>
      <c r="E113">
        <f>HYPERLINK("https://www.linkedin.com/jobs/view/4382667845", "https://www.linkedin.com/jobs/view/4382667845")</f>
        <v/>
      </c>
      <c r="F113" t="inlineStr"/>
      <c r="G113" t="inlineStr">
        <is>
          <t>Cupertino, CA</t>
        </is>
      </c>
      <c r="H113" t="inlineStr"/>
      <c r="I113" t="inlineStr">
        <is>
          <t>Akkodis is seeking a
 **Program Manager** 
 for a
 **Contract** 
 with a client in
 **Cupertino, CA(Hybrid).** 
 The candidate will manage material readiness and coordinate cross‑functional operations to ensure smooth new‑product build execution.
**Rate Range:** 
 $72/hour to $74/hour; The rate may be negotiable based on experience, education, geographic location, and other factors.
**Program Manager Job Responsibilities Include**
* Design and implement data models, schemas, and entity relationships across SQL, vector, and unstructured data systems.
* Optimize database performance through query tuning, indexing strategies, and storage configuration improvements.
* Build and maintain scalable ETL pipelines and data engineering workflows to support analytics and application requirements.
* Develop full‑stack application components and APIs using Java, Python, and SQL, ensuring seamless data integration.
* Ensure data security, privacy compliance, and governance across all data assets and environments.
* Integrate and leverage big‑data and warehouse technologies such as Spark, Trino, and Snowflake for large‑scale processing.
**Required Qualifications**
* Candidate must have a bachelor's or master’s degree in computer science, software engineering, or a related field.
* Candidate should have 6 years of experience in software development with data modelling, database design/optimization, and full‑stack development, plus 3 years working with big‑data and vector‑database technologies.
* Candidate must have strong proficiency in SQL, Java, Python, and hands‑on experience with Trino, Spark, Snowflake, and other large‑scale data platforms.
* Candidate will have demonstrated ability to design scalable data pipelines, ensure data security/compliance, and build end‑to‑end data‑driven applications.
 If you are interested in this role, then please click APPLY NOW. For other opportunities available at Akkodis, or any questions, feel free to contact me at
 **Govind.Pandey@** 
**akkodisgroup.com.**
**Pay Details:** 
 $72\.00 to $74\.00 per hour
 Benefit offerings available for our associates include medical, dental, vision, life insurance, short\-term disability, additional voluntary benefits, EAP program, commuter benefits and a 401K plan. Our benefit offerings provide employees the flexibility to choose the type of coverage that meets their individual needs. In addition, our associates may be eligible for paid leave including Paid Sick Leave or any other paid leave required by Federal, State, or local law, as well as Holiday pay where applicable.
 Equal Opportunity Employer/Veterans/Disabled
 Military connected talent encouraged to apply
 To read our Candidate Privacy Information Statement, which explains how we will use your information, please navigate to https://www.akkodis.com/en/us/candidate\-privacy\-policy
**Requirements**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
**Massachusetts Candidates Only:** 
 It is unlawful in Massachusetts to require or administer a lie detector test as a condition of employment or continued employment. An employer who violates this law shall be subject to criminal penalties and civil liability.</t>
        </is>
      </c>
    </row>
    <row r="114">
      <c r="A114" t="inlineStr">
        <is>
          <t>li-4321323937</t>
        </is>
      </c>
      <c r="B114" t="inlineStr">
        <is>
          <t>Staff Product Manager, Buyer Experience &amp; Storefront</t>
        </is>
      </c>
      <c r="C114" t="inlineStr">
        <is>
          <t>Xometry</t>
        </is>
      </c>
      <c r="D114" t="inlineStr">
        <is>
          <t>linkedin</t>
        </is>
      </c>
      <c r="E114">
        <f>HYPERLINK("https://www.linkedin.com/jobs/view/4321323937", "https://www.linkedin.com/jobs/view/4321323937")</f>
        <v/>
      </c>
      <c r="F114" t="inlineStr"/>
      <c r="G114" t="inlineStr">
        <is>
          <t>Waltham, MA</t>
        </is>
      </c>
      <c r="H114" t="inlineStr"/>
      <c r="I114" t="inlineStr">
        <is>
          <t>Xometry (NASDAQ: XMTR) powers the industries of today and tomorrow by connecting the people with big ideas to the manufacturers who can bring them to life. Xometry’s digital marketplace gives manufacturers the critical resources they need to grow their business while also making it easy for buyers at Fortune 1000 companies to tap into global manufacturing capacity.
 Xometry is looking for a driven and customer\-focused
 **Staff Product Manager** 
 to significantly enhance the buyer journey on our marketplace. In this role, you will be crucial in optimizing the user experience and driving engagement and conversion within the storefront and key interactions of mechanical engineers and procurement managers (buyers) looking to get an instant quote for manufacturing their parts. You will play a vital part in shaping and executing the product vision for a seamless, intuitive, and efficient buyer experience. Collaborating closely with design and engineering teams, you will optimize buyer interactions from discovery through checkout, ensuring maximum value at each stage. This position demands a strong understanding of buyer needs and marketplace dynamics, combined with solid product management expertise. You will contribute to product strategy, foster cross\-functional collaboration, and deliver customer\-centric solutions aligned with Xometry’s mission and growth objectives.
**Responsibilities:**
* Product Strategy \&amp; Roadmap: Define and execute the product strategy for the Buyer Experience and Storefront, ensuring alignment with Xometry’s business goals and contributing to a low\-friction buyer journey across all touchpoints.
* Cross\-Functional Collaboration: Partner closely with engineering, marketing, sales, design, user research and data science teams to ensure alignment on product priorities, roadmaps, and successful execution, launch and user adoption of new capabilities.
* Data\-Driven Decisions: Utilize data, market insights, and customer feedback to inform product decisions. Define and monitor key performance metrics (KPIs) to track initiative success and adjust strategies as needed.
* Customer Advocacy: Champion the buyer’s experience, leveraging customer insights to create exceptional digital experiences that meet the evolving needs of our diverse buyer base within the storefront and key buyer journey stages.
* Feature Development \&amp; Optimization: Drive continuous improvements to the marketplace, focusing on removing friction points and streamlining the path to purchase within the storefront and critical buyer flows.
* Communication: Act as a key point of contact for stakeholders, presenting updates, insights, and product opportunities related to your domain.
* Leverage Cutting\-Edge Build Technology: You will leverage advanced genAI tools across the development stack, from ideation to prototyping empowering you and your team to build and execute faster.
**Outcomes You Will Influence:**
 As a
 **Staff Product Manager, Buyer Experience \&amp; Storefront** 
 , you will directly impact Xometry's growth by driving measurable improvements across key aspects of the buyer's journey and storefront. Success will be defined by:
* Growth \&amp; Category Adoption: Contributing to the expansion of Xometry's marketplace by simplifying the adoption of new manufacturing processes and categories and increasing buyer engagement and repeat purchases.
* Buyer Acquisition \&amp; Engagement: Optimizing landing page experiences and pre\-purchase flows to enhance buyer acquisition and conversion rates.
* Purchase Flow Optimization: Improving the core purchase flow to minimize buyer effort, leading to a measurable increase in conversion rates and enhanced speed of quoting and purchasing interactions.
* Strategic Integrations: Supporting successful integrations with "neighborhood products" (e.g., CAD software) by ensuring a seamless and intuitive quoting and buying experience.
**Qualifications:**
* 7\+ years of experience in product management with a proven track record of delivering successful digital products.
* Bachelor's degree in Business, Computer Science, or a related field.
* Strong understanding of digital marketplaces, particularly in B2B, e\-commerce, or SaaS environments, with a focus on optimizing the buyer experience and enhancing user engagement.
* Demonstrated ability to leverage data and analytics to inform decision\-making and drive product performance.
* Experience working effectively across functional areas, including engineering, design, data science, marketing, and customer success, with a collaborative approach.
* Excellent verbal and written communication skills, capable of articulating complex concepts to diverse stakeholders.
* Strong strategic thinking and analytical skills, with the ability to contribute to product vision and deliver results that drive company growth and customer satisfaction.
* Proven ability to contribute to and drive change within a fast\-paced, scaling organization, with comfort in ambiguity and adaptability.
 The estimated base salary range for new hires into this role is $180,000 \- 234,000 annually \+ commission depending on factors such as job\-related skills, relevant experience, and location. We also offer a competitive benefits package, including 401(k) match, medical, dental and vision insurance; life and disability insurance; generous paid time off including vacation, sick leave, floating and fixed holidays, maternity and bonding leave; EAP, other wellbeing resources; and much more.
 Xometry is an equal opportunity employer. All applicants will be considered for employment without attention to race, color, religion, sex, sexual orientation, gender identity, national origin, veteran, or disability status.
 For US based roles: Xometry participates in E\-Verify and after a job offer is accepted, will provide the federal government with your Form I\-9 information to confirm that you are authorized to work in the U.S.</t>
        </is>
      </c>
    </row>
    <row r="115">
      <c r="A115" t="inlineStr">
        <is>
          <t>li-4365661707</t>
        </is>
      </c>
      <c r="B115" t="inlineStr">
        <is>
          <t>Senior Product Manager - Developer Engagement PM</t>
        </is>
      </c>
      <c r="C115" t="inlineStr">
        <is>
          <t>Microsoft</t>
        </is>
      </c>
      <c r="D115" t="inlineStr">
        <is>
          <t>linkedin</t>
        </is>
      </c>
      <c r="E115">
        <f>HYPERLINK("https://www.linkedin.com/jobs/view/4365661707", "https://www.linkedin.com/jobs/view/4365661707")</f>
        <v/>
      </c>
      <c r="F115" t="inlineStr"/>
      <c r="G115" t="inlineStr">
        <is>
          <t>Redmond, WA</t>
        </is>
      </c>
      <c r="H115" t="inlineStr"/>
      <c r="I115" t="inlineStr">
        <is>
          <t>**Overview**
 The Microsoft Teams Platform team is building the foundation for how developers create AI\-powered agents, apps, and extensions that work seamlessly inside Microsoft Teams. As our platform rapidly evolves, developer guidance and documentation are critical to ensuring developers have a seamless experience adopting new capabilities and building high\-quality solutions.
 We are looking for a Developer Engagement Product Manager to own and evolve the end\-to\-end developer content experience for the Teams Platform. This role is deeply embedded as part of our product team, and serves as the connective tissue between product strategy, developer feedback, competitive insights, and documentation quality. While this role does not directly ship product features, it is a core driver of developer success and platform adoption.
 This role is ideal for a PM who thrives at the intersection of content design, developer experience, and customer empathy, and who can bring rigor, accountability, and strategic thinking to documentation as a first\-class product surface. This PM should push the boundaries for how content is used in the development process of a Teams agent using modern AI toolsets.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**Developer Documentation \&amp; Content Strategy**
* Own the overall quality, clarity, and completeness of Teams Platform developer documentation as a key pillar of developer experience.
* Define and evolve documentation standards, quality bars, and best practices in partnership with product managers and content writers. Drive these standards as a distributed effort across the organization.
* Proactively identify gaps, outdated guidance, and opportunities to improve discoverability, onboarding, and scenario\-based documentation.
* Drive alignment between product intent and documentation outcomes, ensuring docs reflect how features are meant to be used, not just how they were implemented.
**Embedded Product Partnership**
* Work closely with PMs, engineering, design, and developer advocacy to stay ahead of upcoming features and platform changes.
* Participate in feature reviews, roadmap discussions, and developer feedback loops to ensure documentation readiness is built into the product lifecycle.
* Partner with PMs to create processes and tooling to scale documentation authored by the product team, providing clear feedback and guidance to raise quality and consistency.
* Ensure documentation is ready, accurate, and aligned at key milestones (previews, public releases, GA).
**Measurement \&amp; Accountability**
* Define success metrics for developer documentation (e.g., task success, engagement, support deflection, adoption signals).
* Use qualitative and quantitative feedback to continuously improve documentation effectiveness.
* Establish regular review mechanisms to track documentation health and progress over time.
**Competitive \&amp; Ecosystem Insights**
* Analyze competitor developer platforms and documentation to understand industry best practices and gaps.
* Use competitive insights to influence content strategy, prioritization, and experience improvements.
* Advocate for Teams Platform developer experience internally, using data and customer insights to drive change.
**Qualifications**
**Required Qualifications:**
* Bachelor's Degree AND 5\+ years experience in product/service/program management or software development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 Qualifications**
* Bachelor's Degree AND 8\+ years experience in product/service/program management or software development
+ OR equivalent experience.
* 2\+ years experience taking a product, feature, or experience to market (e.g., design, addressing product market fit, and launch, internal tool/framework).
* 4\+ years experience improving product metrics for a product, feature, or experience in a market (e.g., growing customer base, expanding customer usage, avoiding customer churn).
* 4\+ years experience disrupting a market for a product, feature, or experience (e.g., competitive disruption, taking the place of an established competing product).
* Experience working on developer platforms, cloud services, or extensibility frameworks.
* Proven ability to influence without authority and drive outcomes through collaboration.
* Excellent written and verbal communication skills, with a strong sense of clarity, structure, and empathy for developers.
* Experience defining success metrics and using data to guide decisions.
* Ability to balance strategic thinking with hands\-on execution.
* Familiarity with technical documentation systems, content pipelines, or developer portals.
* Experience working with content writers, developer advocates, or community teams.
* Background in evaluating or improving developer onboarding and learning journeys.
 Product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16">
      <c r="A116" t="inlineStr">
        <is>
          <t>li-4299599243</t>
        </is>
      </c>
      <c r="B116" t="inlineStr">
        <is>
          <t>Photonics Test Product Manager (Quantifi Photonics, San Jose, CA)</t>
        </is>
      </c>
      <c r="C116" t="inlineStr">
        <is>
          <t>Teradyne</t>
        </is>
      </c>
      <c r="D116" t="inlineStr">
        <is>
          <t>linkedin</t>
        </is>
      </c>
      <c r="E116">
        <f>HYPERLINK("https://www.linkedin.com/jobs/view/4299599243", "https://www.linkedin.com/jobs/view/4299599243")</f>
        <v/>
      </c>
      <c r="F116">
        <f>HYPERLINK("https://jobs.teradyne.com/job/San-Jose-Photonics-Test-Product-Manager-%28Quantifi-Photonics%2C-San-Jose%2C-CA%29-CA-95101/1326662700/?utm_source=LINKEDIN&amp;utm_medium=referrer&amp;urlHash=ySEZ", "https://jobs.teradyne.com/job/San-Jose-Photonics-Test-Product-Manager-%28Quantifi-Photonics%2C-San-Jose%2C-CA%29-CA-95101/1326662700/?utm_source=LINKEDIN&amp;utm_medium=referrer&amp;urlHash=ySEZ")</f>
        <v/>
      </c>
      <c r="G116" t="inlineStr">
        <is>
          <t>San Jose, CA</t>
        </is>
      </c>
      <c r="H116" t="inlineStr"/>
      <c r="I116" t="inlineStr">
        <is>
          <t>**Our Purpose**
 TERADYNE, where experience meets innovation and driving excellence in every connection. We are fueled by creativity and diversity of thought and in our workforce. Our employees are supported to innovate and learn something new every day.
 We cultivate a culture of inclusion for all employees that respects their individual strengths, views, and experiences. We believe that our differences enable us to be a better team – one that makes better decisions, drives innovation and delivers better business results.
**Opportunity Overview**
**Product Manager – Photonics Test Solutions**
 We are looking for a Product Manager to identify and bring new photonics test instruments and solutions to market. The ideal candidate is a self\-starter with a strong background in photonics test and measurement and has a broad network of industry contacts.
 Our industry is in a very exciting phase. Photonic IC technology is becoming mainstream, and the demand for bandwidth and higher speeds is insatiable due to the ever more dominant cloud technologies and the rise of artificial intelligence. Quantifi Photonics is ideally positioned to enable the cost\-effective testing of these emerging technologies and is an industry leader for high volume testing in validation and manufacturing. The recent acquisition by Teradyne is a testament to its dominance in the industry and a gateway for further growth.
 Your main responsibilities will be to work closely with our customers and identify new products and solutions, do broad market research and provide business cases, establish priorities, and cooperate with sales, marketing, engineering and operations to bring these new products and solutions to market. In addition, you will establish contact with leading customers in the industry, represent the company at industry events and promote the company’s products and solutions at trade shows and conferences. You will be measured on achieving revenue through new products and solutions, in addition to achieving a more competitive product and solutions portfolio.
 Ideally, applicants will be based in the San Francisco Bay Are, however we are flexible about location for the right candidates. The job will include regular travel to customers worldwide.
**Tasks And Responsibilities**
* Identify new product and solution opportunities in close cooperation with customers and partners.
* Perform market research and create business cases for these prospective products and solutions.
* Lead and drive the New Product Introductions, maximizing revenue growth and minimizing time\-to\-market.
* Create an atmosphere of teamwork among sales, marketing, engineering, operations and finance.
* Maximize revenue from new products and solutions and take market share from competitors.
* Create and maintain a product and solutions roadmap to drive your activities and maximize your success.
* Interpret customer requirements and identify optimal solutions to meet those needs.
* Build a large network of prospective customers in the target markets and maintain positive long\-term relationships with key customers.
* Cooperate with key stake holders in the organization to be able to maximize your success.
* Participate in industry standards.
* Promote existing and new products to customers in person, at trade shows and online sales presentations.
**All About You**
 We seek individuals who share our passion and determination. Our commitment to customer success drives us to go the extra mile. If you’re ready to join us in this mission, take a closer look at the minimum criteria for the position.
**Candidate Requirements**
* Bachelor’s Degree and Master of Science in Photonics or equivalent.
* At least 10 years of experience in a product management role.
* Proven track record of successfully bringing new products and solutions to market.
* Deep expertise in Photonics \&amp; High\-Speed I/O test and measurement solutions.
* Well\-known individual in the industry.
* Knowledge of PXI test solutions is a plus.
* Good understanding of the photonics ecosystem.
* Strong network of optical communication customers world\-wide, such as start\-ups, established companies, to advanced research institutes and universities.
* Exceptional customer\-facing, presentation and communication skills required.
* Ability to develop strong customer relationships and communicate with tact and diplomacy.
* A desire to become a trusted advisor to customers and interfacing regularly with key technical contacts and building contacts at all levels of an organization.
* Comfortable working autonomously while setting and achieving ambitious goals.
* Excellent organizational, time management, presentation and interpersonal skills.
* Highly motivated and hard\-charging individual to drive results.
* A desire to win at an individual and team level.
* Curiosity and desire to learn and share knowledge.
* Fluent in English, written and spoken.
* Travel up to 25%.
**Compensation**
 The base salary range for this role is $150,300\-$240,500\. This range is a good faith estimate, and the amount of base salary will correspond with experience and skill set. This range can also fluctuate depending on demand and location.
 Incentive Plan: This job is eligible for discretionary bonus(es) based on financial performance.
**Benefits**
 Teradyne offers a variety of robust health and well\-being benefit programs, including medical, dental, vision, Flexible Spending Accounts, retirement savings plans, life and disability insurance, paid vacation \&amp; holidays, tuition assistance programs, and more.  Please click here to see details.</t>
        </is>
      </c>
    </row>
    <row r="117">
      <c r="A117" t="inlineStr">
        <is>
          <t>li-4365608109</t>
        </is>
      </c>
      <c r="B117" t="inlineStr">
        <is>
          <t>Program Manager - Enterprise Applications</t>
        </is>
      </c>
      <c r="C117" t="inlineStr">
        <is>
          <t>Calumet</t>
        </is>
      </c>
      <c r="D117" t="inlineStr">
        <is>
          <t>linkedin</t>
        </is>
      </c>
      <c r="E117">
        <f>HYPERLINK("https://www.linkedin.com/jobs/view/4365608109", "https://www.linkedin.com/jobs/view/4365608109")</f>
        <v/>
      </c>
      <c r="F117" t="inlineStr"/>
      <c r="G117" t="inlineStr"/>
      <c r="H117" t="inlineStr"/>
      <c r="I117" t="inlineStr">
        <is>
          <t>**Who are we?**
 At Calumet we deliver innovative specialty products trusted by companies across the globe. We are the foundation to everyday essential products that help millions of people live and thrive. We are headquartered in Indianapolis and have numerous production locations in the US. We are customer focused and utilize our values of collaboration and entrepreneurship to grow the business. We offer a dynamic, high\-performance environment where team members can have real input and impact on our business. If you’re ready to roll up your sleeves, treat the business as if it is your own and add value accordingly, come see why we’re Calumet Proud!
**PURPOSE:**
 We are seeking a dynamic and results\-driven Enterprise Applications Program Manager who will shape and optimize program management processes. This role is ideal for a strategic thinker who thrives in complex environments and has a passion for driving enterprise\-wide SAP initiatives to success.
**KEY OBJECTIVES AND RESPONSIBILITIES:**
* Lead and manage end\-to\-end SAP programs, ensuring alignment with business goals and timelines.
* Design, implement, and continuously improve program processes, tools, and governance frameworks.
* Drive stakeholder engagement and build adoption of program processes across business units and technical teams.
* Lead planning iterations with IT and key stakeholders to align priorities, scope, and delivery timelines.
* Collaborate with enterprise and solution architects to ensure solution integrity across the SAP landscape and its peripheral systems.
* Work cross\-functionally with IT, finance, operations, and external vendors to align program execution with organizational priorities.
* Monitor program performance using KPIs and provide regular updates to senior leadership.
* Identify risks and develop mitigation strategies to ensure successful program delivery.
* Facilitate change management and ensure compliance with organizational standards and SAP best practices.
**REQUIRED EDUCATION/EXPERIENCES:**
* Bachelor’s degree in Accounting, Business, or Information Technology
* 5\+ years of experience in ERP (SAP) program management and process development
* Demonstrated success in building stakeholder buy\-in and adoption of project management frameworks
* Strong understanding of SAP modules (e.g., ECC, FICO, MM, SD)
* Familiarity with project planning, demand management, and portfolio management practices
* Experience working with architects to maintain solution consistency across integrated systems
* Proven ability to manage multiple projects and priorities in a fast\-paced environment
* Excellent communication, leadership, and stakeholder management skills
**PREFERRED EDUCATION/EXPERIENCES:**
* PMP, PMI\-ACP, or SAP certification
* Experience with ServiceNow Strategic Portfolio Management (SPM) for project tracking and portfolio governance
* Master’s Degree in Business or Information Technology
 Salary and benefits commensurate with experience. We are an equal opportunity employer including disability and veteran. All offers of employment are conditioned upon successfully passing a drug test.</t>
        </is>
      </c>
    </row>
    <row r="118">
      <c r="A118" t="inlineStr">
        <is>
          <t>li-4355392687</t>
        </is>
      </c>
      <c r="B118" t="inlineStr">
        <is>
          <t>Associate, Digital Product Owner</t>
        </is>
      </c>
      <c r="C118" t="inlineStr">
        <is>
          <t>Global Atlantic</t>
        </is>
      </c>
      <c r="D118" t="inlineStr">
        <is>
          <t>linkedin</t>
        </is>
      </c>
      <c r="E118">
        <f>HYPERLINK("https://www.linkedin.com/jobs/view/4355392687", "https://www.linkedin.com/jobs/view/4355392687")</f>
        <v/>
      </c>
      <c r="F118" t="inlineStr"/>
      <c r="G118" t="inlineStr">
        <is>
          <t>Des Moines, IA</t>
        </is>
      </c>
      <c r="H118" t="inlineStr"/>
      <c r="I118" t="inlineStr">
        <is>
          <t>**About Global Atlantic**
 Global Atlantic is a leading provider of retirement security and investment solutions with operations in the U.S., Bermuda, and Japan. As a wholly\-owned subsidiary of KKR (NYSE: KKR), a leading global investment firm, Global Atlantic combines deep insurance expertise with KKR’s powerful investment capabilities to deliver long\-term financial security for millions of individuals worldwide. With a broad suite of annuity, preneed life insurance, reinsurance, and investment solutions, Global Atlantic, through its issuing companies, helps people achieve their financial goals with confidence. For more information, please visit www.globalatlantic.com.
**Position Summary**
 We are seeking a
 **Portal Product Owner** 
 to join our Digital Marketing team to drive the vision, roadmap, and execution of our insurance customer and distributor\-facing portal platforms. The ideal candidate is someone who blends technical fluency with business acumen and thrives on transforming complex user needs into intuitive digital experiences.
**Key Responsibilities**
* Define and communicate a clear product vision and roadmap for portal development initiatives aligned with business goals.
* Lead the development and continuous improvement of our insurance customer and distributor\-facing web portals, while acting as a liaison between business stakeholders and development teams to translate business needs into actionable requirements and user stories.
* Prioritize and manage the product backlog, ensuring stories are well\-defined, estimated, and ready for development.
* Oversee user acceptance testing (UAT) to validate new functionality and ensure alignment with business objectives.
* Monitor key product KPIs to track performance, identify opportunities, and inform future enhancements.
* Collaborate cross\-functionally with technology, UX design, operations, and marketing teams to define innovative, user\-centered solutions.
* Proactively identify and mitigate risks while keeping initiatives on track and within scope, while communicating progress, priorities, and results to leadership and stakeholders.
**Skills \&amp; Qualifications**
* Bachelor’s degree in Business, Marketing, Computer Science, or a related field.
* 5\+ years of experience in the insurance industry with a deep understanding of the end\-to\-end insurance product lifecycle, including operational, regulatory, and customer experience aspects of each stage
* Strong understanding of Agile delivery, including sprint planning, backlog refinement, and release management; Product Owner experience preferred
* Familiarity with digital identity management, including SSO, MFA, and account provisioning preferred
* Demonstrated analytical and problem\-solving skills, using data to inform decisions and optimize experiences
* Excellent communication and collaboration skills, both written and verbal
* Organized, proactive, and comfortable managing multiple priorities in a fast\-paced environment.
* Demonstrated ability to lead without authority, influence decisions, and drive alignment across teams.
 Various jurisdictions have passed pay transparency laws that require companies provide salary ranges for any positions for which they are accepting applications. Global Atlantic has offices in Atlanta, Batesville, Bermuda, Boston, Des Moines, Hartford, Indianapolis, and New York City.
 **The base salary range posted below is inclusive of the lowest cost of living geography to the highest in which we have a Global Atlantic office.**
 Global Atlantic’s
 **base salary range** 
 is determined through an analysis of similar positions in the external labor market. Base pay is just one component of Global Atlantic’s total compensation package for employees and at times we hire outside the boundaries of the salary range. Other rewards may include annual cash bonuses, long\-term incentives (equity), generous benefits (including immediate vesting on employee contributions to a 401(k), as well as a company match on your contributions), and sales incentives. Actual compensation for all roles will be based upon geographic location, work experience, education, licensure requirements and/or skill level and will be finalized at the time of offer. Compensation for our more senior positions have a larger component of short\-term cash bonus and long\-term incentives.
 The base salary range for this role is $105,000 — $115,000 USD
 Privacy Statement
 Our employees are in the office
 **5 days** 
 per week in
 **New York** 
 and
 **4 days per week** 
 in all other offices. If you have questions on this policy or the application process, please reach out to benefits@gafg.com
 Global Atlantic reserves the right to modify the qualifications and requirements for this position to accommodate business needs and regulatory changes. Future adjustments may include obtaining specific licenses or certifications to comply with operational needs and conform to applicable industry\-specific regulatory requirements, state and federal laws.</t>
        </is>
      </c>
    </row>
    <row r="119">
      <c r="A119" t="inlineStr">
        <is>
          <t>li-4311673882</t>
        </is>
      </c>
      <c r="B119" t="inlineStr">
        <is>
          <t>Program Manager, Operations</t>
        </is>
      </c>
      <c r="C119" t="inlineStr">
        <is>
          <t>Xometry</t>
        </is>
      </c>
      <c r="D119" t="inlineStr">
        <is>
          <t>linkedin</t>
        </is>
      </c>
      <c r="E119">
        <f>HYPERLINK("https://www.linkedin.com/jobs/view/4311673882", "https://www.linkedin.com/jobs/view/4311673882")</f>
        <v/>
      </c>
      <c r="F119" t="inlineStr"/>
      <c r="G119" t="inlineStr">
        <is>
          <t>Lexington, KY</t>
        </is>
      </c>
      <c r="H119" t="inlineStr"/>
      <c r="I119" t="inlineStr">
        <is>
          <t>Xometry (NASDAQ: XMTR) powers the industries of today and tomorrow by connecting the people with big ideas to the manufacturers who can bring them to life. Xometry’s digital marketplace gives manufacturers the critical resources they need to grow their business while also making it easy for buyers at Fortune 1000 companies to tap into global manufacturing capacity.
 We are seeking an experienced and driven
 **Program Manager, Operations** 
 to join our fast\-paced and innovative team. This individual will be responsible for overseeing cross\-functional initiatives that enhance operational efficiency, drive scalability, and support our growth in advanced manufacturing. Preference will be given to candidates with a background in the
 **automotive or manufacturing industry** 
 .
 Key Responsibilities:
* Lead and manage complex, cross\-functional operational programs from initiation through execution and delivery.
* Collaborate with product, engineering, supply chain, and customer success teams to implement operational improvements and drive measurable outcomes.
* Develop and monitor KPIs to track program success and identify areas for continuous improvement.
* Create detailed project plans, manage budgets, mitigate risks, and ensure timelines are met.
* Serve as a key liaison between stakeholders to ensure alignment on objectives and deliverables.
* Analyze data to inform decision\-making and identify opportunities for automation and process enhancement.
* Champion lean principles and operational best practices across the organization.
**Required Qualifications:**
* Bachelor’s degree in Business, Engineering, Operations, or a related field.
* Minimum of 5 years of experience in program or project management, operations, or supply chain roles.
* Demonstrated ability to lead large\-scale projects with cross\-functional teams in a fast\-paced environment.
* Strong analytical, problem\-solving, and communication skills.
* Proven experience managing budgets, timelines, and project scope.
* Willingness and ability to travel up to 25% of the time.
 Preferred Qualifications:
* Experience in the automotive or manufacturing industry is strongly preferred.
* Familiarity with ERP systems, supply chain platforms, and operational analytics tools.
* PMP, Six Sigma, or Lean certification is a plus.
* Proficiency in project management software such as Jira, Asana, or Microsoft Project.
 Xometry is an equal opportunity employer. All applicants will be considered for employment without attention to race, color, religion, sex, sexual orientation, gender identity, national origin, veteran, or disability status.
 For US based roles: Xometry participates in E\-Verify and after a job offer is accepted, will provide the federal government with your Form I\-9 information to confirm that you are authorized to work in the U.S.</t>
        </is>
      </c>
    </row>
    <row r="120">
      <c r="A120" t="inlineStr">
        <is>
          <t>li-4365599282</t>
        </is>
      </c>
      <c r="B120" t="inlineStr">
        <is>
          <t>Governance &amp; Oversight Program Manager</t>
        </is>
      </c>
      <c r="C120" t="inlineStr">
        <is>
          <t>Paxos</t>
        </is>
      </c>
      <c r="D120" t="inlineStr">
        <is>
          <t>linkedin</t>
        </is>
      </c>
      <c r="E120">
        <f>HYPERLINK("https://www.linkedin.com/jobs/view/4365599282", "https://www.linkedin.com/jobs/view/4365599282")</f>
        <v/>
      </c>
      <c r="F120" t="inlineStr"/>
      <c r="G120" t="inlineStr"/>
      <c r="H120" t="inlineStr"/>
      <c r="I120" t="inlineStr">
        <is>
          <t>**About Paxos**
 Today's financial infrastructure is archaic, expensive, inefficient and risky — supporting a system that leaves out more people than it lets in. So we're rebuilding it.
 We're on a mission to open the world's financial system to everyone by enabling the instant movement of any asset, any time, in a trustworthy way. For over a decade, we've built blockchain infrastructure that tokenizes, custodies, trades and settles assets for the world's leading financial institutions, like PayPal, Venmo, Mastercard and Interactive Brokers.
**About The Team**
 Our Compliance team is the cornerstone of Paxos' regulation\-first approach, ensuring we maintain the highest standards of regulatory compliance while enabling innovation. The team combines deep regulatory expertise with a practical understanding of blockchain technology to develop and implement robust compliance programs. We work closely with business units and product teams to create solutions that protect our company and customers while facilitating growth in both traditional and digital asset environments.
**About The Role**
 As a Governance \&amp; Oversight Program Manager, you will lead critical compliance and regulatory initiatives across our organization. You will ensure program execution, translating complex compliance and regulatory requirements into actionable plans, while partnering closely with cross\-functional teams including product, engineering, legal, and audit to execute on these deliverables. You will drive accountability, process improvements, and regulatory remediation efforts, ensuring the organization meets its compliance objectives efficiently and sustainably.
**What You'll Do**
* Lead end\-to\-end cross\-functional compliance enhancement and remediation initiatives, aligning compliance, legal, product, and engineering teams to execute initiatives effectively.
* Translate complex regulatory and compliance requirements into clear action plans and technical solutions
* Manage remediation efforts and regulatory compliance outcomes, ensuring sustainable, defensible, and documented results.
* Identify operational inefficiencies and lead meaningful process and control improvements to enhance program effectiveness and scalability.
* Apply critical thinking to evaluate potential solutions for compliance issues, process enhancements, and regulatory remediation.
* Drive accountability across stakeholders, ensuring ownership, follow\-through, and timely delivery of assigned responsibilities.
* Anticipate emerging risks, evolving regulatory expectations, and potential execution challenges, escalating with mitigation strategies as needed.
* Establish and uphold best\-in\-class organizational and documentation practices to support governance, audit readiness, and long\-term scalability.
* Utilize data analysis tools (e.g., SQL, Looker) to validate, test, and improve compliance processes and controls.
**About You**
**Required qualifications:**
* Experience as part of a compliance team with focus on process improvement, issue management, and regulatory examination readiness.
* Demonstrated expertise in AML, sanctions, and fraud compliance workflows.
* Strong cross\-functional program management and technical project coordination skills.
* Thorough understanding of regulatory requirements, documentation standards, audit and exam process, and compliance tooling.
* Excellent communication skills with ability to translate complex compliance and technical concepts for diverse stakeholders.
**Nice To Have**
* Hands\-on experience with compliance tooling platforms such as AML monitoring systems, sanctions screening tools, case management solutions, and blockchain technology tools (Chainalysis, Elliptic)
* Background in regulated cryptocurrency, blockchain technology, or FinTech companies
* Experience working globally and within a number of regulatory frameworks (e.g., US, EU, Singapore, South America).
* Basic experience in SQL within modern data warehouse environments (Snowflake, Looker, etc.) and experience with Python for data analysis, automation, and building scalable applications
**Important Notice for Paxos Applicants**
 Paxos is an equal opportunity employer. We value diversity at our company and do not discriminate on the basis of race, religion, color, national origin, gender, sexual orientation, age, marital status, veteran status, or disability status.
 Compensation Range: $115,909 \- $132,955</t>
        </is>
      </c>
    </row>
    <row r="121">
      <c r="A121" t="inlineStr">
        <is>
          <t>li-4365528754</t>
        </is>
      </c>
      <c r="B121" t="inlineStr">
        <is>
          <t>Senior Program Manager, Software &amp; Simulation</t>
        </is>
      </c>
      <c r="C121" t="inlineStr">
        <is>
          <t>Wisk</t>
        </is>
      </c>
      <c r="D121" t="inlineStr">
        <is>
          <t>linkedin</t>
        </is>
      </c>
      <c r="E121">
        <f>HYPERLINK("https://www.linkedin.com/jobs/view/4365528754", "https://www.linkedin.com/jobs/view/4365528754")</f>
        <v/>
      </c>
      <c r="F121" t="inlineStr"/>
      <c r="G121" t="inlineStr">
        <is>
          <t>Mountain View, CA</t>
        </is>
      </c>
      <c r="H121" t="inlineStr"/>
      <c r="I121" t="inlineStr">
        <is>
          <t>At Wisk, we're transforming the future of urban mobility through safe, all\-electric, autonomous flight. We are a passionate team working together toward a sustainable future, solving high\-impact problems that have never been solved before. By delivering everyday flight for everyone, we're making it possible to spend less time getting there and more time being there. If you want to be part of shaping the future of mobility, then read on!
 We are looking for a Senior Program Manager, Software \&amp; Simulation to join our team. The goal of a Software \&amp; Simulation Program Manager at Wisk is to ensure that the software development team is executing according to their cost, schedule, and scope. You will be part of the team that is in charge of developing and certifying all of Wisk’s software components.
 This is a hybrid work opportunity. At Wisk, this means working onsite at our Mountain View office 3 days per week with flexibility for the remainder of the days.
 In this role you will partner with the software leads to develop, certify and deliver products, and focus on ensuring the objectives of our business case are met. We need a Program Manager to own the tracking of the overall delivery of the program, scope management, program financials, as well as supplier selection and management. You will support the software leads in developing a vision and roadmap for the product, and subsequently in planning and delivering technical solutions that support Wisk’s business goals. You will be responsible for bridging organizational gaps between software, systems, and test organizations to ensure operational excellence and "code to flight" efficiency. You will lead the delivery of safety\-critical, embedded flight software work packages, ensuring all deliveries meet key certification milestones for the Wisk Gen6 aircraft.
**Responsibilities**
* Program Voice: Act as the voice of the program to share software needs with the IPT, ensuring alignment with overall business objectives.
* Execution \&amp; Planning: Oversee the planning and delivery of software releases, improving turnaround times through strategic process improvements and infrastructure projects.
* Financial \&amp; Resource Management: Own the software program financials, including budget planning and resource allocation for a broad engineering organization.
* Governance \&amp; Risks: Establish comprehensive software program management plans covering release planning, earned value tracking, performance monitoring, and risk/change management.
* Strategic Coordination: Partner with software leads to develop a product roadmap, coordinating with multi\-disciplinary teams including Systems Engineering, Quality, Test, and Regulatory agencies.
* Supplier \&amp; Regulatory Management: Manage software\-specific supplier relationships and lead technical negotiations for high\-value contracts.
**Requirements**
* University degree in Engineering (Electrical or Computer Engineering preferred) or related field; Master’s degree in Engineering or related field is highly desired.
* Minimum of 8 years of program management experience in Aerospace, specifically within safety\-critical flight software.
* Mastery of Agile/Scrum methodologies and JIRA task management to drive rapid software development cycles.
* Deep understanding of complex, highly coupled aircraft systems, avionics, and safety\-critical software standards (e.g., DO\-178C and DO\-160G).
* Proven ability to lead development teams and manage teams of project managers through rapid growth or organizational transitions.
* Prior experience working with the FAA or EASA to obtain certification for novel aircraft systems or software platforms.
* Strong analytical skills to interpret complex technical data and drive data\-driven decisions for "code to flight" initiatives.
* Ability to travel domestically and internationally to support customer and project meetings.
**Preferred**
* Experience with Aircraft Development Product Life Cycle from Preliminary Design Review (PDR) to Entry into Service (EIS).
* Experience with major airplane OR tier 1 OEMs.
 Job Type: Full\-time
 Pay range the company expects to pay: $214,000 \- $262,000 per year \- The starting base salary within this range for this role varies based on factors such as your geographical location, and your relevant job\-related experience that is consistent with a business necessity.
 Wisk HQ is located in Mountain View just a couple of hundred feet from Shoreline Lake and its surrounding walking/jogging trails. We offer a comprehensive benefits package including medical, dental, vision, and life insurance, 9 off Fridays for full\-time employees throughout the year, flexible vacation time off, 11 company holidays, a 401(k) plan with 50% company matching vested immediately, commuter assistance, and education assistance. And on top of all that, we also offer a variety of perks such as free catered lunches, flight lessons, wellness allowances, snacks, drinks, employee referral bonus, charitable giving match, patent bonus program, and more.
 To all recruitment agencies: Wisk Aero does not accept agency resumes. Please do not forward resumes to our jobs alias, Wisk Aero employees, or any other organization location. Wisk Aero is not responsible for any fees related to unsolicited resumes.
 Wisk Aero provides equal employment opportunities (EEO) to all employees and applicants for employment without regard to race, colour, religion, sex, ethnic or national origin, age, disability/handicap, gender identity or expression, pregnancy, sexual orientation, civil status, political convictions, language, social condition, or any other protected characteristics. In addition to federal law requirements, Wisk Aero abides by applicable provincial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Wisk Aero is an E\-Verify employer.</t>
        </is>
      </c>
    </row>
    <row r="122">
      <c r="A122" t="inlineStr">
        <is>
          <t>li-4337048880</t>
        </is>
      </c>
      <c r="B122" t="inlineStr">
        <is>
          <t>Quality Program Manager</t>
        </is>
      </c>
      <c r="C122" t="inlineStr">
        <is>
          <t>Catalent</t>
        </is>
      </c>
      <c r="D122" t="inlineStr">
        <is>
          <t>linkedin</t>
        </is>
      </c>
      <c r="E122">
        <f>HYPERLINK("https://www.linkedin.com/jobs/view/4337048880", "https://www.linkedin.com/jobs/view/4337048880")</f>
        <v/>
      </c>
      <c r="F122">
        <f>HYPERLINK("https://careers.catalent.com/us/en/job/CATAUS0091747EXTERNALENUS/Quality-Program-Manager?utm_source=linkedin&amp;utm_medium=phenom-feeds&amp;source=LinkedIn&amp;urlHash=_Y1U", "https://careers.catalent.com/us/en/job/CATAUS0091747EXTERNALENUS/Quality-Program-Manager?utm_source=linkedin&amp;utm_medium=phenom-feeds&amp;source=LinkedIn&amp;urlHash=_Y1U")</f>
        <v/>
      </c>
      <c r="G122" t="inlineStr">
        <is>
          <t>Philadelphia, PA</t>
        </is>
      </c>
      <c r="H122" t="inlineStr"/>
      <c r="I122" t="inlineStr">
        <is>
          <t>**Position Summary:**
* Work Schedule: Monday \- Friday, 8:00am \- 4:30pm
* 100% on\-site
 Catalent’s 206,878\-square\-foot Philadelphia\-area facility serves as the global Center of Excellence for Clinical Supply Packaging, offering GMP secondary packaging and clinical labeling services. The site provides manual to fully automated packaging solutions, including temperature\-controlled options for sensitive products. Come and be part of a team that delivers industry\-leading quality and innovation.
 This position is responsible for being the quality liaison between Philadelphia Quality Assurance and the client. Specific clients will be assigned to each Quality Program Manager with whom they will support and develop a Quality relationship. The Quality Program Manager must be flexible and have well\-developed organizational skills and the ability to interact with all levels within the organization.
**The Role:**
* Work closely with Catalent Philadelphia site to obtain necessary quality information for clients to support their projects and requests
* Plan, schedule, manage, and host customer, corporate, and internal audits. Support regulatory inspections as required
* Track audit reporting, drive completion of Catalent response to audit findings, and closure of audit actions
* Attend project kick\-off meetings to assist various departments with understanding the project from a Quality perspective
* Attend client preparation calls and visits to ensure that the client receives any appropriate documentation requested and get questions answered
* Act as the primary contact person for client\-specific quality questions and be the quality liaison between client and Catalent staff; Act as the primary contact with clients if there are quality questions on documentation, process questions, issues, etc
* Be knowledgeable about customer\-specific requirements. Ensure they are built into the process and communicated to relevant Catalent staff
* Review deviation and complaint reports and address trends. Prepare communications regarding the results where appropriate and requested
* Other duties as assigned
**The Candidate:**
* Bachelor's degree is required, life sciences or scientific degree is preferred
* Five years of relevant experience working in a pharmaceutical industry or life science industry is required
* Must possess regulatory and/or client audit experience
* Must have the ability to present Quality/ Compliance information both internally at Catalent and externally to clients
* Knowledge of cGMP’s is required
**Why you should join Catalent:**
* Defined career path and annual performance review and feedback process
* Diverse, inclusive culture
* Potential for career growth on an expanding team within an organization dedicated to preserving and bettering lives
* 152 hours of PTO \+ 8 paid holidays
* Generous 401K match
* Medical, dental and vision benefits
* Tuition Reimbursement \- Let us help you finish your degree or start a new degree!
**Catalent offers rewarding opportunities to further your career!** 
 Join the global drug development and delivery leader and help us bring over 7,000 life\-saving and life\-enhancing products to patients around the world. Catalent is an exciting and growing international company where employees work directly with pharma, biopharma and consumer health companies of all sizes to advance new medicines from early development to clinical trials and to the market. Catalent produces more than 70 billion doses per year, and each one will be used by someone who is counting on us. Join us in making a difference.
 personal initiative. dynamic pace. meaningful work.
 Visit Catalent Careers to explore career opportunities.
 Catalent is an Equal Opportunity Employer, including disability and veterans.
 If you require reasonable accommodation for any part of the application or hiring process due to a disability, you may submit your request by sending an email, and confirming your request for an accommodation and include the job number, title and location to DisabilityAccommodations@catalent.com. This option is reserved for individuals who require accommodation due to a disability. Information received will be processed by a U.S. Catalent employee and then routed to a local recruiter who will provide assistance to ensure appropriate consideration in the application or hiring process.
 Notice to Agency and Search Firm Representatives: Catalent Pharma Solutions (Catalent) is not accepting unsolicited resumes from agencies and/or search firms for this job posting. Resumes submitted to any Catalent employee by a third party agency and/or search firm without a valid written \&amp; signed search agreement, will become the sole property of Catalent. No fee will be paid if a candidate is hired for this position as a result of an unsolicited agency or search firm referral. Thank you.
 Important Security Notice to U.S. Job Seekers:
 Catalent NEVER asks candidates to provide any type of payment, bank details, photocopies of identification, social security number or other highly sensitive personal information during the offer process, and we NEVER do so via email or social media. If you receive any such request, DO NOT respond— it is a fraudulent request. Please forward such requests to spam@catalent.com for us to investigate with local authorities.
 California Job Seekers can find our California Job Applicant Notice HERE.</t>
        </is>
      </c>
    </row>
    <row r="123">
      <c r="A123" t="inlineStr">
        <is>
          <t>li-4365609045</t>
        </is>
      </c>
      <c r="B123" t="inlineStr">
        <is>
          <t>Product Owner Firmware Engineer</t>
        </is>
      </c>
      <c r="C123" t="inlineStr">
        <is>
          <t>Rockwell Automation</t>
        </is>
      </c>
      <c r="D123" t="inlineStr">
        <is>
          <t>linkedin</t>
        </is>
      </c>
      <c r="E123">
        <f>HYPERLINK("https://www.linkedin.com/jobs/view/4365609045", "https://www.linkedin.com/jobs/view/4365609045")</f>
        <v/>
      </c>
      <c r="F123">
        <f>HYPERLINK("https://rockwellautomation.wd1.myworkdayjobs.com/External_Rockwell_Automation/job/Mequon-Wisconsin-United-States/Product-Owner-Firmware-Engineer_R25-10088?source=LinkedIn&amp;urlHash=1i6o", "https://rockwellautomation.wd1.myworkdayjobs.com/External_Rockwell_Automation/job/Mequon-Wisconsin-United-States/Product-Owner-Firmware-Engineer_R25-10088?source=LinkedIn&amp;urlHash=1i6o")</f>
        <v/>
      </c>
      <c r="G123" t="inlineStr">
        <is>
          <t>Mequon, WI</t>
        </is>
      </c>
      <c r="H123" t="inlineStr"/>
      <c r="I123" t="inlineStr">
        <is>
          <t>Rockwell Automation is a global technology leader focused on helping the world’s manufacturers be more productive, sustainable, and agile. With more than 28,000 employees who make the world better every day, we know we have something special. Behind our customers \- amazing companies that help feed the world, provide life\-saving medicine on a global scale, and focus on clean water and green mobility \- our people are energized problem solvers that take pride in how the work we do changes the world for the better.
 We welcome all makers, forward thinkers, and problem solvers who are looking for a place to do their best work. And if that’s you we would love to have you join us!
**Job Description**
 As a Product Owner, you will represent the customer to the DevSecOps development team, and to maximize the value of the product on which the Development Team has worked.
 You work with Product Management to elaborate the product road map, centering on high\-value backlog items, defining crisp acceptance criteria, concentrating on grooming quality backlog item, and avoiding disturbing sprints.
 You will report to DevSecOps Manager. You will work Hybrid in Mequon, WI.
**Primary Responsibilities**
* Manage the product backlog or the prioritized list of requirements for future product development, including expressing the Product Backlogs items
* Ensure close collaboration with the development team, optimize their performance and the value of their work
* Order items in the Product Backlog in such a manner so that it achieves the best goals and missions
* Ensure that the Development Team has the required level of understanding of the items listed in the Product Backlog. Additionally, make sure that the Product Backlog is transparent and clear, showing the way how the Scrum Team will work.
* Be available to the development team to answer any questions team members have regarding the customer's view of how they're implementing a product feature
* Collaborate with Product Management to work the product road map, focus on high\-value backlog items, define crisp acceptance criteria, concentrate on grooming quality backlog item, and avoid disturbing sprints
* Ensure user stories are “ready” for development to start work and that each story has the correct acceptance criteria
* Work with engineering and quality assurance to ensure the right customer problem is solved. This can involve sharing market research and competitive analysis with the team to best focus their efforts.
* Contribute to the work of the Product Manager as they define a product strategy and track progress towards the release of a product.
* The job may involve some or all of the following tasks:
+ Create the product vision and roadmap which accomplishes the goal of the vision.
+ Develop positioning for the product.
+ Work with a cross\-functional team in planning a product release.
+ Develop personas either alone or together with a team including user experience experts.
+ Define customer needs and the associated features to meet those needs.
+ Advocate on behalf of the customer for the development team.
+ Prioritize defect or bug resolution.
**The Essentials \- You Will Have**
* Bachelor's Degree or Equivalent Years of Relevant Work Experience
* Legal authorization to work in the US is required. We will not sponsor individuals for employment visas, now or in the future, for this job opening.
**The Preferred \- You Might Also Have**
* 5\+ years of experience working in an Agile environment, knowledge of Agile frameworks and the ability to apply those frameworks
* Work experience as a Product Owner or similar role in product management.
* Scaled Agile Framework Product Owner / Product Manager certification is a plus.
* Hands\-on experience managing all stages of the product life cycle.
* Technical background with knowledge of firmware development and operational processes.
* Experience releasing FW products that meet our goals.
* You will need to communicate both written and verbally to global team members.
* Excellent teamwork skills especially with people less experienced in communication.
**What We Offer**
* Health Insurance including Medical, Dental and Vision
* 401k
* Paid Time off
* Parental and Caregiver Leave
* Flexible Work Schedule where you will work with your manager to enjoy a work schedule that can be flexible with your personal life.
* To learn more about our benefits package, please visit at www.raquickfind.com.
*At Rockwell Automation we are dedicated to building a diverse, inclusive and authentic workplace, so if you're excited about this role but your experience doesn't align perfectly with every qualification in the job description, we encourage you to apply anyway. You may be just the right person for this or other roles.*
 This position is part of a job family. Experience will be the determining factor for position level and compensation.
 We are an Equal Opportunity Employer including disability and veterans.
 If you are an individual with a disability and you need assistance or a reasonable accommodation during the application process, please contact our services team at \+1 (844\) 404\-7247\.
 Rockwell Automation’s hybrid policy aligns that employees are expected to work at a Rockwell location at least Mondays, Tuesdays, and Thursdays unless they have a business obligation out of the office.</t>
        </is>
      </c>
    </row>
    <row r="124">
      <c r="A124" t="inlineStr">
        <is>
          <t>li-4365573675</t>
        </is>
      </c>
      <c r="B124" t="inlineStr">
        <is>
          <t>Development Program Manager (Q-Systems: Security)</t>
        </is>
      </c>
      <c r="C124" t="inlineStr">
        <is>
          <t>QTS Data Centers</t>
        </is>
      </c>
      <c r="D124" t="inlineStr">
        <is>
          <t>linkedin</t>
        </is>
      </c>
      <c r="E124">
        <f>HYPERLINK("https://www.linkedin.com/jobs/view/4365573675", "https://www.linkedin.com/jobs/view/4365573675")</f>
        <v/>
      </c>
      <c r="F124">
        <f>HYPERLINK("https://qtsdatacenters.wd5.myworkdayjobs.com/qts/job/Irving-TX/Development-Program-Manager\u002d\u002dQ-Systems-_R2026-0148?source=LinkedIn&amp;urlHash=imHR", "https://qtsdatacenters.wd5.myworkdayjobs.com/qts/job/Irving-TX/Development-Program-Manager\u002d\u002dQ-Systems-_R2026-0148?source=LinkedIn&amp;urlHash=imHR")</f>
        <v/>
      </c>
      <c r="G124" t="inlineStr">
        <is>
          <t>Eagle Mountain, UT</t>
        </is>
      </c>
      <c r="H124" t="inlineStr"/>
      <c r="I124" t="inlineStr">
        <is>
          <t>**Who we are:**
 It's pretty exciting to find yourself standing in a pivotal moment in time. It’s even more exciting to be out front leading it. At QTS, our world\-class data centers are supporting our customers’ most strategic growth initiatives, positioning us at the forefront of today’s dynamic digital transformation.
 As AI and cloud drive the demand for increased speed, capacity and capability, QTS has emerged as the global digital infrastructure leader, committed to connecting the world for good. Driven by purpose and fueled by a spirit of innovation, QTS designs, builds and operates some of the world’s most advanced, forward\-thinking data centers. QTS is a portfolio company of Blackstone.
 QTS is Powered by People. People who play a vital role in our company’s culture, innovation and growth. People who are committed to contributing to the communities where we operate and work. People who are knowledgeable, resourceful and mission driven. Together, we do great things.
**Who You Are:**
 The Development Program Manager (Q\-Systems: Security) is primarily responsible for leading and managing Q\-Systems (with a focus on security) for design, pre\-construction and construction activities across our portfolio. The Program Manager will interact daily with Facilities, Contractors, Designers, Engineers, Commissioning Agents, Vendors, and Data Center Operations staff and should have both written and oral communication skills commensurate with this level of regular communication.
**The Impact You Will Have:**
 Q\-Systems is a technology team within the QTS Development organization. Q\-Systems ensures critical facility operation systems are designed and implemented per our basis of design documents to ensure our buildings operate per requirements. The critical facility operation systems include the QTS corporate network, facility network, wireless access points, BMS / EPMS control systems and security technology. Each of these systems ride on the QTS low voltage network. Deployment of the network infrastructure is a key component to ensure projects are complete per tenant lease and project construction schedules.
**What You Will Do:**
* The Development Program Manager (Q\-Systems: Security) is primarily responsible for leading and managing the design, pre\-construction and construction activities on a given project. The Project Manager will interact on a daily basis with Facilities, Contractors, Designers, Engineers, Commissioning Agents, Vendors, and Data Center Operations staff and should have both written and oral communication skills commensurate with this level of regular communication
* Program level support for network infrastructure deployments across our portfolio
* Coordinate with QTS network infrastructure and technology teams to ensure infrastructure meets the facility needs
* Support our Q\-Systems team with network infrastructure coordination
* Manage port schedule creation for development projects
* Review project design to ensure compliance with QTS system standards and Basis of Design documents.
* Create and communicate updates on development program \&amp; project status suitable for executive level reviews. Effectively present information in a manner to support efficient decision making
* Implement and manage multi\-phased site development plans to achieve time, budget, and quality standards in a predictable fashion. Continuously update a campus master plan to provide predictable statistics in a dynamic environment
* Write scopes of work for design, construction, commissioning services \&amp; participate in procurement and project cost estimates
* Evaluate and level pricing proposals for design, construction, and commissioning services
* Establish project schedules and manage teams to on\-time completion
* Develop plans for product deployment and review/communicate plans with QTS staff involved
* Establish and maintain relationships serving as liaison with key QTS stakeholders
* Represent QTS Q\-Systems interests as leader in OAC and low voltage meetings
* Review project implementations to ensure compliance with approved design documents, QTS system standards and Basis of Design documents.
* Create \&amp; build relationships that enhance QTS's ability to be a leader in creating the World's Most Valuable Data Center Real Estate
* Work with the internal development team to enhance project management processes and protocols
* Develop relationship with QTS Facility Operations Technology teams to understand their needs and deliver technologies that support facility operations needs.
**What You Will Need to be Successful (basic qualifications):**
* Bachelor's degree in Technology, Science or Engineering or equivalent professional experience
* Eight or more years of professional experience in building controls, security, and/or low voltage commercial design and construction practices and procedures from conceptual development through procurement to close out
* Experience with Microsoft Office suite
* Be able to travel up to 50% of the time. Average travel anticipated to be every other week for 2\-3 days.
* US Citizenship for this position is required by law due to federal customer contracts.
**Other Key Skills:**
* Understand the pace and scale of QTS projects as we grow across the portfolio.
* Experience with delivery of mission critical data center facilities
* Experience with management of technology design consultants and/or installation trades
**The Perks (and these are just a few!):**
* Q\-Rest Sabbatical
* Employee Stock Purchase Plan
* QTS scholarship for dependents
* Eagle Club Award Trip Eligibility
* Paid Volunteer and Floating days
* Tuition Assistance, Parental Leave and Military Leave Assistance
 We conform to all the laws, statutes, and regulations concerning equal employment opportunities and affirmative action. We strongly encourage women, minorities, individuals with disabilities and veterans to apply to all of our job openings. We are an equal opportunity employer and all qualified applicants will receive consideration for employment without regard to race, color, religion, gender, sexual orientation, gender identity, or national origin, age, disability status, Genetic Information \&amp; Testing, Family \&amp; Medical Leave, protected veteran status, or any other characteristic protected by law. We prohibit retaliation against individuals who bring forth any complaint, orally or in writing, to the employer or the government, or against any individuals who assist or participate in the investigation of any complaint or discrimination claim.
 The "Know Your Rights" Poster is included here:
 Know Your Rights (English)
 Know Your Rights (Spanish)
 The pay transparency policy is available here:
 Pay Transparency Nondiscrimination Poster\-Formatted
 QTS is committed to working with and providing reasonable accommodations to individuals with disabilities. If you need a reasonable accommodation because of a disability for any part of the employment process, please send an e\-mail to talentacquisition@qtsdatacenters.com and let us know the nature of your request and your contact information.</t>
        </is>
      </c>
    </row>
    <row r="125">
      <c r="A125" t="inlineStr">
        <is>
          <t>li-4239620626</t>
        </is>
      </c>
      <c r="B125" t="inlineStr">
        <is>
          <t>Project/Program Manager - Aviation</t>
        </is>
      </c>
      <c r="C125" t="inlineStr">
        <is>
          <t>STV</t>
        </is>
      </c>
      <c r="D125" t="inlineStr">
        <is>
          <t>linkedin</t>
        </is>
      </c>
      <c r="E125">
        <f>HYPERLINK("https://www.linkedin.com/jobs/view/4239620626", "https://www.linkedin.com/jobs/view/4239620626")</f>
        <v/>
      </c>
      <c r="F125">
        <f>HYPERLINK("https://stvinc.wd5.myworkdayjobs.com/stv/job/Los-Angeles-California/Aviation-Project-Manager_JR3788?source=LinkedIn&amp;urlHash=Eqxy", "https://stvinc.wd5.myworkdayjobs.com/stv/job/Los-Angeles-California/Aviation-Project-Manager_JR3788?source=LinkedIn&amp;urlHash=Eqxy")</f>
        <v/>
      </c>
      <c r="G125" t="inlineStr">
        <is>
          <t>Atlanta, GA</t>
        </is>
      </c>
      <c r="H125" t="inlineStr"/>
      <c r="I125" t="inlineStr">
        <is>
          <t>**STV** 
 is seeking a
 **Project/Program Manager** 
 to join our national aviation team to oversee and direct airport terminal improvements. We have
 **projects nationwide at all major airports including the states of** 
**CA, CO, FL, GA, IL, MA, MD, NY, NC, OH, SC, TN, TX, etc.**
 A successful candidate will need significant aviation experience and have previously managed design or construction within an active airport terminal environment.
**Responsibilities Include**
* Provide project management, technical oversight and leadership for all phases of aviation projects associated with a capital improvement, including, but not limited to; business case development, stakeholder engagement, design management, design and construction procurement, permitting and federal/state approvals, scheduling, project delivery, cost and change management safety, quality control, and ORAT
* Provide guidance to discipline managers and contractors to address key program challenges, risk management, innovation, schedule and budget performance
* Provide leadership to ensure that responsibilities are accomplished to a high degree of quality which exceeds the expectation of the client
* Develop project level process and procedures, project controls, and governances, that align to and drive overall project goals
* Manage and oversee all aspects of project planning and development, including engineering and pre\-construction/construction; bidding strategy; schedules; cost estimating; budget oversight; systems and facility integration; and commissioning/activation
* Facilitates coordination with stakeholders; airport operating divisions, airline operations, regulatory agencies and other delivery partners and oversight entities, as required
* Facilitates the development of the overall program schedule and oversees the integration of project level schedules
* Utilization of earned value management to track and manage the program and associated projects
* Schedule and conduct design and/or construction progress meetings
* Drive the planning, design, and construction deliverables to successfully meeting the deliverable dates
* Present progress to stakeholders and project delivery partners
* Use electronic tools including Primavera P6, Project Management Information Systems (PMIS), and other related software systems
* Coordinate maintenance of traffic and phasing plans, utility shutdown requests, impact notices, disruption notices, contingency planning and other tasks as needed
**Preferred Qualifications**
* Experience in successful management of capital projects/programs of over $10M
* Knowledge of airport operations, design, and construction of airport facilities is required
* Experience in overseeing multiple construction activities concurrently as part of a complex capital infrastructure project is preferred
**Required Education/Accreditation**
* Achieved a bachelor’s degree, preferably in Engineering, Architecture, or Construction Management
* Candidates may substitute comparable experience for educational requirements
**Compensation Range**
 $143,435\.23 \- $163,925\.98
**STV offers the following benefits**
* Health insurance, including an option with a Health Savings Account
* Dental insurance
* Vision insurance
* Flexible Spending Accounts (Healthcare, Dependent Care and Transit and Parking where applicable)
* Disability insurance
* Life Insurance and Accidental Death \&amp; Dismemberment
* 401(k) Plan
* Retirement Counseling
* Employee Assistance Program
* Paid Time Off (starting at 16 days)
* Paid Holidays (9 days)
* Back\-Up Dependent Care (up to 10 days per year)
* Parental Leave (up to 80 hours)
* Continuing Education Program
* Professional Licensure and Society Memberships
 STV is committed to paying all of its employees in a fair, equitable, and transparent manner. The listed pay range is STV’s good\-faith salary estimate for this position. Please note that the final salary offered for this position may be outside of this published range based on many factors, including but not limited to geography, education, experience, and/or certifications.
**Not sure this role is the perfect match?** 
 We encourage you to apply if STV’s work and values resonate with you. We know great candidates don’t always meet every qualification, and research shows women and people of color are less likely to apply unless they do. At STV, we believe strong talent comes from a wide range of backgrounds, and your skills and experience may align with this or another opportunity as we continue to grow.</t>
        </is>
      </c>
    </row>
    <row r="126">
      <c r="A126" t="inlineStr">
        <is>
          <t>li-4365605947</t>
        </is>
      </c>
      <c r="B126" t="inlineStr">
        <is>
          <t>Principal Technical Program Manager, NA</t>
        </is>
      </c>
      <c r="C126" t="inlineStr">
        <is>
          <t>Vantage Data Centers</t>
        </is>
      </c>
      <c r="D126" t="inlineStr">
        <is>
          <t>linkedin</t>
        </is>
      </c>
      <c r="E126">
        <f>HYPERLINK("https://www.linkedin.com/jobs/view/4365605947", "https://www.linkedin.com/jobs/view/4365605947")</f>
        <v/>
      </c>
      <c r="F126" t="inlineStr"/>
      <c r="G126" t="inlineStr"/>
      <c r="H126" t="inlineStr"/>
      <c r="I126" t="inlineStr">
        <is>
          <t>**About Vantage Data Centers**
 Vantage Data Centers powers, cools, protects and connects the technology of the world’s well\-known hyperscalers, cloud providers and large enterprises. Developing and operating across North America, EMEA and Asia Pacific, Vantage has evolved data center design in innovative ways to deliver dramatic gains in reliability, efficiency and sustainability in flexible environments that can scale as quickly as the market demands.
**Product and Engineering Department**
 The Product and Engineering organizations at Vantage deliver the platforms, systems, and infrastructure that underpin our global data center portfolio. Technical Program Management enables the successful delivery of highly complex, cross\-organizational technical initiatives, ensuring architectural intent translates into reliable, scalable execution. TPMs are force multipliers—operating with broad scope, deep technical credibility, and minimal oversight to prevent technical failure at scale.
**Position Overview**
**This role will be based remotely in the United States.**
 The Principal Technical Program Manager is responsible for owning and driving Vantage’s most complex, high\-risk technical programs, spanning infrastructure platforms, distributed systems, and hardware/software co\-design. This role operates as a single\-threaded technical execution owner, partnering with senior engineering, architecture, and product leaders to anticipate failure modes, resolve deep technical tradeoffs, and ensure systems are designed and delivered for scale, reliability, and long\-term operability. This is a hands\-on senior individual contributor role with no direct people management responsibility.
**Essential Job Functions**
* Own and drive company\-critical technical programs spanning multiple engineering organizations
* Partner with senior engineers and architects to challenge designs, validate assumptions, and surface tradeoffs
* Decompose complex, interdependent systems into sequenced technical milestones and delivery plans
* Proactively identify technical risks, failure modes, integration issues, and scale constraints
* Lead cross\-org dependency management for platform, infrastructure, and systems initiatives
* Drive execution of large\-scale platform builds, infrastructure migrations, and hardware/software co\-design programs
* Establish and enforce technical readiness checkpoints and delivery criteria
* Serve as the technical authority in program reviews, escalations, and executive forums
* Translate deep technical complexity into clear, actionable insights for senior leadership
* Additional duties as assigned by Management
**Job Requirements**
* 10\+ years of experience in Technical Program Management or Engineering Program Management
* Deep technical fluency in systems architecture, infrastructure platforms, APIs, or hardware systems
* Proven credibility with senior engineering and architecture leaders
* Demonstrated success leading large\-scale, multi\-year, cross\-organizational technical programs
* Strong program execution discipline across ambiguous, high\-risk technical initiatives
* Ability to operate independently with minimal oversight in complex environments
* Travel required is expected to be up to 20% but may increase over time as the business evolves
**Physical Demands And Special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occasionally required to stand; walk; sit; use hands to handle, or feel objects; reach with hands and arms; climb stairs; balance; stoop or kneel; talk and hear. The employee must occasionally lift and/or move up to 25 pounds.
**Additional Details**
* Salary Range: $185,000 \- $195,000 Base \+ Bonus (this range is based on Colorado market data and may vary in other locations)
* This position is eligible for company benefits including but not limited to medical, dental, and vision coverage, life and AD\&amp;D, short and long\-term disability coverage, paid time off, employee assistance, participation in a 401k program that includes company match, and many other additional voluntary benefits.
* Compensation for the role will depend on a number of factors, including your qualifications, skills, competencies, and experience and may fall outside of the range shown.
 We operate with No Ego and No Arrogance. We work to build each other up and support one another, appreciating each other’s strengths and respecting each other’s weaknesses. We find joy in our work and each other, actively seeking opportunities to inject fun into what we do. Our hard and efficient work is rewarded with an above market total compensation package. We offer a comprehensive suite of health and welfare, retirement, and paid leave benefits exceeding local expectations.
 Throughout the year, the advantage of being part of the Vantage team is evident with an array of benefits, recognition, training and development, and the knowledge that your contribution adds value to the company and our community.
 Don't meet all the requirements? Please still apply if you think you are the right person for the position. We are always keen to speak to people who connect with our mission and values.
 Vantage Data Centers is an Equal Opportunity Employer
 Vantage Data Centers does not accept unsolicited resumes from search firm agencies. Fees will not be paid in the event a candidate submitted by a recruiter without an agreement in place is hired; such resumes will be deemed the sole property of Vantage Data Centers.
 We’ll be accepting applications for at least one week from the date this role is posted. If you're interested, we encourage you to apply soon—we’re excited to find the right person and will keep the role open until we do!</t>
        </is>
      </c>
    </row>
    <row r="127">
      <c r="A127" t="inlineStr">
        <is>
          <t>li-4323545495</t>
        </is>
      </c>
      <c r="B127" t="inlineStr">
        <is>
          <t>Power System Automation Product Owner (Automation Team)</t>
        </is>
      </c>
      <c r="C127" t="inlineStr">
        <is>
          <t>Electric Power Engineers</t>
        </is>
      </c>
      <c r="D127" t="inlineStr">
        <is>
          <t>linkedin</t>
        </is>
      </c>
      <c r="E127">
        <f>HYPERLINK("https://www.linkedin.com/jobs/view/4323545495", "https://www.linkedin.com/jobs/view/4323545495")</f>
        <v/>
      </c>
      <c r="F127" t="inlineStr"/>
      <c r="G127" t="inlineStr">
        <is>
          <t>Austin, TX</t>
        </is>
      </c>
      <c r="H127" t="inlineStr"/>
      <c r="I127" t="inlineStr">
        <is>
          <t>**Overview**
**We are designing the grid of the future!**
 EPE seeks a Power System Automation Product Owner to drive automation and software development efforts. We are looking for an individual who drives on solving hard problems and enjoys working at the intersection of power system studies, product development and software development.
 This is not a traditional product owner role. The ideal candidate will serve as a bridge between our consulting teams and software group driving various software development and automation initiatives. You will combine technical understanding of power systems modelling and analysis or software development with product leadership to translate complex engineering workflows into practical and scalable software tools.
**Responsibilities**
**How you can make an impact :**
* Own the product vision and translate the product roadmap into well\-defined user stories and acceptance criteria for the development team.
* Collaborate with software developers, data engineers, and consulting teams to design, prioritize, and deliver product features that create measurable impact.
* When required, step in to support the development of automation scripts for various modules of the overall product and leverage your technical skills to assist the team in troubleshooting complex issues.
* Participate in Agile processes including sprint planning, reviews, and retrospectives, ensuring alignment between development outputs and engineering needs.
* Support product quality by defining acceptance criteria, participating in user acceptance testing (UAT), and validating the accuracy of technical data and calculations within the platform.
* Assist in creating product documentation, training materials, and conducting technical demonstrations for internal teams and external customers.
**Qualifications**
**Bring your passion, here's what’s needed:**
* Bachelor's Degree in Electrical Engineering (EE) or Computer Science (CS)
* 5\+ years of experience as a Power System Studies Engineer with a heavy focus on automating workflows, Software Developer or Technical Product Manager
* Experience in one or more of the following technical areas:
+ Inverter\-based resource modeling in PSSE and PSCAD
+ Steady\-state interconnection or transmission planning studies
+ Software Development
* Experience participating in sales enablement activities or delivering software demonstrations is a plus.
* Ability to clearly articulate technical product value to both technical and non\-technical audiences.
* Excellent ability to understand and translate complex technical concepts into clear, actionable requirements for development teams.
* Strong analytical, problem\-solving, and communication skills, with the ability to collaborate effectively across technical and non\-technical teams.
**Beneficial Experience**
* Proven experience working within an Agile/Scrum development framework, managing backlogs, and writing user stories.
* Experience with agile management tools (e.g., Jira).
**Lead the change!**
 Be a part of an innovative team shaping the grid of the future through advanced energy intelligence . For more than half a century, Electric Power Engineers (EPE) has partnered with power and energy clients across the globe, providing consulting expertise and energy intelligence software solutions for complex engineering and grid modeling challenges. As leaders in the renewables space, we are focused on building a modern, secure, and resilient grid. Join us in making an impact on the communities we serve and the environment in which we live. Together we can transform the future of energy.
**How We Support You**
* Comprehensive health and wellness benefits including medical, dental, and vision with 100% premium coverage for you
* Generous PTO and paid holidays
* MyShare Employee Ownership Program
* Work with industry leaders
* 401K, up to a 4% match (100% vested from day 1\)
* Flexible Work including hybrid and remote possibilities based on position.
**Location** 
 : This position is remote US.
**Travel** 
 : Occasional travel may be needed (10% or less) for team meetings, client interactions, or industry events.
 EPE is an equal opportunity/AA/Disability/Veteran employer. The EEO is the Law poster, and its supplement are available using the following links: EEOC is the Law Poster
**Third\-Party Recruiting Notification**
 EPE does not accept unsolicited resumes from
 **third\-party recruiters** 
 . Any unsolicited third\-party resumes forwarded by recruiters to EPE via our career page or to any of our managers or employees will be considered public information, may be treated as a direct application from the person identified in the resume, and will not be eligible for placement fee payment to the agency. EPE will not pay a fee to a third\-party recruiter or agency without a previously signed third\-party agreement and has not coordinated their recruiting activity with the appropriate member of the Talent Acquisition team.</t>
        </is>
      </c>
    </row>
    <row r="128">
      <c r="A128" t="inlineStr">
        <is>
          <t>li-4365621872</t>
        </is>
      </c>
      <c r="B128" t="inlineStr">
        <is>
          <t>Sr. Supply Chain Program Manager, Global Field Operations Supply Chain</t>
        </is>
      </c>
      <c r="C128" t="inlineStr">
        <is>
          <t>Amazon Web Services (AWS)</t>
        </is>
      </c>
      <c r="D128" t="inlineStr">
        <is>
          <t>linkedin</t>
        </is>
      </c>
      <c r="E128">
        <f>HYPERLINK("https://www.linkedin.com/jobs/view/4365621872", "https://www.linkedin.com/jobs/view/4365621872")</f>
        <v/>
      </c>
      <c r="F128">
        <f>HYPERLINK("https://www.amazon.jobs/jobs/3165771/sr-supply-chain-program-manager-global-field-operations-supply-chain?cmpid=SPLICX0248M&amp;utm_source=linkedin.com&amp;utm_campaign=cxro&amp;utm_medium=social_media&amp;utm_content=job_posting&amp;ss=paid&amp;urlHash=DEb7", "https://www.amazon.jobs/jobs/3165771/sr-supply-chain-program-manager-global-field-operations-supply-chain?cmpid=SPLICX0248M&amp;utm_source=linkedin.com&amp;utm_campaign=cxro&amp;utm_medium=social_media&amp;utm_content=job_posting&amp;ss=paid&amp;urlHash=DEb7")</f>
        <v/>
      </c>
      <c r="G128" t="inlineStr">
        <is>
          <t>Seattle, WA</t>
        </is>
      </c>
      <c r="H128" t="inlineStr"/>
      <c r="I128" t="inlineStr">
        <is>
          <t>**Description**
 Global Field Operations is a dynamic team within AWS that manages all cloud infrastructure deployments outside of AWS Data Centers. We are looking for the right individual who will continue the work of building supply chain processes that delight our diverse customer base. In the role, the Supply Chain PM will work with vendors, internal customers and peer teams to identify areas to improve, create high\-impact/large\-scope plans and drive execution of the plans. The Supply Chain PM has global impact in their work supporting customer deployments in over 60 countries around the world.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Key job responsibilities
 In this role, the PM will be responsible for the following:
* Developing, and implementing, plans to improve the efficiency and scalability of the GFO supply chain
* Working with internal and external stakeholders to determine the root cause and resolution of problems, and proactively prevent future issues
* Document, and share, best practices for GFO supply chain
* Create robust standard work for their role, enabling program growth
 A day in the life
 A typical day for a GFO Supply Chain PM consists of two parts:
* Monitoring relevant metrics for their role to ensure seamless delivery for our customers. Where there are issues, they quickly react to contain and correct issues to prevent recurrence.
* Building a roadmap to improve the processes they own to deliver better performance for our customers. This can come in many forms; from small process improvements to full\-scale redesigns.
**About The Team**
 The Global Field Operations (GFO) Supply Chain team manages all supply chain activities from hardware production through field spares. Within the team are also PMs that manage projects like integrating new programs into GFO, driving improved automation and coordinating with other teams on launching new types of hardware. Because of the breadth of GFO Supply Chain's responsibilities, our PMs have the opportunity to work on varied projects that challenge them to be creative to optimize processes for our customers.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Supply Chain, Business, Engineering, or a related field
* 5\+ years of program, project or product management, or leading product implementation experience
* 8\+ years of data analysis using tools such as Excel, Pivot Tables, SQL, Tableau, or equivalent experience
* 8\+ years of high volume manufacturing operations or sourcing environments experience
* 5\+ years of 3rd party management (suppliers, logistics or similar)
**Preferred Qualifications**
* Experience in data centers, infrastructure service providers, or related technology companies
* Experience in procurement practices working with engineering, supply chain and Tier 1 OEM partners
* Experience in global supply chain management, managing cross\-functional teams in a fast\-paced consumer electronics product company
* Experience in negotiations with global suppliers with a proven track record in cost reduction
* Experience practicing best\-in\-class procurement processes (category management, benchmarking, should\-cost models, RFX, reverse auction, contracting, or equivalent)
* Experience in global inventory management, including stocking levels logic, in\-bound / out\-bound, forecast creation and supplier management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\- 147,900\.00 \- 200,100\.00 USD annually
 USA, VA, Herndon \- 147,900\.00 \- 200,100\.00 USD annually
 USA, WA, Bellevue \- 147,900\.00 \- 200,100\.00 USD annually
 USA, WA, Seattle \- 147,900\.00 \- 200,100\.00 USD annually
**Company** 
 \- Amazon Data Services, Inc.
 Job ID: A3165771</t>
        </is>
      </c>
    </row>
    <row r="129">
      <c r="A129" t="inlineStr">
        <is>
          <t>li-4363487506</t>
        </is>
      </c>
      <c r="B129" t="inlineStr">
        <is>
          <t>Staff Product Owner, AI Products</t>
        </is>
      </c>
      <c r="C129" t="inlineStr">
        <is>
          <t>EchoStar Corporation</t>
        </is>
      </c>
      <c r="D129" t="inlineStr">
        <is>
          <t>linkedin</t>
        </is>
      </c>
      <c r="E129">
        <f>HYPERLINK("https://www.linkedin.com/jobs/view/4363487506", "https://www.linkedin.com/jobs/view/4363487506")</f>
        <v/>
      </c>
      <c r="F129" t="inlineStr"/>
      <c r="G129" t="inlineStr">
        <is>
          <t>San Mateo, CA</t>
        </is>
      </c>
      <c r="H129" t="inlineStr"/>
      <c r="I129" t="inlineStr">
        <is>
          <t>**Company Summary**
 EchoStar is reimagining the future of connectivity. Our business reach spans satellite television service, live\-streaming and on\-demand programming, smart home installation services, mobile plans and products.
 Today, our brands include Boost Mobile, DISH TV, Gen Mobile, Hughes and Sling TV.
**Department Summary**
 Our Technology teams challenge the status quo and reimagine capabilities across industries. Whether through research and development, technology innovation or solution engineering, our team members play a vital role in connecting consumers with the products and platforms of tomorrow.
**Job Duties And Responsibilities**
**Candidates must be willing to participate in at least one in\-person interview, which may include a live whiteboarding or technical assessment session.**
 DISH is looking for an accomplished and adaptable Product Owner to join our AI Office team. In this role, you will play a crucial part in driving the development of data\-driven AI products, ensuring alignment with business objectives and stakeholder needs. Your expertise in data science will be instrumental in facilitating effective communication between technical teams and stakeholders, ultimately enabling the delivery of high\-quality solutions that meet business needs.
**Key Responsibilities**
* Partner with stakeholders to define business needs and translate them into clear AI solution requirements and product outcomes
* Own and prioritize the AI product backlog based on value, strategic goals, capacity, and ROI, with emphasis on paired data scientist–engineer delivery
* Manage the AI initiative pipeline, balancing near\-term wins with long\-term roadmap objectives and promoting early, continuous production integration
* Author and accept Epics as the primary unit of value, collaborating with teams on effective User Story decomposition and acceptance criteria
* Communicate and maintain the product vision and roadmap, highlighting how paired programming accelerates deployment, quality, and maintainability
* Track product performance and ROI using data\-driven insights, manage stakeholder expectations, and continuously optimize delivery speed, feasibility, and value realization
**Skills, Experience And Requirements**
**Education and Experience:**
* Bachelor’s degree in computer science, Information Systems, or a related field
* Certification in agile methodologies such as Certified Scrum Product Owner (CSPO) preferred
* Advanced degree (Master’s or higher) in computer science, Information Systems, or a related field preferred
* 6\+ years in product management, focusing on data\-driven/AI/ML solutions, ideally in agile
**Skills And Qualifications**
* Strong understanding of agile/scrum, including paired programming principles
* Proven ability to manage stakeholders and communicate effectively with technical and business teams
* Experience managing product backlogs and delivering value via prioritized, paired development
* Ability to make data\-driven decisions and analyze performance metrics, including code quality/deployment efficiency
* Experience with cloud stack (AWS, GCP or Azure) preferred
**Salary Ranges**
 Compensation: $96,250\.00/Year \- $158,125\.00/Year
**Benefits**
 We offer versatile health perks, including flexible spending accounts, HSA, a 401(k) Plan with company match, ESPP, career opportunities, and a flexible time away plan; all benefits can be viewed here: DISH Benefits.
 The base pay range shown is a guideline. Individual total compensation will vary based on factors such as qualifications, skill level, and competencies; compensation is based on the role's location and is subject to change based on work location.
 Candidates need to successfully complete a pre\-employment screen, which may include a drug test and DMV check. Our company is committed to fostering an inclusive and equitable workplace where every individual has the opportunity to succeed. We are dedicated to providing individuals with criminal or arrest records a fair chance of employment in accordance with local, state, and federal laws.
 The posting will be active for a minimum of 3 days. The active posting will continue to extend by 3 days until the position is filled.
 We pride ourselves on developing and promoting talent as an Equal Employment Opportunity Employer. All qualified applicants will receive consideration for employment without regard to race, color, religion, sex, sexual orientation, gender identity, national origin, disability, or protected veteran status. EchoStar will accommodate the sincerely held religious beliefs of employees if such accommodations are not undue hardships and are otherwise within the bounds of applicable law. All qualified applicants with arrest or conviction records will be considered for employment in accordance with local, state, and federal law. You may redact any information that identifies age, date of birth, or dates of school/graduation from your application documents before submission and throughout our application process.
 EchoStar will provide reasonable accommodation to otherwise qualified job applicants and employees with known physical or mental disabilities, unless doing so poses an undue hardship on the Company, poses a direct threat of substantial harm to others, or is otherwise not required by law. EchoStar has a more detailed Accommodation Policy that applies to employees. EchoStar endeavors to make echostar.com and jobs.echostar.com accessible to users. Please contact leaves@dish.com if you would like to discuss the accessibility of our website or need assistance completing the application process. This contact information is for accommodation requests only; do not use this contact information to inquire about the status of applications.
 Click the links to access the following statements: EEO Policy Statement, Pay Transparency, EEOC Know Your Rights (English/Spanish)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2026-03-08T17:28:52Z</dcterms:created>
  <dcterms:modified xsi:type="dcterms:W3CDTF">2026-03-08T17:28:52Z</dcterms:modified>
</cp:coreProperties>
</file>