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in-e02007c865bc296e</t>
        </is>
      </c>
      <c r="B2" t="inlineStr">
        <is>
          <t>Fullstack AI Engineering Manager</t>
        </is>
      </c>
      <c r="C2" t="inlineStr">
        <is>
          <t>Openkyber</t>
        </is>
      </c>
      <c r="D2" t="inlineStr">
        <is>
          <t>indeed</t>
        </is>
      </c>
      <c r="E2" t="inlineStr"/>
      <c r="F2" t="inlineStr"/>
      <c r="G2" t="inlineStr">
        <is>
          <t>IL, US</t>
        </is>
      </c>
      <c r="H2" s="1" t="n">
        <v>46088</v>
      </c>
      <c r="I2" t="inlineStr">
        <is>
          <t>Role: Senior Full Stack Software Engineer (SaaS \&amp; Cybersecurity) Hybrid Role in SFO Bay Area W2 Role
**JD:**
**Key Responsibilities**
* Feature Development \&amp; Delivery Deliver new technical features for B2B and B2C SaaS products.
* Work closely with engineers, Product Managers, and UX Designers to scope engineering requirements and timelines.
* Anticipate and communicate blockers and delays before escalation is required.
* Continuously contribute to improving engineering culture, practices, and processes.
* Explore and prototype the use of Generative AI and Large Language Models (LLMs) to drive product innovation.
**Programming \&amp; Implementation**
* Write and deliver clean, maintainable, and well\-tested code.
* Implement front\-end UI components using TypeScript and React.
* Develop RESTful API endpoints using TypeScript and Node.js.
* Participate in peer code reviews to ensure code quality and adherence to engineering best practices.
* Collaborate with developers to build reusable code and libraries for future use.
* Implement software security requirements across applications.
* Utilize modern developer tools to enhance productivity and code quality.
* Integrate APIs and services to deliver intelligent product capabilities.
**Software Design**
* Design API endpoints, define schemas, and generate technical documentation.
* Design reusable and scalable React components for the front\-end.
* Make sound architectural decisions focused on customer experience.
* Develop optimal software designs aligned with architectural best practices.
* Consider system performance, scalability, and reliability when designing solutions.
* Design and implement Model Context Protocol (MCP) and Retrieval\-Augmented Generation (RAG) pipelines to enable AI\-driven solutions.
**Testing \&amp; Quality Assurance**
* Deliver well\-tested code.
* Write unit tests for APIs and front\-end components.
**Maintenance \&amp; Support**
* Troubleshoot, debug, maintain, and improve existing software.
* Resolve bugs, performance issues, and security vulnerabilities.
* Participate in an on\-call rotation to address customer issues and server alerts when necessary.
**Required Qualifications**
* 10\+ years of software engineering experience.
* Experience coding in JavaScript / TypeScript, HTML5, CSS3, or related technologies.
* Strong experience with front\-end frameworks (preferably React).
* Experience designing and developing APIs, ideally with Node.js.
* Experience with application, network, and cloud security.
* Experience designing and architecting microservices.
* Strong computer science fundamentals and problem\-solving skills.
* Experience with version control systems such as Git or SVN.
* Understanding of Agile development and DevOps principles.
**Preferred Qualifications**
* Experience writing unit tests using frameworks such as Mocha, Jest, or similar.
* Familiarity with SaaS product architectures.
* Experience working with AWS, Azure, or Google Cloud environments.
* Experience with AI\-enabled system design, including: Model Context Protocol (MCP), Retrieval\-Augmented Generation (RAG) pipelines, Vector databases such as Pinecone or Weaviate
* Familiarity with modern developer tools for AI\-assisted development.
**For applications and inquiries, contact:** hirings@openkyber.com</t>
        </is>
      </c>
    </row>
    <row r="3">
      <c r="A3" t="inlineStr">
        <is>
          <t>in-0a209f83bc928b63</t>
        </is>
      </c>
      <c r="B3" t="inlineStr">
        <is>
          <t>Applied Scientist, Alexa Smart Home</t>
        </is>
      </c>
      <c r="C3" t="inlineStr">
        <is>
          <t>Amazon.com</t>
        </is>
      </c>
      <c r="D3" t="inlineStr">
        <is>
          <t>indeed</t>
        </is>
      </c>
      <c r="E3" t="inlineStr"/>
      <c r="F3" t="inlineStr"/>
      <c r="G3" t="inlineStr">
        <is>
          <t>Seattle, WA, US</t>
        </is>
      </c>
      <c r="H3" s="1" t="n">
        <v>46033</v>
      </c>
      <c r="I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
      <c r="A4" t="inlineStr">
        <is>
          <t>in-616bca00d636e883</t>
        </is>
      </c>
      <c r="B4" t="inlineStr">
        <is>
          <t>Applied Scientist, Alexa Smart Home</t>
        </is>
      </c>
      <c r="C4" t="inlineStr">
        <is>
          <t>Amazon.com</t>
        </is>
      </c>
      <c r="D4" t="inlineStr">
        <is>
          <t>indeed</t>
        </is>
      </c>
      <c r="E4" t="inlineStr"/>
      <c r="F4" t="inlineStr"/>
      <c r="G4" t="inlineStr">
        <is>
          <t>Sunnyvale, CA, US</t>
        </is>
      </c>
      <c r="H4" s="1" t="n">
        <v>46033</v>
      </c>
      <c r="I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
      <c r="A5" t="inlineStr">
        <is>
          <t>in-98b10ad897bcba4f</t>
        </is>
      </c>
      <c r="B5" t="inlineStr">
        <is>
          <t>ML Engineer, GO-AI Technology &amp; Development Team</t>
        </is>
      </c>
      <c r="C5" t="inlineStr">
        <is>
          <t>Amazon.com</t>
        </is>
      </c>
      <c r="D5" t="inlineStr">
        <is>
          <t>indeed</t>
        </is>
      </c>
      <c r="E5" t="inlineStr"/>
      <c r="F5" t="inlineStr"/>
      <c r="G5" t="inlineStr">
        <is>
          <t>Seattle, WA, US</t>
        </is>
      </c>
      <c r="H5" s="1" t="n">
        <v>45998</v>
      </c>
      <c r="I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6">
      <c r="A6" t="inlineStr">
        <is>
          <t>in-d8e0ec92f1529397</t>
        </is>
      </c>
      <c r="B6" t="inlineStr">
        <is>
          <t>ML Engineer, GO-AI Technology &amp; Development Team</t>
        </is>
      </c>
      <c r="C6" t="inlineStr">
        <is>
          <t>Amazon.com</t>
        </is>
      </c>
      <c r="D6" t="inlineStr">
        <is>
          <t>indeed</t>
        </is>
      </c>
      <c r="E6" t="inlineStr"/>
      <c r="F6" t="inlineStr"/>
      <c r="G6" t="inlineStr">
        <is>
          <t>Westborough, MA, US</t>
        </is>
      </c>
      <c r="H6" s="1" t="n">
        <v>45998</v>
      </c>
      <c r="I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7">
      <c r="A7" t="inlineStr">
        <is>
          <t>in-29dec37d2caadba9</t>
        </is>
      </c>
      <c r="B7" t="inlineStr">
        <is>
          <t>ML Engineer, GO-AI Technology &amp; Development Team</t>
        </is>
      </c>
      <c r="C7" t="inlineStr">
        <is>
          <t>Amazon.com</t>
        </is>
      </c>
      <c r="D7" t="inlineStr">
        <is>
          <t>indeed</t>
        </is>
      </c>
      <c r="E7" t="inlineStr"/>
      <c r="F7" t="inlineStr"/>
      <c r="G7" t="inlineStr">
        <is>
          <t>Reading, MA, US</t>
        </is>
      </c>
      <c r="H7" s="1" t="n">
        <v>45998</v>
      </c>
      <c r="I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8">
      <c r="A8" t="inlineStr">
        <is>
          <t>in-0ced9a67ca88b7c3</t>
        </is>
      </c>
      <c r="B8" t="inlineStr">
        <is>
          <t>ML Engineer, GO-AI Technology &amp; Development Team</t>
        </is>
      </c>
      <c r="C8" t="inlineStr">
        <is>
          <t>Amazon.com</t>
        </is>
      </c>
      <c r="D8" t="inlineStr">
        <is>
          <t>indeed</t>
        </is>
      </c>
      <c r="E8" t="inlineStr"/>
      <c r="F8" t="inlineStr"/>
      <c r="G8" t="inlineStr">
        <is>
          <t>Boston, MA, US</t>
        </is>
      </c>
      <c r="H8" s="1" t="n">
        <v>45998</v>
      </c>
      <c r="I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9">
      <c r="A9" t="inlineStr">
        <is>
          <t>in-704f0cea1c2ee565</t>
        </is>
      </c>
      <c r="B9" t="inlineStr">
        <is>
          <t>Applied Scientist, AWS Agentic AI</t>
        </is>
      </c>
      <c r="C9" t="inlineStr">
        <is>
          <t>Amazon Web Services</t>
        </is>
      </c>
      <c r="D9" t="inlineStr">
        <is>
          <t>indeed</t>
        </is>
      </c>
      <c r="E9" t="inlineStr"/>
      <c r="F9" t="inlineStr"/>
      <c r="G9" t="inlineStr">
        <is>
          <t>New York, NY, US</t>
        </is>
      </c>
      <c r="H9" s="1" t="n">
        <v>45962</v>
      </c>
      <c r="I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in-e3a79073a46ee5b4</t>
        </is>
      </c>
      <c r="B10" t="inlineStr">
        <is>
          <t>Applied Scientist, AWS Agentic AI</t>
        </is>
      </c>
      <c r="C10" t="inlineStr">
        <is>
          <t>Amazon Web Services</t>
        </is>
      </c>
      <c r="D10" t="inlineStr">
        <is>
          <t>indeed</t>
        </is>
      </c>
      <c r="E10" t="inlineStr"/>
      <c r="F10" t="inlineStr"/>
      <c r="G10" t="inlineStr">
        <is>
          <t>Seattle, WA, US</t>
        </is>
      </c>
      <c r="H10" s="1" t="n">
        <v>45962</v>
      </c>
      <c r="I1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in-db3ed9cebdc007cc</t>
        </is>
      </c>
      <c r="B11" t="inlineStr">
        <is>
          <t>Applied Scientist, AWS Agentic AI</t>
        </is>
      </c>
      <c r="C11" t="inlineStr">
        <is>
          <t>Amazon Web Services</t>
        </is>
      </c>
      <c r="D11" t="inlineStr">
        <is>
          <t>indeed</t>
        </is>
      </c>
      <c r="E11" t="inlineStr"/>
      <c r="F11" t="inlineStr"/>
      <c r="G11" t="inlineStr">
        <is>
          <t>Santa Clara, CA, US</t>
        </is>
      </c>
      <c r="H11" s="1" t="n">
        <v>45962</v>
      </c>
      <c r="I1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in-00908ff1bb3ab633</t>
        </is>
      </c>
      <c r="B12" t="inlineStr">
        <is>
          <t>Applied Scientist II, Prime Video Personalization and Discovery Science</t>
        </is>
      </c>
      <c r="C12" t="inlineStr">
        <is>
          <t>Amazon.com</t>
        </is>
      </c>
      <c r="D12" t="inlineStr">
        <is>
          <t>indeed</t>
        </is>
      </c>
      <c r="E12">
        <f>HYPERLINK("https://www.indeed.com/viewjob?jk=00908ff1bb3ab633", "https://www.indeed.com/viewjob?jk=00908ff1bb3ab633")</f>
        <v/>
      </c>
      <c r="F12">
        <f>HYPERLINK("https://www.amazon.jobs/jobs/3165157/applied-scientist-ii-prime-video-personalization-and-discovery-science?cmpid=DA_INAD200785B", "https://www.amazon.jobs/jobs/3165157/applied-scientist-ii-prime-video-personalization-and-discovery-science?cmpid=DA_INAD200785B")</f>
        <v/>
      </c>
      <c r="G12" t="inlineStr">
        <is>
          <t>Sunnyvale, CA, US</t>
        </is>
      </c>
      <c r="H12" s="2" t="n">
        <v>46034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
      <c r="A13" t="inlineStr">
        <is>
          <t>in-ded40430027d9c16</t>
        </is>
      </c>
      <c r="B13" t="inlineStr">
        <is>
          <t>Applied Scientist II, Prime Video Personalization and Discovery Science</t>
        </is>
      </c>
      <c r="C13" t="inlineStr">
        <is>
          <t>Amazon.com</t>
        </is>
      </c>
      <c r="D13" t="inlineStr">
        <is>
          <t>indeed</t>
        </is>
      </c>
      <c r="E13">
        <f>HYPERLINK("https://www.indeed.com/viewjob?jk=ded40430027d9c16", "https://www.indeed.com/viewjob?jk=ded40430027d9c16")</f>
        <v/>
      </c>
      <c r="F13">
        <f>HYPERLINK("https://www.amazon.jobs/jobs/3165157/applied-scientist-ii-prime-video-personalization-and-discovery-science?cmpid=DA_INAD200785B", "https://www.amazon.jobs/jobs/3165157/applied-scientist-ii-prime-video-personalization-and-discovery-science?cmpid=DA_INAD200785B")</f>
        <v/>
      </c>
      <c r="G13" t="inlineStr">
        <is>
          <t>Seattle, WA, US</t>
        </is>
      </c>
      <c r="H13" s="2" t="n">
        <v>46034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
      <c r="A14" t="inlineStr">
        <is>
          <t>in-e1e58e17b1622037</t>
        </is>
      </c>
      <c r="B14" t="inlineStr">
        <is>
          <t>Sr. Applied Scientist, Amazon Ads</t>
        </is>
      </c>
      <c r="C14" t="inlineStr">
        <is>
          <t>Amazon.com</t>
        </is>
      </c>
      <c r="D14" t="inlineStr">
        <is>
          <t>indeed</t>
        </is>
      </c>
      <c r="E14">
        <f>HYPERLINK("https://www.indeed.com/viewjob?jk=e1e58e17b1622037", "https://www.indeed.com/viewjob?jk=e1e58e17b1622037")</f>
        <v/>
      </c>
      <c r="F14">
        <f>HYPERLINK("https://www.amazon.jobs/jobs/3139328/sr-applied-scientist-amazon-ads?cmpid=DA_INAD200785B", "https://www.amazon.jobs/jobs/3139328/sr-applied-scientist-amazon-ads?cmpid=DA_INAD200785B")</f>
        <v/>
      </c>
      <c r="G14" t="inlineStr">
        <is>
          <t>Santa Monica, CA, US</t>
        </is>
      </c>
      <c r="H14" s="2" t="n">
        <v>45998</v>
      </c>
      <c r="I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
      <c r="A15" t="inlineStr">
        <is>
          <t>in-c1473d7a65ae8965</t>
        </is>
      </c>
      <c r="B15" t="inlineStr">
        <is>
          <t>Sr. Applied Scientist, Amazon Ads</t>
        </is>
      </c>
      <c r="C15" t="inlineStr">
        <is>
          <t>Amazon.com</t>
        </is>
      </c>
      <c r="D15" t="inlineStr">
        <is>
          <t>indeed</t>
        </is>
      </c>
      <c r="E15">
        <f>HYPERLINK("https://www.indeed.com/viewjob?jk=c1473d7a65ae8965", "https://www.indeed.com/viewjob?jk=c1473d7a65ae8965")</f>
        <v/>
      </c>
      <c r="F15">
        <f>HYPERLINK("https://www.amazon.jobs/jobs/3139328/sr-applied-scientist-amazon-ads?cmpid=DA_INAD200785B", "https://www.amazon.jobs/jobs/3139328/sr-applied-scientist-amazon-ads?cmpid=DA_INAD200785B")</f>
        <v/>
      </c>
      <c r="G15" t="inlineStr">
        <is>
          <t>Tukwila, WA, US</t>
        </is>
      </c>
      <c r="H15" s="2" t="n">
        <v>45998</v>
      </c>
      <c r="I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
      <c r="A16" t="inlineStr">
        <is>
          <t>in-072b866e1ccf62d7</t>
        </is>
      </c>
      <c r="B16" t="inlineStr">
        <is>
          <t>Sr. Applied Scientist, Amazon Ads</t>
        </is>
      </c>
      <c r="C16" t="inlineStr">
        <is>
          <t>Amazon.com</t>
        </is>
      </c>
      <c r="D16" t="inlineStr">
        <is>
          <t>indeed</t>
        </is>
      </c>
      <c r="E16">
        <f>HYPERLINK("https://www.indeed.com/viewjob?jk=072b866e1ccf62d7", "https://www.indeed.com/viewjob?jk=072b866e1ccf62d7")</f>
        <v/>
      </c>
      <c r="F16">
        <f>HYPERLINK("https://www.amazon.jobs/jobs/3139328/sr-applied-scientist-amazon-ads?cmpid=DA_INAD200785B", "https://www.amazon.jobs/jobs/3139328/sr-applied-scientist-amazon-ads?cmpid=DA_INAD200785B")</f>
        <v/>
      </c>
      <c r="G16" t="inlineStr">
        <is>
          <t>New York, NY,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in-cd77ee2e509e4050</t>
        </is>
      </c>
      <c r="B17" t="inlineStr">
        <is>
          <t>Sr. Applied Scientist, Amazon Ads</t>
        </is>
      </c>
      <c r="C17" t="inlineStr">
        <is>
          <t>Amazon.com</t>
        </is>
      </c>
      <c r="D17" t="inlineStr">
        <is>
          <t>indeed</t>
        </is>
      </c>
      <c r="E17">
        <f>HYPERLINK("https://www.indeed.com/viewjob?jk=cd77ee2e509e4050", "https://www.indeed.com/viewjob?jk=cd77ee2e509e4050")</f>
        <v/>
      </c>
      <c r="F17">
        <f>HYPERLINK("https://www.amazon.jobs/jobs/3139328/sr-applied-scientist-amazon-ads?cmpid=DA_INAD200785B", "https://www.amazon.jobs/jobs/3139328/sr-applied-scientist-amazon-ads?cmpid=DA_INAD200785B")</f>
        <v/>
      </c>
      <c r="G17" t="inlineStr">
        <is>
          <t>Corvallis, OR,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in-2b26017339a890cc</t>
        </is>
      </c>
      <c r="B18" t="inlineStr">
        <is>
          <t>Sr. Applied Scientist, Amazon Ads</t>
        </is>
      </c>
      <c r="C18" t="inlineStr">
        <is>
          <t>Amazon.com</t>
        </is>
      </c>
      <c r="D18" t="inlineStr">
        <is>
          <t>indeed</t>
        </is>
      </c>
      <c r="E18">
        <f>HYPERLINK("https://www.indeed.com/viewjob?jk=2b26017339a890cc", "https://www.indeed.com/viewjob?jk=2b26017339a890cc")</f>
        <v/>
      </c>
      <c r="F18">
        <f>HYPERLINK("https://www.amazon.jobs/jobs/3139328/sr-applied-scientist-amazon-ads?cmpid=DA_INAD200785B", "https://www.amazon.jobs/jobs/3139328/sr-applied-scientist-amazon-ads?cmpid=DA_INAD200785B")</f>
        <v/>
      </c>
      <c r="G18" t="inlineStr">
        <is>
          <t>Palo Alto, CA,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in-a645f5c6e550f217</t>
        </is>
      </c>
      <c r="B19" t="inlineStr">
        <is>
          <t>Sr. Applied Scientist, Amazon Ads</t>
        </is>
      </c>
      <c r="C19" t="inlineStr">
        <is>
          <t>Amazon.com</t>
        </is>
      </c>
      <c r="D19" t="inlineStr">
        <is>
          <t>indeed</t>
        </is>
      </c>
      <c r="E19">
        <f>HYPERLINK("https://www.indeed.com/viewjob?jk=a645f5c6e550f217", "https://www.indeed.com/viewjob?jk=a645f5c6e550f217")</f>
        <v/>
      </c>
      <c r="F19">
        <f>HYPERLINK("https://www.amazon.jobs/jobs/3139328/sr-applied-scientist-amazon-ads?cmpid=DA_INAD200785B", "https://www.amazon.jobs/jobs/3139328/sr-applied-scientist-amazon-ads?cmpid=DA_INAD200785B")</f>
        <v/>
      </c>
      <c r="G19" t="inlineStr">
        <is>
          <t>Sunnyvale, CA,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in-d948d017081c4856</t>
        </is>
      </c>
      <c r="B20" t="inlineStr">
        <is>
          <t>Sr. Applied Scientist, Amazon Ads</t>
        </is>
      </c>
      <c r="C20" t="inlineStr">
        <is>
          <t>Amazon.com</t>
        </is>
      </c>
      <c r="D20" t="inlineStr">
        <is>
          <t>indeed</t>
        </is>
      </c>
      <c r="E20">
        <f>HYPERLINK("https://www.indeed.com/viewjob?jk=d948d017081c4856", "https://www.indeed.com/viewjob?jk=d948d017081c4856")</f>
        <v/>
      </c>
      <c r="F20">
        <f>HYPERLINK("https://www.amazon.jobs/jobs/3139328/sr-applied-scientist-amazon-ads?cmpid=DA_INAD200785B", "https://www.amazon.jobs/jobs/3139328/sr-applied-scientist-amazon-ads?cmpid=DA_INAD200785B")</f>
        <v/>
      </c>
      <c r="G20" t="inlineStr">
        <is>
          <t>Brooklyn, NY, US</t>
        </is>
      </c>
      <c r="H20" s="2" t="n">
        <v>45998</v>
      </c>
      <c r="I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
      <c r="A21" t="inlineStr">
        <is>
          <t>in-42e9d73030d840bc</t>
        </is>
      </c>
      <c r="B21" t="inlineStr">
        <is>
          <t>Sr. Applied Scientist, Amazon Ads</t>
        </is>
      </c>
      <c r="C21" t="inlineStr">
        <is>
          <t>Amazon.com</t>
        </is>
      </c>
      <c r="D21" t="inlineStr">
        <is>
          <t>indeed</t>
        </is>
      </c>
      <c r="E21">
        <f>HYPERLINK("https://www.indeed.com/viewjob?jk=42e9d73030d840bc", "https://www.indeed.com/viewjob?jk=42e9d73030d840bc")</f>
        <v/>
      </c>
      <c r="F21">
        <f>HYPERLINK("https://www.amazon.jobs/jobs/3139328/sr-applied-scientist-amazon-ads?cmpid=DA_INAD200785B", "https://www.amazon.jobs/jobs/3139328/sr-applied-scientist-amazon-ads?cmpid=DA_INAD200785B")</f>
        <v/>
      </c>
      <c r="G21" t="inlineStr">
        <is>
          <t>Boulder, CO, US</t>
        </is>
      </c>
      <c r="H21" s="2" t="n">
        <v>45998</v>
      </c>
      <c r="I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
      <c r="A22" t="inlineStr">
        <is>
          <t>in-7e19b4298aeb69ea</t>
        </is>
      </c>
      <c r="B22" t="inlineStr">
        <is>
          <t>Sr. Applied Scientist, Amazon Ads</t>
        </is>
      </c>
      <c r="C22" t="inlineStr">
        <is>
          <t>Amazon.com</t>
        </is>
      </c>
      <c r="D22" t="inlineStr">
        <is>
          <t>indeed</t>
        </is>
      </c>
      <c r="E22">
        <f>HYPERLINK("https://www.indeed.com/viewjob?jk=7e19b4298aeb69ea", "https://www.indeed.com/viewjob?jk=7e19b4298aeb69ea")</f>
        <v/>
      </c>
      <c r="F22">
        <f>HYPERLINK("https://www.amazon.jobs/jobs/3139328/sr-applied-scientist-amazon-ads?cmpid=DA_INAD200785B", "https://www.amazon.jobs/jobs/3139328/sr-applied-scientist-amazon-ads?cmpid=DA_INAD200785B")</f>
        <v/>
      </c>
      <c r="G22" t="inlineStr">
        <is>
          <t>Seattle, WA, US</t>
        </is>
      </c>
      <c r="H22" s="2" t="n">
        <v>45998</v>
      </c>
      <c r="I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
      <c r="A23" t="inlineStr">
        <is>
          <t>in-4c05060ddb83fa08</t>
        </is>
      </c>
      <c r="B23" t="inlineStr">
        <is>
          <t>Sr. Applied Scientist, Amazon Ads</t>
        </is>
      </c>
      <c r="C23" t="inlineStr">
        <is>
          <t>Amazon.com</t>
        </is>
      </c>
      <c r="D23" t="inlineStr">
        <is>
          <t>indeed</t>
        </is>
      </c>
      <c r="E23">
        <f>HYPERLINK("https://www.indeed.com/viewjob?jk=4c05060ddb83fa08", "https://www.indeed.com/viewjob?jk=4c05060ddb83fa08")</f>
        <v/>
      </c>
      <c r="F23">
        <f>HYPERLINK("https://www.amazon.jobs/jobs/3139328/sr-applied-scientist-amazon-ads?cmpid=DA_INAD200785B", "https://www.amazon.jobs/jobs/3139328/sr-applied-scientist-amazon-ads?cmpid=DA_INAD200785B")</f>
        <v/>
      </c>
      <c r="G23" t="inlineStr">
        <is>
          <t>Boston, MA, US</t>
        </is>
      </c>
      <c r="H23" s="2" t="n">
        <v>45998</v>
      </c>
      <c r="I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
      <c r="A24" t="inlineStr">
        <is>
          <t>in-7c383fff618a1aff</t>
        </is>
      </c>
      <c r="B24" t="inlineStr">
        <is>
          <t>Senior Applied Scientist, Sponsored Products and Brands</t>
        </is>
      </c>
      <c r="C24" t="inlineStr">
        <is>
          <t>Amazon.com</t>
        </is>
      </c>
      <c r="D24" t="inlineStr">
        <is>
          <t>indeed</t>
        </is>
      </c>
      <c r="E24">
        <f>HYPERLINK("https://www.indeed.com/viewjob?jk=7c383fff618a1aff", "https://www.indeed.com/viewjob?jk=7c383fff618a1aff")</f>
        <v/>
      </c>
      <c r="F24">
        <f>HYPERLINK("https://www.amazon.jobs/jobs/3130062/senior-applied-scientist-sponsored-products-and-brands?cmpid=DA_INAD200785B", "https://www.amazon.jobs/jobs/3130062/senior-applied-scientist-sponsored-products-and-brands?cmpid=DA_INAD200785B")</f>
        <v/>
      </c>
      <c r="G24" t="inlineStr">
        <is>
          <t>New York, NY, US</t>
        </is>
      </c>
      <c r="H24" s="2" t="n">
        <v>45979</v>
      </c>
      <c r="I2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5">
      <c r="A25" t="inlineStr">
        <is>
          <t>in-45091c48eee8407c</t>
        </is>
      </c>
      <c r="B25" t="inlineStr">
        <is>
          <t>Senior Applied Scientist, Sponsored Products and Brands</t>
        </is>
      </c>
      <c r="C25" t="inlineStr">
        <is>
          <t>Amazon.com</t>
        </is>
      </c>
      <c r="D25" t="inlineStr">
        <is>
          <t>indeed</t>
        </is>
      </c>
      <c r="E25">
        <f>HYPERLINK("https://www.indeed.com/viewjob?jk=45091c48eee8407c", "https://www.indeed.com/viewjob?jk=45091c48eee8407c")</f>
        <v/>
      </c>
      <c r="F25">
        <f>HYPERLINK("https://www.amazon.jobs/jobs/3130062/senior-applied-scientist-sponsored-products-and-brands?cmpid=DA_INAD200785B", "https://www.amazon.jobs/jobs/3130062/senior-applied-scientist-sponsored-products-and-brands?cmpid=DA_INAD200785B")</f>
        <v/>
      </c>
      <c r="G25" t="inlineStr">
        <is>
          <t>Seattle, WA, US</t>
        </is>
      </c>
      <c r="H25" s="2" t="n">
        <v>45979</v>
      </c>
      <c r="I2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6">
      <c r="A26" t="inlineStr">
        <is>
          <t>in-996d2a148ed5e2dc</t>
        </is>
      </c>
      <c r="B26" t="inlineStr">
        <is>
          <t>Applied Scientist II, Prime Video - Personalization and Discovery Science, Personalization and Discovery Science</t>
        </is>
      </c>
      <c r="C26" t="inlineStr">
        <is>
          <t>Amazon.com</t>
        </is>
      </c>
      <c r="D26" t="inlineStr">
        <is>
          <t>indeed</t>
        </is>
      </c>
      <c r="E26">
        <f>HYPERLINK("https://www.indeed.com/viewjob?jk=996d2a148ed5e2dc", "https://www.indeed.com/viewjob?jk=996d2a148ed5e2dc")</f>
        <v/>
      </c>
      <c r="F2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6" t="inlineStr">
        <is>
          <t>Seattle, WA, US</t>
        </is>
      </c>
      <c r="H26" s="2" t="n">
        <v>45930</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in-7b4e9771405d2384</t>
        </is>
      </c>
      <c r="B27" t="inlineStr">
        <is>
          <t>Applied Scientist II, Prime Video - Personalization and Discovery Science, Personalization and Discovery Science</t>
        </is>
      </c>
      <c r="C27" t="inlineStr">
        <is>
          <t>Amazon.com</t>
        </is>
      </c>
      <c r="D27" t="inlineStr">
        <is>
          <t>indeed</t>
        </is>
      </c>
      <c r="E27">
        <f>HYPERLINK("https://www.indeed.com/viewjob?jk=7b4e9771405d2384", "https://www.indeed.com/viewjob?jk=7b4e9771405d2384")</f>
        <v/>
      </c>
      <c r="F2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7" t="inlineStr">
        <is>
          <t>New York, NY, US</t>
        </is>
      </c>
      <c r="H27" s="2" t="n">
        <v>45930</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in-2dec5cdf9e6f0bf5</t>
        </is>
      </c>
      <c r="B28" t="inlineStr">
        <is>
          <t>Applied Scientist II, Prime Video - Personalization and Discovery Science, Personalization and Discovery Science</t>
        </is>
      </c>
      <c r="C28" t="inlineStr">
        <is>
          <t>Amazon.com</t>
        </is>
      </c>
      <c r="D28" t="inlineStr">
        <is>
          <t>indeed</t>
        </is>
      </c>
      <c r="E28">
        <f>HYPERLINK("https://www.indeed.com/viewjob?jk=2dec5cdf9e6f0bf5", "https://www.indeed.com/viewjob?jk=2dec5cdf9e6f0bf5")</f>
        <v/>
      </c>
      <c r="F2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8" t="inlineStr">
        <is>
          <t>Sunnyvale, CA, US</t>
        </is>
      </c>
      <c r="H28" s="2" t="n">
        <v>45930</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in-0f890ea20128c0e4</t>
        </is>
      </c>
      <c r="B29" t="inlineStr">
        <is>
          <t>Sr. Applied Scientist, Prime Video - Personalization and Discovery Science</t>
        </is>
      </c>
      <c r="C29" t="inlineStr">
        <is>
          <t>Amazon.com</t>
        </is>
      </c>
      <c r="D29" t="inlineStr">
        <is>
          <t>indeed</t>
        </is>
      </c>
      <c r="E29">
        <f>HYPERLINK("https://www.indeed.com/viewjob?jk=0f890ea20128c0e4", "https://www.indeed.com/viewjob?jk=0f890ea20128c0e4")</f>
        <v/>
      </c>
      <c r="F29">
        <f>HYPERLINK("https://www.amazon.jobs/jobs/3084479/sr-applied-scientist-prime-video--personalization-and-discovery-science?cmpid=DA_INAD200785B", "https://www.amazon.jobs/jobs/3084479/sr-applied-scientist-prime-video--personalization-and-discovery-science?cmpid=DA_INAD200785B")</f>
        <v/>
      </c>
      <c r="G29" t="inlineStr">
        <is>
          <t>Seattle, WA, US</t>
        </is>
      </c>
      <c r="H29" s="2" t="n">
        <v>45896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0">
      <c r="A30" t="inlineStr">
        <is>
          <t>in-597b3a108985bb7d</t>
        </is>
      </c>
      <c r="B30" t="inlineStr">
        <is>
          <t>Sr. Applied Scientist, Prime Video - Personalization and Discovery Science</t>
        </is>
      </c>
      <c r="C30" t="inlineStr">
        <is>
          <t>Amazon.com</t>
        </is>
      </c>
      <c r="D30" t="inlineStr">
        <is>
          <t>indeed</t>
        </is>
      </c>
      <c r="E30">
        <f>HYPERLINK("https://www.indeed.com/viewjob?jk=597b3a108985bb7d", "https://www.indeed.com/viewjob?jk=597b3a108985bb7d")</f>
        <v/>
      </c>
      <c r="F30">
        <f>HYPERLINK("https://www.amazon.jobs/jobs/3084479/sr-applied-scientist-prime-video--personalization-and-discovery-science?cmpid=DA_INAD200785B", "https://www.amazon.jobs/jobs/3084479/sr-applied-scientist-prime-video--personalization-and-discovery-science?cmpid=DA_INAD200785B")</f>
        <v/>
      </c>
      <c r="G30" t="inlineStr">
        <is>
          <t>New York, NY, US</t>
        </is>
      </c>
      <c r="H30" s="2" t="n">
        <v>45896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1">
      <c r="A31" t="inlineStr">
        <is>
          <t>in-de28b0ce92cfb0ac</t>
        </is>
      </c>
      <c r="B31" t="inlineStr">
        <is>
          <t>Sr. Applied Scientist, Prime Video - Personalization and Discovery Science</t>
        </is>
      </c>
      <c r="C31" t="inlineStr">
        <is>
          <t>Amazon.com</t>
        </is>
      </c>
      <c r="D31" t="inlineStr">
        <is>
          <t>indeed</t>
        </is>
      </c>
      <c r="E31">
        <f>HYPERLINK("https://www.indeed.com/viewjob?jk=de28b0ce92cfb0ac", "https://www.indeed.com/viewjob?jk=de28b0ce92cfb0ac")</f>
        <v/>
      </c>
      <c r="F31">
        <f>HYPERLINK("https://www.amazon.jobs/jobs/3084479/sr-applied-scientist-prime-video--personalization-and-discovery-science?cmpid=DA_INAD200785B", "https://www.amazon.jobs/jobs/3084479/sr-applied-scientist-prime-video--personalization-and-discovery-science?cmpid=DA_INAD200785B")</f>
        <v/>
      </c>
      <c r="G31" t="inlineStr">
        <is>
          <t>Sunnyvale, CA, US</t>
        </is>
      </c>
      <c r="H31" s="2" t="n">
        <v>45896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2">
      <c r="A32" t="inlineStr">
        <is>
          <t>in-3775cb89650c24cf</t>
        </is>
      </c>
      <c r="B32" t="inlineStr">
        <is>
          <t>Sr. Applied Scientist, Prime Video - Personalization and Discovery Science</t>
        </is>
      </c>
      <c r="C32" t="inlineStr">
        <is>
          <t>Amazon.com</t>
        </is>
      </c>
      <c r="D32" t="inlineStr">
        <is>
          <t>indeed</t>
        </is>
      </c>
      <c r="E32">
        <f>HYPERLINK("https://www.indeed.com/viewjob?jk=3775cb89650c24cf", "https://www.indeed.com/viewjob?jk=3775cb89650c24cf")</f>
        <v/>
      </c>
      <c r="F32">
        <f>HYPERLINK("https://www.amazon.jobs/jobs/3059256/sr-applied-scientist-prime-video--personalization-and-discovery-science?cmpid=DA_INAD200785B", "https://www.amazon.jobs/jobs/3059256/sr-applied-scientist-prime-video--personalization-and-discovery-science?cmpid=DA_INAD200785B")</f>
        <v/>
      </c>
      <c r="G32" t="inlineStr">
        <is>
          <t>Sunnyvale, CA,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in-b36d19d7ddc12231</t>
        </is>
      </c>
      <c r="B33" t="inlineStr">
        <is>
          <t>Applied Scientist II, Prime Video - Personalization and Discovery Science</t>
        </is>
      </c>
      <c r="C33" t="inlineStr">
        <is>
          <t>Amazon.com</t>
        </is>
      </c>
      <c r="D33" t="inlineStr">
        <is>
          <t>indeed</t>
        </is>
      </c>
      <c r="E33">
        <f>HYPERLINK("https://www.indeed.com/viewjob?jk=b36d19d7ddc12231", "https://www.indeed.com/viewjob?jk=b36d19d7ddc12231")</f>
        <v/>
      </c>
      <c r="F33">
        <f>HYPERLINK("https://www.amazon.jobs/jobs/3059253/applied-scientist-ii-prime-video--personalization-and-discovery-science?cmpid=DA_INAD200785B", "https://www.amazon.jobs/jobs/3059253/applied-scientist-ii-prime-video--personalization-and-discovery-science?cmpid=DA_INAD200785B")</f>
        <v/>
      </c>
      <c r="G33" t="inlineStr">
        <is>
          <t>Sunnyvale, CA,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in-b1cadf97d6b2d274</t>
        </is>
      </c>
      <c r="B34" t="inlineStr">
        <is>
          <t>Applied Scientist II, Prime Video - Personalization and Discovery Science</t>
        </is>
      </c>
      <c r="C34" t="inlineStr">
        <is>
          <t>Amazon.com</t>
        </is>
      </c>
      <c r="D34" t="inlineStr">
        <is>
          <t>indeed</t>
        </is>
      </c>
      <c r="E34">
        <f>HYPERLINK("https://www.indeed.com/viewjob?jk=b1cadf97d6b2d274", "https://www.indeed.com/viewjob?jk=b1cadf97d6b2d274")</f>
        <v/>
      </c>
      <c r="F34">
        <f>HYPERLINK("https://www.amazon.jobs/jobs/3059253/applied-scientist-ii-prime-video--personalization-and-discovery-science?cmpid=DA_INAD200785B", "https://www.amazon.jobs/jobs/3059253/applied-scientist-ii-prime-video--personalization-and-discovery-science?cmpid=DA_INAD200785B")</f>
        <v/>
      </c>
      <c r="G34" t="inlineStr">
        <is>
          <t>New York, NY, US</t>
        </is>
      </c>
      <c r="H34" s="2" t="n">
        <v>45881</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in-f0bd940f45181a2e</t>
        </is>
      </c>
      <c r="B35" t="inlineStr">
        <is>
          <t>Sr. Applied Scientist, Prime Video - Personalization and Discovery Science</t>
        </is>
      </c>
      <c r="C35" t="inlineStr">
        <is>
          <t>Amazon.com</t>
        </is>
      </c>
      <c r="D35" t="inlineStr">
        <is>
          <t>indeed</t>
        </is>
      </c>
      <c r="E35">
        <f>HYPERLINK("https://www.indeed.com/viewjob?jk=f0bd940f45181a2e", "https://www.indeed.com/viewjob?jk=f0bd940f45181a2e")</f>
        <v/>
      </c>
      <c r="F35">
        <f>HYPERLINK("https://www.amazon.jobs/jobs/3059256/sr-applied-scientist-prime-video--personalization-and-discovery-science?cmpid=DA_INAD200785B", "https://www.amazon.jobs/jobs/3059256/sr-applied-scientist-prime-video--personalization-and-discovery-science?cmpid=DA_INAD200785B")</f>
        <v/>
      </c>
      <c r="G35" t="inlineStr">
        <is>
          <t>New York, NY, US</t>
        </is>
      </c>
      <c r="H35" s="2" t="n">
        <v>45881</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in-6178afea0666ccfb</t>
        </is>
      </c>
      <c r="B36" t="inlineStr">
        <is>
          <t>Sr. Applied Scientist, Prime Video - Personalization and Discovery Science</t>
        </is>
      </c>
      <c r="C36" t="inlineStr">
        <is>
          <t>Amazon.com</t>
        </is>
      </c>
      <c r="D36" t="inlineStr">
        <is>
          <t>indeed</t>
        </is>
      </c>
      <c r="E36">
        <f>HYPERLINK("https://www.indeed.com/viewjob?jk=6178afea0666ccfb", "https://www.indeed.com/viewjob?jk=6178afea0666ccfb")</f>
        <v/>
      </c>
      <c r="F36">
        <f>HYPERLINK("https://www.amazon.jobs/jobs/3059256/sr-applied-scientist-prime-video--personalization-and-discovery-science?cmpid=DA_INAD200785B", "https://www.amazon.jobs/jobs/3059256/sr-applied-scientist-prime-video--personalization-and-discovery-science?cmpid=DA_INAD200785B")</f>
        <v/>
      </c>
      <c r="G36" t="inlineStr">
        <is>
          <t>Seattle, WA,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in-3a52162fd2d38697</t>
        </is>
      </c>
      <c r="B37" t="inlineStr">
        <is>
          <t>Applied Scientist II, Prime Video - Personalization and Discovery Science</t>
        </is>
      </c>
      <c r="C37" t="inlineStr">
        <is>
          <t>Amazon.com</t>
        </is>
      </c>
      <c r="D37" t="inlineStr">
        <is>
          <t>indeed</t>
        </is>
      </c>
      <c r="E37">
        <f>HYPERLINK("https://www.indeed.com/viewjob?jk=3a52162fd2d38697", "https://www.indeed.com/viewjob?jk=3a52162fd2d38697")</f>
        <v/>
      </c>
      <c r="F37">
        <f>HYPERLINK("https://www.amazon.jobs/jobs/3059253/applied-scientist-ii-prime-video--personalization-and-discovery-science?cmpid=DA_INAD200785B", "https://www.amazon.jobs/jobs/3059253/applied-scientist-ii-prime-video--personalization-and-discovery-science?cmpid=DA_INAD200785B")</f>
        <v/>
      </c>
      <c r="G37" t="inlineStr">
        <is>
          <t>Seattle, WA,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in-08b22bc76cca31da</t>
        </is>
      </c>
      <c r="B38" t="inlineStr">
        <is>
          <t>Applied Scientist , Prime Video - Personalization and Discovery Science</t>
        </is>
      </c>
      <c r="C38" t="inlineStr">
        <is>
          <t>Amazon.com</t>
        </is>
      </c>
      <c r="D38" t="inlineStr">
        <is>
          <t>indeed</t>
        </is>
      </c>
      <c r="E38">
        <f>HYPERLINK("https://www.indeed.com/viewjob?jk=08b22bc76cca31da", "https://www.indeed.com/viewjob?jk=08b22bc76cca31da")</f>
        <v/>
      </c>
      <c r="F38">
        <f>HYPERLINK("https://www.amazon.jobs/jobs/3183547/applied-scientist--prime-video--personalization-and-discovery-science?cmpid=DA_INAD200785B", "https://www.amazon.jobs/jobs/3183547/applied-scientist--prime-video--personalization-and-discovery-science?cmpid=DA_INAD200785B")</f>
        <v/>
      </c>
      <c r="G38" t="inlineStr">
        <is>
          <t>Sunnyvale, CA, US</t>
        </is>
      </c>
      <c r="H38" s="2" t="n">
        <v>46069</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9">
      <c r="A39" t="inlineStr">
        <is>
          <t>in-14b8f96043119720</t>
        </is>
      </c>
      <c r="B39" t="inlineStr">
        <is>
          <t>Applied Scientist , Prime Video - Personalization and Discovery Science</t>
        </is>
      </c>
      <c r="C39" t="inlineStr">
        <is>
          <t>Amazon.com</t>
        </is>
      </c>
      <c r="D39" t="inlineStr">
        <is>
          <t>indeed</t>
        </is>
      </c>
      <c r="E39">
        <f>HYPERLINK("https://www.indeed.com/viewjob?jk=14b8f96043119720", "https://www.indeed.com/viewjob?jk=14b8f96043119720")</f>
        <v/>
      </c>
      <c r="F39">
        <f>HYPERLINK("https://www.amazon.jobs/jobs/3183547/applied-scientist--prime-video--personalization-and-discovery-science?cmpid=DA_INAD200785B", "https://www.amazon.jobs/jobs/3183547/applied-scientist--prime-video--personalization-and-discovery-science?cmpid=DA_INAD200785B")</f>
        <v/>
      </c>
      <c r="G39" t="inlineStr">
        <is>
          <t>Seattle, WA, US</t>
        </is>
      </c>
      <c r="H39" s="2" t="n">
        <v>46069</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0">
      <c r="A40" t="inlineStr">
        <is>
          <t>in-4e0886cdfe1212eb</t>
        </is>
      </c>
      <c r="B40" t="inlineStr">
        <is>
          <t>Applied Scientist, AWS Applied AI Solutions</t>
        </is>
      </c>
      <c r="C40" t="inlineStr">
        <is>
          <t>Amazon.com</t>
        </is>
      </c>
      <c r="D40" t="inlineStr">
        <is>
          <t>indeed</t>
        </is>
      </c>
      <c r="E40">
        <f>HYPERLINK("https://www.indeed.com/viewjob?jk=4e0886cdfe1212eb", "https://www.indeed.com/viewjob?jk=4e0886cdfe1212eb")</f>
        <v/>
      </c>
      <c r="F40">
        <f>HYPERLINK("https://www.amazon.jobs/jobs/3184564/applied-scientist-aws-applied-ai-solutions?cmpid=DA_INAD200785B", "https://www.amazon.jobs/jobs/3184564/applied-scientist-aws-applied-ai-solutions?cmpid=DA_INAD200785B")</f>
        <v/>
      </c>
      <c r="G40" t="inlineStr">
        <is>
          <t>New York, NY, US</t>
        </is>
      </c>
      <c r="H40" s="2" t="n">
        <v>46061</v>
      </c>
      <c r="I4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1">
      <c r="A41" t="inlineStr">
        <is>
          <t>in-4d154b3befbac8de</t>
        </is>
      </c>
      <c r="B41" t="inlineStr">
        <is>
          <t>Principal Applied Scientist, AWS Marketplace &amp; Partner Services</t>
        </is>
      </c>
      <c r="C41" t="inlineStr">
        <is>
          <t>Amazon Web Services</t>
        </is>
      </c>
      <c r="D41" t="inlineStr">
        <is>
          <t>indeed</t>
        </is>
      </c>
      <c r="E41">
        <f>HYPERLINK("https://www.indeed.com/viewjob?jk=4d154b3befbac8de", "https://www.indeed.com/viewjob?jk=4d154b3befbac8de")</f>
        <v/>
      </c>
      <c r="F41">
        <f>HYPERLINK("https://www.amazon.jobs/jobs/3177084/principal-applied-scientist-aws-marketplace--partner-services?cmpid=DA_INAD200785B", "https://www.amazon.jobs/jobs/3177084/principal-applied-scientist-aws-marketplace--partner-services?cmpid=DA_INAD200785B")</f>
        <v/>
      </c>
      <c r="G41" t="inlineStr">
        <is>
          <t>San Diego, CA, US</t>
        </is>
      </c>
      <c r="H41" s="2" t="n">
        <v>46056</v>
      </c>
      <c r="I41"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2">
      <c r="A42" t="inlineStr">
        <is>
          <t>in-38bca1d6138e324d</t>
        </is>
      </c>
      <c r="B42" t="inlineStr">
        <is>
          <t>Principal Applied Scientist, AWS Marketplace &amp; Partner Services</t>
        </is>
      </c>
      <c r="C42" t="inlineStr">
        <is>
          <t>Amazon Web Services</t>
        </is>
      </c>
      <c r="D42" t="inlineStr">
        <is>
          <t>indeed</t>
        </is>
      </c>
      <c r="E42">
        <f>HYPERLINK("https://www.indeed.com/viewjob?jk=38bca1d6138e324d", "https://www.indeed.com/viewjob?jk=38bca1d6138e324d")</f>
        <v/>
      </c>
      <c r="F42">
        <f>HYPERLINK("https://www.amazon.jobs/jobs/3177084/principal-applied-scientist-aws-marketplace--partner-services?cmpid=DA_INAD200785B", "https://www.amazon.jobs/jobs/3177084/principal-applied-scientist-aws-marketplace--partner-services?cmpid=DA_INAD200785B")</f>
        <v/>
      </c>
      <c r="G42" t="inlineStr">
        <is>
          <t>Austin, TX, US</t>
        </is>
      </c>
      <c r="H42" s="2" t="n">
        <v>46056</v>
      </c>
      <c r="I4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3">
      <c r="A43" t="inlineStr">
        <is>
          <t>in-5855a83051b9467d</t>
        </is>
      </c>
      <c r="B43" t="inlineStr">
        <is>
          <t>Principal Applied Scientist, AWS Marketplace &amp; Partner Services</t>
        </is>
      </c>
      <c r="C43" t="inlineStr">
        <is>
          <t>Amazon Web Services</t>
        </is>
      </c>
      <c r="D43" t="inlineStr">
        <is>
          <t>indeed</t>
        </is>
      </c>
      <c r="E43">
        <f>HYPERLINK("https://www.indeed.com/viewjob?jk=5855a83051b9467d", "https://www.indeed.com/viewjob?jk=5855a83051b9467d")</f>
        <v/>
      </c>
      <c r="F43">
        <f>HYPERLINK("https://www.amazon.jobs/jobs/3177084/principal-applied-scientist-aws-marketplace--partner-services?cmpid=DA_INAD200785B", "https://www.amazon.jobs/jobs/3177084/principal-applied-scientist-aws-marketplace--partner-services?cmpid=DA_INAD200785B")</f>
        <v/>
      </c>
      <c r="G43" t="inlineStr">
        <is>
          <t>Seattle, WA, US</t>
        </is>
      </c>
      <c r="H43" s="2" t="n">
        <v>46056</v>
      </c>
      <c r="I43"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4">
      <c r="A44" t="inlineStr">
        <is>
          <t>in-d63592b52076e1ac</t>
        </is>
      </c>
      <c r="B44" t="inlineStr">
        <is>
          <t>Principal Applied Scientist, AWS Marketplace &amp; Partner Services</t>
        </is>
      </c>
      <c r="C44" t="inlineStr">
        <is>
          <t>Amazon Web Services</t>
        </is>
      </c>
      <c r="D44" t="inlineStr">
        <is>
          <t>indeed</t>
        </is>
      </c>
      <c r="E44">
        <f>HYPERLINK("https://www.indeed.com/viewjob?jk=d63592b52076e1ac", "https://www.indeed.com/viewjob?jk=d63592b52076e1ac")</f>
        <v/>
      </c>
      <c r="F44">
        <f>HYPERLINK("https://www.amazon.jobs/jobs/3177084/principal-applied-scientist-aws-marketplace--partner-services?cmpid=DA_INAD200785B", "https://www.amazon.jobs/jobs/3177084/principal-applied-scientist-aws-marketplace--partner-services?cmpid=DA_INAD200785B")</f>
        <v/>
      </c>
      <c r="G44" t="inlineStr">
        <is>
          <t>New York, NY, US</t>
        </is>
      </c>
      <c r="H44" s="2" t="n">
        <v>46056</v>
      </c>
      <c r="I4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5">
      <c r="A45" t="inlineStr">
        <is>
          <t>in-08cc350f26136c43</t>
        </is>
      </c>
      <c r="B45" t="inlineStr">
        <is>
          <t>Sr. Applied Scientist, AWS Healthcare-AI</t>
        </is>
      </c>
      <c r="C45" t="inlineStr">
        <is>
          <t>Amazon.com</t>
        </is>
      </c>
      <c r="D45" t="inlineStr">
        <is>
          <t>indeed</t>
        </is>
      </c>
      <c r="E45">
        <f>HYPERLINK("https://www.indeed.com/viewjob?jk=08cc350f26136c43", "https://www.indeed.com/viewjob?jk=08cc350f26136c43")</f>
        <v/>
      </c>
      <c r="F45">
        <f>HYPERLINK("https://www.amazon.jobs/jobs/3179064/sr-applied-scientist-aws-healthcareai?cmpid=DA_INAD200785B", "https://www.amazon.jobs/jobs/3179064/sr-applied-scientist-aws-healthcareai?cmpid=DA_INAD200785B")</f>
        <v/>
      </c>
      <c r="G45" t="inlineStr">
        <is>
          <t>Mountain View, CA, US</t>
        </is>
      </c>
      <c r="H45" s="2" t="n">
        <v>46055</v>
      </c>
      <c r="I45"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46">
      <c r="A46" t="inlineStr">
        <is>
          <t>in-fb999c71a233a76b</t>
        </is>
      </c>
      <c r="B46" t="inlineStr">
        <is>
          <t>Applied Scientist (Contract), Artificial General Intelligence</t>
        </is>
      </c>
      <c r="C46" t="inlineStr">
        <is>
          <t>Amazon.com</t>
        </is>
      </c>
      <c r="D46" t="inlineStr">
        <is>
          <t>indeed</t>
        </is>
      </c>
      <c r="E46">
        <f>HYPERLINK("https://www.indeed.com/viewjob?jk=fb999c71a233a76b", "https://www.indeed.com/viewjob?jk=fb999c71a233a76b")</f>
        <v/>
      </c>
      <c r="F46">
        <f>HYPERLINK("https://www.amazon.jobs/jobs/3179188/applied-scientist-contract-artificial-general-intelligence?cmpid=DA_INAD200785B", "https://www.amazon.jobs/jobs/3179188/applied-scientist-contract-artificial-general-intelligence?cmpid=DA_INAD200785B")</f>
        <v/>
      </c>
      <c r="G46" t="inlineStr">
        <is>
          <t>Boston, MA, US</t>
        </is>
      </c>
      <c r="H46" s="2" t="n">
        <v>46055</v>
      </c>
      <c r="I4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7">
      <c r="A47" t="inlineStr">
        <is>
          <t>in-96ba54f273f6693d</t>
        </is>
      </c>
      <c r="B47" t="inlineStr">
        <is>
          <t>Applied Scientist (Contract), Artificial General Intelligence</t>
        </is>
      </c>
      <c r="C47" t="inlineStr">
        <is>
          <t>Amazon.com</t>
        </is>
      </c>
      <c r="D47" t="inlineStr">
        <is>
          <t>indeed</t>
        </is>
      </c>
      <c r="E47">
        <f>HYPERLINK("https://www.indeed.com/viewjob?jk=96ba54f273f6693d", "https://www.indeed.com/viewjob?jk=96ba54f273f6693d")</f>
        <v/>
      </c>
      <c r="F47">
        <f>HYPERLINK("https://www.amazon.jobs/jobs/3179169/applied-scientist-contract-artificial-general-intelligence?cmpid=DA_INAD200785B", "https://www.amazon.jobs/jobs/3179169/applied-scientist-contract-artificial-general-intelligence?cmpid=DA_INAD200785B")</f>
        <v/>
      </c>
      <c r="G47" t="inlineStr">
        <is>
          <t>Bellevue, WA, US</t>
        </is>
      </c>
      <c r="H47" s="2" t="n">
        <v>46055</v>
      </c>
      <c r="I4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8">
      <c r="A48" t="inlineStr">
        <is>
          <t>in-6b2cf033fc7b90dd</t>
        </is>
      </c>
      <c r="B48" t="inlineStr">
        <is>
          <t>Sr. Applied Scientist, AWS Healthcare-AI</t>
        </is>
      </c>
      <c r="C48" t="inlineStr">
        <is>
          <t>Amazon.com</t>
        </is>
      </c>
      <c r="D48" t="inlineStr">
        <is>
          <t>indeed</t>
        </is>
      </c>
      <c r="E48">
        <f>HYPERLINK("https://www.indeed.com/viewjob?jk=6b2cf033fc7b90dd", "https://www.indeed.com/viewjob?jk=6b2cf033fc7b90dd")</f>
        <v/>
      </c>
      <c r="F48">
        <f>HYPERLINK("https://www.amazon.jobs/jobs/3179064/sr-applied-scientist-aws-healthcareai?cmpid=DA_INAD200785B", "https://www.amazon.jobs/jobs/3179064/sr-applied-scientist-aws-healthcareai?cmpid=DA_INAD200785B")</f>
        <v/>
      </c>
      <c r="G48" t="inlineStr">
        <is>
          <t>Seattle, WA, US</t>
        </is>
      </c>
      <c r="H48" s="2" t="n">
        <v>46055</v>
      </c>
      <c r="I48"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49">
      <c r="A49" t="inlineStr">
        <is>
          <t>in-f78a2a30f7b57937</t>
        </is>
      </c>
      <c r="B49" t="inlineStr">
        <is>
          <t>Applied Scientist (Contract), Artificial General Intelligence</t>
        </is>
      </c>
      <c r="C49" t="inlineStr">
        <is>
          <t>Amazon.com</t>
        </is>
      </c>
      <c r="D49" t="inlineStr">
        <is>
          <t>indeed</t>
        </is>
      </c>
      <c r="E49">
        <f>HYPERLINK("https://www.indeed.com/viewjob?jk=f78a2a30f7b57937", "https://www.indeed.com/viewjob?jk=f78a2a30f7b57937")</f>
        <v/>
      </c>
      <c r="F49">
        <f>HYPERLINK("https://www.amazon.jobs/jobs/3179168/applied-scientist-contract-artificial-general-intelligence?cmpid=DA_INAD200785B", "https://www.amazon.jobs/jobs/3179168/applied-scientist-contract-artificial-general-intelligence?cmpid=DA_INAD200785B")</f>
        <v/>
      </c>
      <c r="G49" t="inlineStr">
        <is>
          <t>Bellevue, WA, US</t>
        </is>
      </c>
      <c r="H49" s="2" t="n">
        <v>46055</v>
      </c>
      <c r="I4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0">
      <c r="A50" t="inlineStr">
        <is>
          <t>in-53b44f0961554e2c</t>
        </is>
      </c>
      <c r="B50" t="inlineStr">
        <is>
          <t>Applied Scientist (Contract), Artificial General Intelligence</t>
        </is>
      </c>
      <c r="C50" t="inlineStr">
        <is>
          <t>Amazon.com</t>
        </is>
      </c>
      <c r="D50" t="inlineStr">
        <is>
          <t>indeed</t>
        </is>
      </c>
      <c r="E50">
        <f>HYPERLINK("https://www.indeed.com/viewjob?jk=53b44f0961554e2c", "https://www.indeed.com/viewjob?jk=53b44f0961554e2c")</f>
        <v/>
      </c>
      <c r="F50">
        <f>HYPERLINK("https://www.amazon.jobs/jobs/3179168/applied-scientist-contract-artificial-general-intelligence?cmpid=DA_INAD200785B", "https://www.amazon.jobs/jobs/3179168/applied-scientist-contract-artificial-general-intelligence?cmpid=DA_INAD200785B")</f>
        <v/>
      </c>
      <c r="G50" t="inlineStr">
        <is>
          <t>Boston, MA, US</t>
        </is>
      </c>
      <c r="H50" s="2" t="n">
        <v>46055</v>
      </c>
      <c r="I5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1">
      <c r="A51" t="inlineStr">
        <is>
          <t>in-851da85862bf5453</t>
        </is>
      </c>
      <c r="B51" t="inlineStr">
        <is>
          <t>Applied Scientist (Contract), Artificial General Intelligence</t>
        </is>
      </c>
      <c r="C51" t="inlineStr">
        <is>
          <t>Amazon.com</t>
        </is>
      </c>
      <c r="D51" t="inlineStr">
        <is>
          <t>indeed</t>
        </is>
      </c>
      <c r="E51">
        <f>HYPERLINK("https://www.indeed.com/viewjob?jk=851da85862bf5453", "https://www.indeed.com/viewjob?jk=851da85862bf5453")</f>
        <v/>
      </c>
      <c r="F51">
        <f>HYPERLINK("https://www.amazon.jobs/jobs/3179169/applied-scientist-contract-artificial-general-intelligence?cmpid=DA_INAD200785B", "https://www.amazon.jobs/jobs/3179169/applied-scientist-contract-artificial-general-intelligence?cmpid=DA_INAD200785B")</f>
        <v/>
      </c>
      <c r="G51" t="inlineStr">
        <is>
          <t>Boston, MA, US</t>
        </is>
      </c>
      <c r="H51" s="2" t="n">
        <v>46055</v>
      </c>
      <c r="I5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2">
      <c r="A52" t="inlineStr">
        <is>
          <t>in-8cf3aa613caa31b7</t>
        </is>
      </c>
      <c r="B52" t="inlineStr">
        <is>
          <t>Applied Scientist (Contract), Artificial General Intelligence</t>
        </is>
      </c>
      <c r="C52" t="inlineStr">
        <is>
          <t>Amazon.com</t>
        </is>
      </c>
      <c r="D52" t="inlineStr">
        <is>
          <t>indeed</t>
        </is>
      </c>
      <c r="E52">
        <f>HYPERLINK("https://www.indeed.com/viewjob?jk=8cf3aa613caa31b7", "https://www.indeed.com/viewjob?jk=8cf3aa613caa31b7")</f>
        <v/>
      </c>
      <c r="F52">
        <f>HYPERLINK("https://www.amazon.jobs/jobs/3179188/applied-scientist-contract-artificial-general-intelligence?cmpid=DA_INAD200785B", "https://www.amazon.jobs/jobs/3179188/applied-scientist-contract-artificial-general-intelligence?cmpid=DA_INAD200785B")</f>
        <v/>
      </c>
      <c r="G52" t="inlineStr">
        <is>
          <t>Bellevue, WA, US</t>
        </is>
      </c>
      <c r="H52" s="2" t="n">
        <v>46055</v>
      </c>
      <c r="I5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3">
      <c r="A53" t="inlineStr">
        <is>
          <t>in-59bcad4e920034c9</t>
        </is>
      </c>
      <c r="B53" t="inlineStr">
        <is>
          <t>Applied Scientist (Contract), Artificial General Intelligence</t>
        </is>
      </c>
      <c r="C53" t="inlineStr">
        <is>
          <t>Amazon.com</t>
        </is>
      </c>
      <c r="D53" t="inlineStr">
        <is>
          <t>indeed</t>
        </is>
      </c>
      <c r="E53">
        <f>HYPERLINK("https://www.indeed.com/viewjob?jk=59bcad4e920034c9", "https://www.indeed.com/viewjob?jk=59bcad4e920034c9")</f>
        <v/>
      </c>
      <c r="F53">
        <f>HYPERLINK("https://www.amazon.jobs/jobs/3179187/applied-scientist-contract-artificial-general-intelligence?cmpid=DA_INAD200785B", "https://www.amazon.jobs/jobs/3179187/applied-scientist-contract-artificial-general-intelligence?cmpid=DA_INAD200785B")</f>
        <v/>
      </c>
      <c r="G53" t="inlineStr">
        <is>
          <t>Bellevue, WA, US</t>
        </is>
      </c>
      <c r="H53" s="2" t="n">
        <v>46051</v>
      </c>
      <c r="I5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4">
      <c r="A54" t="inlineStr">
        <is>
          <t>in-80eced68549e71de</t>
        </is>
      </c>
      <c r="B54" t="inlineStr">
        <is>
          <t>Applied Scientist (Contract), Artificial General Intelligence</t>
        </is>
      </c>
      <c r="C54" t="inlineStr">
        <is>
          <t>Amazon.com</t>
        </is>
      </c>
      <c r="D54" t="inlineStr">
        <is>
          <t>indeed</t>
        </is>
      </c>
      <c r="E54">
        <f>HYPERLINK("https://www.indeed.com/viewjob?jk=80eced68549e71de", "https://www.indeed.com/viewjob?jk=80eced68549e71de")</f>
        <v/>
      </c>
      <c r="F54">
        <f>HYPERLINK("https://www.amazon.jobs/jobs/3179187/applied-scientist-contract-artificial-general-intelligence?cmpid=DA_INAD200785B", "https://www.amazon.jobs/jobs/3179187/applied-scientist-contract-artificial-general-intelligence?cmpid=DA_INAD200785B")</f>
        <v/>
      </c>
      <c r="G54" t="inlineStr">
        <is>
          <t>Boston, MA, US</t>
        </is>
      </c>
      <c r="H54" s="2" t="n">
        <v>46051</v>
      </c>
      <c r="I5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5">
      <c r="A55" t="inlineStr">
        <is>
          <t>in-98eea208409e7d09</t>
        </is>
      </c>
      <c r="B55" t="inlineStr">
        <is>
          <t>Sr. Applied Scientist - SLAM, Amazon Industrial Robotics</t>
        </is>
      </c>
      <c r="C55" t="inlineStr">
        <is>
          <t>Amazon.com</t>
        </is>
      </c>
      <c r="D55" t="inlineStr">
        <is>
          <t>indeed</t>
        </is>
      </c>
      <c r="E55">
        <f>HYPERLINK("https://www.indeed.com/viewjob?jk=98eea208409e7d09", "https://www.indeed.com/viewjob?jk=98eea208409e7d09")</f>
        <v/>
      </c>
      <c r="F55">
        <f>HYPERLINK("https://www.amazon.jobs/jobs/3172078/sr-applied-scientist--slam-amazon-industrial-robotics?cmpid=DA_INAD200785B", "https://www.amazon.jobs/jobs/3172078/sr-applied-scientist--slam-amazon-industrial-robotics?cmpid=DA_INAD200785B")</f>
        <v/>
      </c>
      <c r="G55" t="inlineStr">
        <is>
          <t>Reading, MA, US</t>
        </is>
      </c>
      <c r="H55" s="2" t="n">
        <v>46050</v>
      </c>
      <c r="I55"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56">
      <c r="A56" t="inlineStr">
        <is>
          <t>in-53d575209f3cc184</t>
        </is>
      </c>
      <c r="B56" t="inlineStr">
        <is>
          <t>Sr. Applied Scientist - SLAM, Amazon Industrial Robotics</t>
        </is>
      </c>
      <c r="C56" t="inlineStr">
        <is>
          <t>Amazon.com</t>
        </is>
      </c>
      <c r="D56" t="inlineStr">
        <is>
          <t>indeed</t>
        </is>
      </c>
      <c r="E56">
        <f>HYPERLINK("https://www.indeed.com/viewjob?jk=53d575209f3cc184", "https://www.indeed.com/viewjob?jk=53d575209f3cc184")</f>
        <v/>
      </c>
      <c r="F56">
        <f>HYPERLINK("https://www.amazon.jobs/jobs/3172078/sr-applied-scientist--slam-amazon-industrial-robotics?cmpid=DA_INAD200785B", "https://www.amazon.jobs/jobs/3172078/sr-applied-scientist--slam-amazon-industrial-robotics?cmpid=DA_INAD200785B")</f>
        <v/>
      </c>
      <c r="G56" t="inlineStr">
        <is>
          <t>Reading, MA, US</t>
        </is>
      </c>
      <c r="H56" s="2" t="n">
        <v>46050</v>
      </c>
      <c r="I56"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57">
      <c r="A57" t="inlineStr">
        <is>
          <t>in-50d41191c55fc90b</t>
        </is>
      </c>
      <c r="B57" t="inlineStr">
        <is>
          <t>Principal Applied Scientist, Sensing, Industrial Robotics Group</t>
        </is>
      </c>
      <c r="C57" t="inlineStr">
        <is>
          <t>Amazon.com</t>
        </is>
      </c>
      <c r="D57" t="inlineStr">
        <is>
          <t>indeed</t>
        </is>
      </c>
      <c r="E57">
        <f>HYPERLINK("https://www.indeed.com/viewjob?jk=50d41191c55fc90b", "https://www.indeed.com/viewjob?jk=50d41191c55fc90b")</f>
        <v/>
      </c>
      <c r="F57">
        <f>HYPERLINK("https://www.amazon.jobs/jobs/3170953/principal-applied-scientist-sensing-industrial-robotics-group-?cmpid=DA_INAD200785B", "https://www.amazon.jobs/jobs/3170953/principal-applied-scientist-sensing-industrial-robotics-group-?cmpid=DA_INAD200785B")</f>
        <v/>
      </c>
      <c r="G57" t="inlineStr">
        <is>
          <t>Reading, MA, US</t>
        </is>
      </c>
      <c r="H57" s="2" t="n">
        <v>46050</v>
      </c>
      <c r="I57"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58">
      <c r="A58" t="inlineStr">
        <is>
          <t>in-7fb35b4076135fdf</t>
        </is>
      </c>
      <c r="B58" t="inlineStr">
        <is>
          <t>Principal Applied Scientist, Sensing, Industrial Robotics Group</t>
        </is>
      </c>
      <c r="C58" t="inlineStr">
        <is>
          <t>Amazon.com</t>
        </is>
      </c>
      <c r="D58" t="inlineStr">
        <is>
          <t>indeed</t>
        </is>
      </c>
      <c r="E58">
        <f>HYPERLINK("https://www.indeed.com/viewjob?jk=7fb35b4076135fdf", "https://www.indeed.com/viewjob?jk=7fb35b4076135fdf")</f>
        <v/>
      </c>
      <c r="F58">
        <f>HYPERLINK("https://www.amazon.jobs/jobs/3170953/principal-applied-scientist-sensing-industrial-robotics-group-?cmpid=DA_INAD200785B", "https://www.amazon.jobs/jobs/3170953/principal-applied-scientist-sensing-industrial-robotics-group-?cmpid=DA_INAD200785B")</f>
        <v/>
      </c>
      <c r="G58" t="inlineStr">
        <is>
          <t>Reading, MA, US</t>
        </is>
      </c>
      <c r="H58" s="2" t="n">
        <v>46050</v>
      </c>
      <c r="I58"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59">
      <c r="A59" t="inlineStr">
        <is>
          <t>in-e0bd3c6207ea23f2</t>
        </is>
      </c>
      <c r="B59" t="inlineStr">
        <is>
          <t>Applied Scientist II, Prime Video Personalization and Discovery Science</t>
        </is>
      </c>
      <c r="C59" t="inlineStr">
        <is>
          <t>Amazon.com</t>
        </is>
      </c>
      <c r="D59" t="inlineStr">
        <is>
          <t>indeed</t>
        </is>
      </c>
      <c r="E59">
        <f>HYPERLINK("https://www.indeed.com/viewjob?jk=e0bd3c6207ea23f2", "https://www.indeed.com/viewjob?jk=e0bd3c6207ea23f2")</f>
        <v/>
      </c>
      <c r="F59">
        <f>HYPERLINK("https://www.amazon.jobs/jobs/3168905/applied-scientist-ii-prime-video-personalization-and-discovery-science?cmpid=DA_INAD200785B", "https://www.amazon.jobs/jobs/3168905/applied-scientist-ii-prime-video-personalization-and-discovery-science?cmpid=DA_INAD200785B")</f>
        <v/>
      </c>
      <c r="G59" t="inlineStr">
        <is>
          <t>New York, NY, US</t>
        </is>
      </c>
      <c r="H59" s="2" t="n">
        <v>46047</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0">
      <c r="A60" t="inlineStr">
        <is>
          <t>in-1f2efcb8c5db50c1</t>
        </is>
      </c>
      <c r="B60" t="inlineStr">
        <is>
          <t>Applied Scientist II, Prime Video Personalization and Discovery Science</t>
        </is>
      </c>
      <c r="C60" t="inlineStr">
        <is>
          <t>Amazon.com</t>
        </is>
      </c>
      <c r="D60" t="inlineStr">
        <is>
          <t>indeed</t>
        </is>
      </c>
      <c r="E60">
        <f>HYPERLINK("https://www.indeed.com/viewjob?jk=1f2efcb8c5db50c1", "https://www.indeed.com/viewjob?jk=1f2efcb8c5db50c1")</f>
        <v/>
      </c>
      <c r="F60">
        <f>HYPERLINK("https://www.amazon.jobs/jobs/3168905/applied-scientist-ii-prime-video-personalization-and-discovery-science?cmpid=DA_INAD200785B", "https://www.amazon.jobs/jobs/3168905/applied-scientist-ii-prime-video-personalization-and-discovery-science?cmpid=DA_INAD200785B")</f>
        <v/>
      </c>
      <c r="G60" t="inlineStr">
        <is>
          <t>Sunnyvale, CA, US</t>
        </is>
      </c>
      <c r="H60" s="2" t="n">
        <v>46047</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1">
      <c r="A61" t="inlineStr">
        <is>
          <t>in-a3584deb8b666a40</t>
        </is>
      </c>
      <c r="B61" t="inlineStr">
        <is>
          <t>Applied Scientist, Amazon Connect</t>
        </is>
      </c>
      <c r="C61" t="inlineStr">
        <is>
          <t>Amazon Web Services</t>
        </is>
      </c>
      <c r="D61" t="inlineStr">
        <is>
          <t>indeed</t>
        </is>
      </c>
      <c r="E61">
        <f>HYPERLINK("https://www.indeed.com/viewjob?jk=a3584deb8b666a40", "https://www.indeed.com/viewjob?jk=a3584deb8b666a40")</f>
        <v/>
      </c>
      <c r="F61">
        <f>HYPERLINK("https://www.amazon.jobs/jobs/3168981/applied-scientist-amazon-connect?cmpid=DA_INAD200785B", "https://www.amazon.jobs/jobs/3168981/applied-scientist-amazon-connect?cmpid=DA_INAD200785B")</f>
        <v/>
      </c>
      <c r="G61" t="inlineStr">
        <is>
          <t>New York, NY, US</t>
        </is>
      </c>
      <c r="H61" s="2" t="n">
        <v>46047</v>
      </c>
      <c r="I6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2">
      <c r="A62" t="inlineStr">
        <is>
          <t>in-2dd2976f513152db</t>
        </is>
      </c>
      <c r="B62" t="inlineStr">
        <is>
          <t>Applied Scientist II, Prime Video Personalization and Discovery Science</t>
        </is>
      </c>
      <c r="C62" t="inlineStr">
        <is>
          <t>Amazon.com</t>
        </is>
      </c>
      <c r="D62" t="inlineStr">
        <is>
          <t>indeed</t>
        </is>
      </c>
      <c r="E62">
        <f>HYPERLINK("https://www.indeed.com/viewjob?jk=2dd2976f513152db", "https://www.indeed.com/viewjob?jk=2dd2976f513152db")</f>
        <v/>
      </c>
      <c r="F62">
        <f>HYPERLINK("https://www.amazon.jobs/jobs/3168905/applied-scientist-ii-prime-video-personalization-and-discovery-science?cmpid=DA_INAD200785B", "https://www.amazon.jobs/jobs/3168905/applied-scientist-ii-prime-video-personalization-and-discovery-science?cmpid=DA_INAD200785B")</f>
        <v/>
      </c>
      <c r="G62" t="inlineStr">
        <is>
          <t>Seattle, WA, US</t>
        </is>
      </c>
      <c r="H62" s="2" t="n">
        <v>46047</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3">
      <c r="A63" t="inlineStr">
        <is>
          <t>in-6f2ead3e6dddec22</t>
        </is>
      </c>
      <c r="B63" t="inlineStr">
        <is>
          <t>Applied Scientist, Amazon Connect</t>
        </is>
      </c>
      <c r="C63" t="inlineStr">
        <is>
          <t>Amazon Web Services</t>
        </is>
      </c>
      <c r="D63" t="inlineStr">
        <is>
          <t>indeed</t>
        </is>
      </c>
      <c r="E63">
        <f>HYPERLINK("https://www.indeed.com/viewjob?jk=6f2ead3e6dddec22", "https://www.indeed.com/viewjob?jk=6f2ead3e6dddec22")</f>
        <v/>
      </c>
      <c r="F63">
        <f>HYPERLINK("https://www.amazon.jobs/jobs/3168981/applied-scientist-amazon-connect?cmpid=DA_INAD200785B", "https://www.amazon.jobs/jobs/3168981/applied-scientist-amazon-connect?cmpid=DA_INAD200785B")</f>
        <v/>
      </c>
      <c r="G63" t="inlineStr">
        <is>
          <t>Seattle, WA, US</t>
        </is>
      </c>
      <c r="H63" s="2" t="n">
        <v>46047</v>
      </c>
      <c r="I6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4">
      <c r="A64" t="inlineStr">
        <is>
          <t>in-8aeea16c1b156bf8</t>
        </is>
      </c>
      <c r="B64" t="inlineStr">
        <is>
          <t>Applied Scientist, Safety ML</t>
        </is>
      </c>
      <c r="C64" t="inlineStr">
        <is>
          <t>Amazon.com</t>
        </is>
      </c>
      <c r="D64" t="inlineStr">
        <is>
          <t>indeed</t>
        </is>
      </c>
      <c r="E64">
        <f>HYPERLINK("https://www.indeed.com/viewjob?jk=8aeea16c1b156bf8", "https://www.indeed.com/viewjob?jk=8aeea16c1b156bf8")</f>
        <v/>
      </c>
      <c r="F64">
        <f>HYPERLINK("https://www.amazon.jobs/jobs/3161224/applied-scientist-safety-ml?cmpid=DA_INAD200785B", "https://www.amazon.jobs/jobs/3161224/applied-scientist-safety-ml?cmpid=DA_INAD200785B")</f>
        <v/>
      </c>
      <c r="G64" t="inlineStr">
        <is>
          <t>Seattle, WA, US</t>
        </is>
      </c>
      <c r="H64" s="2" t="n">
        <v>46037</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65">
      <c r="A65" t="inlineStr">
        <is>
          <t>in-c20703ee18ec3d2a</t>
        </is>
      </c>
      <c r="B65" t="inlineStr">
        <is>
          <t>Applied Scientist, Safety ML</t>
        </is>
      </c>
      <c r="C65" t="inlineStr">
        <is>
          <t>Amazon.com</t>
        </is>
      </c>
      <c r="D65" t="inlineStr">
        <is>
          <t>indeed</t>
        </is>
      </c>
      <c r="E65">
        <f>HYPERLINK("https://www.indeed.com/viewjob?jk=c20703ee18ec3d2a", "https://www.indeed.com/viewjob?jk=c20703ee18ec3d2a")</f>
        <v/>
      </c>
      <c r="F65">
        <f>HYPERLINK("https://www.amazon.jobs/jobs/3161224/applied-scientist-safety-ml?cmpid=DA_INAD200785B", "https://www.amazon.jobs/jobs/3161224/applied-scientist-safety-ml?cmpid=DA_INAD200785B")</f>
        <v/>
      </c>
      <c r="G65" t="inlineStr">
        <is>
          <t>San Francisco, CA, US</t>
        </is>
      </c>
      <c r="H65" s="2" t="n">
        <v>46037</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66">
      <c r="A66" t="inlineStr">
        <is>
          <t>in-d47f7379db60ab6d</t>
        </is>
      </c>
      <c r="B66" t="inlineStr">
        <is>
          <t>Principal Applied Scientist, Measurement, AdTech and Data Science, Ads Performance Measurement</t>
        </is>
      </c>
      <c r="C66" t="inlineStr">
        <is>
          <t>Amazon.com</t>
        </is>
      </c>
      <c r="D66" t="inlineStr">
        <is>
          <t>indeed</t>
        </is>
      </c>
      <c r="E66">
        <f>HYPERLINK("https://www.indeed.com/viewjob?jk=d47f7379db60ab6d", "https://www.indeed.com/viewjob?jk=d47f7379db60ab6d")</f>
        <v/>
      </c>
      <c r="F66">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66" t="inlineStr">
        <is>
          <t>New York, NY, US</t>
        </is>
      </c>
      <c r="H66" s="2" t="n">
        <v>46037</v>
      </c>
      <c r="I66"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7">
      <c r="A67" t="inlineStr">
        <is>
          <t>in-2388541d09297d07</t>
        </is>
      </c>
      <c r="B67" t="inlineStr">
        <is>
          <t>Principal Applied Scientist, Measurement, AdTech and Data Science, Ads Performance Measurement</t>
        </is>
      </c>
      <c r="C67" t="inlineStr">
        <is>
          <t>Amazon.com</t>
        </is>
      </c>
      <c r="D67" t="inlineStr">
        <is>
          <t>indeed</t>
        </is>
      </c>
      <c r="E67">
        <f>HYPERLINK("https://www.indeed.com/viewjob?jk=2388541d09297d07", "https://www.indeed.com/viewjob?jk=2388541d09297d07")</f>
        <v/>
      </c>
      <c r="F67">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67" t="inlineStr">
        <is>
          <t>Seattle, WA, US</t>
        </is>
      </c>
      <c r="H67" s="2" t="n">
        <v>46037</v>
      </c>
      <c r="I67"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8">
      <c r="A68" t="inlineStr">
        <is>
          <t>in-059d50261b77c462</t>
        </is>
      </c>
      <c r="B68" t="inlineStr">
        <is>
          <t>Principal Applied Scientist, Measurement, AdTech and Data Science, Ads Performance Measurement</t>
        </is>
      </c>
      <c r="C68" t="inlineStr">
        <is>
          <t>Amazon.com</t>
        </is>
      </c>
      <c r="D68" t="inlineStr">
        <is>
          <t>indeed</t>
        </is>
      </c>
      <c r="E68">
        <f>HYPERLINK("https://www.indeed.com/viewjob?jk=059d50261b77c462", "https://www.indeed.com/viewjob?jk=059d50261b77c462")</f>
        <v/>
      </c>
      <c r="F68">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68" t="inlineStr">
        <is>
          <t>Palo Alto, CA, US</t>
        </is>
      </c>
      <c r="H68" s="2" t="n">
        <v>46037</v>
      </c>
      <c r="I68"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9">
      <c r="A69" t="inlineStr">
        <is>
          <t>in-9971a19a3c4cc719</t>
        </is>
      </c>
      <c r="B69" t="inlineStr">
        <is>
          <t>Applied Scientist III, Sponsored Products and Brands</t>
        </is>
      </c>
      <c r="C69" t="inlineStr">
        <is>
          <t>Amazon.com</t>
        </is>
      </c>
      <c r="D69" t="inlineStr">
        <is>
          <t>indeed</t>
        </is>
      </c>
      <c r="E69">
        <f>HYPERLINK("https://www.indeed.com/viewjob?jk=9971a19a3c4cc719", "https://www.indeed.com/viewjob?jk=9971a19a3c4cc719")</f>
        <v/>
      </c>
      <c r="F69">
        <f>HYPERLINK("https://www.amazon.jobs/jobs/3162901/applied-scientist-iii-sponsored-products-and-brands?cmpid=DA_INAD200785B", "https://www.amazon.jobs/jobs/3162901/applied-scientist-iii-sponsored-products-and-brands?cmpid=DA_INAD200785B")</f>
        <v/>
      </c>
      <c r="G69" t="inlineStr">
        <is>
          <t>New York, NY, US</t>
        </is>
      </c>
      <c r="H69" s="2" t="n">
        <v>46037</v>
      </c>
      <c r="I6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Demand Utilization team with Sponsored Products and Brands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III,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innovative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III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deploying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using managed ML/AI solutions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t>
        </is>
      </c>
    </row>
    <row r="70">
      <c r="A70" t="inlineStr">
        <is>
          <t>in-6c790dac0a8b17b6</t>
        </is>
      </c>
      <c r="B70" t="inlineStr">
        <is>
          <t>Applied Scientist, LLM Code Agents, Kiro Science</t>
        </is>
      </c>
      <c r="C70" t="inlineStr">
        <is>
          <t>Amazon.com</t>
        </is>
      </c>
      <c r="D70" t="inlineStr">
        <is>
          <t>indeed</t>
        </is>
      </c>
      <c r="E70">
        <f>HYPERLINK("https://www.indeed.com/viewjob?jk=6c790dac0a8b17b6", "https://www.indeed.com/viewjob?jk=6c790dac0a8b17b6")</f>
        <v/>
      </c>
      <c r="F70">
        <f>HYPERLINK("https://www.amazon.jobs/jobs/3161363/applied-scientist-llm-code-agents-kiro-science?cmpid=DA_INAD200785B", "https://www.amazon.jobs/jobs/3161363/applied-scientist-llm-code-agents-kiro-science?cmpid=DA_INAD200785B")</f>
        <v/>
      </c>
      <c r="G70" t="inlineStr">
        <is>
          <t>Seattle, WA, US</t>
        </is>
      </c>
      <c r="H70" s="2" t="n">
        <v>46035</v>
      </c>
      <c r="I7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71">
      <c r="A71" t="inlineStr">
        <is>
          <t>in-838f8d85f9715459</t>
        </is>
      </c>
      <c r="B71" t="inlineStr">
        <is>
          <t>Applied Scientist, LLM Code Agents, Kiro Science</t>
        </is>
      </c>
      <c r="C71" t="inlineStr">
        <is>
          <t>Amazon.com</t>
        </is>
      </c>
      <c r="D71" t="inlineStr">
        <is>
          <t>indeed</t>
        </is>
      </c>
      <c r="E71">
        <f>HYPERLINK("https://www.indeed.com/viewjob?jk=838f8d85f9715459", "https://www.indeed.com/viewjob?jk=838f8d85f9715459")</f>
        <v/>
      </c>
      <c r="F71">
        <f>HYPERLINK("https://www.amazon.jobs/jobs/3161363/applied-scientist-llm-code-agents-kiro-science?cmpid=DA_INAD200785B", "https://www.amazon.jobs/jobs/3161363/applied-scientist-llm-code-agents-kiro-science?cmpid=DA_INAD200785B")</f>
        <v/>
      </c>
      <c r="G71" t="inlineStr">
        <is>
          <t>Santa Clara, CA, US</t>
        </is>
      </c>
      <c r="H71" s="2" t="n">
        <v>46035</v>
      </c>
      <c r="I7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72">
      <c r="A72" t="inlineStr">
        <is>
          <t>in-0a209f83bc928b63</t>
        </is>
      </c>
      <c r="B72" t="inlineStr">
        <is>
          <t>Applied Scientist, Alexa Smart Home</t>
        </is>
      </c>
      <c r="C72" t="inlineStr">
        <is>
          <t>Amazon.com</t>
        </is>
      </c>
      <c r="D72" t="inlineStr">
        <is>
          <t>indeed</t>
        </is>
      </c>
      <c r="E72">
        <f>HYPERLINK("https://www.indeed.com/viewjob?jk=0a209f83bc928b63", "https://www.indeed.com/viewjob?jk=0a209f83bc928b63")</f>
        <v/>
      </c>
      <c r="F72">
        <f>HYPERLINK("https://www.amazon.jobs/jobs/3169205/applied-scientist-alexa-smart-home?cmpid=DA_INAD200785B", "https://www.amazon.jobs/jobs/3169205/applied-scientist-alexa-smart-home?cmpid=DA_INAD200785B")</f>
        <v/>
      </c>
      <c r="G72" t="inlineStr">
        <is>
          <t>Seattle, WA, US</t>
        </is>
      </c>
      <c r="H72" s="2" t="n">
        <v>46033</v>
      </c>
      <c r="I7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3">
      <c r="A73" t="inlineStr">
        <is>
          <t>in-616bca00d636e883</t>
        </is>
      </c>
      <c r="B73" t="inlineStr">
        <is>
          <t>Applied Scientist, Alexa Smart Home</t>
        </is>
      </c>
      <c r="C73" t="inlineStr">
        <is>
          <t>Amazon.com</t>
        </is>
      </c>
      <c r="D73" t="inlineStr">
        <is>
          <t>indeed</t>
        </is>
      </c>
      <c r="E73">
        <f>HYPERLINK("https://www.indeed.com/viewjob?jk=616bca00d636e883", "https://www.indeed.com/viewjob?jk=616bca00d636e883")</f>
        <v/>
      </c>
      <c r="F73">
        <f>HYPERLINK("https://www.amazon.jobs/jobs/3169205/applied-scientist-alexa-smart-home?cmpid=DA_INAD200785B", "https://www.amazon.jobs/jobs/3169205/applied-scientist-alexa-smart-home?cmpid=DA_INAD200785B")</f>
        <v/>
      </c>
      <c r="G73" t="inlineStr">
        <is>
          <t>Sunnyvale, CA, US</t>
        </is>
      </c>
      <c r="H73" s="2" t="n">
        <v>46033</v>
      </c>
      <c r="I7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4">
      <c r="A74" t="inlineStr">
        <is>
          <t>in-4c645d0b2952e23e</t>
        </is>
      </c>
      <c r="B74" t="inlineStr">
        <is>
          <t>Applied Scientist, AWS Applied AI Solutions</t>
        </is>
      </c>
      <c r="C74" t="inlineStr">
        <is>
          <t>Amazon Web Services</t>
        </is>
      </c>
      <c r="D74" t="inlineStr">
        <is>
          <t>indeed</t>
        </is>
      </c>
      <c r="E74">
        <f>HYPERLINK("https://www.indeed.com/viewjob?jk=4c645d0b2952e23e", "https://www.indeed.com/viewjob?jk=4c645d0b2952e23e")</f>
        <v/>
      </c>
      <c r="F74">
        <f>HYPERLINK("https://www.amazon.jobs/jobs/3166907/applied-scientist-aws-applied-ai-solutions?cmpid=DA_INAD200785B", "https://www.amazon.jobs/jobs/3166907/applied-scientist-aws-applied-ai-solutions?cmpid=DA_INAD200785B")</f>
        <v/>
      </c>
      <c r="G74" t="inlineStr">
        <is>
          <t>Seattle, WA, US</t>
        </is>
      </c>
      <c r="H74" s="2" t="n">
        <v>46030</v>
      </c>
      <c r="I7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5">
      <c r="A75" t="inlineStr">
        <is>
          <t>in-445ce297c0e32e65</t>
        </is>
      </c>
      <c r="B75" t="inlineStr">
        <is>
          <t>Applied Scientist, AWS Applied AI Solutions</t>
        </is>
      </c>
      <c r="C75" t="inlineStr">
        <is>
          <t>Amazon Web Services</t>
        </is>
      </c>
      <c r="D75" t="inlineStr">
        <is>
          <t>indeed</t>
        </is>
      </c>
      <c r="E75">
        <f>HYPERLINK("https://www.indeed.com/viewjob?jk=445ce297c0e32e65", "https://www.indeed.com/viewjob?jk=445ce297c0e32e65")</f>
        <v/>
      </c>
      <c r="F75">
        <f>HYPERLINK("https://www.amazon.jobs/jobs/3166907/applied-scientist-aws-applied-ai-solutions?cmpid=DA_INAD200785B", "https://www.amazon.jobs/jobs/3166907/applied-scientist-aws-applied-ai-solutions?cmpid=DA_INAD200785B")</f>
        <v/>
      </c>
      <c r="G75" t="inlineStr">
        <is>
          <t>New York, NY, US</t>
        </is>
      </c>
      <c r="H75" s="2" t="n">
        <v>46030</v>
      </c>
      <c r="I7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6">
      <c r="A76" t="inlineStr">
        <is>
          <t>in-2e92eb799fe2fd2a</t>
        </is>
      </c>
      <c r="B76" t="inlineStr">
        <is>
          <t>Applied Scientist II, Prime Video Personalization and Discovery Science</t>
        </is>
      </c>
      <c r="C76" t="inlineStr">
        <is>
          <t>Amazon.com</t>
        </is>
      </c>
      <c r="D76" t="inlineStr">
        <is>
          <t>indeed</t>
        </is>
      </c>
      <c r="E76">
        <f>HYPERLINK("https://www.indeed.com/viewjob?jk=2e92eb799fe2fd2a", "https://www.indeed.com/viewjob?jk=2e92eb799fe2fd2a")</f>
        <v/>
      </c>
      <c r="F76">
        <f>HYPERLINK("https://www.amazon.jobs/jobs/3155448/applied-scientist-ii-prime-video-personalization-and-discovery-science?cmpid=DA_INAD200785B", "https://www.amazon.jobs/jobs/3155448/applied-scientist-ii-prime-video-personalization-and-discovery-science?cmpid=DA_INAD200785B")</f>
        <v/>
      </c>
      <c r="G76" t="inlineStr">
        <is>
          <t>New York, NY, US</t>
        </is>
      </c>
      <c r="H76" s="2" t="n">
        <v>46028</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7">
      <c r="A77" t="inlineStr">
        <is>
          <t>in-db75124bb3b154fa</t>
        </is>
      </c>
      <c r="B77" t="inlineStr">
        <is>
          <t>Applied Scientist II, Prime Video Personalization and Discovery Science</t>
        </is>
      </c>
      <c r="C77" t="inlineStr">
        <is>
          <t>Amazon.com</t>
        </is>
      </c>
      <c r="D77" t="inlineStr">
        <is>
          <t>indeed</t>
        </is>
      </c>
      <c r="E77">
        <f>HYPERLINK("https://www.indeed.com/viewjob?jk=db75124bb3b154fa", "https://www.indeed.com/viewjob?jk=db75124bb3b154fa")</f>
        <v/>
      </c>
      <c r="F77">
        <f>HYPERLINK("https://www.amazon.jobs/jobs/3155448/applied-scientist-ii-prime-video-personalization-and-discovery-science?cmpid=DA_INAD200785B", "https://www.amazon.jobs/jobs/3155448/applied-scientist-ii-prime-video-personalization-and-discovery-science?cmpid=DA_INAD200785B")</f>
        <v/>
      </c>
      <c r="G77" t="inlineStr">
        <is>
          <t>Seattle, WA, US</t>
        </is>
      </c>
      <c r="H77" s="2" t="n">
        <v>46028</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8">
      <c r="A78" t="inlineStr">
        <is>
          <t>in-2fa578b335edffc2</t>
        </is>
      </c>
      <c r="B78" t="inlineStr">
        <is>
          <t>Applied Scientist II, Prime Video Personalization and Discovery Science</t>
        </is>
      </c>
      <c r="C78" t="inlineStr">
        <is>
          <t>Amazon.com</t>
        </is>
      </c>
      <c r="D78" t="inlineStr">
        <is>
          <t>indeed</t>
        </is>
      </c>
      <c r="E78">
        <f>HYPERLINK("https://www.indeed.com/viewjob?jk=2fa578b335edffc2", "https://www.indeed.com/viewjob?jk=2fa578b335edffc2")</f>
        <v/>
      </c>
      <c r="F78">
        <f>HYPERLINK("https://www.amazon.jobs/jobs/3155448/applied-scientist-ii-prime-video-personalization-and-discovery-science?cmpid=DA_INAD200785B", "https://www.amazon.jobs/jobs/3155448/applied-scientist-ii-prime-video-personalization-and-discovery-science?cmpid=DA_INAD200785B")</f>
        <v/>
      </c>
      <c r="G78" t="inlineStr">
        <is>
          <t>Sunnyvale, CA, US</t>
        </is>
      </c>
      <c r="H78" s="2" t="n">
        <v>46028</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9">
      <c r="A79" t="inlineStr">
        <is>
          <t>in-6a31c9c2ad89114b</t>
        </is>
      </c>
      <c r="B79" t="inlineStr">
        <is>
          <t>Applied Scientist II, Locomotion, Amazon Industrial Robotics</t>
        </is>
      </c>
      <c r="C79" t="inlineStr">
        <is>
          <t>Amazon.com</t>
        </is>
      </c>
      <c r="D79" t="inlineStr">
        <is>
          <t>indeed</t>
        </is>
      </c>
      <c r="E79">
        <f>HYPERLINK("https://www.indeed.com/viewjob?jk=6a31c9c2ad89114b", "https://www.indeed.com/viewjob?jk=6a31c9c2ad89114b")</f>
        <v/>
      </c>
      <c r="F79">
        <f>HYPERLINK("https://www.amazon.jobs/jobs/3154607/applied-scientist-ii-locomotion-amazon-industrial-robotics?cmpid=DA_INAD200785B", "https://www.amazon.jobs/jobs/3154607/applied-scientist-ii-locomotion-amazon-industrial-robotics?cmpid=DA_INAD200785B")</f>
        <v/>
      </c>
      <c r="G79" t="inlineStr">
        <is>
          <t>Reading, MA, US</t>
        </is>
      </c>
      <c r="H79" s="2" t="n">
        <v>46028</v>
      </c>
      <c r="I7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80">
      <c r="A80" t="inlineStr">
        <is>
          <t>in-d9260d20e9fffe02</t>
        </is>
      </c>
      <c r="B80" t="inlineStr">
        <is>
          <t>Applied Scientist II, Locomotion, Amazon Industrial Robotics</t>
        </is>
      </c>
      <c r="C80" t="inlineStr">
        <is>
          <t>Amazon.com</t>
        </is>
      </c>
      <c r="D80" t="inlineStr">
        <is>
          <t>indeed</t>
        </is>
      </c>
      <c r="E80">
        <f>HYPERLINK("https://www.indeed.com/viewjob?jk=d9260d20e9fffe02", "https://www.indeed.com/viewjob?jk=d9260d20e9fffe02")</f>
        <v/>
      </c>
      <c r="F80">
        <f>HYPERLINK("https://www.amazon.jobs/jobs/3154607/applied-scientist-ii-locomotion-amazon-industrial-robotics?cmpid=DA_INAD200785B", "https://www.amazon.jobs/jobs/3154607/applied-scientist-ii-locomotion-amazon-industrial-robotics?cmpid=DA_INAD200785B")</f>
        <v/>
      </c>
      <c r="G80" t="inlineStr">
        <is>
          <t>Reading, MA, US</t>
        </is>
      </c>
      <c r="H80" s="2" t="n">
        <v>46028</v>
      </c>
      <c r="I8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81">
      <c r="A81" t="inlineStr">
        <is>
          <t>in-60481a9c61f32033</t>
        </is>
      </c>
      <c r="B81" t="inlineStr">
        <is>
          <t>Senior Applied Scientist, Industrial Robotics Group</t>
        </is>
      </c>
      <c r="C81" t="inlineStr">
        <is>
          <t>Amazon.com</t>
        </is>
      </c>
      <c r="D81" t="inlineStr">
        <is>
          <t>indeed</t>
        </is>
      </c>
      <c r="E81">
        <f>HYPERLINK("https://www.indeed.com/viewjob?jk=60481a9c61f32033", "https://www.indeed.com/viewjob?jk=60481a9c61f32033")</f>
        <v/>
      </c>
      <c r="F81">
        <f>HYPERLINK("https://www.amazon.jobs/jobs/3154866/senior-applied-scientist-industrial-robotics-group?cmpid=DA_INAD200785B", "https://www.amazon.jobs/jobs/3154866/senior-applied-scientist-industrial-robotics-group?cmpid=DA_INAD200785B")</f>
        <v/>
      </c>
      <c r="G81" t="inlineStr">
        <is>
          <t>Reading, MA, US</t>
        </is>
      </c>
      <c r="H81" s="2" t="n">
        <v>46027</v>
      </c>
      <c r="I81"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82">
      <c r="A82" t="inlineStr">
        <is>
          <t>in-ffe7352f585e0566</t>
        </is>
      </c>
      <c r="B82" t="inlineStr">
        <is>
          <t>Senior Applied Scientist, Industrial Robotics Group</t>
        </is>
      </c>
      <c r="C82" t="inlineStr">
        <is>
          <t>Amazon.com</t>
        </is>
      </c>
      <c r="D82" t="inlineStr">
        <is>
          <t>indeed</t>
        </is>
      </c>
      <c r="E82">
        <f>HYPERLINK("https://www.indeed.com/viewjob?jk=ffe7352f585e0566", "https://www.indeed.com/viewjob?jk=ffe7352f585e0566")</f>
        <v/>
      </c>
      <c r="F82">
        <f>HYPERLINK("https://www.amazon.jobs/jobs/3154866/senior-applied-scientist-industrial-robotics-group?cmpid=DA_INAD200785B", "https://www.amazon.jobs/jobs/3154866/senior-applied-scientist-industrial-robotics-group?cmpid=DA_INAD200785B")</f>
        <v/>
      </c>
      <c r="G82" t="inlineStr">
        <is>
          <t>Reading, MA, US</t>
        </is>
      </c>
      <c r="H82" s="2" t="n">
        <v>46027</v>
      </c>
      <c r="I82"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83">
      <c r="A83" t="inlineStr">
        <is>
          <t>in-edf1b0ffb8f0ca1a</t>
        </is>
      </c>
      <c r="B83" t="inlineStr">
        <is>
          <t>Senior Applied Scientist, Distributed SQL</t>
        </is>
      </c>
      <c r="C83" t="inlineStr">
        <is>
          <t>Amazon Web Services</t>
        </is>
      </c>
      <c r="D83" t="inlineStr">
        <is>
          <t>indeed</t>
        </is>
      </c>
      <c r="E83">
        <f>HYPERLINK("https://www.indeed.com/viewjob?jk=edf1b0ffb8f0ca1a", "https://www.indeed.com/viewjob?jk=edf1b0ffb8f0ca1a")</f>
        <v/>
      </c>
      <c r="F83">
        <f>HYPERLINK("https://www.amazon.jobs/jobs/3148444/senior-applied-scientist-distributed-sql?cmpid=DA_INAD200785B", "https://www.amazon.jobs/jobs/3148444/senior-applied-scientist-distributed-sql?cmpid=DA_INAD200785B")</f>
        <v/>
      </c>
      <c r="G83" t="inlineStr">
        <is>
          <t>Seattle, WA, US</t>
        </is>
      </c>
      <c r="H83" s="2" t="n">
        <v>46012</v>
      </c>
      <c r="I8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84">
      <c r="A84" t="inlineStr">
        <is>
          <t>in-c85f11013793f440</t>
        </is>
      </c>
      <c r="B84" t="inlineStr">
        <is>
          <t>Senior Applied Scientist, Distributed SQL</t>
        </is>
      </c>
      <c r="C84" t="inlineStr">
        <is>
          <t>Amazon Web Services</t>
        </is>
      </c>
      <c r="D84" t="inlineStr">
        <is>
          <t>indeed</t>
        </is>
      </c>
      <c r="E84">
        <f>HYPERLINK("https://www.indeed.com/viewjob?jk=c85f11013793f440", "https://www.indeed.com/viewjob?jk=c85f11013793f440")</f>
        <v/>
      </c>
      <c r="F84">
        <f>HYPERLINK("https://www.amazon.jobs/jobs/3148444/senior-applied-scientist-distributed-sql?cmpid=DA_INAD200785B", "https://www.amazon.jobs/jobs/3148444/senior-applied-scientist-distributed-sql?cmpid=DA_INAD200785B")</f>
        <v/>
      </c>
      <c r="G84" t="inlineStr">
        <is>
          <t>East Palo Alto, CA, US</t>
        </is>
      </c>
      <c r="H84" s="2" t="n">
        <v>46012</v>
      </c>
      <c r="I8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85">
      <c r="A85" t="inlineStr">
        <is>
          <t>in-d1c88063fe8c6e32</t>
        </is>
      </c>
      <c r="B85" t="inlineStr">
        <is>
          <t>Principal Applied Scientist, Kiro Science</t>
        </is>
      </c>
      <c r="C85" t="inlineStr">
        <is>
          <t>Amazon Web Services</t>
        </is>
      </c>
      <c r="D85" t="inlineStr">
        <is>
          <t>indeed</t>
        </is>
      </c>
      <c r="E85">
        <f>HYPERLINK("https://www.indeed.com/viewjob?jk=d1c88063fe8c6e32", "https://www.indeed.com/viewjob?jk=d1c88063fe8c6e32")</f>
        <v/>
      </c>
      <c r="F85">
        <f>HYPERLINK("https://www.amazon.jobs/jobs/3161064/principal-applied-scientist-kiro-science?cmpid=DA_INAD200785B", "https://www.amazon.jobs/jobs/3161064/principal-applied-scientist-kiro-science?cmpid=DA_INAD200785B")</f>
        <v/>
      </c>
      <c r="G85" t="inlineStr">
        <is>
          <t>New York, NY, US</t>
        </is>
      </c>
      <c r="H85" s="2" t="n">
        <v>45999</v>
      </c>
      <c r="I8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6">
      <c r="A86" t="inlineStr">
        <is>
          <t>in-5ba1bf8e2922085d</t>
        </is>
      </c>
      <c r="B86" t="inlineStr">
        <is>
          <t>Principal Applied Scientist, Kiro Science</t>
        </is>
      </c>
      <c r="C86" t="inlineStr">
        <is>
          <t>Amazon Web Services</t>
        </is>
      </c>
      <c r="D86" t="inlineStr">
        <is>
          <t>indeed</t>
        </is>
      </c>
      <c r="E86">
        <f>HYPERLINK("https://www.indeed.com/viewjob?jk=5ba1bf8e2922085d", "https://www.indeed.com/viewjob?jk=5ba1bf8e2922085d")</f>
        <v/>
      </c>
      <c r="F86">
        <f>HYPERLINK("https://www.amazon.jobs/jobs/3161064/principal-applied-scientist-kiro-science?cmpid=DA_INAD200785B", "https://www.amazon.jobs/jobs/3161064/principal-applied-scientist-kiro-science?cmpid=DA_INAD200785B")</f>
        <v/>
      </c>
      <c r="G86" t="inlineStr">
        <is>
          <t>Santa Clara, CA, US</t>
        </is>
      </c>
      <c r="H86" s="2" t="n">
        <v>45999</v>
      </c>
      <c r="I8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7">
      <c r="A87" t="inlineStr">
        <is>
          <t>in-cc7915cb4e359e57</t>
        </is>
      </c>
      <c r="B87" t="inlineStr">
        <is>
          <t>Principal Applied Scientist, Sponsored Products and Brands</t>
        </is>
      </c>
      <c r="C87" t="inlineStr">
        <is>
          <t>Amazon.com</t>
        </is>
      </c>
      <c r="D87" t="inlineStr">
        <is>
          <t>indeed</t>
        </is>
      </c>
      <c r="E87">
        <f>HYPERLINK("https://www.indeed.com/viewjob?jk=cc7915cb4e359e57", "https://www.indeed.com/viewjob?jk=cc7915cb4e359e57")</f>
        <v/>
      </c>
      <c r="F87">
        <f>HYPERLINK("https://www.amazon.jobs/jobs/3130855/principal-applied-scientist-sponsored-products-and-brands?cmpid=DA_INAD200785B", "https://www.amazon.jobs/jobs/3130855/principal-applied-scientist-sponsored-products-and-brands?cmpid=DA_INAD200785B")</f>
        <v/>
      </c>
      <c r="G87" t="inlineStr">
        <is>
          <t>Seattle, WA, US</t>
        </is>
      </c>
      <c r="H87" s="2" t="n">
        <v>45979</v>
      </c>
      <c r="I8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in-772a4610db25f8ca</t>
        </is>
      </c>
      <c r="B88" t="inlineStr">
        <is>
          <t>Principal Applied Scientist, Sponsored Products and Brands</t>
        </is>
      </c>
      <c r="C88" t="inlineStr">
        <is>
          <t>Amazon.com</t>
        </is>
      </c>
      <c r="D88" t="inlineStr">
        <is>
          <t>indeed</t>
        </is>
      </c>
      <c r="E88">
        <f>HYPERLINK("https://www.indeed.com/viewjob?jk=772a4610db25f8ca", "https://www.indeed.com/viewjob?jk=772a4610db25f8ca")</f>
        <v/>
      </c>
      <c r="F88">
        <f>HYPERLINK("https://www.amazon.jobs/jobs/3130855/principal-applied-scientist-sponsored-products-and-brands?cmpid=DA_INAD200785B", "https://www.amazon.jobs/jobs/3130855/principal-applied-scientist-sponsored-products-and-brands?cmpid=DA_INAD200785B")</f>
        <v/>
      </c>
      <c r="G88" t="inlineStr">
        <is>
          <t>New York, NY, US</t>
        </is>
      </c>
      <c r="H88" s="2" t="n">
        <v>45979</v>
      </c>
      <c r="I8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in-876970e30b41a838</t>
        </is>
      </c>
      <c r="B89" t="inlineStr">
        <is>
          <t>Sr. Applied Scientist, Sponsored Products</t>
        </is>
      </c>
      <c r="C89" t="inlineStr">
        <is>
          <t>Amazon.com</t>
        </is>
      </c>
      <c r="D89" t="inlineStr">
        <is>
          <t>indeed</t>
        </is>
      </c>
      <c r="E89">
        <f>HYPERLINK("https://www.indeed.com/viewjob?jk=876970e30b41a838", "https://www.indeed.com/viewjob?jk=876970e30b41a838")</f>
        <v/>
      </c>
      <c r="F89">
        <f>HYPERLINK("https://www.amazon.jobs/jobs/3136156/sr-applied-scientist-sponsored-products?cmpid=DA_INAD200785B", "https://www.amazon.jobs/jobs/3136156/sr-applied-scientist-sponsored-products?cmpid=DA_INAD200785B")</f>
        <v/>
      </c>
      <c r="G89" t="inlineStr">
        <is>
          <t>New York, NY, US</t>
        </is>
      </c>
      <c r="H89" s="2" t="n">
        <v>45976</v>
      </c>
      <c r="I8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90">
      <c r="A90" t="inlineStr">
        <is>
          <t>in-8d987e1ff6d1d757</t>
        </is>
      </c>
      <c r="B90" t="inlineStr">
        <is>
          <t>Sr. Applied Scientist, Sponsored Products</t>
        </is>
      </c>
      <c r="C90" t="inlineStr">
        <is>
          <t>Amazon.com</t>
        </is>
      </c>
      <c r="D90" t="inlineStr">
        <is>
          <t>indeed</t>
        </is>
      </c>
      <c r="E90">
        <f>HYPERLINK("https://www.indeed.com/viewjob?jk=8d987e1ff6d1d757", "https://www.indeed.com/viewjob?jk=8d987e1ff6d1d757")</f>
        <v/>
      </c>
      <c r="F90">
        <f>HYPERLINK("https://www.amazon.jobs/jobs/3136156/sr-applied-scientist-sponsored-products?cmpid=DA_INAD200785B", "https://www.amazon.jobs/jobs/3136156/sr-applied-scientist-sponsored-products?cmpid=DA_INAD200785B")</f>
        <v/>
      </c>
      <c r="G90" t="inlineStr">
        <is>
          <t>Arlington, VA, US</t>
        </is>
      </c>
      <c r="H90" s="2" t="n">
        <v>45976</v>
      </c>
      <c r="I9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91">
      <c r="A91" t="inlineStr">
        <is>
          <t>in-90688f6c2f991409</t>
        </is>
      </c>
      <c r="B91" t="inlineStr">
        <is>
          <t>Sr. Applied Scientist, Sponsored Products</t>
        </is>
      </c>
      <c r="C91" t="inlineStr">
        <is>
          <t>Amazon.com</t>
        </is>
      </c>
      <c r="D91" t="inlineStr">
        <is>
          <t>indeed</t>
        </is>
      </c>
      <c r="E91">
        <f>HYPERLINK("https://www.indeed.com/viewjob?jk=90688f6c2f991409", "https://www.indeed.com/viewjob?jk=90688f6c2f991409")</f>
        <v/>
      </c>
      <c r="F91">
        <f>HYPERLINK("https://www.amazon.jobs/jobs/3136156/sr-applied-scientist-sponsored-products?cmpid=DA_INAD200785B", "https://www.amazon.jobs/jobs/3136156/sr-applied-scientist-sponsored-products?cmpid=DA_INAD200785B")</f>
        <v/>
      </c>
      <c r="G91" t="inlineStr">
        <is>
          <t>Seattle, WA, US</t>
        </is>
      </c>
      <c r="H91" s="2" t="n">
        <v>45976</v>
      </c>
      <c r="I9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92">
      <c r="A92" t="inlineStr">
        <is>
          <t>in-2fdad5acd612d6ec</t>
        </is>
      </c>
      <c r="B92" t="inlineStr">
        <is>
          <t>Principal Applied Scientist, AWS Agentic AI Science</t>
        </is>
      </c>
      <c r="C92" t="inlineStr">
        <is>
          <t>Amazon Web Services</t>
        </is>
      </c>
      <c r="D92" t="inlineStr">
        <is>
          <t>indeed</t>
        </is>
      </c>
      <c r="E92">
        <f>HYPERLINK("https://www.indeed.com/viewjob?jk=2fdad5acd612d6ec", "https://www.indeed.com/viewjob?jk=2fdad5acd612d6ec")</f>
        <v/>
      </c>
      <c r="F92">
        <f>HYPERLINK("https://www.amazon.jobs/jobs/3132887/principal-applied-scientist-aws-agentic-ai-science?cmpid=DA_INAD200785B", "https://www.amazon.jobs/jobs/3132887/principal-applied-scientist-aws-agentic-ai-science?cmpid=DA_INAD200785B")</f>
        <v/>
      </c>
      <c r="G92" t="inlineStr">
        <is>
          <t>New York, NY, US</t>
        </is>
      </c>
      <c r="H92" s="2" t="n">
        <v>45963</v>
      </c>
      <c r="I9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93">
      <c r="A93" t="inlineStr">
        <is>
          <t>in-5bd166e14d595657</t>
        </is>
      </c>
      <c r="B93" t="inlineStr">
        <is>
          <t>Principal Applied Scientist, AWS Agentic AI Science</t>
        </is>
      </c>
      <c r="C93" t="inlineStr">
        <is>
          <t>Amazon Web Services</t>
        </is>
      </c>
      <c r="D93" t="inlineStr">
        <is>
          <t>indeed</t>
        </is>
      </c>
      <c r="E93">
        <f>HYPERLINK("https://www.indeed.com/viewjob?jk=5bd166e14d595657", "https://www.indeed.com/viewjob?jk=5bd166e14d595657")</f>
        <v/>
      </c>
      <c r="F93">
        <f>HYPERLINK("https://www.amazon.jobs/jobs/3132887/principal-applied-scientist-aws-agentic-ai-science?cmpid=DA_INAD200785B", "https://www.amazon.jobs/jobs/3132887/principal-applied-scientist-aws-agentic-ai-science?cmpid=DA_INAD200785B")</f>
        <v/>
      </c>
      <c r="G93" t="inlineStr">
        <is>
          <t>Santa Clara, CA, US</t>
        </is>
      </c>
      <c r="H93" s="2" t="n">
        <v>45963</v>
      </c>
      <c r="I93"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94">
      <c r="A94" t="inlineStr">
        <is>
          <t>in-704f0cea1c2ee565</t>
        </is>
      </c>
      <c r="B94" t="inlineStr">
        <is>
          <t>Applied Scientist, AWS Agentic AI</t>
        </is>
      </c>
      <c r="C94" t="inlineStr">
        <is>
          <t>Amazon Web Services</t>
        </is>
      </c>
      <c r="D94" t="inlineStr">
        <is>
          <t>indeed</t>
        </is>
      </c>
      <c r="E94">
        <f>HYPERLINK("https://www.indeed.com/viewjob?jk=704f0cea1c2ee565", "https://www.indeed.com/viewjob?jk=704f0cea1c2ee565")</f>
        <v/>
      </c>
      <c r="F94">
        <f>HYPERLINK("https://www.amazon.jobs/jobs/3141517/applied-scientist-aws-agentic-ai-?cmpid=DA_INAD200785B", "https://www.amazon.jobs/jobs/3141517/applied-scientist-aws-agentic-ai-?cmpid=DA_INAD200785B")</f>
        <v/>
      </c>
      <c r="G94" t="inlineStr">
        <is>
          <t>New York, NY, US</t>
        </is>
      </c>
      <c r="H94" s="2" t="n">
        <v>45962</v>
      </c>
      <c r="I9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in-e3a79073a46ee5b4</t>
        </is>
      </c>
      <c r="B95" t="inlineStr">
        <is>
          <t>Applied Scientist, AWS Agentic AI</t>
        </is>
      </c>
      <c r="C95" t="inlineStr">
        <is>
          <t>Amazon Web Services</t>
        </is>
      </c>
      <c r="D95" t="inlineStr">
        <is>
          <t>indeed</t>
        </is>
      </c>
      <c r="E95">
        <f>HYPERLINK("https://www.indeed.com/viewjob?jk=e3a79073a46ee5b4", "https://www.indeed.com/viewjob?jk=e3a79073a46ee5b4")</f>
        <v/>
      </c>
      <c r="F95">
        <f>HYPERLINK("https://www.amazon.jobs/jobs/3141517/applied-scientist-aws-agentic-ai-?cmpid=DA_INAD200785B", "https://www.amazon.jobs/jobs/3141517/applied-scientist-aws-agentic-ai-?cmpid=DA_INAD200785B")</f>
        <v/>
      </c>
      <c r="G95" t="inlineStr">
        <is>
          <t>Seattle, WA, US</t>
        </is>
      </c>
      <c r="H95" s="2" t="n">
        <v>45962</v>
      </c>
      <c r="I9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in-db3ed9cebdc007cc</t>
        </is>
      </c>
      <c r="B96" t="inlineStr">
        <is>
          <t>Applied Scientist, AWS Agentic AI</t>
        </is>
      </c>
      <c r="C96" t="inlineStr">
        <is>
          <t>Amazon Web Services</t>
        </is>
      </c>
      <c r="D96" t="inlineStr">
        <is>
          <t>indeed</t>
        </is>
      </c>
      <c r="E96">
        <f>HYPERLINK("https://www.indeed.com/viewjob?jk=db3ed9cebdc007cc", "https://www.indeed.com/viewjob?jk=db3ed9cebdc007cc")</f>
        <v/>
      </c>
      <c r="F96">
        <f>HYPERLINK("https://www.amazon.jobs/jobs/3141517/applied-scientist-aws-agentic-ai-?cmpid=DA_INAD200785B", "https://www.amazon.jobs/jobs/3141517/applied-scientist-aws-agentic-ai-?cmpid=DA_INAD200785B")</f>
        <v/>
      </c>
      <c r="G96" t="inlineStr">
        <is>
          <t>Santa Clara, CA, US</t>
        </is>
      </c>
      <c r="H96" s="2" t="n">
        <v>45962</v>
      </c>
      <c r="I9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in-d40b91b495fcc1d1</t>
        </is>
      </c>
      <c r="B97" t="inlineStr">
        <is>
          <t>Applied Scientist, Prime Video - Content Understanding, Localization &amp; Enrichment Team</t>
        </is>
      </c>
      <c r="C97" t="inlineStr">
        <is>
          <t>Amazon.com</t>
        </is>
      </c>
      <c r="D97" t="inlineStr">
        <is>
          <t>indeed</t>
        </is>
      </c>
      <c r="E97">
        <f>HYPERLINK("https://www.indeed.com/viewjob?jk=d40b91b495fcc1d1", "https://www.indeed.com/viewjob?jk=d40b91b495fcc1d1")</f>
        <v/>
      </c>
      <c r="F97">
        <f>HYPERLINK("https://www.amazon.jobs/jobs/3111928/applied-scientist-prime-video--content-understanding-localization--enrichment-team?cmpid=DA_INAD200785B", "https://www.amazon.jobs/jobs/3111928/applied-scientist-prime-video--content-understanding-localization--enrichment-team?cmpid=DA_INAD200785B")</f>
        <v/>
      </c>
      <c r="G97" t="inlineStr">
        <is>
          <t>San Francisco, CA, US</t>
        </is>
      </c>
      <c r="H97" s="2" t="n">
        <v>45943</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8">
      <c r="A98" t="inlineStr">
        <is>
          <t>in-8495c1490892cc19</t>
        </is>
      </c>
      <c r="B98" t="inlineStr">
        <is>
          <t>Applied Scientist, Prime Video - Content Understanding, Localization &amp; Enrichment Team</t>
        </is>
      </c>
      <c r="C98" t="inlineStr">
        <is>
          <t>Amazon.com</t>
        </is>
      </c>
      <c r="D98" t="inlineStr">
        <is>
          <t>indeed</t>
        </is>
      </c>
      <c r="E98">
        <f>HYPERLINK("https://www.indeed.com/viewjob?jk=8495c1490892cc19", "https://www.indeed.com/viewjob?jk=8495c1490892cc19")</f>
        <v/>
      </c>
      <c r="F98">
        <f>HYPERLINK("https://www.amazon.jobs/jobs/3111928/applied-scientist-prime-video--content-understanding-localization--enrichment-team?cmpid=DA_INAD200785B", "https://www.amazon.jobs/jobs/3111928/applied-scientist-prime-video--content-understanding-localization--enrichment-team?cmpid=DA_INAD200785B")</f>
        <v/>
      </c>
      <c r="G98" t="inlineStr">
        <is>
          <t>Seattle, WA, US</t>
        </is>
      </c>
      <c r="H98" s="2" t="n">
        <v>45943</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9">
      <c r="A99" t="inlineStr">
        <is>
          <t>in-0c3ccfba3d92965d</t>
        </is>
      </c>
      <c r="B99" t="inlineStr">
        <is>
          <t>Principal Applied Scientist, Advertiser Growth, Amazon Sponsored Products &amp; Brands</t>
        </is>
      </c>
      <c r="C99" t="inlineStr">
        <is>
          <t>Amazon.com</t>
        </is>
      </c>
      <c r="D99" t="inlineStr">
        <is>
          <t>indeed</t>
        </is>
      </c>
      <c r="E99">
        <f>HYPERLINK("https://www.indeed.com/viewjob?jk=0c3ccfba3d92965d", "https://www.indeed.com/viewjob?jk=0c3ccfba3d92965d")</f>
        <v/>
      </c>
      <c r="F99">
        <f>HYPERLINK("https://www.amazon.jobs/jobs/3115279/principal-applied-scientist-advertiser-growth-amazon-sponsored-products--brands?cmpid=DA_INAD200785B", "https://www.amazon.jobs/jobs/3115279/principal-applied-scientist-advertiser-growth-amazon-sponsored-products--brands?cmpid=DA_INAD200785B")</f>
        <v/>
      </c>
      <c r="G99" t="inlineStr">
        <is>
          <t>Palo Alto, CA, US</t>
        </is>
      </c>
      <c r="H99" s="2" t="n">
        <v>45942</v>
      </c>
      <c r="I9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in-49321f5e1c9d7882</t>
        </is>
      </c>
      <c r="B100" t="inlineStr">
        <is>
          <t>Principal Applied Scientist, Advertiser Growth, Amazon Sponsored Products &amp; Brands</t>
        </is>
      </c>
      <c r="C100" t="inlineStr">
        <is>
          <t>Amazon.com</t>
        </is>
      </c>
      <c r="D100" t="inlineStr">
        <is>
          <t>indeed</t>
        </is>
      </c>
      <c r="E100">
        <f>HYPERLINK("https://www.indeed.com/viewjob?jk=49321f5e1c9d7882", "https://www.indeed.com/viewjob?jk=49321f5e1c9d7882")</f>
        <v/>
      </c>
      <c r="F100">
        <f>HYPERLINK("https://www.amazon.jobs/jobs/3115279/principal-applied-scientist-advertiser-growth-amazon-sponsored-products--brands?cmpid=DA_INAD200785B", "https://www.amazon.jobs/jobs/3115279/principal-applied-scientist-advertiser-growth-amazon-sponsored-products--brands?cmpid=DA_INAD200785B")</f>
        <v/>
      </c>
      <c r="G100" t="inlineStr">
        <is>
          <t>Seattle, WA, US</t>
        </is>
      </c>
      <c r="H100" s="2" t="n">
        <v>45942</v>
      </c>
      <c r="I10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in-ba3e5e79bb6fbfd4</t>
        </is>
      </c>
      <c r="B101" t="inlineStr">
        <is>
          <t>Principal Applied Scientist, Advertiser Growth, Amazon Sponsored Products &amp; Brands</t>
        </is>
      </c>
      <c r="C101" t="inlineStr">
        <is>
          <t>Amazon.com</t>
        </is>
      </c>
      <c r="D101" t="inlineStr">
        <is>
          <t>indeed</t>
        </is>
      </c>
      <c r="E101">
        <f>HYPERLINK("https://www.indeed.com/viewjob?jk=ba3e5e79bb6fbfd4", "https://www.indeed.com/viewjob?jk=ba3e5e79bb6fbfd4")</f>
        <v/>
      </c>
      <c r="F101">
        <f>HYPERLINK("https://www.amazon.jobs/jobs/3115279/principal-applied-scientist-advertiser-growth-amazon-sponsored-products--brands?cmpid=DA_INAD200785B", "https://www.amazon.jobs/jobs/3115279/principal-applied-scientist-advertiser-growth-amazon-sponsored-products--brands?cmpid=DA_INAD200785B")</f>
        <v/>
      </c>
      <c r="G101" t="inlineStr">
        <is>
          <t>New York, NY, US</t>
        </is>
      </c>
      <c r="H101" s="2" t="n">
        <v>45942</v>
      </c>
      <c r="I10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in-9ea9bce6da8567cb</t>
        </is>
      </c>
      <c r="B102" t="inlineStr">
        <is>
          <t>Sr. Applied Scientist, Amazon Advertising</t>
        </is>
      </c>
      <c r="C102" t="inlineStr">
        <is>
          <t>Amazon.com</t>
        </is>
      </c>
      <c r="D102" t="inlineStr">
        <is>
          <t>indeed</t>
        </is>
      </c>
      <c r="E102">
        <f>HYPERLINK("https://www.indeed.com/viewjob?jk=9ea9bce6da8567cb", "https://www.indeed.com/viewjob?jk=9ea9bce6da8567cb")</f>
        <v/>
      </c>
      <c r="F102">
        <f>HYPERLINK("https://www.amazon.jobs/jobs/3035686/sr-applied-scientist-amazon-advertising?cmpid=DA_INAD200785B", "https://www.amazon.jobs/jobs/3035686/sr-applied-scientist-amazon-advertising?cmpid=DA_INAD200785B")</f>
        <v/>
      </c>
      <c r="G102" t="inlineStr">
        <is>
          <t>West Hollywood, CA, US</t>
        </is>
      </c>
      <c r="H102" s="2"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in-6aafcc416536b264</t>
        </is>
      </c>
      <c r="B103" t="inlineStr">
        <is>
          <t>Sr. Applied Scientist, Amazon Advertising</t>
        </is>
      </c>
      <c r="C103" t="inlineStr">
        <is>
          <t>Amazon.com</t>
        </is>
      </c>
      <c r="D103" t="inlineStr">
        <is>
          <t>indeed</t>
        </is>
      </c>
      <c r="E103">
        <f>HYPERLINK("https://www.indeed.com/viewjob?jk=6aafcc416536b264", "https://www.indeed.com/viewjob?jk=6aafcc416536b264")</f>
        <v/>
      </c>
      <c r="F103">
        <f>HYPERLINK("https://www.amazon.jobs/jobs/3035686/sr-applied-scientist-amazon-advertising?cmpid=DA_INAD200785B", "https://www.amazon.jobs/jobs/3035686/sr-applied-scientist-amazon-advertising?cmpid=DA_INAD200785B")</f>
        <v/>
      </c>
      <c r="G103" t="inlineStr">
        <is>
          <t>Simi Valley, CA, US</t>
        </is>
      </c>
      <c r="H103" s="2"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in-367661947b494680</t>
        </is>
      </c>
      <c r="B104" t="inlineStr">
        <is>
          <t>Sr. Applied Scientist, Amazon Advertising</t>
        </is>
      </c>
      <c r="C104" t="inlineStr">
        <is>
          <t>Amazon.com</t>
        </is>
      </c>
      <c r="D104" t="inlineStr">
        <is>
          <t>indeed</t>
        </is>
      </c>
      <c r="E104">
        <f>HYPERLINK("https://www.indeed.com/viewjob?jk=367661947b494680", "https://www.indeed.com/viewjob?jk=367661947b494680")</f>
        <v/>
      </c>
      <c r="F104">
        <f>HYPERLINK("https://www.amazon.jobs/jobs/3035686/sr-applied-scientist-amazon-advertising?cmpid=DA_INAD200785B", "https://www.amazon.jobs/jobs/3035686/sr-applied-scientist-amazon-advertising?cmpid=DA_INAD200785B")</f>
        <v/>
      </c>
      <c r="G104" t="inlineStr">
        <is>
          <t>Arlington, VA, US</t>
        </is>
      </c>
      <c r="H104" s="2"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in-c8449e313a9c7bc2</t>
        </is>
      </c>
      <c r="B105" t="inlineStr">
        <is>
          <t>Sr. Applied Scientist, Amazon Advertising</t>
        </is>
      </c>
      <c r="C105" t="inlineStr">
        <is>
          <t>Amazon.com</t>
        </is>
      </c>
      <c r="D105" t="inlineStr">
        <is>
          <t>indeed</t>
        </is>
      </c>
      <c r="E105">
        <f>HYPERLINK("https://www.indeed.com/viewjob?jk=c8449e313a9c7bc2", "https://www.indeed.com/viewjob?jk=c8449e313a9c7bc2")</f>
        <v/>
      </c>
      <c r="F105">
        <f>HYPERLINK("https://www.amazon.jobs/jobs/3035686/sr-applied-scientist-amazon-advertising?cmpid=DA_INAD200785B", "https://www.amazon.jobs/jobs/3035686/sr-applied-scientist-amazon-advertising?cmpid=DA_INAD200785B")</f>
        <v/>
      </c>
      <c r="G105" t="inlineStr">
        <is>
          <t>Los Angeles, CA,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in-eaf0290bd3fb2cd8</t>
        </is>
      </c>
      <c r="B106" t="inlineStr">
        <is>
          <t>Sr. Applied Scientist, Amazon Advertising</t>
        </is>
      </c>
      <c r="C106" t="inlineStr">
        <is>
          <t>Amazon.com</t>
        </is>
      </c>
      <c r="D106" t="inlineStr">
        <is>
          <t>indeed</t>
        </is>
      </c>
      <c r="E106">
        <f>HYPERLINK("https://www.indeed.com/viewjob?jk=eaf0290bd3fb2cd8", "https://www.indeed.com/viewjob?jk=eaf0290bd3fb2cd8")</f>
        <v/>
      </c>
      <c r="F106">
        <f>HYPERLINK("https://www.amazon.jobs/jobs/3035686/sr-applied-scientist-amazon-advertising?cmpid=DA_INAD200785B", "https://www.amazon.jobs/jobs/3035686/sr-applied-scientist-amazon-advertising?cmpid=DA_INAD200785B")</f>
        <v/>
      </c>
      <c r="G106" t="inlineStr">
        <is>
          <t>New York, NY,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in-1920a8c8b5a9d298</t>
        </is>
      </c>
      <c r="B107" t="inlineStr">
        <is>
          <t>Sr. Applied Scientist, Amazon Advertising</t>
        </is>
      </c>
      <c r="C107" t="inlineStr">
        <is>
          <t>Amazon.com</t>
        </is>
      </c>
      <c r="D107" t="inlineStr">
        <is>
          <t>indeed</t>
        </is>
      </c>
      <c r="E107">
        <f>HYPERLINK("https://www.indeed.com/viewjob?jk=1920a8c8b5a9d298", "https://www.indeed.com/viewjob?jk=1920a8c8b5a9d298")</f>
        <v/>
      </c>
      <c r="F107">
        <f>HYPERLINK("https://www.amazon.jobs/jobs/3035686/sr-applied-scientist-amazon-advertising?cmpid=DA_INAD200785B", "https://www.amazon.jobs/jobs/3035686/sr-applied-scientist-amazon-advertising?cmpid=DA_INAD200785B")</f>
        <v/>
      </c>
      <c r="G107" t="inlineStr">
        <is>
          <t>Austin, TX,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in-c0b36f46ae7e112c</t>
        </is>
      </c>
      <c r="B108" t="inlineStr">
        <is>
          <t>Sr. Applied Scientist, Amazon Advertising</t>
        </is>
      </c>
      <c r="C108" t="inlineStr">
        <is>
          <t>Amazon.com</t>
        </is>
      </c>
      <c r="D108" t="inlineStr">
        <is>
          <t>indeed</t>
        </is>
      </c>
      <c r="E108">
        <f>HYPERLINK("https://www.indeed.com/viewjob?jk=c0b36f46ae7e112c", "https://www.indeed.com/viewjob?jk=c0b36f46ae7e112c")</f>
        <v/>
      </c>
      <c r="F108">
        <f>HYPERLINK("https://www.amazon.jobs/jobs/3035686/sr-applied-scientist-amazon-advertising?cmpid=DA_INAD200785B", "https://www.amazon.jobs/jobs/3035686/sr-applied-scientist-amazon-advertising?cmpid=DA_INAD200785B")</f>
        <v/>
      </c>
      <c r="G108" t="inlineStr">
        <is>
          <t>Seattle, WA,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in-20c44f442e863e1e</t>
        </is>
      </c>
      <c r="B109" t="inlineStr">
        <is>
          <t>Sr. Applied Scientist, Amazon Advertising</t>
        </is>
      </c>
      <c r="C109" t="inlineStr">
        <is>
          <t>Amazon.com</t>
        </is>
      </c>
      <c r="D109" t="inlineStr">
        <is>
          <t>indeed</t>
        </is>
      </c>
      <c r="E109">
        <f>HYPERLINK("https://www.indeed.com/viewjob?jk=20c44f442e863e1e", "https://www.indeed.com/viewjob?jk=20c44f442e863e1e")</f>
        <v/>
      </c>
      <c r="F109">
        <f>HYPERLINK("https://www.amazon.jobs/jobs/3035686/sr-applied-scientist-amazon-advertising?cmpid=DA_INAD200785B", "https://www.amazon.jobs/jobs/3035686/sr-applied-scientist-amazon-advertising?cmpid=DA_INAD200785B")</f>
        <v/>
      </c>
      <c r="G109" t="inlineStr">
        <is>
          <t>Palo Alto, CA,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in-b0ceeeb09f4b5951</t>
        </is>
      </c>
      <c r="B110" t="inlineStr">
        <is>
          <t>Applied Scientist, Prime Video - Personalization and Discovery Science</t>
        </is>
      </c>
      <c r="C110" t="inlineStr">
        <is>
          <t>Amazon.com</t>
        </is>
      </c>
      <c r="D110" t="inlineStr">
        <is>
          <t>indeed</t>
        </is>
      </c>
      <c r="E110">
        <f>HYPERLINK("https://www.indeed.com/viewjob?jk=b0ceeeb09f4b5951", "https://www.indeed.com/viewjob?jk=b0ceeeb09f4b5951")</f>
        <v/>
      </c>
      <c r="F110">
        <f>HYPERLINK("https://www.amazon.jobs/jobs/3033050/applied-scientist-prime-video--personalization-and-discovery-science?cmpid=DA_INAD200785B", "https://www.amazon.jobs/jobs/3033050/applied-scientist-prime-video--personalization-and-discovery-science?cmpid=DA_INAD200785B")</f>
        <v/>
      </c>
      <c r="G110" t="inlineStr">
        <is>
          <t>Sunnyvale, CA, US</t>
        </is>
      </c>
      <c r="H110" s="2" t="n">
        <v>45845</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1">
      <c r="A111" t="inlineStr">
        <is>
          <t>in-0e02e7e7662910cd</t>
        </is>
      </c>
      <c r="B111" t="inlineStr">
        <is>
          <t>Applied Scientist, Prime Video - Personalization and Discovery Science</t>
        </is>
      </c>
      <c r="C111" t="inlineStr">
        <is>
          <t>Amazon.com</t>
        </is>
      </c>
      <c r="D111" t="inlineStr">
        <is>
          <t>indeed</t>
        </is>
      </c>
      <c r="E111">
        <f>HYPERLINK("https://www.indeed.com/viewjob?jk=0e02e7e7662910cd", "https://www.indeed.com/viewjob?jk=0e02e7e7662910cd")</f>
        <v/>
      </c>
      <c r="F111">
        <f>HYPERLINK("https://www.amazon.jobs/jobs/3033050/applied-scientist-prime-video--personalization-and-discovery-science?cmpid=DA_INAD200785B", "https://www.amazon.jobs/jobs/3033050/applied-scientist-prime-video--personalization-and-discovery-science?cmpid=DA_INAD200785B")</f>
        <v/>
      </c>
      <c r="G111" t="inlineStr">
        <is>
          <t>New York, NY, US</t>
        </is>
      </c>
      <c r="H111" s="2" t="n">
        <v>45845</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2">
      <c r="A112" t="inlineStr">
        <is>
          <t>in-dcebfda210c4e49f</t>
        </is>
      </c>
      <c r="B112" t="inlineStr">
        <is>
          <t>Applied Scientist, Prime Video - Personalization and Discovery Science</t>
        </is>
      </c>
      <c r="C112" t="inlineStr">
        <is>
          <t>Amazon.com</t>
        </is>
      </c>
      <c r="D112" t="inlineStr">
        <is>
          <t>indeed</t>
        </is>
      </c>
      <c r="E112">
        <f>HYPERLINK("https://www.indeed.com/viewjob?jk=dcebfda210c4e49f", "https://www.indeed.com/viewjob?jk=dcebfda210c4e49f")</f>
        <v/>
      </c>
      <c r="F112">
        <f>HYPERLINK("https://www.amazon.jobs/jobs/3033050/applied-scientist-prime-video--personalization-and-discovery-science?cmpid=DA_INAD200785B", "https://www.amazon.jobs/jobs/3033050/applied-scientist-prime-video--personalization-and-discovery-science?cmpid=DA_INAD200785B")</f>
        <v/>
      </c>
      <c r="G112" t="inlineStr">
        <is>
          <t>Seattle, WA, US</t>
        </is>
      </c>
      <c r="H112" s="2" t="n">
        <v>45845</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3">
      <c r="A113" t="inlineStr">
        <is>
          <t>in-550d16c844237716</t>
        </is>
      </c>
      <c r="B113" t="inlineStr">
        <is>
          <t>Principal Applied Scientist, Delivery Foundation Model</t>
        </is>
      </c>
      <c r="C113" t="inlineStr">
        <is>
          <t>Amazon.com</t>
        </is>
      </c>
      <c r="D113" t="inlineStr">
        <is>
          <t>indeed</t>
        </is>
      </c>
      <c r="E113">
        <f>HYPERLINK("https://www.indeed.com/viewjob?jk=550d16c844237716", "https://www.indeed.com/viewjob?jk=550d16c844237716")</f>
        <v/>
      </c>
      <c r="F113">
        <f>HYPERLINK("https://www.amazon.jobs/jobs/3006938/principal-applied-scientist-delivery-foundation-model-?cmpid=DA_INAD200785B", "https://www.amazon.jobs/jobs/3006938/principal-applied-scientist-delivery-foundation-model-?cmpid=DA_INAD200785B")</f>
        <v/>
      </c>
      <c r="G113" t="inlineStr">
        <is>
          <t>Austin, TX, US</t>
        </is>
      </c>
      <c r="H113" s="2" t="n">
        <v>45810</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4">
      <c r="A114" t="inlineStr">
        <is>
          <t>in-3ac51e9a4f0f0931</t>
        </is>
      </c>
      <c r="B114" t="inlineStr">
        <is>
          <t>Principal Applied Scientist, Delivery Foundation Model</t>
        </is>
      </c>
      <c r="C114" t="inlineStr">
        <is>
          <t>Amazon.com</t>
        </is>
      </c>
      <c r="D114" t="inlineStr">
        <is>
          <t>indeed</t>
        </is>
      </c>
      <c r="E114">
        <f>HYPERLINK("https://www.indeed.com/viewjob?jk=3ac51e9a4f0f0931", "https://www.indeed.com/viewjob?jk=3ac51e9a4f0f0931")</f>
        <v/>
      </c>
      <c r="F114">
        <f>HYPERLINK("https://www.amazon.jobs/jobs/3006938/principal-applied-scientist-delivery-foundation-model-?cmpid=DA_INAD200785B", "https://www.amazon.jobs/jobs/3006938/principal-applied-scientist-delivery-foundation-model-?cmpid=DA_INAD200785B")</f>
        <v/>
      </c>
      <c r="G114" t="inlineStr">
        <is>
          <t>Santa Clara, CA, US</t>
        </is>
      </c>
      <c r="H114" s="2" t="n">
        <v>45810</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5">
      <c r="A115" t="inlineStr">
        <is>
          <t>in-f43f6bbdfa4992f0</t>
        </is>
      </c>
      <c r="B115" t="inlineStr">
        <is>
          <t>Principal Applied Scientist, Delivery Foundation Model</t>
        </is>
      </c>
      <c r="C115" t="inlineStr">
        <is>
          <t>Amazon.com</t>
        </is>
      </c>
      <c r="D115" t="inlineStr">
        <is>
          <t>indeed</t>
        </is>
      </c>
      <c r="E115">
        <f>HYPERLINK("https://www.indeed.com/viewjob?jk=f43f6bbdfa4992f0", "https://www.indeed.com/viewjob?jk=f43f6bbdfa4992f0")</f>
        <v/>
      </c>
      <c r="F115">
        <f>HYPERLINK("https://www.amazon.jobs/jobs/3006938/principal-applied-scientist-delivery-foundation-model-?cmpid=DA_INAD200785B", "https://www.amazon.jobs/jobs/3006938/principal-applied-scientist-delivery-foundation-model-?cmpid=DA_INAD200785B")</f>
        <v/>
      </c>
      <c r="G115" t="inlineStr">
        <is>
          <t>Bellevue, WA, US</t>
        </is>
      </c>
      <c r="H115" s="2" t="n">
        <v>45810</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6">
      <c r="A116" t="inlineStr">
        <is>
          <t>in-9d640949160fa2fa</t>
        </is>
      </c>
      <c r="B116" t="inlineStr">
        <is>
          <t>Principal Applied Scientist, Delivery Foundation Model</t>
        </is>
      </c>
      <c r="C116" t="inlineStr">
        <is>
          <t>Amazon.com</t>
        </is>
      </c>
      <c r="D116" t="inlineStr">
        <is>
          <t>indeed</t>
        </is>
      </c>
      <c r="E116">
        <f>HYPERLINK("https://www.indeed.com/viewjob?jk=9d640949160fa2fa", "https://www.indeed.com/viewjob?jk=9d640949160fa2fa")</f>
        <v/>
      </c>
      <c r="F116">
        <f>HYPERLINK("https://www.amazon.jobs/jobs/3006938/principal-applied-scientist-delivery-foundation-model-?cmpid=DA_INAD200785B", "https://www.amazon.jobs/jobs/3006938/principal-applied-scientist-delivery-foundation-model-?cmpid=DA_INAD200785B")</f>
        <v/>
      </c>
      <c r="G116" t="inlineStr">
        <is>
          <t>New York, NY, US</t>
        </is>
      </c>
      <c r="H116" s="2" t="n">
        <v>45810</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7">
      <c r="A117" t="inlineStr">
        <is>
          <t>in-89b970b64d71abea</t>
        </is>
      </c>
      <c r="B117" t="inlineStr">
        <is>
          <t>Senior Applied Scientist, Delivery Foundation Model</t>
        </is>
      </c>
      <c r="C117" t="inlineStr">
        <is>
          <t>Amazon.com</t>
        </is>
      </c>
      <c r="D117" t="inlineStr">
        <is>
          <t>indeed</t>
        </is>
      </c>
      <c r="E117">
        <f>HYPERLINK("https://www.indeed.com/viewjob?jk=89b970b64d71abea", "https://www.indeed.com/viewjob?jk=89b970b64d71abea")</f>
        <v/>
      </c>
      <c r="F117">
        <f>HYPERLINK("https://www.amazon.jobs/jobs/2998435/senior-applied-scientist-delivery-foundation-model-?cmpid=DA_INAD200785B", "https://www.amazon.jobs/jobs/2998435/senior-applied-scientist-delivery-foundation-model-?cmpid=DA_INAD200785B")</f>
        <v/>
      </c>
      <c r="G117" t="inlineStr">
        <is>
          <t>New York, NY, US</t>
        </is>
      </c>
      <c r="H117" s="2" t="n">
        <v>45806</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in-65f800075039e54e</t>
        </is>
      </c>
      <c r="B118" t="inlineStr">
        <is>
          <t>Senior Applied Scientist, Delivery Foundation Model</t>
        </is>
      </c>
      <c r="C118" t="inlineStr">
        <is>
          <t>Amazon.com</t>
        </is>
      </c>
      <c r="D118" t="inlineStr">
        <is>
          <t>indeed</t>
        </is>
      </c>
      <c r="E118">
        <f>HYPERLINK("https://www.indeed.com/viewjob?jk=65f800075039e54e", "https://www.indeed.com/viewjob?jk=65f800075039e54e")</f>
        <v/>
      </c>
      <c r="F118">
        <f>HYPERLINK("https://www.amazon.jobs/jobs/2998435/senior-applied-scientist-delivery-foundation-model-?cmpid=DA_INAD200785B", "https://www.amazon.jobs/jobs/2998435/senior-applied-scientist-delivery-foundation-model-?cmpid=DA_INAD200785B")</f>
        <v/>
      </c>
      <c r="G118" t="inlineStr">
        <is>
          <t>Bellevue, WA, US</t>
        </is>
      </c>
      <c r="H118" s="2" t="n">
        <v>45806</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in-25e443804abb8ddc</t>
        </is>
      </c>
      <c r="B119" t="inlineStr">
        <is>
          <t>Senior Applied Scientist, Delivery Foundation Model</t>
        </is>
      </c>
      <c r="C119" t="inlineStr">
        <is>
          <t>Amazon.com</t>
        </is>
      </c>
      <c r="D119" t="inlineStr">
        <is>
          <t>indeed</t>
        </is>
      </c>
      <c r="E119">
        <f>HYPERLINK("https://www.indeed.com/viewjob?jk=25e443804abb8ddc", "https://www.indeed.com/viewjob?jk=25e443804abb8ddc")</f>
        <v/>
      </c>
      <c r="F119">
        <f>HYPERLINK("https://www.amazon.jobs/jobs/2998435/senior-applied-scientist-delivery-foundation-model-?cmpid=DA_INAD200785B", "https://www.amazon.jobs/jobs/2998435/senior-applied-scientist-delivery-foundation-model-?cmpid=DA_INAD200785B")</f>
        <v/>
      </c>
      <c r="G119" t="inlineStr">
        <is>
          <t>Santa Clara, CA, US</t>
        </is>
      </c>
      <c r="H119" s="2" t="n">
        <v>45806</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in-c2427b1bed069ec2</t>
        </is>
      </c>
      <c r="B120" t="inlineStr">
        <is>
          <t>Sr. Applied Scientist - Privacy, Privacy Engineering</t>
        </is>
      </c>
      <c r="C120" t="inlineStr">
        <is>
          <t>Amazon.com</t>
        </is>
      </c>
      <c r="D120" t="inlineStr">
        <is>
          <t>indeed</t>
        </is>
      </c>
      <c r="E120">
        <f>HYPERLINK("https://www.indeed.com/viewjob?jk=c2427b1bed069ec2", "https://www.indeed.com/viewjob?jk=c2427b1bed069ec2")</f>
        <v/>
      </c>
      <c r="F120">
        <f>HYPERLINK("https://www.amazon.jobs/jobs/2997657/sr-applied-scientist--privacy-privacy-engineering?cmpid=DA_INAD200785B", "https://www.amazon.jobs/jobs/2997657/sr-applied-scientist--privacy-privacy-engineering?cmpid=DA_INAD200785B")</f>
        <v/>
      </c>
      <c r="G120" t="inlineStr">
        <is>
          <t>San Francisco, CA, US</t>
        </is>
      </c>
      <c r="H120" s="2" t="n">
        <v>45787</v>
      </c>
      <c r="I12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in-64df816ac418b670</t>
        </is>
      </c>
      <c r="B121" t="inlineStr">
        <is>
          <t>Sr. Applied Scientist - Privacy, Privacy Engineering</t>
        </is>
      </c>
      <c r="C121" t="inlineStr">
        <is>
          <t>Amazon.com</t>
        </is>
      </c>
      <c r="D121" t="inlineStr">
        <is>
          <t>indeed</t>
        </is>
      </c>
      <c r="E121">
        <f>HYPERLINK("https://www.indeed.com/viewjob?jk=64df816ac418b670", "https://www.indeed.com/viewjob?jk=64df816ac418b670")</f>
        <v/>
      </c>
      <c r="F121">
        <f>HYPERLINK("https://www.amazon.jobs/jobs/2997657/sr-applied-scientist--privacy-privacy-engineering?cmpid=DA_INAD200785B", "https://www.amazon.jobs/jobs/2997657/sr-applied-scientist--privacy-privacy-engineering?cmpid=DA_INAD200785B")</f>
        <v/>
      </c>
      <c r="G121" t="inlineStr">
        <is>
          <t>Santa Clara, CA, US</t>
        </is>
      </c>
      <c r="H121" s="2" t="n">
        <v>45787</v>
      </c>
      <c r="I12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in-aba5aae8272ba42f</t>
        </is>
      </c>
      <c r="B122" t="inlineStr">
        <is>
          <t>Sr. Applied Scientist - Privacy, Privacy Engineering</t>
        </is>
      </c>
      <c r="C122" t="inlineStr">
        <is>
          <t>Amazon.com</t>
        </is>
      </c>
      <c r="D122" t="inlineStr">
        <is>
          <t>indeed</t>
        </is>
      </c>
      <c r="E122">
        <f>HYPERLINK("https://www.indeed.com/viewjob?jk=aba5aae8272ba42f", "https://www.indeed.com/viewjob?jk=aba5aae8272ba42f")</f>
        <v/>
      </c>
      <c r="F122">
        <f>HYPERLINK("https://www.amazon.jobs/jobs/2997657/sr-applied-scientist--privacy-privacy-engineering?cmpid=DA_INAD200785B", "https://www.amazon.jobs/jobs/2997657/sr-applied-scientist--privacy-privacy-engineering?cmpid=DA_INAD200785B")</f>
        <v/>
      </c>
      <c r="G122" t="inlineStr">
        <is>
          <t>Seattle, WA, US</t>
        </is>
      </c>
      <c r="H122" s="2" t="n">
        <v>45787</v>
      </c>
      <c r="I12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in-a2497ca52b96a634</t>
        </is>
      </c>
      <c r="B123" t="inlineStr">
        <is>
          <t>Sr. Applied Scientist - Privacy, Privacy Engineering</t>
        </is>
      </c>
      <c r="C123" t="inlineStr">
        <is>
          <t>Amazon.com</t>
        </is>
      </c>
      <c r="D123" t="inlineStr">
        <is>
          <t>indeed</t>
        </is>
      </c>
      <c r="E123">
        <f>HYPERLINK("https://www.indeed.com/viewjob?jk=a2497ca52b96a634", "https://www.indeed.com/viewjob?jk=a2497ca52b96a634")</f>
        <v/>
      </c>
      <c r="F123">
        <f>HYPERLINK("https://www.amazon.jobs/jobs/2997657/sr-applied-scientist--privacy-privacy-engineering?cmpid=DA_INAD200785B", "https://www.amazon.jobs/jobs/2997657/sr-applied-scientist--privacy-privacy-engineering?cmpid=DA_INAD200785B")</f>
        <v/>
      </c>
      <c r="G123" t="inlineStr">
        <is>
          <t>Sunnyvale, CA, US</t>
        </is>
      </c>
      <c r="H123" s="2" t="n">
        <v>45787</v>
      </c>
      <c r="I12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in-9674f35e7edf6530</t>
        </is>
      </c>
      <c r="B124" t="inlineStr">
        <is>
          <t>Principal Applied Scientist, Delivery Foundation Model</t>
        </is>
      </c>
      <c r="C124" t="inlineStr">
        <is>
          <t>Amazon.com</t>
        </is>
      </c>
      <c r="D124" t="inlineStr">
        <is>
          <t>indeed</t>
        </is>
      </c>
      <c r="E124">
        <f>HYPERLINK("https://www.indeed.com/viewjob?jk=9674f35e7edf6530", "https://www.indeed.com/viewjob?jk=9674f35e7edf6530")</f>
        <v/>
      </c>
      <c r="F124">
        <f>HYPERLINK("https://www.amazon.jobs/jobs/2998635/principal-applied-scientist-delivery-foundation-model-?cmpid=DA_INAD200785B", "https://www.amazon.jobs/jobs/2998635/principal-applied-scientist-delivery-foundation-model-?cmpid=DA_INAD200785B")</f>
        <v/>
      </c>
      <c r="G124" t="inlineStr">
        <is>
          <t>Bellevue, WA, US</t>
        </is>
      </c>
      <c r="H124" s="2" t="n">
        <v>45757</v>
      </c>
      <c r="I1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5">
      <c r="A125" t="inlineStr">
        <is>
          <t>in-c47efc5c3a8182ee</t>
        </is>
      </c>
      <c r="B125" t="inlineStr">
        <is>
          <t>Principal Applied Scientist, Delivery Foundation Model</t>
        </is>
      </c>
      <c r="C125" t="inlineStr">
        <is>
          <t>Amazon.com</t>
        </is>
      </c>
      <c r="D125" t="inlineStr">
        <is>
          <t>indeed</t>
        </is>
      </c>
      <c r="E125">
        <f>HYPERLINK("https://www.indeed.com/viewjob?jk=c47efc5c3a8182ee", "https://www.indeed.com/viewjob?jk=c47efc5c3a8182ee")</f>
        <v/>
      </c>
      <c r="F125">
        <f>HYPERLINK("https://www.amazon.jobs/jobs/2998635/principal-applied-scientist-delivery-foundation-model-?cmpid=DA_INAD200785B", "https://www.amazon.jobs/jobs/2998635/principal-applied-scientist-delivery-foundation-model-?cmpid=DA_INAD200785B")</f>
        <v/>
      </c>
      <c r="G125" t="inlineStr">
        <is>
          <t>Santa Clara, CA, US</t>
        </is>
      </c>
      <c r="H125" s="2" t="n">
        <v>45757</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6">
      <c r="A126" t="inlineStr">
        <is>
          <t>in-cc62ed33dad0e98e</t>
        </is>
      </c>
      <c r="B126" t="inlineStr">
        <is>
          <t>Principal Applied Scientist, Delivery Foundation Model</t>
        </is>
      </c>
      <c r="C126" t="inlineStr">
        <is>
          <t>Amazon.com</t>
        </is>
      </c>
      <c r="D126" t="inlineStr">
        <is>
          <t>indeed</t>
        </is>
      </c>
      <c r="E126">
        <f>HYPERLINK("https://www.indeed.com/viewjob?jk=cc62ed33dad0e98e", "https://www.indeed.com/viewjob?jk=cc62ed33dad0e98e")</f>
        <v/>
      </c>
      <c r="F126">
        <f>HYPERLINK("https://www.amazon.jobs/jobs/2998635/principal-applied-scientist-delivery-foundation-model-?cmpid=DA_INAD200785B", "https://www.amazon.jobs/jobs/2998635/principal-applied-scientist-delivery-foundation-model-?cmpid=DA_INAD200785B")</f>
        <v/>
      </c>
      <c r="G126" t="inlineStr">
        <is>
          <t>New York, NY, US</t>
        </is>
      </c>
      <c r="H126" s="2" t="n">
        <v>45757</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7">
      <c r="A127" t="inlineStr">
        <is>
          <t>in-df7cb53ee47f04d8</t>
        </is>
      </c>
      <c r="B127" t="inlineStr">
        <is>
          <t>Principal Applied Scientist, FAR (Frontier AI &amp; Robotics)</t>
        </is>
      </c>
      <c r="C127" t="inlineStr">
        <is>
          <t>Amazon.com</t>
        </is>
      </c>
      <c r="D127" t="inlineStr">
        <is>
          <t>indeed</t>
        </is>
      </c>
      <c r="E127">
        <f>HYPERLINK("https://www.indeed.com/viewjob?jk=df7cb53ee47f04d8", "https://www.indeed.com/viewjob?jk=df7cb53ee47f04d8")</f>
        <v/>
      </c>
      <c r="F127">
        <f>HYPERLINK("https://www.amazon.jobs/jobs/2938625/principal-applied-scientist-far-frontier-ai--robotics?cmpid=DA_INAD200785B", "https://www.amazon.jobs/jobs/2938625/principal-applied-scientist-far-frontier-ai--robotics?cmpid=DA_INAD200785B")</f>
        <v/>
      </c>
      <c r="G127" t="inlineStr">
        <is>
          <t>Seattle, WA, US</t>
        </is>
      </c>
      <c r="H127" s="2" t="n">
        <v>45740</v>
      </c>
      <c r="I12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t>
        </is>
      </c>
    </row>
    <row r="128">
      <c r="A128" t="inlineStr">
        <is>
          <t>in-98b10ad897bcba4f</t>
        </is>
      </c>
      <c r="B128" t="inlineStr">
        <is>
          <t>ML Engineer, GO-AI Technology &amp; Development Team</t>
        </is>
      </c>
      <c r="C128" t="inlineStr">
        <is>
          <t>Amazon.com</t>
        </is>
      </c>
      <c r="D128" t="inlineStr">
        <is>
          <t>indeed</t>
        </is>
      </c>
      <c r="E128">
        <f>HYPERLINK("https://www.indeed.com/viewjob?jk=98b10ad897bcba4f", "https://www.indeed.com/viewjob?jk=98b10ad897bcba4f")</f>
        <v/>
      </c>
      <c r="F128">
        <f>HYPERLINK("https://www.amazon.jobs/jobs/3173298/ml-engineer-goai-technology--development-team?cmpid=DA_INAD200785B", "https://www.amazon.jobs/jobs/3173298/ml-engineer-goai-technology--development-team?cmpid=DA_INAD200785B")</f>
        <v/>
      </c>
      <c r="G128" t="inlineStr">
        <is>
          <t>Seattle, WA, US</t>
        </is>
      </c>
      <c r="H128" s="2" t="n">
        <v>45998</v>
      </c>
      <c r="I12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9">
      <c r="A129" t="inlineStr">
        <is>
          <t>in-d8e0ec92f1529397</t>
        </is>
      </c>
      <c r="B129" t="inlineStr">
        <is>
          <t>ML Engineer, GO-AI Technology &amp; Development Team</t>
        </is>
      </c>
      <c r="C129" t="inlineStr">
        <is>
          <t>Amazon.com</t>
        </is>
      </c>
      <c r="D129" t="inlineStr">
        <is>
          <t>indeed</t>
        </is>
      </c>
      <c r="E129">
        <f>HYPERLINK("https://www.indeed.com/viewjob?jk=d8e0ec92f1529397", "https://www.indeed.com/viewjob?jk=d8e0ec92f1529397")</f>
        <v/>
      </c>
      <c r="F129">
        <f>HYPERLINK("https://www.amazon.jobs/jobs/3173298/ml-engineer-goai-technology--development-team?cmpid=DA_INAD200785B", "https://www.amazon.jobs/jobs/3173298/ml-engineer-goai-technology--development-team?cmpid=DA_INAD200785B")</f>
        <v/>
      </c>
      <c r="G129" t="inlineStr">
        <is>
          <t>Westborough, MA, US</t>
        </is>
      </c>
      <c r="H129" s="2" t="n">
        <v>45998</v>
      </c>
      <c r="I12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0">
      <c r="A130" t="inlineStr">
        <is>
          <t>in-29dec37d2caadba9</t>
        </is>
      </c>
      <c r="B130" t="inlineStr">
        <is>
          <t>ML Engineer, GO-AI Technology &amp; Development Team</t>
        </is>
      </c>
      <c r="C130" t="inlineStr">
        <is>
          <t>Amazon.com</t>
        </is>
      </c>
      <c r="D130" t="inlineStr">
        <is>
          <t>indeed</t>
        </is>
      </c>
      <c r="E130">
        <f>HYPERLINK("https://www.indeed.com/viewjob?jk=29dec37d2caadba9", "https://www.indeed.com/viewjob?jk=29dec37d2caadba9")</f>
        <v/>
      </c>
      <c r="F130">
        <f>HYPERLINK("https://www.amazon.jobs/jobs/3173298/ml-engineer-goai-technology--development-team?cmpid=DA_INAD200785B", "https://www.amazon.jobs/jobs/3173298/ml-engineer-goai-technology--development-team?cmpid=DA_INAD200785B")</f>
        <v/>
      </c>
      <c r="G130" t="inlineStr">
        <is>
          <t>Reading, MA, US</t>
        </is>
      </c>
      <c r="H130" s="2" t="n">
        <v>45998</v>
      </c>
      <c r="I13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1">
      <c r="A131" t="inlineStr">
        <is>
          <t>in-0ced9a67ca88b7c3</t>
        </is>
      </c>
      <c r="B131" t="inlineStr">
        <is>
          <t>ML Engineer, GO-AI Technology &amp; Development Team</t>
        </is>
      </c>
      <c r="C131" t="inlineStr">
        <is>
          <t>Amazon.com</t>
        </is>
      </c>
      <c r="D131" t="inlineStr">
        <is>
          <t>indeed</t>
        </is>
      </c>
      <c r="E131">
        <f>HYPERLINK("https://www.indeed.com/viewjob?jk=0ced9a67ca88b7c3", "https://www.indeed.com/viewjob?jk=0ced9a67ca88b7c3")</f>
        <v/>
      </c>
      <c r="F131">
        <f>HYPERLINK("https://www.amazon.jobs/jobs/3173298/ml-engineer-goai-technology--development-team?cmpid=DA_INAD200785B", "https://www.amazon.jobs/jobs/3173298/ml-engineer-goai-technology--development-team?cmpid=DA_INAD200785B")</f>
        <v/>
      </c>
      <c r="G131" t="inlineStr">
        <is>
          <t>Boston, MA, US</t>
        </is>
      </c>
      <c r="H131" s="2" t="n">
        <v>45998</v>
      </c>
      <c r="I13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li-4365631235</t>
        </is>
      </c>
      <c r="B2" t="inlineStr">
        <is>
          <t>Applied Scientist (Contract), Artificial General Intelligence</t>
        </is>
      </c>
      <c r="C2" t="inlineStr">
        <is>
          <t>Amazon</t>
        </is>
      </c>
      <c r="D2" t="inlineStr">
        <is>
          <t>linkedin</t>
        </is>
      </c>
      <c r="E2" t="inlineStr"/>
      <c r="F2" t="inlineStr"/>
      <c r="G2" t="inlineStr">
        <is>
          <t>Boston, MA</t>
        </is>
      </c>
      <c r="H2" t="inlineStr"/>
      <c r="I2"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A3165531</t>
        </is>
      </c>
    </row>
    <row r="3">
      <c r="A3" t="inlineStr">
        <is>
          <t>li-4349280113</t>
        </is>
      </c>
      <c r="B3" t="inlineStr">
        <is>
          <t>Senior Applied Scientist – Research Products</t>
        </is>
      </c>
      <c r="C3" t="inlineStr">
        <is>
          <t>Thomson Reuters</t>
        </is>
      </c>
      <c r="D3" t="inlineStr">
        <is>
          <t>linkedin</t>
        </is>
      </c>
      <c r="E3" t="inlineStr"/>
      <c r="F3" t="inlineStr"/>
      <c r="G3" t="inlineStr">
        <is>
          <t>Eagan, MN</t>
        </is>
      </c>
      <c r="H3" t="inlineStr"/>
      <c r="I3" t="inlineStr">
        <is>
          <t>Are you excited about working at the forefront of applied research in an industry setting? Thomson Reuters Labs in the USA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in informational retrieval and natural language processing. We work closely with product and domain experts to identify compelling solutions at the intersection of user needs and technical feasibility. Our team is designing the next generation of research technology for Legal and Tax Professionals globally. We drive AI innovation for Thomson Reuters’ Core Research Products, including Westlaw, Practical Law, and Checkpoint.
**About The Role**
 Senior Applied Scientists are experts in Machine Learning / NLP, responsible for the design and delivery of AI solutions that enhance Thomson Reuters' products. They leverage information retrieval techniques, agentic workflows, and extensive evaluation design to build and optimize solutions. Their work ensures AI technologies are effectively aligned with business objectives, driving product innovation and value.
**As a Senior Applied Scientist, You Will**
* Own and manage end\-to\-end model development, guiding others in research, data engineering, and evaluation.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2\+ years experience building customer\-facing products with generative AI
* 1\+ years experience building agentic AI systems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$137,100 USD \- $254,700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03/31/2026\.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4">
      <c r="A4" t="inlineStr">
        <is>
          <t>li-4292579407</t>
        </is>
      </c>
      <c r="B4" t="inlineStr">
        <is>
          <t>Applied Scientist II, Prime Video Recommendation/Search Science</t>
        </is>
      </c>
      <c r="C4" t="inlineStr">
        <is>
          <t>Prime Video &amp; Amazon MGM Studios</t>
        </is>
      </c>
      <c r="D4" t="inlineStr">
        <is>
          <t>linkedin</t>
        </is>
      </c>
      <c r="E4" t="inlineStr"/>
      <c r="F4" t="inlineStr"/>
      <c r="G4" t="inlineStr">
        <is>
          <t>Seattle, WA</t>
        </is>
      </c>
      <c r="H4" t="inlineStr"/>
      <c r="I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A3068500</t>
        </is>
      </c>
    </row>
    <row r="5">
      <c r="A5" t="inlineStr">
        <is>
          <t>li-4355384375</t>
        </is>
      </c>
      <c r="B5" t="inlineStr">
        <is>
          <t>Applied AI Engineer</t>
        </is>
      </c>
      <c r="C5" t="inlineStr">
        <is>
          <t>Oscar Health</t>
        </is>
      </c>
      <c r="D5" t="inlineStr">
        <is>
          <t>linkedin</t>
        </is>
      </c>
      <c r="E5" t="inlineStr"/>
      <c r="F5" t="inlineStr"/>
      <c r="G5" t="inlineStr">
        <is>
          <t>New York, NY</t>
        </is>
      </c>
      <c r="H5" t="inlineStr"/>
      <c r="I5" t="inlineStr">
        <is>
          <t>Hi, we're Oscar. We're hiring an Applied AI Engineer to join our AI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Join Oscar’s AI team to build and launch transformative AI\-powered products that redefine the healthcare experience for millions. As an Applied AI Engineer, you’ll take end\-to\-end ownership of high\-impact projects—conceiving, prototyping, and deploying generative AI solutions that solve real\-world problems across the healthcare ecosystem.You’ll work alongside a world\-class team of engineers and data scientists, rapidly iterating on ideas and shipping production\-ready applications that drive measurable business and user outcomes. You’ll have the autonomy to identify opportunities, experiment with the latest AI models and techniques, and deliver solutions that streamline operations, improve patient experiences, and move the needle for Oscar and our members.
 You will report to the Sr. Director, AI.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$180,504 \- $236,911 per year. You are also eligible for employee benefits, participation in Oscar’s unlimited vacation program, company equity grants, and annual performance bonuses.
**Responsibilities**
* Lead the design, development, and deployment of AI\-driven products and features, from zero\-to\-one prototypes to robust production systems.
* Collaborate cross\-functionally with product, design, and business teams to deeply understand user needs and deliver solutions that move key metrics.
* Rapidly experiment with new models, techniques, and tools (including LLMs, RAG, and agentic workflows), iterating based on data and user feedback.
* Build and scale full\-stack applications and intelligent agents that automate complex healthcare workflows and deliver seamless user experiences.
* Stay on the cutting edge of the AI ecosystem, evaluating and integrating emerging technologies to keep Oscar at the forefront of healthcare innovation.
* Contribute to Oscar’s AI strategy and technical vision, helping shape the future of healthcare through technology.
* Other duties as assigned
**Qualifications**
* 7\+ years of professional experience in software engineering, data science, or a related field, with a track record of impactful accomplishments
* Strong Python programming skills
* Experience solving complex, ambiguous problems
* Experience designing and analyzing experiments or evaluations
* Experience or an interest in prototyping full\-stack applications
**Bonus Points**
* Experience with the healthcare industry. Familiarity with claims or clinical data.
* Degree in math, statistics, data science, or engineering.
* Our ideal candidate is a data scientist with an engineering background, an engineer with a data science background, or a founder\-type who combines product thinking, rapid prototyping, and hands\-on coding to deliver real\-world impact.
* Experience with NLP, neural networks, transformers, and modern AI frameworks.
* Knowledge of containerization and deployment tools (e.g., Docker, Kubernetes) or full\-stack development (e.g., React, Golang).
* Experimental mindset: comfort with testing hypotheses and iterating on failures.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6">
      <c r="A6" t="inlineStr">
        <is>
          <t>li-4365620967</t>
        </is>
      </c>
      <c r="B6" t="inlineStr">
        <is>
          <t>Applied Scientist, Sales AI</t>
        </is>
      </c>
      <c r="C6" t="inlineStr">
        <is>
          <t>Amazon</t>
        </is>
      </c>
      <c r="D6" t="inlineStr">
        <is>
          <t>linkedin</t>
        </is>
      </c>
      <c r="E6" t="inlineStr"/>
      <c r="F6" t="inlineStr"/>
      <c r="G6" t="inlineStr">
        <is>
          <t>Sunnyvale, CA</t>
        </is>
      </c>
      <c r="H6" t="inlineStr"/>
      <c r="I6" t="inlineStr">
        <is>
          <t>**Description**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Generative AI and quantitative modeling (forecasting, recommender systems, reinforcement learning, causal inferencing or generative artificial intelligence) to build and refine models that can be implemented in production. You will contribute to chart new courses with our ad sales support technologies, and you have the communication skills necessary to explain complex technical approaches to a variety of stakeholders and customers. You will be part of a team of fellow scientists and engineers taking on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**Company** 
 \- Amazon.com Services LLC
 Job ID: A3165830</t>
        </is>
      </c>
    </row>
    <row r="7">
      <c r="A7" t="inlineStr">
        <is>
          <t>li-4312551449</t>
        </is>
      </c>
      <c r="B7" t="inlineStr">
        <is>
          <t>Sr. Applied Scientist, Prime Video - Personalization and Discovery Science</t>
        </is>
      </c>
      <c r="C7" t="inlineStr">
        <is>
          <t>Prime Video &amp; Amazon MGM Studios</t>
        </is>
      </c>
      <c r="D7" t="inlineStr">
        <is>
          <t>linkedin</t>
        </is>
      </c>
      <c r="E7" t="inlineStr"/>
      <c r="F7" t="inlineStr"/>
      <c r="G7" t="inlineStr">
        <is>
          <t>Seattle, WA</t>
        </is>
      </c>
      <c r="H7" t="inlineStr"/>
      <c r="I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A3084479</t>
        </is>
      </c>
    </row>
    <row r="8">
      <c r="A8" t="inlineStr">
        <is>
          <t>li-4312073984</t>
        </is>
      </c>
      <c r="B8" t="inlineStr">
        <is>
          <t>Machine Learning Engineer, Distributed &amp; Scalable Training</t>
        </is>
      </c>
      <c r="C8" t="inlineStr">
        <is>
          <t>Lila Sciences</t>
        </is>
      </c>
      <c r="D8" t="inlineStr">
        <is>
          <t>linkedin</t>
        </is>
      </c>
      <c r="E8" t="inlineStr"/>
      <c r="F8" t="inlineStr"/>
      <c r="G8" t="inlineStr">
        <is>
          <t>Cambridge, MA</t>
        </is>
      </c>
      <c r="H8" t="inlineStr"/>
      <c r="I8" t="inlineStr">
        <is>
          <t>**Your Impact at Lila**
 We’re seeking a ML Engineer specializing in
 **distributed and scalable training** 
 . You’ll design and maintain large\-scale training systems, optimize performance for massive models, and integrate cutting\-edge techniques to improve efficiency and throughput.
**What You’ll Be Building**
* Ray\-based distributed training infrastructure for LLMs and multi\-modal models.
* Performance optimizations for large\-scale model training including training and optimization workflows (SFT, MoE, long\-context scaling).
* Orchestrate frontier and open source LLMs along with complex compute\-intensive tool use
* Scalable pipelines for data preprocessing and experiment orchestration, including tools for efficient data loading, pipeline parallelism, and optimizer tuning.
* System\-level performance benchmarks and debugging utilities.
**What You’ll Need To Succeed**
* Proven experience with distributed ML training frameworks (Megatron\-LM, TorchTitan, DeepSpeed, Ray).
* Strong software engineering skills (Python, C\+\+ kernel contributions are a plus).
* Understanding of large\-scale model training techniques.
* Experience with cloud or HPC environments.
**Bonus Points For**
* Prior work with scientific datasets or domain\-specific modeling.
* Contributions to open\-source ML frameworks.
**Location**
 San Francisco, CA or Cambridge, MA (Hybrid and On\-Site available depending on team needs).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
 CompensationWe offer competitive compensation including bonus potential and generous early equity. The final offer will reflect your unique background, expertise, and impact.
 Expected Base Salary Range: $116,000 USD \- $170,000 USD</t>
        </is>
      </c>
    </row>
    <row r="9">
      <c r="A9" t="inlineStr">
        <is>
          <t>li-4361329433</t>
        </is>
      </c>
      <c r="B9" t="inlineStr">
        <is>
          <t>Machine Learning Engineer - Ranking &amp; Recommendations</t>
        </is>
      </c>
      <c r="C9" t="inlineStr">
        <is>
          <t>Uber</t>
        </is>
      </c>
      <c r="D9" t="inlineStr">
        <is>
          <t>linkedin</t>
        </is>
      </c>
      <c r="E9" t="inlineStr"/>
      <c r="F9" t="inlineStr"/>
      <c r="G9" t="inlineStr">
        <is>
          <t>New York, NY</t>
        </is>
      </c>
      <c r="H9" t="inlineStr"/>
      <c r="I9"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**What The Candidate Will Do**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2\+ years of experience building and deploying machine learning models (or a PhD in a relevant field)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0">
      <c r="A10" t="inlineStr">
        <is>
          <t>li-4343514443</t>
        </is>
      </c>
      <c r="B10" t="inlineStr">
        <is>
          <t>Senior Machine Learning Engineer - Data Science &amp; Machine Learning</t>
        </is>
      </c>
      <c r="C10" t="inlineStr">
        <is>
          <t>Squarespace</t>
        </is>
      </c>
      <c r="D10" t="inlineStr">
        <is>
          <t>linkedin</t>
        </is>
      </c>
      <c r="E10" t="inlineStr"/>
      <c r="F10" t="inlineStr"/>
      <c r="G10" t="inlineStr">
        <is>
          <t>New York, NY</t>
        </is>
      </c>
      <c r="H10" t="inlineStr"/>
      <c r="I10" t="inlineStr">
        <is>
          <t>The Data Science \&amp; Machine Learning team is looking for a Machine Learning Systems Engineer to scale and support our team capabilities. We are modeling experts who solve business challenges with durable data science solutions. We work cross\-functionally to enable Squarespace to integrate data science models into the product and the company.
 You will work closely with other Machine Learning Engineers to develop and maintain the machine learning platform that underpins all production data science models to unlock value for Squarespace and its customers. You will also have the opportunity to design, train, and update models alongside Data Scientists. The Machine Learning Systems function is focused on Data Scientist success: our goal is to enable Data Scientists to move fast and succeed, whether via tooling, partnership, or hands\-on operational support.
 This is an opportunity for you to play a role in the deployment, scaling, and evolution of machine learning models using Google's Vertex AI platform. You will contribute to the strategy and implementation work to enable and unlock our growing machine learning capabilities.
 This is a hybrid role working from our NYC office 3 days per week. You will report to the Manager of Machine Learning Systems.
 You'll Get To…
* Collaborate with Data Scientists, ML Engineers, Site Reliability Engineers, and Product Engineers to identify opportunities and work around constraints to deliver ML systems
* Deploy, monitor, evaluate, and optimize production machine learning models in 24/7 customer\-facing applications.
* Pair with team members or independently execute model training and updates
* Implement scalable and reliable systems to handle model inference at scale
* Develop and maintain automated pipelines for model training, testing, and deployment
* Improve CI/CD practices to enable rapid and reliable model updates to speed up iterative learning
* Respond to alerts and troubleshoot issues related to model deployment and infrastructure
* Design and develop robust endpoint APIs to enable software engineers across the product to integrate ML APIs into applications
* Develop, deploy, maintain and extend new technologies to enable and enhance data scientists' capabilities for every step of the ML model life cycle
 Who We're Looking For
* Bachelor's Degree with 4\+ years of experience working in a Machine Learning or similar role
* Strong competency with Python, proficiency with SQL
* Experience with cloud platforms. Knowledge of Google Cloud Platform and Vertex AI is a plus
* Experience deploying and scaling ML models in production. Experience training models is a plus.
* Knowledge of emerging ML technologies, tools, and industry best practices (e.g. vector databases, embedding models, open\-source ecosystems)
 Benefits \&amp; Perks
* A choice between medical plans with an option for 100% covered premiums including medical, dental, and vision
* Supplemental Life and Disability Insurance plans
* Fertility and adoption benefits
* Headspace mindfulness app subscription
* Global Employee Assistance Program
* Retirement benefits with employer match
* Flexible paid time off
* 12 weeks paid parental leave and family care leave
* Pretax commuter benefit
* Education reimbursement
* Employee donation match to community organizations
* 7 Global Employee Resource Groups (ERGs)
* Dog\-friendly workplace
* Free lunch and snacks
* Private rooftop
* Hack week twice per year
 Cash Compensation Range: $128,000 \- $207,000 USD
 The base salary for this position will vary based on job\-related criteria including relevant skills, experience, and location, among other factors.
 In addition to the cash compensation above (which includes base salary and, where applicable for eligible roles, may include overtime pay), Squarespace employees are eligible to be granted an option to purchase our common stock. Sales positions generally offer a competitive On Target Earnings (OTE) incentive structure in addition to base salary.
**About Squarespace**
 Squarespace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and creating and managing social media presence with Bio Sites and Unfold. Our team of more than 1,700 is headquartered in New York City, with offices in Dublin, Ireland, and Aveiro, Portugal. For more information about our company, visit https://www.squarespace.com/about/careers.
 Our Commitment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**Thank you in advance for providing the following details about your work history from your resume! This helps us ensure that your candidate information is accurate and consistent during the hiring process.**
**Squarespace will never solicit your personal banking information or ask you to transfer money in connection with a job offer or interview. We also will not reach out to you via phone or SMS without your permission or knowledge.**</t>
        </is>
      </c>
    </row>
    <row r="11">
      <c r="A11" t="inlineStr">
        <is>
          <t>li-4310261742</t>
        </is>
      </c>
      <c r="B11" t="inlineStr">
        <is>
          <t>Machine Learning Engineer, End-to-end Autonomy</t>
        </is>
      </c>
      <c r="C11" t="inlineStr">
        <is>
          <t>Woven by Toyota</t>
        </is>
      </c>
      <c r="D11" t="inlineStr">
        <is>
          <t>linkedin</t>
        </is>
      </c>
      <c r="E11" t="inlineStr"/>
      <c r="F11" t="inlineStr"/>
      <c r="G11" t="inlineStr">
        <is>
          <t>Palo Alto, CA</t>
        </is>
      </c>
      <c r="H11" t="inlineStr"/>
      <c r="I11"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 Support the design and development of ML models or model components for end\-to\-end autonomous driving: ranging from initial data strategy, design, development, experimentation, evaluation and deployment;
* Able to navigate ambiguities and address uncertainties arising from complex projects involving multiple teams and legacy codebases;
* Writes high\-quality code while being rigorous with Machine Learning experimentation;
* Collaborate closely with stakeholders from multiple teams in different time\-zones to define interfaces and requirements for an end\-to\-end stack;
**Experience**
* MS, or higher degree, in related field, or equivalent industry experience
* Professional experience with ML frameworks such as PyTorch, Jax or Tensorflow (PyTorch preferred)
* Experience with data sampling and data curation pipelines for autonomous driving datasets
* Experience in state of the art architectures for end\-to\-end autonomous driving
* Experience in ML workflows: data sampling and curation, pre\-processing, model training, ablation studies, evaluation, deployment, inference optimization
* Python and C\+\+ experience
* Experience with infrastructure for large scale datasets and distributed model training
* Experience working with a modern cloud service (AWS, GCP, Azure etc.)
**Nice to Have**
* Hands\-on experience with autonomous driving systems
* Experience with model deployment with NVIDIA stack (e.g. ONNX graphs, TensorRT, profiling)
* Familiarity with recent breakthroughs in ML (e.g. foundation models, pre\-training and efficient fine\-tuning, multimodal Transformer architectures)
* Knowledge of autonomous driving large scale data curation pipelines
 For positions based in Palo Alto, CA, the base pay ranges from $112,000\- $184,000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12">
      <c r="A12" t="inlineStr">
        <is>
          <t>li-4332959084</t>
        </is>
      </c>
      <c r="B12" t="inlineStr">
        <is>
          <t>AI Engineer (Applied Scientist) III</t>
        </is>
      </c>
      <c r="C12" t="inlineStr">
        <is>
          <t>Cedar</t>
        </is>
      </c>
      <c r="D12" t="inlineStr">
        <is>
          <t>linkedin</t>
        </is>
      </c>
      <c r="E12" t="inlineStr"/>
      <c r="F12" t="inlineStr"/>
      <c r="G12" t="inlineStr"/>
      <c r="H12" t="inlineStr"/>
      <c r="I12"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Cedar is seeking an
 **AI Engineer** 
**/Applied Scientist III** 
 to join our team and help build and optimize product features powered by generative AI
 . Our goal is to use AI to drive bill clarity for patients and streamline workflows for our customers, which are large healthcare systems across the US. 
 This role is for the Support/Kora squad, where you will work on Kora, an AI Voice Agent purpose\-built for patient billing, which is the central product for our Cedar Support offering. In this role, you will develop a deep understanding of Cedar’s data and workflows and utilize your skillset in rigorous data analysis combined with production\-level coding and rapid execution to design, build, and improve the AI workflows that solve problems for patients via the voice medium.  
**Responsibilities:** 
* Dive into unstructured data with finesse and rigor, combining quantitative and qualitative approaches to solve complex problems. This data can include call transcripts, patient account details, and more
* Design robust experiment plans that allow you to rapidly test hypotheses and solve problems that will lead to an improved patient experience (and execute these plans!)
* Build and enhance features for our AI Voice Agent, Kora – utilizing your skillset in production\-level coding as well as prompt and context engineering
* Measure and track the impact of the new features and enhancements that you build, displaying a strong ownership mentality as you continue to iterate on Kora based on your results and findings
* Partner closely with other scientists, engineers, designers, and product counterparts to solve problems as a team
* Work in a fast\-paced environment where we cheer each other on as we find small ways to make the patient experience a little bit better every day, while we work towards our ultimate goal to transform the healthcare financial experience
**Skills and Experience:** 
* 3 or more years of full\-time experience working in a structured product development environment on a product that had frequent releases (i.e., regular updates with enhancements, bug fixes, and new features)
* Experience collaborating with partners from different job functions, and the ability to translate business requirements into technical builds
* A strong understanding of both the scientific method and software engineering principles, with a proven ability to balance experimental rigor and rapid production deployment
* Experience with modern programming languages (in this role, you’ll use both Python and Typescript)
* Ability to thrive in an entrepreneurial environment, showing a tendency toward speed and action while achieving clarity from ambiguity
* A passion not only for AI, but also in the application of AI to solve real problems for real users.
 If you are a match for this role, you’ll feel comfortable diving deep into the data to figure out the best way to solve a particular user problem, presenting your findings, incorporating updates based on feedback, and implementing your solution in code. Ultimately doing all of this to make a
 tangible difference for users
* You are excited by the opportunity to use your combined skillset in data science and AI engineering to make a true impact on patient lives
**Compensation Range and Benefits** 
* Salary/Hourly Rate Range\*: $170,000 \- $200,000
* This role is equity eligible
* This role offers a competitive benefits and wellness package
 \*Subject to location, experience, and education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3">
      <c r="A13" t="inlineStr">
        <is>
          <t>li-4310260811</t>
        </is>
      </c>
      <c r="B13" t="inlineStr">
        <is>
          <t>Machine Learning Engineer, End-to-end Autonomy</t>
        </is>
      </c>
      <c r="C13" t="inlineStr">
        <is>
          <t>Woven by Toyota</t>
        </is>
      </c>
      <c r="D13" t="inlineStr">
        <is>
          <t>linkedin</t>
        </is>
      </c>
      <c r="E13" t="inlineStr"/>
      <c r="F13" t="inlineStr"/>
      <c r="G13" t="inlineStr">
        <is>
          <t>Ann Arbor, MI</t>
        </is>
      </c>
      <c r="H13" t="inlineStr"/>
      <c r="I13"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 Support the design and development of ML models or model components for end\-to\-end autonomous driving: ranging from initial data strategy, design, development, experimentation, evaluation and deployment;
* Able to navigate ambiguities and address uncertainties arising from complex projects involving multiple teams and legacy codebases;
* Writes high\-quality code while being rigorous with Machine Learning experimentation;
* Collaborate closely with stakeholders from multiple teams in different time\-zones to define interfaces and requirements for an end\-to\-end stack;
**Experience**
* MS, or higher degree, in related field, or equivalent industry experience
* Professional experience with ML frameworks such as PyTorch, Jax or Tensorflow (PyTorch preferred)
* Experience with data sampling and data curation pipelines for autonomous driving datasets
* Experience in state of the art architectures for end\-to\-end autonomous driving
* Experience in ML workflows: data sampling and curation, pre\-processing, model training, ablation studies, evaluation, deployment, inference optimization
* Python and C\+\+ experience
* Experience with infrastructure for large scale datasets and distributed model training
* Experience working with a modern cloud service (AWS, GCP, Azure etc.)
**Nice to Have**
* Hands\-on experience with autonomous driving systems
* Experience with model deployment with NVIDIA stack (e.g. ONNX graphs, TensorRT, profiling)
* Familiarity with recent breakthroughs in ML (e.g. foundation models, pre\-training and efficient fine\-tuning, multimodal Transformer architectures)
* Knowledge of autonomous driving large scale data curation pipelines
 For positions based in Palo Alto, CA, the base pay ranges from $112,000\- $184,000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14">
      <c r="A14" t="inlineStr">
        <is>
          <t>li-4272434323</t>
        </is>
      </c>
      <c r="B14" t="inlineStr">
        <is>
          <t>Senior Machine Learning Engineer, Applied AI</t>
        </is>
      </c>
      <c r="C14" t="inlineStr">
        <is>
          <t>SimplePractice</t>
        </is>
      </c>
      <c r="D14" t="inlineStr">
        <is>
          <t>linkedin</t>
        </is>
      </c>
      <c r="E14" t="inlineStr"/>
      <c r="F14" t="inlineStr"/>
      <c r="G14" t="inlineStr"/>
      <c r="H14" t="inlineStr"/>
      <c r="I14" t="inlineStr">
        <is>
          <t>**About Us**
 At SimplePractice, we are improving access to quality care by equipping health and wellness clinicians with all the tools they need to thrive in private practice. 
 More than 250,000 providers trust SimplePractice to build their business through our industry\-leading software with powerful tools that simplify every part of practice management. From admin work to clinical care, our suite of innovative solutions work together to reduce administrative burden—empowering solo and small group practitioners to thrive alongside their clients. 
 Recognized by MedTech Breakthrough as the Best Practice Management Solution Provider in 2024 and the Digital Health Awards in 2023, SimplePractice is proud to pave the future of health tech.
**The Role**
 Our team is dedicated to empowering clinicians through data\-driven innovations. We combine rigorous data science with practical engineering to build systems that make daily workflows more efficient, insightful, and intuitive. If you love tackling challenging problems and turning data into meaningful outcomes, you’ll find a welcoming and dynamic environment here.
 As a
 **Senior Machine Learning Engineer, Applied AI** 
 , you’ll be at the forefront of building product features that help clinicians work effectively and efficiently, providing quality care to patients. You’ll be designing experiments, building robust models, tuning prompts, implementing LLM evals, and driving projects from idea to prototype to production with product, engineering and devOps teams. You’ll also play an important role in the roadmapping exercises of our ML platform. 
 We value mentorship, open communication, and pushing the boundaries of what AI can do in a real\-world healthcare context. Whether you’re fine\-tuning a model, presenting insights to stakeholders, or brainstorming new product features, your work will have a direct and meaningful impact.
**Key Responsibilities**
* AI Prototyping and Development
+ Develop AI workflows, customize data pipelines,  tune models, and engineer prompts to bring idea to prototype
+ Work with subject matter experts to set up evaluation for AI workflows, ensuring rigor, quality and safety of content output
+ Work with eng partners to integrate AI workflows into production
+ Build and configure AI performance monitoring with proper reporting and alerts
+ Optimize and maintain AI workflows for performance, reliability, and long\-term scalability
* Research
+ Start with the Job\-to\-be\-done, dive deep into the domain and understand the problem from user perspective
+ Decompose problems into conquerable pieces. Design solutions to address each with cross\-disciplinary thinking and big picture in mind.
+ Conduct exploratory data analysis to answer key questions and test assumptions. Design experiments and build prototypes for proof\-of\-concept.
+ Build artifacts to illustrate the findings with rigor and how they inform the roadmap and decisions
* Cross\-Functional Collaboration
+ Provide AI expert advice to product and eng partners in shaping product roadmap
+ Partner closely with software eng, product, data eng, ML platform teams to scope and plan in execution
+ Communicate timeline, milestones, findings w/ internal stakeholders
* Mentor \&amp; Advocate Best Practices
+ Guide less experienced team members, sharing knowledge on LLM workflows and AI/ML model lifecycle
+ Champion a culture of experimentation, continuous learning, and proactive problem\-solving
* Drive Innovation
+ Stay current with emerging ML tools and technologies, integrating new techniques that elevate our product capabilities
+ Look for creative ways to leverage data to make clinicians’ lives easier, more efficient, and more effective
**Desired Skills \&amp; Experience**
* BS or above in Computer Science, Statistics or a related technical field
* 5\+ years of experience in Machine Learning, with proven track record of bringing ideas to life, from prototype to productized features
* Strong proficiency in Python and hands\-on with advanced data analysis tools
* Strong skills in data engineering and self\-sufficient in data pipelines for the AI workflow
* Experience with AWS (or other cloud platforms) for model deployment
* Comfortable designing and evaluating LLM\-driven workflows
* Familiarity with retrieval pipelines and vector databases
* Problem\-oriented mindset with strong cross\-disciplinary thinking and a bias toward simplicity and clarity in solving problems
* Comfort working with remote teams, using GitHub, Slack, Notion, and Zoom
* Proficiency in English with strong communication and collaboration skill
**Bonus Points**
* Experience with RAG architecture and context/state management for LLMs
* Familiarity with LLM eval tools and human\-in\-the\-loop evaluation process
* Experience with Outerbounds or similar ML orchestration platforms
* Experience with Argo Flows for CI/CD
* Experience with prompt management tool like Langfuse
* Familiarity with Kubernetes for container orchestration
* Background in healthcare, clinical workflows, or regulated domains
**Base Compensation Range**
 $197,500 \- $241,000
 Base salary is one component of total compensation. Employees may also be eligible for an annual bonus or commission. Some roles may also be eligible for overtime pay.
 The above represents the expected base compensation range for this job requisition. Ultimately, in determining your pay, we’ll consider many factors including, but not limited to, skills, experience, qualifications, geographic location, and other job\-related factors.
**Benefits**
 We offer a competitive benefits program including:
* Medical, dental, vision, life \&amp; disability insurance
* 401(k) plan with company match
* Flexible Time Off (FTO), wellbeing days, paid holidays, and summer Fridays
* Mental health resources
* Paid parental leave \&amp; Backup Care
* Tuition reimbursement
* Employee Resource Groups (ERGs)
**California Job Applicant Privacy Notice**
 Thank you for your interest in opportunities at SimplePractice LLC (“SimplePractice” or “us” or “we” or “our”). Please note that when you submit your resume or application materials to us for employment purposes, you are subject to the SimplePractice California Job Applicant Privacy Notice. 
**For more information about our privacy practices, please contact us at privacy@simplepractice.com.**</t>
        </is>
      </c>
    </row>
    <row r="15">
      <c r="A15" t="inlineStr">
        <is>
          <t>li-4326834928</t>
        </is>
      </c>
      <c r="B15" t="inlineStr">
        <is>
          <t>Sr. Automotive Machine learning engineer</t>
        </is>
      </c>
      <c r="C15" t="inlineStr">
        <is>
          <t>Qualcomm</t>
        </is>
      </c>
      <c r="D15" t="inlineStr">
        <is>
          <t>linkedin</t>
        </is>
      </c>
      <c r="E15" t="inlineStr"/>
      <c r="F15" t="inlineStr"/>
      <c r="G15" t="inlineStr">
        <is>
          <t>San Diego, CA</t>
        </is>
      </c>
      <c r="H15" t="inlineStr"/>
      <c r="I15" t="inlineStr">
        <is>
          <t>**Company**
 Qualcomm Technologies, Inc.
**Job Area**
 Engineering Group, Engineering Group \&gt; Machine Learning Engineering
**General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 Master's degree in Computer Science, Engineering, Information Systems, or related field.
* 2\+ years of experience with Machine Learning frameworks (e.g., Tensor Flow, Caffe, Caffe 2, Pytorch, Keras).
* 2\+ years of experience in embedded system development and optimization with application to a specific problem domain in ML (e.g., NLP, multi\-media).
* 2\+ years of experience with one or more programming language suitable for machine learning (e.g., Python, R, C, C\+\+)
* 2\+ years of experience using statistics and probability (e.g., conditional probability, Bayes rule).
* 2\+ years experience working in a large matrixed organization.
* 1\+ year of experience with low level interactions between operating systems (e.g., Linux, Android, QNX) and Hardware.
* 1\+ year of work experience in a role requiring interaction with senior leadership (e.g., Director and above).
**Principal Duties And Responsibilities**
* Design, implement, and maintain software components running on DSP/NSP processors to meet product goals for latency, throughput, power, robustness, and stability on automotive platforms.
* Translate architecture guidance into clear module designs, APIs/IDLs, and tests; author concise design docs that enable review and execution.
* Profile end\-to\-end compute paths (CPU↔NSP/DSP), identify bottlenecks using SDK profilers/debuggers, and land measurable performance and power improvements.
* Optimize memory usage and scheduling (e.g., tightly\-coupled memory, caching strategies, thread priorities) to achieve target KPIs for real\-world workloads.
* Contribute to SDKs, developer tools, samples, and documentation that streamline application development and partner integrations on our AI software stack.
* Collaborate with Platform drivers, virtualization, power/performance, and system teams to align resource provisioning, scheduling, and reliability with feature needs.
* Write high\-quality, production\-ready code with defensive techniques, fault handling, diagnostics, and long\-haul stability tests suitable for automotive deployments.
* Engage with automotive OEMs, Tier‑1s, and ISVs to triage, reproduce, root‑cause, and resolve integration issues in owned modules; deliver patches and guidance.
* Participate in code/design reviews, uphold coding standards and safety/quality practices, and contribute to continuous improvement of team processes.
* Provide data\-driven inputs (requirements, prototypes, benchmarks) that inform next\-generation DSP/NSP software architecture and tooling.
* Maintain clear change logs and documentation; ensure backward compatibility, versioning discipline, and handoffs across internal/external stakeholders.
* Support release readiness with test coverage, automation, and performance/stability sign\-offs for the features you own.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$140,800\.00 \- $211,200\.00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6">
      <c r="A16" t="inlineStr">
        <is>
          <t>li-4333099773</t>
        </is>
      </c>
      <c r="B16" t="inlineStr">
        <is>
          <t>Senior AI/ML Engineer - AV Infra</t>
        </is>
      </c>
      <c r="C16" t="inlineStr">
        <is>
          <t>General Motors</t>
        </is>
      </c>
      <c r="D16" t="inlineStr">
        <is>
          <t>linkedin</t>
        </is>
      </c>
      <c r="E16" t="inlineStr"/>
      <c r="F16" t="inlineStr"/>
      <c r="G16" t="inlineStr">
        <is>
          <t>Sunnyvale, CA</t>
        </is>
      </c>
      <c r="H16" t="inlineStr"/>
      <c r="I16" t="inlineStr">
        <is>
          <t>**Job Description**
**Senior AI/ML Engineer, AV ML Infra**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As a
 **Senior AI/ML Engineer** 
 , you will focus on designing and implementing scalable ML infrastructure solutions. You will take ownership of key technical projects, provide mentorship to junior engineers, and collaborate across teams to solve complex problems. This is an individual contributor role emphasizing deep technical impact rather than leadership of large teams.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5\+ years of experience, with a strong background in large\-scale distributed systems preferred.
* 1\+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$170,600\- $261,300\.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7">
      <c r="A17" t="inlineStr">
        <is>
          <t>li-4382669658</t>
        </is>
      </c>
      <c r="B17" t="inlineStr">
        <is>
          <t>AI Engineer</t>
        </is>
      </c>
      <c r="C17" t="inlineStr">
        <is>
          <t>Best Job Tool</t>
        </is>
      </c>
      <c r="D17" t="inlineStr">
        <is>
          <t>linkedin</t>
        </is>
      </c>
      <c r="E17" t="inlineStr"/>
      <c r="F17" t="inlineStr"/>
      <c r="G17" t="inlineStr"/>
      <c r="H17" t="inlineStr"/>
      <c r="I17" t="inlineStr">
        <is>
          <t>**About The Company**
 Lumeris Inc. is a leading healthcare technology and services company dedicated to transforming the way healthcare is delivered. With a focus on value\-based care, Lumeris partners with health plans, providers, and healthcare organizations to optimize clinical outcomes, improve patient experiences, and reduce costs. The company combines innovative technology solutions with expert consulting services to enable healthcare organizations to succeed in a rapidly evolving industry. Committed to making healthcare more accessible, affordable, and effective, Lumeris prides itself on fostering a collaborative and forward\-thinking work environment where innovation and excellence are at the core of everything it does.
**About The Role**
 We are seeking a highly motivated and detail\-oriented Healthcare Data Analyst to join our dynamic team at Lumeris Inc. In this role, you will be responsible for analyzing complex healthcare data to generate actionable insights that support our clients' strategic initiatives. The ideal candidate will have a strong background in data analysis, healthcare informatics, and a passion for improving healthcare delivery. You will work closely with cross\-functional teams, including clinical, operational, and technical staff, to develop data\-driven solutions that enhance patient care and operational efficiency. This position offers an excellent opportunity to contribute to innovative healthcare projects and make a tangible impact on the industry.
**Qualifications**
* Bachelor’s degree in Health Informatics, Data Science, Statistics, or a related field; Master’s degree preferred.
* Minimum of 3 years of experience in healthcare data analysis or a similar role.
* Proficiency in SQL, R, Python, or other data analysis tools.
* Experience working with healthcare data systems such as EHR, claims data, and population health management platforms.
* Strong analytical skills with the ability to interpret complex data sets and translate findings into meaningful insights.
* Excellent communication skills, capable of presenting technical information to non\-technical stakeholders.
* Knowledge of healthcare regulations and compliance standards, including HIPAA.
* Ability to work independently and collaboratively in a fast\-paced environment.
**Responsibilities**
* Analyze large datasets to identify trends, patterns, and opportunities for process improvement.
* Develop and maintain dashboards, reports, and visualizations to communicate insights effectively.
* Collaborate with clinical and operational teams to understand data needs and deliver relevant solutions.
* Support the development of predictive models and algorithms to enhance patient outcomes and operational efficiency.
* Ensure data quality and integrity through validation and regular audits.
* Assist in the design and implementation of data collection and management processes.
* Stay updated with industry best practices and emerging trends in healthcare data analytics.
* Participate in cross\-functional projects to support strategic initiatives and drive innovation.
**Benefits**
 Lumeris Inc. offers a comprehensive benefits package designed to support our employees' health, well\-being, and professional growth. Employees enjoy competitive salary packages, health insurance plans including medical, dental, and vision coverage, and a 401(k) retirement plan with company matching. We also provide paid time off, flexible work arrangements, and opportunities for continuous learning and development. Our commitment to fostering a positive and inclusive workplace culture ensures that every team member feels valued and empowered to contribute to our mission of transforming healthcare delivery.
 Equal Opportunity
 Lumeris Inc.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perspectives and experiences strengthen our organization and drive innovation in healthcare.</t>
        </is>
      </c>
    </row>
    <row r="18">
      <c r="A18" t="inlineStr">
        <is>
          <t>li-4333322561</t>
        </is>
      </c>
      <c r="B18" t="inlineStr">
        <is>
          <t>Staff AI/ML Engineer - CI Platform</t>
        </is>
      </c>
      <c r="C18" t="inlineStr">
        <is>
          <t>General Motors</t>
        </is>
      </c>
      <c r="D18" t="inlineStr">
        <is>
          <t>linkedin</t>
        </is>
      </c>
      <c r="E18" t="inlineStr"/>
      <c r="F18" t="inlineStr"/>
      <c r="G18" t="inlineStr">
        <is>
          <t>Mountain View, CA</t>
        </is>
      </c>
      <c r="H18" t="inlineStr"/>
      <c r="I18"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Staff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7\+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\#GM\-AV\-1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9">
      <c r="A19" t="inlineStr">
        <is>
          <t>li-4319497455</t>
        </is>
      </c>
      <c r="B19" t="inlineStr">
        <is>
          <t>Principal AI/ML Engineer - AdTech</t>
        </is>
      </c>
      <c r="C19" t="inlineStr">
        <is>
          <t>Zeta Global</t>
        </is>
      </c>
      <c r="D19" t="inlineStr">
        <is>
          <t>linkedin</t>
        </is>
      </c>
      <c r="E19" t="inlineStr"/>
      <c r="F19" t="inlineStr"/>
      <c r="G19" t="inlineStr">
        <is>
          <t>New York, United States</t>
        </is>
      </c>
      <c r="H19" t="inlineStr"/>
      <c r="I19"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**Role Description**
 As a Principal AI/ML Engineer in our AdTech team, you will be a key individual contributor driving the development of advanced machine learning models and AI\-driven features for our advertising platform. You will design, build, and deploy ML solutions for campaign optimization, user personalization, and creative content generation, operating at large scale and low latency to handle billions of ad events per day. This role requires deep expertise in machine learning techniques
 *and* 
 the programmatic advertising ecosystem (e.g., real\-time bidding and digital marketing data). You will work closely with engineering, product, and data science teams to ensure our ML systems are highly performant, scalable, and reliable. You will also spearhead innovation by leveraging large language models (LLMs) and intelligent agent architectures to create new capabilities that automate and enhance advertising campaigns.
**Key Responsibilities**
* Machine Learning Leadership: Lead the design and implementation of scalable, high\-performance, and resilient ML solutions for AdTech use cases. You will set technical direction for integrating AI/ML into our Demand\-Side Platform and broader ad tech stack.
* ML System Design: Architect and evolve the end\-to\-end machine learning pipeline – from data ingestion and training to real\-time inference, for our real\-time bidding, targeting, and optimization algorithms. Ensure that models seamlessly integrate with our ad serving architecture and handle low\-latency, high\-throughput requirements.
* Technical Strategy: Define the technical roadmap and vision for AI/ML in our platform, evaluating new tools and techniques (including the latest in deep learning and LLMs) and making strategic build\-vs\-buy decisions. Continuously assess emerging technologies to keep our AdTech capabilities on the cutting edge.
* AI \&amp; Agentic Applications: Develop intelligent systems using AI agents and agentic workflows to automate and optimize end\-to\-end campaign processes. Leverage LLMs and generative AI to enable autonomous campaign management tasks such as audience segmentation, dynamic bid adjustments, and creative asset generation.
* Cross\-Functional Collaboration: Partner with engineering, product, and data science teams to translate marketing objectives into ML\-driven solutions. Work closely with stakeholders to deliver innovative features – including those powered by Large Language Models (LLMs), that enhance our advertising products.
* Performance \&amp; Reliability: Ensure system robustness and stability for ML services in a high\-concurrency, low\-latency environment. Optimize algorithms and infrastructure for speed and scalability, and implement monitoring to maintain model performance and uptime in production.
* Mentorship \&amp; Best Practices: Provide technical guidance and mentorship to other engineers and data scientists, fostering a culture of excellence in engineering and ML best practices. Review code and models, share knowledge, and champion continuous improvement across teams.
**Required Qualifications**
* 10\+ years of experience in software engineering or data science, with at least 3\-5 years in a principal engineer or lead ML role (preferably in the AdTech/MarTech industry).
* Proven experience designing and building high\-throughput, low\-latency distributed systems or data pipelines for large\-scale applications.
* Deep expertise in the programmatic advertising ecosystem, including Demand\-Side Platforms (DSPs), real\-time bidding (RTB), Supply\-Side Platforms (SSPs), and ad exchanges.
* Proficiency in programming languages such as Java, Go, and Python for building both data\-intensive backend services and ML tools.
* Hands\-on experience with machine learning frameworks and libraries, especially PyTorch or TensorFlow, for developing and training models.
* Strong experience with big data and streaming frameworks (e.g., Apache Spark, Kafka, Hadoop) for processing and analyzing large datasets.
* Expertise with cloud platforms (preferably AWS) and related services for scalable ML model deployment and data storage.
* Experience with various data stores, including both SQL and NoSQL databases (e.g., MySQL/PostgreSQL, Cassandra, DynamoDB, Redis).
* Familiarity with containerization and orchestration technologies (Docker, Kubernetes) for deploying and managing services at scale.
* Excellent communication, presentation, and interpersonal skills, with ability to convey complex ML concepts to technical and non\-technical stakeholders.
**Preferred Qualifications**
* Experience with Large Language Models (LLMs) and generative AI applied to advertising, for example, using AI to generate ad copy, optimize creative content, or personalize messaging.
* Experience designing and implementing agentic workflows that enable autonomous decision\-making and real\-time optimization in marketing campaigns.
* Experience with machine learning model serving and optimization for real\-time inference applications (latency\-critical environments).
* Familiarity with modern data lake and table formats (e.g., Apache Iceberg, Apache Hudi) for managing large\-scale analytical datasets.
* Knowledge of microservices architecture and event\-driven design patterns in distributed systems.
* A track record of contributions to open\-source projects or speaking at industry conferences, demonstrating thought leadership in AI/ML.
**Benefits \&amp; Perks**
* Unlimited PTO
* Excellent medical, dental, and vision coverage
* Employee Equity
* Employee Discounts, Virtual Wellness Classes, and Pet Insurance And more!!
**SALARY RANGE**
 The salary range for this role is $300,000 \- $400,000,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20">
      <c r="A20" t="inlineStr">
        <is>
          <t>li-4292011886</t>
        </is>
      </c>
      <c r="B20" t="inlineStr">
        <is>
          <t>AI Staff Machine Learning Engineer -Gen AI,Machine Learning,Graph ML,Big Data(10030)</t>
        </is>
      </c>
      <c r="C20" t="inlineStr">
        <is>
          <t>Extreme Networks</t>
        </is>
      </c>
      <c r="D20" t="inlineStr">
        <is>
          <t>linkedin</t>
        </is>
      </c>
      <c r="E20" t="inlineStr"/>
      <c r="F20" t="inlineStr"/>
      <c r="G20" t="inlineStr">
        <is>
          <t>San Jose, CA</t>
        </is>
      </c>
      <c r="H20" t="inlineStr"/>
      <c r="I20"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Position : AI Staff Machine Learning Engineer \-Gen AI,Machine Learning,Graph ML,Big Data
 Experience : 5 to 14 Years
 Hybrid/Remote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**About The Position**
* Be a thought leader and forward thinker, help drive an innovative vision for our various products and platforms, design and launch strategic machine learning (ML) solutions and drive business\-wide innovation.
* Take the lead in the end\-to\-end software development lifecycle, encompassing design, testing, deployment, and operations, lead technical discussions and strategy, and participate hands\-on in design reviews, code reviews, and implementation.
* Craft high\-performance, high\-scale microservices architectures, including synchronous and asynchronous web services.
* Develop real\-time online inferencing for highly complex models using Triton, TensorRT and mixed precision computing.
* Mentor and develop other engineers on the team, establish technical direction and foster team culture.
* Uphold the highest standards of technical rigor in engineering and operational excellence, build highly resilient and scalable systems, and champion operational and process improvements.
**Basic Qualifications**
* Degree in mathematics/computer science or related discipline.
* 5 to 10 years of experience in the complete software development lifecycle including design, coding, code reviews, testing, build processes, deployments and operations.
* 5 to 10 years of experience in Python with an in\-depth knowledge of its advanced features and libraries.
* Expertise in designing RESTful APIs with hands\-on experience with technologies such as FastAPI.
* Proficient in Docker, Kubernetes, and modern CI/CD practices.
* 3\+ years of experience in leading the design and architecture of large distributed systems preferably on cloud platforms (e.g., AWS, Azure, Google Cloud).
* Experience as a mentor, tech lead or leading an engineering team.
**Preferred Qualifications**
* MS or PhD in Computer Science or equivalent experience in ML.
* Experience working with ML technologies (PyTorch, Sagemaker, Triton, TensorRT, etc.).
* Experience with NoSQL and document databases.
* Proven ability to handle big data, optimize workflows, and improve system performance.
* Come work with a team of highly talented engineers, and advance with us to achieve new heights every day!
* Salary based on qualifications, experience and region up to USD 170 k to 240 K plus benefits.
 $170,000 \- $240,000 a year
 Extreme Networks, Inc. ( EXTR )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
      <c r="A21" t="inlineStr">
        <is>
          <t>li-4196118958</t>
        </is>
      </c>
      <c r="B21" t="inlineStr">
        <is>
          <t>Applied AI Engineer, Enterprise GenAI</t>
        </is>
      </c>
      <c r="C21" t="inlineStr">
        <is>
          <t>Scale AI</t>
        </is>
      </c>
      <c r="D21" t="inlineStr">
        <is>
          <t>linkedin</t>
        </is>
      </c>
      <c r="E21" t="inlineStr"/>
      <c r="F21" t="inlineStr"/>
      <c r="G21" t="inlineStr"/>
      <c r="H21" t="inlineStr"/>
      <c r="I21" t="inlineStr">
        <is>
          <t>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Platform (SGP).
 The SGP ML team works on the front lines of this AI revolution. We interface directly with clients to build cutting edge products using the arsenal of proprietary research and resources developed at Scale. As an Applied AI Engineer, you’ll work with clients to create ML solutions to satisfy their business needs. Your work will range from building next\-generation AI cybersecurity firewalls to creating transformative AI experiences in journalism to applying foundation genomic models making predictions about life\-saving drug proteins. Daily data\-driven experiments will provide key insights around model strengths and inefficiencies which you’ll use to improve your product’s performance. If you are excited about shaping the future of the modern AI movement, we would love to hear from you!
**You will:**
* Own, plan, and optimize the AI behind our Enterprise customer’s deepest technical problems
* Leverage SGP to build the most advanced AI agents across the industry including multimodal functionality, tool\-calling, and more
* Have experience gathering business requirements and translating them into technical solutions
* Meet regularly with customer teams onsite and virtually, collaborating cross\-functionally with all teams responsible for their data and ML needs
* Push production code in multiple development environments, writing and debugging code directly in both our customer’s and Scale’s codebases.
* Be able and willing to multi\-task and learn new technologies quickly
**Ideally you'd have:**
* A love for solving deeply complex technical problems with ambiguity using state of the art research and AI to accomplish your client’s business goals
* Strong engineering background: a Bachelor’s degree in Computer Science, Mathematics, or another quantitative field or equivalent strong engineering background.
* Deep familiarity with a data\-driven approach when iterating on machine learning models and how changes in datasets can influence model results
* Experience working with cloud technology stack (eg. AWS or GCP) and developing machine learning models in a cloud environment
* Proficiency in Python to write, test and debug code using common libraries (ie numpy, pandas)
**Nice to haves:**
* Strong knowledge of software engineering best practices
* Have built applications taking advantage of Generative AI in real, production use cases
* Familiarity with state of the art LLMs and their strengths/weaknesses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$180,600—$225,750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2">
      <c r="A22" t="inlineStr">
        <is>
          <t>li-4299925152</t>
        </is>
      </c>
      <c r="B22" t="inlineStr">
        <is>
          <t>Machine Learning Engineer Graduate - Global E-commerce Recommendation/Search - 2026 Start (BS/MS)</t>
        </is>
      </c>
      <c r="C22" t="inlineStr">
        <is>
          <t>TikTok</t>
        </is>
      </c>
      <c r="D22" t="inlineStr">
        <is>
          <t>linkedin</t>
        </is>
      </c>
      <c r="E22" t="inlineStr"/>
      <c r="F22" t="inlineStr"/>
      <c r="G22" t="inlineStr">
        <is>
          <t>Seattle, WA</t>
        </is>
      </c>
      <c r="H22" t="inlineStr"/>
      <c r="I22"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The Data\-E\-commerce team oversees algorithmic and corresponding engineering work in the e\-commerce business. Our responsibilities encompass not only utilizing recommendation and search algorithms to help users discover appealing products but also implementing risk control and content safety algorithms to identify malicious sellers/influencers and violations in products/videos/live streams, ensuring a secure shopping experience. Furthermore, we are involved in constructing intelligent customer service technology and large\-scale product knowledge graphs, aiming to enhance efficiency across various transaction processes. Through operations optimization and intelligent supply chain algorithms, we work to improve logistics efficiency.
**Responsibilities:**
* Work in a team to conduct cutting\-edge research in machine learning algorithms, such as retrieval and recommendation algorithms.
* Participate in building large\-scale (10 million to 100 million) e\-commerce recommendation algorithms and systems, including commodity recommendations, live stream recommendations, short video recommendations etc in TikTok.
* Build long and short term user interest models, analyze and extract relevant information from large amounts of various data and design algorithms to explore users' latent interests efficiently.
* Apply machine learning algorithms to improve the different business scenarios, such as search ranking, natural language and video understanding, and trust and safety.
**Qualifications**
 Minimum Qualifications
* Individuals who are completing or have recently completed a Bachelor’s degree or higher in Software Development, Computer Science, Computer Engineering, or a related technical discipline.
* Excellent analytical and problem\-solving skills.
* Strong foundation in machine learning and deep learning, with experience in: NLP (Natural Language Processing).
 Personalization.
* Exceptional coding skills with solid knowledge of data structures and algorithms.
* Proficiency in Linux development environments.
 Preferred Qualifications
* Prior experience in search, recommendation, or advertisement algorithms.
* Familiarity e\-commerce businesses.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$100320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3">
      <c r="A23" t="inlineStr">
        <is>
          <t>li-4365650173</t>
        </is>
      </c>
      <c r="B23" t="inlineStr">
        <is>
          <t>Senior Machine Learning Engineer</t>
        </is>
      </c>
      <c r="C23" t="inlineStr">
        <is>
          <t>Paylocity</t>
        </is>
      </c>
      <c r="D23" t="inlineStr">
        <is>
          <t>linkedin</t>
        </is>
      </c>
      <c r="E23" t="inlineStr"/>
      <c r="F23" t="inlineStr"/>
      <c r="G23" t="inlineStr"/>
      <c r="H23" t="inlineStr"/>
      <c r="I23"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Want to develop the strategies and principles needed to deliver compelling software? Join our team and help us enhance our all\-in\-one software platform, elevate our one\-of\-a\-kind technology, and improve the employee experience.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Title: Senior Engineer Machine Learning**
**Position Overview**
 Paylocity is growing its Machine Learning Engineering organization! Our machine learning engineering team is responsible for developing infrastructure and tooling to help enable data driven decisions and insights at scale for millions of Paylocity users.
 As a Senior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of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5 years of machine learning engineering at software companies; or, advanced degree (master’s or PhD) in machine learning engineering, data engineering, computer science, engineering, statistics, mathematics, data science, or other quantitative field, with no additional experience required.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 opportunity employer.**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pay range for this position is $125,900 \- $233,900/yr; however, base pay offered may vary depending on job\-related knowledge, skills, and experience. This position is eligible for an annual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24">
      <c r="A24" t="inlineStr">
        <is>
          <t>li-4372966699</t>
        </is>
      </c>
      <c r="B24" t="inlineStr">
        <is>
          <t>Staff Machine Learning/AI Engineer</t>
        </is>
      </c>
      <c r="C24" t="inlineStr">
        <is>
          <t>Rivian</t>
        </is>
      </c>
      <c r="D24" t="inlineStr">
        <is>
          <t>linkedin</t>
        </is>
      </c>
      <c r="E24" t="inlineStr"/>
      <c r="F24" t="inlineStr"/>
      <c r="G24" t="inlineStr">
        <is>
          <t>Palo Alto, CA</t>
        </is>
      </c>
      <c r="H24" t="inlineStr"/>
      <c r="I24"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looking for an Engineer / Research Scientist with deep expertise in quantized deep learning models for hardware acceleration in autonomous systems. In this cross\-disciplinary role, you will bridge perception model design and hardware\-aware deployment, enabling efficient execution of high\-performance perception algorithms across embedded compute platforms. You will focus on researching state of the art perception models and develop optimization pipelines for the quantized versions of these models customized to provide real\-time performance and energy efficiency on next\-generation autonomy hardware.
**Responsibilities**
* Research state of the art perception models in collaboration with the ADAS SW teams
* Lead the development of optimizations for mapping quantized perception models (e.g., CNNs, Transformers, LLMs) to embedded and heterogeneous hardware platforms.
* Design and implement hardware\-aware optimizations, including quantization strategies, model compression, memory\-efficient representations, and operator fusion, targeted to custom accelerators.
* Collaborate with hardware teams to co\-optimize model architecture and compute pipeline under real\-time constraints (latency, throughput, power).
* Benchmark and analyze system performance across platforms and iterate to achieve optimal deployment efficiency.
* Partner with perception, systems, and autonomy teams to align model optimization efforts with hardware roadmap and real\-world autonomy requirements.
**Qualifications**
* Ph.D. or M.S. in Computer Engineering, Electrical Engineering, Computer Science, or related field with a focus on ML compilers, embedded systems, or hardware\-aware AI.
* Hands\-on experience with quantized model deployment, ML design stacks, and code generation for embedded or heterogeneous compute systems.
* Strong understanding of computer vision models (e.g., object detection, segmentation) and their optimization for edge inference.
* Proficiency in deep learning frameworks (e.g., PyTorch, TensorFlow) and their low\-level IRs or export formats (e.g., ONNX).
* Solid programming skills in C\+\+, Python
* Familiarity with CUDA/OpenCL (or other accelerator programming models).
**Preferred Qualifications**
* Prior experience working with hardware\-software co\-design, especially for autonomous or robotics platforms.
* Deep knowledge of numerical precision trade\-offs, quantization\-aware training (QAT), and dynamic/static quantization flows.
* Familiarity with embedded real\-time constraints and hardware profiling/debugging tools.
* Familiarity with rearchitecting models to best suit hardware capabilities.
* Publication record in top\-tier ML/Systems conferences (e.g., MLSys, NeurIPS, DAC, ICCAD).
**Pay Disclosure**
**Salary Range: The salary range for this role is $206,500 \- $258,000\. for San Francisco Bay Area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**Benefits Summary:** 
 Rivian offers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25">
      <c r="A25" t="inlineStr">
        <is>
          <t>li-4333232748</t>
        </is>
      </c>
      <c r="B25" t="inlineStr">
        <is>
          <t>Staff AI/ML Engineer - AV ML Infra</t>
        </is>
      </c>
      <c r="C25" t="inlineStr">
        <is>
          <t>General Motors</t>
        </is>
      </c>
      <c r="D25" t="inlineStr">
        <is>
          <t>linkedin</t>
        </is>
      </c>
      <c r="E25" t="inlineStr"/>
      <c r="F25" t="inlineStr"/>
      <c r="G25" t="inlineStr">
        <is>
          <t>Sunnyvale, CA</t>
        </is>
      </c>
      <c r="H25" t="inlineStr"/>
      <c r="I25" t="inlineStr">
        <is>
          <t>**Job Description**
**Staff AI/ML Engineer, AV ML Infra**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 As a Staff AI/ML Engineer, you will be a technical expert within the AV ML Infra team, driving the design and implementation of scalable ML infrastructure solutions. You will influence the direction of our technical projects, provide mentorship to peers, and help shape the adoption of best practices across GM’s ML infrastructure. This is an individual contributor/Tech Lead role focused on deep technical impact rather than team management.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8\+ years of experience, with a strong background in large\-scale distributed systems preferred.
* 3\+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$218,800 \- $335,300\.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6">
      <c r="A26" t="inlineStr">
        <is>
          <t>li-4302011362</t>
        </is>
      </c>
      <c r="B26" t="inlineStr">
        <is>
          <t>Machine Learning Engineer Graduate (E-Commerce Supply Chain &amp; Logistics)- 2026 Start (BS/MS)</t>
        </is>
      </c>
      <c r="C26" t="inlineStr">
        <is>
          <t>ByteDance</t>
        </is>
      </c>
      <c r="D26" t="inlineStr">
        <is>
          <t>linkedin</t>
        </is>
      </c>
      <c r="E26" t="inlineStr"/>
      <c r="F26" t="inlineStr"/>
      <c r="G26" t="inlineStr">
        <is>
          <t>San Jose, CA</t>
        </is>
      </c>
      <c r="H26" t="inlineStr"/>
      <c r="I26" t="inlineStr">
        <is>
          <t>**Responsibilities**
 Team Introduction:
 Join the E\-commerce Global Supply Chain and Logistics team at TikTok! We're enhancing the shopping experience and reducing logistics operational costs. We are seeking brilliant and motivated graduate software engineers, who are eager to apply their knowledge in machine learning (ML), operations research (OR), data mining, and statistical inference to real\-world challenges.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Responsible for the development of deep learning and operations research models and related intelligent systems for the supply chain and logistics of the global E\-Commerce business.
*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
* Utilize time series forecasting techniques to predict sales at different granularities and horizons, such as warehouse\-level manpower forecasting, inventory\-level demand forecasting etc. We need strong machine learning and deep learning skills to detect important factors and model the relationship between the future and history.
* Participate in the growth of e\-commerce merchants/creators, responsible for the growth algorithm of e\-commerce merchants/creators, including potential merchants/creators mining algorithm, tiering algorithm, out\-reach algorithm, growth algorithm, etc. Work closely with e\-commerce merchants/creators related operations and product teams to achieve the high\-quality growth goal of e\-commerce merchants/creators.
* Combined with massive e\-commerce information, through data mining and machine learning, predict the performance of products in traffic/conversion, improve the efficiency of product operation strategy and pricing/subsidy strategy, and assist in optimizing traffic distribution, to satisfy the requirements of product growth, cost optimization and some other scenarios.
**Qualifications**
 Minimum Qualifications:
* Bachelor's degree or above in fields such as artificial intelligence, computer science, operations research, automation, statistics, mathematics, or related disciplines, with experience in data mining and deep learning.
* Proficient in machine learning and statistics, familiar with the principles and model structures of common machine learning and deep learning algorithms for classification, regression, and clustering, with practical application experience.
* Proficient in programming languages such as Python/Java, possessing excellent coding abilities, and familiar with at least one common machine learning/deep learning framework (TensorFlow/PyTorch etc.).
 Demonstrates a spirit of exploration, outstanding data analysis capabilities, strong initiative, and excellent teamwork and communication skills.
**Preferred Qualifications:**
* Demonstrated software engineering experience from previous internship, work experience, coding competitions, or publications
* Internship experience or research experience, especially in e\-commerce, supply chain, logistics, and transportation.
* Published papers at conferences such as KDD, NeurIPS, WWW, SIGIR, WSDM, ICML, IJCAI, AAAI, RecSys, or having participated in data mining/machine learning competitions.
 Job Information
**【For Pay Transparency】Compensation Description (Annually)**
 The base salary range for this position in the selected city is $122574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7">
      <c r="A27" t="inlineStr">
        <is>
          <t>li-4333159460</t>
        </is>
      </c>
      <c r="B27" t="inlineStr">
        <is>
          <t>Principal Staff AI/ML Engineer - AV ML Infra</t>
        </is>
      </c>
      <c r="C27" t="inlineStr">
        <is>
          <t>General Motors</t>
        </is>
      </c>
      <c r="D27" t="inlineStr">
        <is>
          <t>linkedin</t>
        </is>
      </c>
      <c r="E27" t="inlineStr"/>
      <c r="F27" t="inlineStr"/>
      <c r="G27" t="inlineStr">
        <is>
          <t>Sunnyvale, CA</t>
        </is>
      </c>
      <c r="H27" t="inlineStr"/>
      <c r="I27" t="inlineStr">
        <is>
          <t>**Job Description**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The Principal AI/ML Engineer will lead a growing organization, guiding the AV ML Infra team in achieving its mission while shaping a long\-term vision and execution strategies across GM’s AI and ML efforts. This leadership role will drive a transformative leap in our infrastructure capabilities to meet the scale we anticipate. The leader will articulate a clear vision and strategy, design an organizational structure to enable effective execution, and cultivate strong partnerships across cross\-functional teams and stakeholders.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10\+ years of experience, with a strong background in large\-scale distributed systems preferred.
* 5\+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$296,300 \- $453,900\.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8">
      <c r="A28" t="inlineStr">
        <is>
          <t>li-4319513940</t>
        </is>
      </c>
      <c r="B28" t="inlineStr">
        <is>
          <t>Lead AI Engineer</t>
        </is>
      </c>
      <c r="C28" t="inlineStr">
        <is>
          <t>Guardian Life</t>
        </is>
      </c>
      <c r="D28" t="inlineStr">
        <is>
          <t>linkedin</t>
        </is>
      </c>
      <c r="E28" t="inlineStr"/>
      <c r="F28" t="inlineStr"/>
      <c r="G28" t="inlineStr">
        <is>
          <t>New York, NY</t>
        </is>
      </c>
      <c r="H28" t="inlineStr"/>
      <c r="I28"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 A self\-starter who can work independently and as part of a team to implement and operate new technologies that help Guardian Life advance its Automation \&amp; Artificial Intelligence objectives.
* Driven by a desire to deliver outstanding customer service and a rock\-solid stable automation platform, you will be successful through successful operation of our automation platforms.
**You have:**
* Bachelor’s degree or equivalent in Computer Science, Computer Engineering, Computer Applications, Information Systems or Information Technology
* 7\+ years of experience in working with AWS Services, Enterprise Architecture best practices, system engineering and security.
* 7\+ years of development experience or significant knowledge of software engineering best practices across the development lifecycle, including agile methodologies, coding standards, code reviews, source management, build processes, testing, and operation
* 5\+ years of hands\-on experience with Python, AI Frameworks, AIOps
* Familiarity with Containerization and Orchestration technologies, Sagemaker
* Strong software troubleshooting, problem solving and system analysis skills
* Willingness and capability to learn new technologies quickly
* Experience working with remote teams in a matrixed environment
* Mentor junior team members and foster a culture of technical excellence
**You will:**
* Be part of a dispersed team both offshore and onshore for operation of process automation products \&amp; solutions
* Implement engineering best practices to ensure scalability and uptime
* Have an understanding of the Industry standard security best practices
* Track and report on platforms performance and availability metrics
* Be involved in all stages of the model development lifecycle from design to development, testing, and deployment.
* Design and implement scalable and reliable systems to AI applications
* Collaborate with software engineers, data scientists, and DevOps teams to design and implement technical designs and solutions
* Stay up\-to\-date with new technologies and industry trends, and continuously improve the platform to meet the changing needs of the company
**Location:**
* New York, New Jersey or Pennsylvania 3 day onsite hybrid
*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**Current Guardian Colleagues: Please apply through the internal Jobs Hub in Workday.**</t>
        </is>
      </c>
    </row>
    <row r="29">
      <c r="A29" t="inlineStr">
        <is>
          <t>li-4310274457</t>
        </is>
      </c>
      <c r="B29" t="inlineStr">
        <is>
          <t>Senior Machine Learning Engineer, End-to-end Autonomy</t>
        </is>
      </c>
      <c r="C29" t="inlineStr">
        <is>
          <t>Woven by Toyota</t>
        </is>
      </c>
      <c r="D29" t="inlineStr">
        <is>
          <t>linkedin</t>
        </is>
      </c>
      <c r="E29" t="inlineStr"/>
      <c r="F29" t="inlineStr"/>
      <c r="G29" t="inlineStr">
        <is>
          <t>Ann Arbor, MI</t>
        </is>
      </c>
      <c r="H29" t="inlineStr"/>
      <c r="I29"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 Own design and development of ML models or model components for end\-to\-end autonomous driving: ranging from initial data strategy, design, development, experimentation, evaluation and deployment.
* Resolve ambiguities and address uncertainties arising from complex projects involving multiple teams and legacy codebases.
* Enable and help other colleagues on the team to be more effective through leading by example when it comes to writing high\-quality code, being rigorous with Machine Learning experimentation and knowledge sharing.
* Collaborate closely with stakeholders from multiple teams in different time\-zones to define interfaces and requirements for an end\-to\-end stack.
**Experience**
* MS, or higher degree, in related field, or equivalent industry experience
* Professional experience with ML frameworks such as PyTorch, Jax or Tensorflow (PyTorch preferred)
* Knowledge of debugging and profiling deep neural networks on NVIDIA CUDA stack
* Experience in state of the art architectures for object detection and 3D perception
* Experience in ML workflows: data sampling and curation, pre\-processing, model training, ablation studies, evaluation, deployment, inference optimization
* Python and C\+\+ experience
* Hands\-on experience with building a perception stack for autonomous systems
* Familiarity with recent breakthroughs in ML (e.g. foundation models, pre\-training and efficient fine\-tuning, multimodal Transformer architectures)
* Hands\-on experience with large scale distributed training
**Nice to Have**
* Hands\-on experience with building a perception stack for autonomous systems
* Experience with model deployment with NVIDIA stack (e.g. ONNX graphs, TensorRT, profiling)
* Experience with PyTorch and Computer Vision for sensor fusion (e.g. BEV representations)
* Experience with embedded ML platforms and real\-time OSes
 For positions based in Palo Alto, CA, the base pay ranges from $140,000\- $230,000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30">
      <c r="A30" t="inlineStr">
        <is>
          <t>li-4381252600</t>
        </is>
      </c>
      <c r="B30" t="inlineStr">
        <is>
          <t>AI Engineer</t>
        </is>
      </c>
      <c r="C30" t="inlineStr">
        <is>
          <t>Jobot</t>
        </is>
      </c>
      <c r="D30" t="inlineStr">
        <is>
          <t>linkedin</t>
        </is>
      </c>
      <c r="E30" t="inlineStr"/>
      <c r="F30" t="inlineStr"/>
      <c r="G30" t="inlineStr">
        <is>
          <t>Chicago, IL</t>
        </is>
      </c>
      <c r="H30" t="inlineStr"/>
      <c r="I30" t="inlineStr">
        <is>
          <t>Want to learn more about this role and Jobot? Click our Jobot logo and follow
 our LinkedIn page!
 Job details:
**RAG \- Vector Databases \- Cloud \- AI/ML**
 This Jobot Job is hosted by: Chuck Wirtz
 Are you a fit? Easy Apply now by clicking the "Easy Apply"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GCP \- Azure
 Domain\-driven design and microservices architecture
 TensorFlow \- PyTorch
 Inheritance \- Polymorphism \- Design Patterns
 No C2C or Sponsorship
 Interested in hearing more? Easy Apply now by clicking the "Easy Apply" button.
**Want to learn more about this role
 and Jobot?**
 Click our Jobot logo and follow our LinkedIn page!\\n</t>
        </is>
      </c>
    </row>
    <row r="31">
      <c r="A31" t="inlineStr">
        <is>
          <t>li-4381250802</t>
        </is>
      </c>
      <c r="B31" t="inlineStr">
        <is>
          <t>AI Engineer</t>
        </is>
      </c>
      <c r="C31" t="inlineStr">
        <is>
          <t>Jobot</t>
        </is>
      </c>
      <c r="D31" t="inlineStr">
        <is>
          <t>linkedin</t>
        </is>
      </c>
      <c r="E31" t="inlineStr"/>
      <c r="F31" t="inlineStr"/>
      <c r="G31" t="inlineStr">
        <is>
          <t>Nashville, TN</t>
        </is>
      </c>
      <c r="H31" t="inlineStr"/>
      <c r="I31" t="inlineStr">
        <is>
          <t>Want to learn more about this role and Jobot? Click our Jobot logo and follow
 our LinkedIn page!
 Job details:
**RAG \- Vector Databases \- Cloud \- AI/ML**
 This Jobot Job is hosted by: Chuck Wirtz
 Are you a fit? Easy Apply now by clicking the "Easy Apply"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GCP \- Azure
 Domain\-driven design and microservices architecture
 TensorFlow \- PyTorch
 Inheritance \- Polymorphism \- Design Patterns
 No C2C or Sponsorship
 Interested in hearing more? Easy Apply now by clicking the "Easy Apply" button.
**Want to learn more about this role
 and Jobot?**
 Click our Jobot logo and follow our LinkedIn page!\\n</t>
        </is>
      </c>
    </row>
    <row r="32">
      <c r="A32" t="inlineStr">
        <is>
          <t>li-4336986036</t>
        </is>
      </c>
      <c r="B32" t="inlineStr">
        <is>
          <t>Senior AI Engineer</t>
        </is>
      </c>
      <c r="C32" t="inlineStr">
        <is>
          <t>Stewart Title</t>
        </is>
      </c>
      <c r="D32" t="inlineStr">
        <is>
          <t>linkedin</t>
        </is>
      </c>
      <c r="E32" t="inlineStr"/>
      <c r="F32" t="inlineStr"/>
      <c r="G32" t="inlineStr"/>
      <c r="H32" t="inlineStr"/>
      <c r="I32" t="inlineStr">
        <is>
          <t>At Stewart, we know that success begins with great people. As a Stewart employee, you’ll be joining a company that was named a 2024\-2025 Best Company to Work For by U.S. News \&amp; World Report, and a 2025 Top Workplace by USA Today. We are committed to helping you own, develop, and nurture your career. We invest in your career journey because we understand that as you grow, so does our company. And our priority is smart growth – by attaining the best people, investing in tools and resources that enable success, and creating a better home for all.
 You will be part of an inclusive work environment that reflects the customers we serve. You’ll be empowered to use your unique experiences, passion and skills to help our company and the communities we serve constantly evolve and improve. Together, we can achieve our vision of becoming the premier title and real estate services company.
 Stewart is a global real estate services company, providing title insurance, settlement, underwriting, and lender services through our family of companies. To learn more about Stewart, visit stewart.com/about.
 More information can be found on stewart.com. Get title industry information and insights at stewart.com/insights. Follow Stewart on Facebook @StewartTitleCo, on Instagram @StewartTitleCo and on LinkedIn @StewartTitle
**Job Description**
**Job Summary**
 Central information technology organization, providing the network infrastructure, hardware, software and enterprise services for offices to run their business. Provides network and database administration, device management, and administers processes, services and technical support for hardware and software for both the organization's internal and external clients.
**Job Responsibilities**
* Provides comprehensive application software development services and/or technical support on moderately complex projects and initiatives
* Analyzes, modifies and may develop program logic for existing applications, programs and enhancements
* Competent to work at the highest technical level of some phases of applications programming activities
* Regarded as technical expert within discipline
* Anticipates business and regulatory challenges to proactively assess impact to work performed
* Recommends improvements to product, process or service
* Leads complex or specialized projects
* Works within general functional policies and industry guidelines
* Impacts direction of program, project or services
* Solves unique problems with broad impact
* Develops creative solutions through conceptual and innovative thinking
* Communicates complex ideas across functions and levels
* Individual contributor working independently; only requires guidance in highly complex situations
* Performs all other duties as assigned by management
**Education**
* Bachelor’s degree in relevant field preferred
**Experience**
* Typically requires 8\+ years of related work experience
 Equal Employment Opportunity Employer
 Stewart is committed to ensuring that its online application process provides an equal employment opportunity to all job seekers, including individuals with disabilities. If you have a disability and need assistance or an accommodation in the application process, please contact us by email at careers@stewart.com.
**Benefits**
 Stewart offers eligible employees a competitive benefits package that includes, but is not limited to a variety of health and wellness insurance options and programs, paid time off, 401(k) with company match, employee stock purchase program, and employee discounts.</t>
        </is>
      </c>
    </row>
    <row r="33">
      <c r="A33" t="inlineStr">
        <is>
          <t>li-4381256463</t>
        </is>
      </c>
      <c r="B33" t="inlineStr">
        <is>
          <t>AI Engineer</t>
        </is>
      </c>
      <c r="C33" t="inlineStr">
        <is>
          <t>Jobot</t>
        </is>
      </c>
      <c r="D33" t="inlineStr">
        <is>
          <t>linkedin</t>
        </is>
      </c>
      <c r="E33" t="inlineStr"/>
      <c r="F33" t="inlineStr"/>
      <c r="G33" t="inlineStr">
        <is>
          <t>Cincinnati, OH</t>
        </is>
      </c>
      <c r="H33" t="inlineStr"/>
      <c r="I33" t="inlineStr">
        <is>
          <t>Want to learn more about this role and Jobot? Click our Jobot logo and follow
 our LinkedIn page!
 Job details:
**RAG \- Vector Databases \- Cloud \- AI/ML**
 This Jobot Job is hosted by: Chuck Wirtz
 Are you a fit? Easy Apply now by clicking the "Easy Apply" button
 and sending us your resume.
 Salary: $175,000 \- $200,000 per year
**A bit about us:**
 We are a rapidly\-growing and well\-funded women\-lead AI start\-up that innovates our client's projects from concept to delivery.
**Why join us?**
 We work with highly recognizable enterprise clients to deliver a fully customized solution. Our technology solution is best\-in\-class and proven. This is a fully remote role. Report directly to the VP of Tech \&amp; work directly with the Founders. Start\-up experience is ideal. Base \+ bonus \+ equity.
**Job Details**
 This is not a Data Scientist role \- This is an experienced, AI\-focused Software Engineer role.
 Python API
 Agentic/Orchestration Frameworks:
 Langchan \- Langgraph \- Autogen \- Semantic Kernel \- Lamaindex
 RAG
 ML
 AI
 Vector Databases:
 Pinecone \- Weaviate \- Chroma
 AWS \- GCP \- Azure
 Domain\-driven design and microservices architecture
 TensorFlow \- PyTorch
 Inheritance \- Polymorphism \- Design Patterns
 No C2C or Sponsorship
 Interested in hearing more? Easy Apply now by clicking the "Easy Apply" button.
**Want to learn more about this role
 and Jobot?**
 Click our Jobot logo and follow our LinkedIn page!\\n</t>
        </is>
      </c>
    </row>
    <row r="34">
      <c r="A34" t="inlineStr">
        <is>
          <t>li-4381251817</t>
        </is>
      </c>
      <c r="B34" t="inlineStr">
        <is>
          <t>Founding GTM AI Engineer</t>
        </is>
      </c>
      <c r="C34" t="inlineStr">
        <is>
          <t>ChatGPT Jobs</t>
        </is>
      </c>
      <c r="D34" t="inlineStr">
        <is>
          <t>linkedin</t>
        </is>
      </c>
      <c r="E34" t="inlineStr"/>
      <c r="F34" t="inlineStr"/>
      <c r="G34" t="inlineStr">
        <is>
          <t>New York, NY</t>
        </is>
      </c>
      <c r="H34" t="inlineStr"/>
      <c r="I34" t="inlineStr">
        <is>
          <t>**Job Description**
 Founding GTM AI Engineer
**Revic** 
 \- San Francisco, CA
* Remote
 Full\-time
 Medical, Dental, Vision
 Posted 9 hours ago
**About Revic**
 Revic is an AI\-native sales acceleration engine built to uplift sales professionals, handling complexity so reps can focus on the human side of sales.
**About The Role**
 As Revic’s Founding GTM AI Engineer, you will work directly with Revic’s CEO, Head of Revenue, and Head of Engineering to design and build the systems that translate real customer conversations and GTM data into automated actions across the entire organization. This role sits at the center of Revic’s operating system, ensuring insights captured in Revic don’t remain trapped in dashboards or call recordings, but instead drive real\-time responses across GTM, product, and engineering.
 What You’ll Do
* Build Intelligence\-Driven Systems: Partner to identify high\-leverage opportunities for AI\-driven automation and design systems to continuously analyze data and translate insights into automated workflows.
* Trigger GTM Actions Automatically: Use data to dynamically update messaging, generate content, surface objections, and turn conversations into inputs for how Revic positions and sells.
* Extend GTM Signal Beyond GTM: Route insights into product and engineering prioritization, inform feature discovery, and identify recurring friction.
* Operate as a Founding Builder: Act as a connective layer between teams, replace human interpretation with systems, and move from idea to production with urgency.
 Why This Role Is Critical
 This role ensures sales insights don’t die in call recordings, product decisions are informed by buyer conversations, messaging evolves automatically, and leadership can act faster.
 You Belong Here If…
* You think in systems and feedback loops.
* You understand how GTM data can influence every part of a company.
* You’ve built workflows or tools that changed how teams operate.
* You’re comfortable collaborating with executive leadership.
* You thrive in ambiguity and are excited to build foundational infrastructure.
 Bonus (Not Required)
* Experience with conversation intelligence or call data
* Background in RevOps, Product Ops, or Growth
* Experience in early\-stage, zero\-to\-one environments
 What Success Looks Like
 GTM data drives decisions automatically, messaging evolves based on customer input, engineering priorities reflect customer signal, and leadership operates with faster feedback loops.
 Logistics \&amp; Offer
* Competitive salary plus meaningful equity
* Premium health, dental, and vision
* Location: San Francisco Bay Area, New York City / Metro Area, or Remote (US)
* Quarterly in\-person offsites
 The Intangibles
* Work shoulder\-to\-shoulder with Revic’s leadership team
* Shape how decisions are made across the company
* Build systems that compound in value as Revic scales</t>
        </is>
      </c>
    </row>
    <row r="35">
      <c r="A35" t="inlineStr">
        <is>
          <t>li-4341972561</t>
        </is>
      </c>
      <c r="B35" t="inlineStr">
        <is>
          <t>AI &amp; Machine Learning Engineering Consultant - Manager - Consulting - Location OPEN</t>
        </is>
      </c>
      <c r="C35" t="inlineStr">
        <is>
          <t>EY</t>
        </is>
      </c>
      <c r="D35" t="inlineStr">
        <is>
          <t>linkedin</t>
        </is>
      </c>
      <c r="E35" t="inlineStr"/>
      <c r="F35" t="inlineStr"/>
      <c r="G35" t="inlineStr">
        <is>
          <t>Iselin, NJ</t>
        </is>
      </c>
      <c r="H35" t="inlineStr"/>
      <c r="I3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6">
      <c r="A36" t="inlineStr">
        <is>
          <t>li-4312750987</t>
        </is>
      </c>
      <c r="B36" t="inlineStr">
        <is>
          <t>PhD University Grad Machine Learning Engineer 2026 (USA)</t>
        </is>
      </c>
      <c r="C36" t="inlineStr">
        <is>
          <t>Pinterest</t>
        </is>
      </c>
      <c r="D36" t="inlineStr">
        <is>
          <t>linkedin</t>
        </is>
      </c>
      <c r="E36" t="inlineStr"/>
      <c r="F36" t="inlineStr"/>
      <c r="G36" t="inlineStr">
        <is>
          <t>Seattle, WA</t>
        </is>
      </c>
      <c r="H36" t="inlineStr"/>
      <c r="I3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570 million users around the world and 300 billion ideas saved, Pinterest Machine Learning engineers help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**By applying to this role, you will be considered for multiple roles open across our various ML teams. Please only apply once within the USA or Canada as multiple applications may delay our recruitment process.**
**This is a general posting for multiple roles open across our various ML teams. You will have the opportunity to work on a very large scope of problems in recommender systems, search, ads, ranking, natural language processing, graph representation learning, personalization, etc.**
 As a Machine Learning Engineer at Pinterest, you’ll work on tackling new challenges in machine learning and artificial intelligence. As you kickstart your career at Pinterest, you’ll join our engineering teams as we maneuver through exponential growth and massive scale while building awesome products and features, creating visually rich experiences, spearheading the discovery problem, and pinpointing tomorrow’s engineering challenges.
**What You’ll Do**
* Contribute to cutting\-edge research in machine learning and artificial intelligence that can be applied to Pinterest problems
* Collect, analyze, and synthesize findings from data and build intelligent data\-driven model
* Write clean, efficient, and sustainable code
* Use machine learning, natural language processing, and graph analysis to solve modeling and ranking problems across discovery, ads and search
* Design, build, and test models to predict engagement for notifications (push, emails, in\-app notifications)
* Build content recommendation systems to power our push, email, and in\-app notifications
* Work on state\-of\-the\-art large\-scale applied machine learning projects
* Scope and independently solve moderately complex problems
**What We’re Looking For** 
* PhD in Computer Science, ML, NLP, Statistics, Information Sciences or related field required
* Machine Learning experience (ranking, computer vision, NLP, content recommendations, embedding, information retrieval etc)
* Proficiency in at least one systems language (Java, C\+\+, Python) or one ML framework (Tensorflow, Pytorch, MLFlow)
* Experience with big data technologies (e.g., Hadoop/Spark) and scalable realtime systems that process stream data
* Experience in research and in solving analytical problems
* Strong communicator and team player with the ability to find solutions for open\-ended problems.
* Preferred Qualifications:
+ Publications in machine learning, AI, data science, data analytics, statistics, or related technical fields
+ Interest in research and in applying ML to impactful real\-world problems on the Pinterest product
**In\-Office Requirement Statement**
* We let the type of work you do guide the collaboration style. That means we’re not always working in an office, but we continue to gather for key moments of collaboration and connection
* This role may require you to be located near an office for in\-person collaboration, and therefore may need to be located a commutable distance from one of our Pinterest offices.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$162,690—$214,060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37">
      <c r="A37" t="inlineStr">
        <is>
          <t>li-4341882758</t>
        </is>
      </c>
      <c r="B37" t="inlineStr">
        <is>
          <t>AI &amp; Machine Learning Engineering Consultant - Manager - Consulting - Location OPEN</t>
        </is>
      </c>
      <c r="C37" t="inlineStr">
        <is>
          <t>EY</t>
        </is>
      </c>
      <c r="D37" t="inlineStr">
        <is>
          <t>linkedin</t>
        </is>
      </c>
      <c r="E37" t="inlineStr"/>
      <c r="F37" t="inlineStr"/>
      <c r="G37" t="inlineStr">
        <is>
          <t>Rochester, NY</t>
        </is>
      </c>
      <c r="H37" t="inlineStr"/>
      <c r="I3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8">
      <c r="A38" t="inlineStr">
        <is>
          <t>li-4341942642</t>
        </is>
      </c>
      <c r="B38" t="inlineStr">
        <is>
          <t>AI &amp; Machine Learning Engineering Consultant - Manager - Consulting - Location OPEN</t>
        </is>
      </c>
      <c r="C38" t="inlineStr">
        <is>
          <t>EY</t>
        </is>
      </c>
      <c r="D38" t="inlineStr">
        <is>
          <t>linkedin</t>
        </is>
      </c>
      <c r="E38" t="inlineStr"/>
      <c r="F38" t="inlineStr"/>
      <c r="G38" t="inlineStr">
        <is>
          <t>Washington, DC</t>
        </is>
      </c>
      <c r="H38" t="inlineStr"/>
      <c r="I3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9">
      <c r="A39" t="inlineStr">
        <is>
          <t>li-4263443866</t>
        </is>
      </c>
      <c r="B39" t="inlineStr">
        <is>
          <t>Lead AI/ML Engineer (P4368)</t>
        </is>
      </c>
      <c r="C39" t="inlineStr">
        <is>
          <t>84.51˚</t>
        </is>
      </c>
      <c r="D39" t="inlineStr">
        <is>
          <t>linkedin</t>
        </is>
      </c>
      <c r="E39" t="inlineStr"/>
      <c r="F39" t="inlineStr"/>
      <c r="G39" t="inlineStr">
        <is>
          <t>Chicago, IL</t>
        </is>
      </c>
      <c r="H39" t="inlineStr"/>
      <c r="I39"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**Lead AI/ML Engineer (AI Enablement) (P4368\)**
**Cincinnati / Chicago**
**Summary**
 The Lead AI/ML Engineer requires a unique mix of software engineering and AI skills necessary to create, deploy and maintain computationally efficient proprietary SLM, LLM, and embedding model implementations, serving infrastructure, and end\-to\-end solutions. This role has a specific focus on the models serving and operations within our foundation models team. A strong understanding of distributed systems, model serving architectures, GPU cluster management, and MLOps best practices that will scale across enterprise workloads and large\-scale model deployments is critical to success.
**Responsibilities**
* Lead large\-scale foundation model projects that can span months, focusing on model serving, inference optimization, and production deployment
* Foster a collaborative and innovative team environment, encouraging professional growth and development among junior team members in foundation model technologies
* Leverage known patterns, frameworks, and tools for automating \&amp; deploying foundation model serving solutions using Triton, vLLM, and other inference engines
* Develop new tools, processes and operational capabilities to monitor and analyze foundation model performance, latency, throughput, and resource utilization
* Work with researchers and ML engineers to optimize and scale foundation model serving using best practices in distributed systems, GPU orchestration, and MLOps
* Abstract foundation model serving solutions as robust APIs, microservices, or components that can be reused across the business with high availability and low latency
* Build, steward, and maintain production\-grade foundation model serving infrastructure (robust, reliable, maintainable, observable, scalable, performant) to manage and serve LLMs, SLMs, and embedding models at scale
* Research state\-of\-the\-art foundation model serving technologies, inference optimization techniques, and distributed GPU architectures to identify new opportunities for implementation across the enterprise
* Design and implement distributed GPU clusters for model training and inference workloads across GCP and Azure cloud environments
* Understand business requirements and trade\-off latency, cost, throughput, and model accuracy to maximize value and translate research into production\-ready serving solutions
* Reduce time to deployment, automate foundation model CI/CD pipelines, implement continuous monitoring of model serving metrics, and establish feedback loops for model performance
* Responsible for code reviews, infrastructure reviews, and production readiness assessments for foundation model deployments
* Apply appropriate documentation, version control, infrastructure as code practices, and other internal communication practices across channels
* Make time\-sensitive decisions and solve urgent production issues in foundation model serving environments without escalation
**Required**
**QUALIFICATIONS, SKILLS, AND EXPERIENCE**
* Bachelor's degree or higher in Machine Learning, Computer Science, Computer Engineering, Applied Statistics, or related field
* 5\+ years of experience developing cloud\-based software solutions with understanding of design for scalability, performance, and reliability in distributed systems
* 2\+ years hands\-on experience with foundation models (LLMs, SLMs, embedding models) in production environments; 2\+ years of experience in model serving and inference optimization preferred
* Deep knowledge of foundation model serving frameworks, particularly Triton Inference Server and vLLM
* Working experience with PyTorch models and optimization for inference (quantization, pruning, ONNX, TensorRT)
* Knowledge of distributed GPU computing, CUDA programming, and GPU memory optimization techniques
* Hands\-on experience with GCP and Azure cloud platforms, including GPU instances, managed services, and networking
* Experience with Databricks for large\-scale data processing and model training workflows
* Knowledge of vector databases and embedding model serving
* Strong experience with open\-source LLM fine\-tuning frameworks (LoRA, QLoRA, full fine\-tuning)
* Experience building large\-scale model serving solutions that have been successfully delivered to production with enterprise SLAs
* Excellent communication skills, particularly on technical topics related to distributed systems and model serving architectures
* Kubernetes \&amp; Docker experience with focus on GPU workloads and model serving deployments
* CI/CD Pipeline experience with focus on ML model deployment; GitHub Actions experience preferred
* Terraform experience for infrastructure as code, particularly for GPU clusters and cloud ML infrastructure
* Strong skills in Python, with experience in async programming and high\-performance computing
* API development experience with focus on high\-throughput, low\-latency model serving endpoints
* Experience with monitoring and observability tools for distributed systems (Prometheus, Grafana, DataDog, etc.)
* Knowledge of E2E Machine Learning pipeline and MLOps tools (model registry, experiment tracking, feature stores, model monitoring) in the context of foundation models
**Preferred**
* Experience with distributed training frameworks such as DeepSpeed, FSDP, FairScale
* Knowledge of model compression techniques and hardware acceleration
* Experience with multi\-cloud deployments and hybrid cloud architectures
* Familiarity with emerging foundation model architectures and serving optimizations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$121,000—$201,250 USD</t>
        </is>
      </c>
    </row>
    <row r="40">
      <c r="A40" t="inlineStr">
        <is>
          <t>li-4341932696</t>
        </is>
      </c>
      <c r="B40" t="inlineStr">
        <is>
          <t>AI &amp; Machine Learning Engineering Consultant - Manager - Consulting - Location OPEN</t>
        </is>
      </c>
      <c r="C40" t="inlineStr">
        <is>
          <t>EY</t>
        </is>
      </c>
      <c r="D40" t="inlineStr">
        <is>
          <t>linkedin</t>
        </is>
      </c>
      <c r="E40" t="inlineStr"/>
      <c r="F40" t="inlineStr"/>
      <c r="G40" t="inlineStr">
        <is>
          <t>Chicago, IL</t>
        </is>
      </c>
      <c r="H40" t="inlineStr"/>
      <c r="I4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1">
      <c r="A41" t="inlineStr">
        <is>
          <t>li-4341922667</t>
        </is>
      </c>
      <c r="B41" t="inlineStr">
        <is>
          <t>AI &amp; Machine Learning Engineering Consultant - Manager - Consulting - Location OPEN</t>
        </is>
      </c>
      <c r="C41" t="inlineStr">
        <is>
          <t>EY</t>
        </is>
      </c>
      <c r="D41" t="inlineStr">
        <is>
          <t>linkedin</t>
        </is>
      </c>
      <c r="E41" t="inlineStr"/>
      <c r="F41" t="inlineStr"/>
      <c r="G41" t="inlineStr">
        <is>
          <t>Stamford, CT</t>
        </is>
      </c>
      <c r="H41" t="inlineStr"/>
      <c r="I4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2">
      <c r="A42" t="inlineStr">
        <is>
          <t>li-4341812699</t>
        </is>
      </c>
      <c r="B42" t="inlineStr">
        <is>
          <t>AI &amp; Machine Learning Engineering Consultant - Manager - Consulting - Location OPEN</t>
        </is>
      </c>
      <c r="C42" t="inlineStr">
        <is>
          <t>EY</t>
        </is>
      </c>
      <c r="D42" t="inlineStr">
        <is>
          <t>linkedin</t>
        </is>
      </c>
      <c r="E42" t="inlineStr"/>
      <c r="F42" t="inlineStr"/>
      <c r="G42" t="inlineStr">
        <is>
          <t>Sacramento, CA</t>
        </is>
      </c>
      <c r="H42" t="inlineStr"/>
      <c r="I4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3">
      <c r="A43" t="inlineStr">
        <is>
          <t>li-4365671843</t>
        </is>
      </c>
      <c r="B43" t="inlineStr">
        <is>
          <t>Staff Agentic AI Engineer - People Places and Workforce Tech</t>
        </is>
      </c>
      <c r="C43" t="inlineStr">
        <is>
          <t>Intuit</t>
        </is>
      </c>
      <c r="D43" t="inlineStr">
        <is>
          <t>linkedin</t>
        </is>
      </c>
      <c r="E43" t="inlineStr"/>
      <c r="F43" t="inlineStr"/>
      <c r="G43" t="inlineStr">
        <is>
          <t>San Diego, CA</t>
        </is>
      </c>
      <c r="H43" t="inlineStr"/>
      <c r="I43" t="inlineStr">
        <is>
          <t>**Overview**
 The Intuit T4I (Tech for Intuit) team is responsible for building Intuit’s core capabilities supporting enterprise Workforce, People, and Places technologies. Our stakeholders include HR, Facilities, IT, segment business unit leaders, and all Intuit employees and expert workforce. The T4I engineering organization partners closely with product, design, and platform teams to deliver primarily internal services that improve productivity and employee experience across Intuit.
 As a Staff ( Software \| ML) Engineer, you will play a critical role in designing, building, and scaling AI\-powered agents and copilots that support Intuit’s workforce. This role is focused on applied AI systems, not research—delivering production\-ready agent architectures that integrate with enterprise systems and workflows.
 You will help define how and where AI agents add real value, making thoughtful tradeoffs between LLM\-based approaches, traditional ML techniques, and simpler heuristic or rules\-based solutions. You will work across backend services, AI platforms, and conversational interfaces to enable intelligent automation at scale.
 This role is well suited for senior backend engineers with strong AI systems experience or ML engineers with strong software engineering foundations who are excited about building end\-to\-end agentic systems.
 If you have a bias for action, enjoy operating in ambiguity, and are motivated by building practical AI solutions that drive measurable business impact, this role may be a great fit.
**Responsibilities**
 Responsibilities
 Design and Build AI Agents: Architect, develop, and deploy AI agents and copilots that augment Intuit employees’ workflows, integrating with internal systems and tools.
 Own End\-to\-End AI Systems: Take solutions from concept to production—including model selection, prompt and context design, retrieval strategies, backend services, and conversational interfaces.
 Apply the Right Tool for the Problem: Evaluate business problems and determine whether they are best solved with LLMs, classical ML, or simpler rule\-based approaches.
 Develop RAG and Context Pipelines: Build scalable, maintainable retrieval and context systems that provide high\-quality grounding for AI agents.
 Innovate Through Rapid Prototyping: Create proofs\-of\-concept to explore new agent capabilities, frameworks, and integrations, then harden successful ideas for production use.
 Ensure Production Readiness: Design for reliability, observability, security, and cost efficiency in AI\-powered systems operating at enterprise scale.
 Collaborate Cross\-Functionally: Partner closely with product managers, designers, platform teams, and business stakeholders to deliver meaningful outcomes.
 Mentor and Influence: Provide technical leadership, mentor other engineers, and help shape best practices for AI agent development across the organization.
**Qualifications**
 8\+ years of experience in software engineering, machine learning engineering, or related roles building large\-scale, production systems.
 Hands\-on experience designing and deploying AI systems using large language models (LLMs) in real\-world applications.
 Strong understanding of when to apply LLMs vs. traditional ML algorithms vs. deterministic or heuristic approaches, with the ability to justify tradeoffs.
**Experience Building And Maintaining**
* Retrieval\-Augmented Generation (RAG) pipelines
* Agent frameworks and orchestration patterns
* Model Context Protocol (MCP) servers or equivalent tool\-use / function\-calling architectures
* Conversational or chat\-based interfaces (internal tools, copilots, or assistants)
 Strong backend engineering skills (e.g., Python, Java), including API design, service ownership, and distributed systems fundamentals.
 Familiarity with deploying AI systems on cloud platforms (AWS), including observability, reliability, and cost considerations.
 Experience integrating AI systems with enterprise data sources, APIs, and internal platforms while maintaining security and privacy standards.
 Ability to work independently, manage ambiguity, and deliver incrementally under aggressive timelines.
 Passion for mentoring engineers and influencing technical direction beyond your immediate team.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$184500 to $266,500</t>
        </is>
      </c>
    </row>
    <row r="44">
      <c r="A44" t="inlineStr">
        <is>
          <t>li-4381255518</t>
        </is>
      </c>
      <c r="B44" t="inlineStr">
        <is>
          <t>URGENT Backend AI Engineer-Legal Tech!</t>
        </is>
      </c>
      <c r="C44" t="inlineStr">
        <is>
          <t>Jobot</t>
        </is>
      </c>
      <c r="D44" t="inlineStr">
        <is>
          <t>linkedin</t>
        </is>
      </c>
      <c r="E44" t="inlineStr"/>
      <c r="F44" t="inlineStr"/>
      <c r="G44" t="inlineStr">
        <is>
          <t>Los Angeles, CA</t>
        </is>
      </c>
      <c r="H44" t="inlineStr"/>
      <c r="I44" t="inlineStr">
        <is>
          <t>Want to learn more about this role and Jobot? Click our Jobot logo and follow
 our LinkedIn page!
 Job details:
**URGENT Backend AI Engineer Opportunity\-Tech Startup!**
 This Jobot Job is hosted by: Audrey Block
 Are you a fit? Easy Apply now by clicking the "Easy Apply" button
 and sending us your resume.
 Salary: $120,000 \- $160,000 per year
**A bit about us:**
 We are hiring a backend engineer due to growth ASAP! We are a tech startup based in Los Angeles that is growing at a rapid rate. Please apply if you fit the criteria and let's chat!
**Why join us?**
 Strong funding
 HUGE Opportunity for growth
 Base salary \+ Potential Equity
 Team events
 Lunch, gym membership, Fun Fridays
 Flexible schedule
**Job Details**
 Job Details:
 We are seeking an energetic and passionate Backend AI Engineer to join our team. This is a permanent, urgent position for a mid level engineer who thrives in a fast\-paced, innovative environment. This role is integral to our team, and we need someone who can hit the ground running!
 Responsibilities:
* Collaborate with our team to define, design, and ship new features.
* Apply your deep understanding of algorithms and data structures to solve complex problems.
* Use your knowledge of software architecture to develop scalable backend systems.
* Participate in code reviews to maintain high\-quality code.
* Stay informed about AI trends and advancements and apply them into operations and activities.
* Debug and resolve technical issues.
* Contribute to the entire app lifecycle, focusing on coding and debugging.
* Prioritize and manage multiple tasks across different projects.
 Qualifications:
* A minimum of 6 months of experience as a Backend AI Engineer or similar role.
* Experience in a startup environment is a must, and/or strong experience building.
* Strong experience with AI, machine learning, deep learning, data mining, and/or statistical analysis tools.
* Proficient understanding of backend programming languages and frameworks such as Rust and Python
* Knowledge of coding best practices and system design.
* Hands\-on experience with databases, system design, and creating serverless applications.
* Outstanding analytical, problem\-solving, and organizational abilities.
* Attention to detail and ability to multitask.
* Excellent communication and teamwork skills.
* A degree in Computer Science, Engineering, or a related field is preferred.
 This is an exciting opportunity to join a strong team and make a significant impact on our product. If you are a self\-starter who is passionate about AI and technology, we would love to hear from you!
 Interested in hearing more? Easy Apply now by clicking the "Easy Apply" button.
**Want to learn more about this role
 and Jobot?**
 Click our Jobot logo and follow our LinkedIn page!\\n</t>
        </is>
      </c>
    </row>
    <row r="45">
      <c r="A45" t="inlineStr">
        <is>
          <t>li-4326741325</t>
        </is>
      </c>
      <c r="B45" t="inlineStr">
        <is>
          <t>Senior Staff Machine Learning Engineer, (ML Underwriting)</t>
        </is>
      </c>
      <c r="C45" t="inlineStr">
        <is>
          <t>Affirm</t>
        </is>
      </c>
      <c r="D45" t="inlineStr">
        <is>
          <t>linkedin</t>
        </is>
      </c>
      <c r="E45" t="inlineStr"/>
      <c r="F45" t="inlineStr"/>
      <c r="G45" t="inlineStr">
        <is>
          <t>Baltimore, MD</t>
        </is>
      </c>
      <c r="H45" t="inlineStr"/>
      <c r="I45"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6">
      <c r="A46" t="inlineStr">
        <is>
          <t>li-4326594548</t>
        </is>
      </c>
      <c r="B46" t="inlineStr">
        <is>
          <t>Senior Staff Machine Learning Engineer, (ML Underwriting)</t>
        </is>
      </c>
      <c r="C46" t="inlineStr">
        <is>
          <t>Affirm</t>
        </is>
      </c>
      <c r="D46" t="inlineStr">
        <is>
          <t>linkedin</t>
        </is>
      </c>
      <c r="E46" t="inlineStr"/>
      <c r="F46" t="inlineStr"/>
      <c r="G46" t="inlineStr">
        <is>
          <t>Denver, CO</t>
        </is>
      </c>
      <c r="H46" t="inlineStr"/>
      <c r="I46"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7">
      <c r="A47" t="inlineStr">
        <is>
          <t>li-4326721797</t>
        </is>
      </c>
      <c r="B47" t="inlineStr">
        <is>
          <t>Senior Staff Machine Learning Engineer, (ML Underwriting)</t>
        </is>
      </c>
      <c r="C47" t="inlineStr">
        <is>
          <t>Affirm</t>
        </is>
      </c>
      <c r="D47" t="inlineStr">
        <is>
          <t>linkedin</t>
        </is>
      </c>
      <c r="E47" t="inlineStr"/>
      <c r="F47" t="inlineStr"/>
      <c r="G47" t="inlineStr">
        <is>
          <t>Los Angeles, CA</t>
        </is>
      </c>
      <c r="H47" t="inlineStr"/>
      <c r="I47"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8">
      <c r="A48" t="inlineStr">
        <is>
          <t>li-4338570072</t>
        </is>
      </c>
      <c r="B48" t="inlineStr">
        <is>
          <t>Senior Applied Scientist, Planning and Controls, Industrial Robotics Group</t>
        </is>
      </c>
      <c r="C48" t="inlineStr">
        <is>
          <t>Amazon</t>
        </is>
      </c>
      <c r="D48" t="inlineStr">
        <is>
          <t>linkedin</t>
        </is>
      </c>
      <c r="E48" t="inlineStr"/>
      <c r="F48" t="inlineStr"/>
      <c r="G48" t="inlineStr">
        <is>
          <t>Middlesex County, MA</t>
        </is>
      </c>
      <c r="H48" t="inlineStr"/>
      <c r="I48" t="inlineStr">
        <is>
          <t>**Description**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A3127891</t>
        </is>
      </c>
    </row>
    <row r="49">
      <c r="A49" t="inlineStr">
        <is>
          <t>li-4381520539</t>
        </is>
      </c>
      <c r="B49" t="inlineStr">
        <is>
          <t>AI Engineer</t>
        </is>
      </c>
      <c r="C49" t="inlineStr">
        <is>
          <t>Haystack</t>
        </is>
      </c>
      <c r="D49" t="inlineStr">
        <is>
          <t>linkedin</t>
        </is>
      </c>
      <c r="E49">
        <f>HYPERLINK("https://www.linkedin.com/jobs/view/4381520539", "https://www.linkedin.com/jobs/view/4381520539")</f>
        <v/>
      </c>
      <c r="F49" t="inlineStr"/>
      <c r="G49" t="inlineStr">
        <is>
          <t>Hawthorne, CA</t>
        </is>
      </c>
      <c r="H49" t="inlineStr"/>
      <c r="I49" t="inlineStr">
        <is>
          <t>**Sr. AI Platform Data Engineer, Ring Decision Science \| Hawthorne, California \| Remote\-Friendly \| $139,100 \- $240,500** 
 We're working with a global leader in smart home security and neighborhood safety (part of the Amazon family) on this exciting opportunity.
 This isn't your average data engineering role; we are looking for an AI Platform Builder to define the future of "Agentic AI" within a massive global ecosystem. You will leverage a first\-principles approach to automate the automation, using AI\-driven development to build self\-improving systems on AWS that power real\-time decision\-making for millions of users.
**The Role** 
 • Architect and implement AI\-native self\-service platforms featuring natural language interfaces to make data accessible across the organization.
 • Design and deploy Agentic AI tools and intelligent governance systems for automated PII detection, data classification, and lineage tracking.
 • Build and optimize scalable data pipelines and curated datasets using AI code generation within the AWS ecosystem (S3, Redshift, Glue, EMR).
 • Lead AI\-augmented technical workshops for global business verticals including Subscriptions, Sales, and Marketing to drive AI/ML adoption.
 • Partner with SDEs and Data Scientists to implement platform features that increase the velocity of Machine Learning model deployment.
**What You'll Need** 
 • 5\+ years of heavy\-hitting Data Engineering experience building large\-scale, enterprise\-grade production pipelines.
 • Advanced proficiency in Python and SQL with a focus on AI\-assisted development and prompt\-driven engineering workflows.
 • Proven expertise in the AWS Data Stack and modern data modeling techniques for AI/ML consumption.
 • Experience with Agentic frameworks, LLM integration, or building platforms that serve AI models at scale.
 • Strong stakeholder management skills with the ability to translate complex AI infrastructure needs into business value.
**What's On Offer** 
 • Highly competitive salary range of $139,100 \- $240,500 \+ total compensation package.
 • Remote\-friendly flexibility with a cutting\-edge technical culture in Hawthorne, CA.
 • The opportunity to work at the intersection of AI, Robotics, and IoT within a world\-class analytics team.
 • Massive career growth potential within a pioneering organization transforming into an AI\-first powerhouse.
**Apply via Haystack today!**</t>
        </is>
      </c>
    </row>
    <row r="50">
      <c r="A50" t="inlineStr">
        <is>
          <t>li-4332959084</t>
        </is>
      </c>
      <c r="B50" t="inlineStr">
        <is>
          <t>AI Engineer (Applied Scientist) III</t>
        </is>
      </c>
      <c r="C50" t="inlineStr">
        <is>
          <t>Cedar</t>
        </is>
      </c>
      <c r="D50" t="inlineStr">
        <is>
          <t>linkedin</t>
        </is>
      </c>
      <c r="E50">
        <f>HYPERLINK("https://www.linkedin.com/jobs/view/4332959084", "https://www.linkedin.com/jobs/view/4332959084")</f>
        <v/>
      </c>
      <c r="F50" t="inlineStr"/>
      <c r="G50" t="inlineStr"/>
      <c r="H50" t="inlineStr"/>
      <c r="I50"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Cedar is seeking an
 **AI Engineer** 
**/Applied Scientist III** 
 to join our team and help build and optimize product features powered by generative AI
 . Our goal is to use AI to drive bill clarity for patients and streamline workflows for our customers, which are large healthcare systems across the US. 
 This role is for the Support/Kora squad, where you will work on Kora, an AI Voice Agent purpose\-built for patient billing, which is the central product for our Cedar Support offering. In this role, you will develop a deep understanding of Cedar’s data and workflows and utilize your skillset in rigorous data analysis combined with production\-level coding and rapid execution to design, build, and improve the AI workflows that solve problems for patients via the voice medium.  
**Responsibilities:** 
* Dive into unstructured data with finesse and rigor, combining quantitative and qualitative approaches to solve complex problems. This data can include call transcripts, patient account details, and more
* Design robust experiment plans that allow you to rapidly test hypotheses and solve problems that will lead to an improved patient experience (and execute these plans!)
* Build and enhance features for our AI Voice Agent, Kora – utilizing your skillset in production\-level coding as well as prompt and context engineering
* Measure and track the impact of the new features and enhancements that you build, displaying a strong ownership mentality as you continue to iterate on Kora based on your results and findings
* Partner closely with other scientists, engineers, designers, and product counterparts to solve problems as a team
* Work in a fast\-paced environment where we cheer each other on as we find small ways to make the patient experience a little bit better every day, while we work towards our ultimate goal to transform the healthcare financial experience
**Skills and Experience:** 
* 3 or more years of full\-time experience working in a structured product development environment on a product that had frequent releases (i.e., regular updates with enhancements, bug fixes, and new features)
* Experience collaborating with partners from different job functions, and the ability to translate business requirements into technical builds
* A strong understanding of both the scientific method and software engineering principles, with a proven ability to balance experimental rigor and rapid production deployment
* Experience with modern programming languages (in this role, you’ll use both Python and Typescript)
* Ability to thrive in an entrepreneurial environment, showing a tendency toward speed and action while achieving clarity from ambiguity
* A passion not only for AI, but also in the application of AI to solve real problems for real users.
 If you are a match for this role, you’ll feel comfortable diving deep into the data to figure out the best way to solve a particular user problem, presenting your findings, incorporating updates based on feedback, and implementing your solution in code. Ultimately doing all of this to make a
 tangible difference for users
* You are excited by the opportunity to use your combined skillset in data science and AI engineering to make a true impact on patient lives
**Compensation Range and Benefits** 
* Salary/Hourly Rate Range\*: $170,000 \- $200,000
* This role is equity eligible
* This role offers a competitive benefits and wellness package
 \*Subject to location, experience, and education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51">
      <c r="A51" t="inlineStr">
        <is>
          <t>li-4292579407</t>
        </is>
      </c>
      <c r="B51" t="inlineStr">
        <is>
          <t>Applied Scientist II, Prime Video Recommendation/Search Science</t>
        </is>
      </c>
      <c r="C51" t="inlineStr">
        <is>
          <t>Prime Video &amp; Amazon MGM Studios</t>
        </is>
      </c>
      <c r="D51" t="inlineStr">
        <is>
          <t>linkedin</t>
        </is>
      </c>
      <c r="E51">
        <f>HYPERLINK("https://www.linkedin.com/jobs/view/4292579407", "https://www.linkedin.com/jobs/view/4292579407")</f>
        <v/>
      </c>
      <c r="F51">
        <f>HYPERLINK("https://www.amazon.jobs/jobs/3068500/applied-scientist-ii-prime-video-recommendationsearch-science?cmpid=SPLICX0248M&amp;utm_source=linkedin.com&amp;utm_campaign=cxro&amp;utm_medium=social_media&amp;utm_content=job_posting&amp;ss=paid&amp;urlHash=hq0W", "https://www.amazon.jobs/jobs/3068500/applied-scientist-ii-prime-video-recommendationsearch-science?cmpid=SPLICX0248M&amp;utm_source=linkedin.com&amp;utm_campaign=cxro&amp;utm_medium=social_media&amp;utm_content=job_posting&amp;ss=paid&amp;urlHash=hq0W")</f>
        <v/>
      </c>
      <c r="G51" t="inlineStr">
        <is>
          <t>Seattle, WA</t>
        </is>
      </c>
      <c r="H51" t="inlineStr"/>
      <c r="I5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A3068500</t>
        </is>
      </c>
    </row>
    <row r="52">
      <c r="A52" t="inlineStr">
        <is>
          <t>li-4355384375</t>
        </is>
      </c>
      <c r="B52" t="inlineStr">
        <is>
          <t>Applied AI Engineer</t>
        </is>
      </c>
      <c r="C52" t="inlineStr">
        <is>
          <t>Oscar Health</t>
        </is>
      </c>
      <c r="D52" t="inlineStr">
        <is>
          <t>linkedin</t>
        </is>
      </c>
      <c r="E52">
        <f>HYPERLINK("https://www.linkedin.com/jobs/view/4355384375", "https://www.linkedin.com/jobs/view/4355384375")</f>
        <v/>
      </c>
      <c r="F52">
        <f>HYPERLINK("https://app.greenhouse.io/embed/job_app?token=7525125&amp;gh_src=df2216f21&amp;source=LinkedIn&amp;urlHash=RYQq", "https://app.greenhouse.io/embed/job_app?token=7525125&amp;gh_src=df2216f21&amp;source=LinkedIn&amp;urlHash=RYQq")</f>
        <v/>
      </c>
      <c r="G52" t="inlineStr">
        <is>
          <t>New York, NY</t>
        </is>
      </c>
      <c r="H52" t="inlineStr"/>
      <c r="I52" t="inlineStr">
        <is>
          <t>Hi, we're Oscar. We're hiring an Applied AI Engineer to join our AI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Join Oscar’s AI team to build and launch transformative AI\-powered products that redefine the healthcare experience for millions. As an Applied AI Engineer, you’ll take end\-to\-end ownership of high\-impact projects—conceiving, prototyping, and deploying generative AI solutions that solve real\-world problems across the healthcare ecosystem.You’ll work alongside a world\-class team of engineers and data scientists, rapidly iterating on ideas and shipping production\-ready applications that drive measurable business and user outcomes. You’ll have the autonomy to identify opportunities, experiment with the latest AI models and techniques, and deliver solutions that streamline operations, improve patient experiences, and move the needle for Oscar and our members.
 You will report to the Sr. Director, AI.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$180,504 \- $236,911 per year. You are also eligible for employee benefits, participation in Oscar’s unlimited vacation program, company equity grants, and annual performance bonuses.
**Responsibilities**
* Lead the design, development, and deployment of AI\-driven products and features, from zero\-to\-one prototypes to robust production systems.
* Collaborate cross\-functionally with product, design, and business teams to deeply understand user needs and deliver solutions that move key metrics.
* Rapidly experiment with new models, techniques, and tools (including LLMs, RAG, and agentic workflows), iterating based on data and user feedback.
* Build and scale full\-stack applications and intelligent agents that automate complex healthcare workflows and deliver seamless user experiences.
* Stay on the cutting edge of the AI ecosystem, evaluating and integrating emerging technologies to keep Oscar at the forefront of healthcare innovation.
* Contribute to Oscar’s AI strategy and technical vision, helping shape the future of healthcare through technology.
* Other duties as assigned
**Qualifications**
* 7\+ years of professional experience in software engineering, data science, or a related field, with a track record of impactful accomplishments
* Strong Python programming skills
* Experience solving complex, ambiguous problems
* Experience designing and analyzing experiments or evaluations
* Experience or an interest in prototyping full\-stack applications
**Bonus Points**
* Experience with the healthcare industry. Familiarity with claims or clinical data.
* Degree in math, statistics, data science, or engineering.
* Our ideal candidate is a data scientist with an engineering background, an engineer with a data science background, or a founder\-type who combines product thinking, rapid prototyping, and hands\-on coding to deliver real\-world impact.
* Experience with NLP, neural networks, transformers, and modern AI frameworks.
* Knowledge of containerization and deployment tools (e.g., Docker, Kubernetes) or full\-stack development (e.g., React, Golang).
* Experimental mindset: comfort with testing hypotheses and iterating on failures.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53">
      <c r="A53" t="inlineStr">
        <is>
          <t>li-4365626474</t>
        </is>
      </c>
      <c r="B53" t="inlineStr">
        <is>
          <t>Applied Scientist II, Prime Video Personalization and Discovery Science</t>
        </is>
      </c>
      <c r="C53" t="inlineStr">
        <is>
          <t>Prime Video &amp; Amazon MGM Studios</t>
        </is>
      </c>
      <c r="D53" t="inlineStr">
        <is>
          <t>linkedin</t>
        </is>
      </c>
      <c r="E53">
        <f>HYPERLINK("https://www.linkedin.com/jobs/view/4365626474", "https://www.linkedin.com/jobs/view/4365626474")</f>
        <v/>
      </c>
      <c r="F53">
        <f>HYPERLINK("https://www.amazon.jobs/jobs/3165547/applied-scientist-ii-prime-video-personalization-and-discovery-science?cmpid=SPLICX0248M&amp;utm_source=linkedin.com&amp;utm_campaign=cxro&amp;utm_medium=social_media&amp;utm_content=job_posting&amp;ss=paid&amp;urlHash=2tv5", "https://www.amazon.jobs/jobs/3165547/applied-scientist-ii-prime-video-personalization-and-discovery-science?cmpid=SPLICX0248M&amp;utm_source=linkedin.com&amp;utm_campaign=cxro&amp;utm_medium=social_media&amp;utm_content=job_posting&amp;ss=paid&amp;urlHash=2tv5")</f>
        <v/>
      </c>
      <c r="G53" t="inlineStr">
        <is>
          <t>New York, United States</t>
        </is>
      </c>
      <c r="H53" t="inlineStr"/>
      <c r="I5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A3165547</t>
        </is>
      </c>
    </row>
    <row r="54">
      <c r="A54" t="inlineStr">
        <is>
          <t>li-4343500149</t>
        </is>
      </c>
      <c r="B54" t="inlineStr">
        <is>
          <t>Sr. Applied Scientist, Frontier AI &amp; Robotics (FAR)</t>
        </is>
      </c>
      <c r="C54" t="inlineStr">
        <is>
          <t>Amazon</t>
        </is>
      </c>
      <c r="D54" t="inlineStr">
        <is>
          <t>linkedin</t>
        </is>
      </c>
      <c r="E54">
        <f>HYPERLINK("https://www.linkedin.com/jobs/view/4343500149", "https://www.linkedin.com/jobs/view/4343500149")</f>
        <v/>
      </c>
      <c r="F54">
        <f>HYPERLINK("https://www.amazon.jobs/jobs/3141237/sr-applied-scientist-frontier-ai\u002d\u002drobotics-far?cmpid=SPLICX0248M&amp;utm_source=linkedin.com&amp;utm_campaign=cxro&amp;utm_medium=social_media&amp;utm_content=job_posting&amp;ss=paid&amp;urlHash=TwpA", "https://www.amazon.jobs/jobs/3141237/sr-applied-scientist-frontier-ai\u002d\u002drobotics-far?cmpid=SPLICX0248M&amp;utm_source=linkedin.com&amp;utm_campaign=cxro&amp;utm_medium=social_media&amp;utm_content=job_posting&amp;ss=paid&amp;urlHash=TwpA")</f>
        <v/>
      </c>
      <c r="G54" t="inlineStr">
        <is>
          <t>San Francisco, CA</t>
        </is>
      </c>
      <c r="H54" t="inlineStr"/>
      <c r="I54" t="inlineStr">
        <is>
          <t>**Description**
 Join the next revolution in robotics at Amazon's Frontier AI \&amp; Robotics team. As a Senior Applied Scientist, you'll spearhead the development of breakthrough foundation models and full\-stack robotics systems that enable robots to perceive, understand, and interact with the world in unprecedented ways. You'll drive technical excellence in areas such as locomotion, manipulation, sim2real transfer, multi\-modal and multi\-task robot learning, designing novel frameworks that bridge the gap between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across the robotics stack, driving breakthrough approaches through hands\-on research and development in areas including robot co\-design, dexterous manipulation mechanisms, innovative actuation strategies, state estimation, low\-level control, system identification, reinforcement learning, and sim\-to\-real transfer, as well as foundation models for perception and manipulation
* Guide technical direction for full\-stack robotics projects from conceptualization through deployment, taking a system\-level approach that integrates hardware considerations with algorithmic development
* Develop and optimize control algorithms and sensing pipelines that enable robust performance in production environments
* Mentor fellow scientists while maintaining strong individual technical contributions
* Collaborate with platform and hardware teams to ensure seamless integration across the entire robotics stack
* Influence technical decisions and implementation strategies within your area of focus
 A day in the life
* Design and implement innovative systems and algorithms, working hands\-on with our extensive infrastructure to prototype and evaluate at scale
* Guide fellow scientists in solving complex technical challenges across the full robotics stack
* Lead focused technical initiatives from conception through deployment, ensuring successful integration with production systems
* Drive technical discussions within your team and with key stakeholders
* Conduct experiments and prototype new ideas using our massive compute cluster and extensive robotics infrastructure
* Mentor team members while maintaining significant hands\-on contribution to technical solutions
**About The Team**
 At Frontier AI \&amp; Robotics, we're not just advancing robotics – we're reimagining it from the ground up. Our team is building the future of intelligent robotics through innovative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6\+ years of applied research experience
* 3\+ years of industry or academic research experience in ME, EE, CS, CE, or related field
* Experience programming in Java, C\+\+, Python or related language
* Experience with hardware design, low\-level control, state estimation, system identification, or complex electrical systems
* Strong publication record at top\-tier conferences (RSS, CoRL, NeurIPS, ICML, ICLR, CVPR, ICCV, ICRA, IROS)
* Strong track record of leading technical projects
* Experience mentoring junior scientists/engineers
* Demonstrated expertise in deep learning and robotics system development
**Preferred Qualifications**
* History of impactful first\-author publications at major robotics and ML conferences
* Experience leading research initiatives in full\-stack robotics or foundation models
* Track record of successful production robotics deployments
* Experience with large\-scale distributed systems
* History of technical leadership and team mentorship
* Experience bridging research with practical engineering implementation in robotics systems
* Extensive programming skills in Python and PyTorch/JAX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\- 192,200\.00 \- 260,000\.00 USD annually
**Company** 
 \- Amazon.com Services LLC
 Job ID: A3141237</t>
        </is>
      </c>
    </row>
    <row r="55">
      <c r="A55" t="inlineStr">
        <is>
          <t>li-4312073984</t>
        </is>
      </c>
      <c r="B55" t="inlineStr">
        <is>
          <t>Machine Learning Engineer, Distributed &amp; Scalable Training</t>
        </is>
      </c>
      <c r="C55" t="inlineStr">
        <is>
          <t>Lila Sciences</t>
        </is>
      </c>
      <c r="D55" t="inlineStr">
        <is>
          <t>linkedin</t>
        </is>
      </c>
      <c r="E55">
        <f>HYPERLINK("https://www.linkedin.com/jobs/view/4312073984", "https://www.linkedin.com/jobs/view/4312073984")</f>
        <v/>
      </c>
      <c r="F55" t="inlineStr"/>
      <c r="G55" t="inlineStr">
        <is>
          <t>Cambridge, MA</t>
        </is>
      </c>
      <c r="H55" t="inlineStr"/>
      <c r="I55" t="inlineStr">
        <is>
          <t>**Your Impact at Lila**
 We’re seeking a ML Engineer specializing in
 **distributed and scalable training** 
 . You’ll design and maintain large\-scale training systems, optimize performance for massive models, and integrate cutting\-edge techniques to improve efficiency and throughput.
**What You’ll Be Building**
* Ray\-based distributed training infrastructure for LLMs and multi\-modal models.
* Performance optimizations for large\-scale model training including training and optimization workflows (SFT, MoE, long\-context scaling).
* Orchestrate frontier and open source LLMs along with complex compute\-intensive tool use
* Scalable pipelines for data preprocessing and experiment orchestration, including tools for efficient data loading, pipeline parallelism, and optimizer tuning.
* System\-level performance benchmarks and debugging utilities.
**What You’ll Need To Succeed**
* Proven experience with distributed ML training frameworks (Megatron\-LM, TorchTitan, DeepSpeed, Ray).
* Strong software engineering skills (Python, C\+\+ kernel contributions are a plus).
* Understanding of large\-scale model training techniques.
* Experience with cloud or HPC environments.
**Bonus Points For**
* Prior work with scientific datasets or domain\-specific modeling.
* Contributions to open\-source ML frameworks.
**Location**
 San Francisco, CA or Cambridge, MA (Hybrid and On\-Site available depending on team needs).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
 CompensationWe offer competitive compensation including bonus potential and generous early equity. The final offer will reflect your unique background, expertise, and impact.
 Expected Base Salary Range: $116,000 USD \- $170,000 USD</t>
        </is>
      </c>
    </row>
    <row r="56">
      <c r="A56" t="inlineStr">
        <is>
          <t>li-4381532141</t>
        </is>
      </c>
      <c r="B56" t="inlineStr">
        <is>
          <t>AI/ML Engineer</t>
        </is>
      </c>
      <c r="C56" t="inlineStr">
        <is>
          <t>Wiraa</t>
        </is>
      </c>
      <c r="D56" t="inlineStr">
        <is>
          <t>linkedin</t>
        </is>
      </c>
      <c r="E56">
        <f>HYPERLINK("https://www.linkedin.com/jobs/view/4381532141", "https://www.linkedin.com/jobs/view/4381532141")</f>
        <v/>
      </c>
      <c r="F56">
        <f>HYPERLINK("https://www.wiraa.com/job-description/us254CA1C48F20047564B5F2379AC19E2D?source=Linkedin&amp;urlHash=jqeE", "https://www.wiraa.com/job-description/us254CA1C48F20047564B5F2379AC19E2D?source=Linkedin&amp;urlHash=jqeE")</f>
        <v/>
      </c>
      <c r="G56" t="inlineStr"/>
      <c r="H56" t="inlineStr"/>
      <c r="I56" t="inlineStr">
        <is>
          <t>**About The Company**
 Air Apps is a forward\-thinking, family\-founded technology company dedicated to revolutionizing resource management through artificial intelligence. Established in Lisbon, Portugal in 2018, the company has expanded its presence with offices in Lisbon and San Francisco, maintaining a self\-funded model that underscores its innovative spirit. With over 100 million downloads worldwide, Air Apps is committed to developing cutting\-edge AI\-powered solutions that empower individuals and entrepreneurs to optimize their planning, work, and lifestyle. The company's mission is to challenge the status quo daily, pushing the boundaries of AI\-driven products that make a meaningful impact on users' lives. At Air Apps, employees are encouraged to be creative, innovative, and proactive in shaping products that redefine how people manage resources globally.
**About The Role**
 We are seeking an experienced AI/ML Engineer to join our dynamic team. In this role, you will be instrumental in designing, developing, and refining machine learning models that underpin our mobile applications. Your expertise will directly influence the creation of intelligent, personalized features aimed at enhancing user engagement and overall app performance. Collaborating closely with product managers, engineers, and designers, you will help integrate advanced AI solutions into our products, ensuring they are scalable, efficient, and aligned with the latest technological advancements. Your work will contribute to maintaining our competitive edge in the mobile app industry by deploying state\-of\-the\-art AI techniques and ensuring seamless model operation within mobile environments.
**Qualifications**
* Minimum of 3\+ years of experience in AI/ML development, preferably within mobile applications
* Proficiency in Python programming language
* Experience with machine learning frameworks such as TensorFlow and PyTorch
* Strong knowledge of deep learning, natural language processing (NLP), computer vision, and statistical modeling
* Familiarity with cloud\-based ML services including AWS, Google Cloud, or Azure
* Solid understanding of data structures, algorithms, and software engineering best practices
* Hands\-on experience in deploying and maintaining machine learning models in production environments
* Excellent collaboration skills for remote team work
* Strong problem\-solving abilities and a passion for innovation
**Responsibilities**
* Develop, train, and optimize machine learning models to support various features within our mobile applications
* Research and implement cutting\-edge AI techniques to enhance user engagement and app efficiency
* Collaborate with cross\-functional teams to seamlessly integrate AI\-driven functionalities into products
* Design and maintain scalable machine learning pipelines, ensuring smooth deployment and ongoing monitoring
* Analyze large datasets to extract actionable insights and inform product development decisions
* Stay abreast of emerging trends and advancements in AI, incorporating best practices into development workflows
* Optimize AI models for mobile environments to achieve high performance with minimal latency
**Benefits**
* Access to Apple hardware ecosystem for work purposes
* Annual performance bonus
* Comprehensive medical insurance, including vision and dental coverage
* Disability insurance covering short\-term and long\-term needs
* 401(k) retirement plan with up to 4% company contribution
* Participation in Air Conference for team collaboration and professional growth
* Transportation budget to support commuting needs
* Free meals available at the company hub
* Gym membership to promote health and wellness
 Equal Opportunity
 At Air Apps, we are dedicated to fostering a diverse, inclusive, and equitable workplace. We welcome applicants from all backgrounds, experiences, and perspectives. We believe that diversity enriches our team and drives innovation, and we are committed to providing equal employment opportunities to all individuals without discrimination. We celebrate differences and are committed to creating a supportive environment where everyone can thrive.</t>
        </is>
      </c>
    </row>
    <row r="57">
      <c r="A57" t="inlineStr">
        <is>
          <t>li-4361329433</t>
        </is>
      </c>
      <c r="B57" t="inlineStr">
        <is>
          <t>Machine Learning Engineer - Ranking &amp; Recommendations</t>
        </is>
      </c>
      <c r="C57" t="inlineStr">
        <is>
          <t>Uber</t>
        </is>
      </c>
      <c r="D57" t="inlineStr">
        <is>
          <t>linkedin</t>
        </is>
      </c>
      <c r="E57">
        <f>HYPERLINK("https://www.linkedin.com/jobs/view/4361329433", "https://www.linkedin.com/jobs/view/4361329433")</f>
        <v/>
      </c>
      <c r="F57">
        <f>HYPERLINK("https://tnl2.jometer.com/v2/job?jz=5wqzs7b398c1e6eebcd623a32050897a4109dKMALBBQAAADQ&amp;iis=Job%20Board%20-%20Recruitment%20Marketing&amp;iisn=LinkedIn&amp;urlHash=YzRE", "https://tnl2.jometer.com/v2/job?jz=5wqzs7b398c1e6eebcd623a32050897a4109dKMALBBQAAADQ&amp;iis=Job%20Board%20-%20Recruitment%20Marketing&amp;iisn=LinkedIn&amp;urlHash=YzRE")</f>
        <v/>
      </c>
      <c r="G57" t="inlineStr">
        <is>
          <t>New York, NY</t>
        </is>
      </c>
      <c r="H57" t="inlineStr"/>
      <c r="I57"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**What The Candidate Will Do**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2\+ years of experience building and deploying machine learning models (or a PhD in a relevant field)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8">
      <c r="A58" t="inlineStr">
        <is>
          <t>li-4381515864</t>
        </is>
      </c>
      <c r="B58" t="inlineStr">
        <is>
          <t>Machine Learning Engineer - Early Career</t>
        </is>
      </c>
      <c r="C58" t="inlineStr">
        <is>
          <t>Jobright.ai</t>
        </is>
      </c>
      <c r="D58" t="inlineStr">
        <is>
          <t>linkedin</t>
        </is>
      </c>
      <c r="E58">
        <f>HYPERLINK("https://www.linkedin.com/jobs/view/4381515864", "https://www.linkedin.com/jobs/view/4381515864")</f>
        <v/>
      </c>
      <c r="F58" t="inlineStr"/>
      <c r="G58" t="inlineStr"/>
      <c r="H58" t="inlineStr"/>
      <c r="I58"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59">
      <c r="A59" t="inlineStr">
        <is>
          <t>li-4310261742</t>
        </is>
      </c>
      <c r="B59" t="inlineStr">
        <is>
          <t>Machine Learning Engineer, End-to-end Autonomy</t>
        </is>
      </c>
      <c r="C59" t="inlineStr">
        <is>
          <t>Woven by Toyota</t>
        </is>
      </c>
      <c r="D59" t="inlineStr">
        <is>
          <t>linkedin</t>
        </is>
      </c>
      <c r="E59">
        <f>HYPERLINK("https://www.linkedin.com/jobs/view/4310261742", "https://www.linkedin.com/jobs/view/4310261742")</f>
        <v/>
      </c>
      <c r="F59">
        <f>HYPERLINK("https://jobs.lever.co/woven-by-toyota/99345ea5-9338-47b6-902c-8a5a34cf7a8c/apply?source=LinkedIn&amp;urlHash=6ILb", "https://jobs.lever.co/woven-by-toyota/99345ea5-9338-47b6-902c-8a5a34cf7a8c/apply?source=LinkedIn&amp;urlHash=6ILb")</f>
        <v/>
      </c>
      <c r="G59" t="inlineStr">
        <is>
          <t>Palo Alto, CA</t>
        </is>
      </c>
      <c r="H59" t="inlineStr"/>
      <c r="I59"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 Support the design and development of ML models or model components for end\-to\-end autonomous driving: ranging from initial data strategy, design, development, experimentation, evaluation and deployment;
* Able to navigate ambiguities and address uncertainties arising from complex projects involving multiple teams and legacy codebases;
* Writes high\-quality code while being rigorous with Machine Learning experimentation;
* Collaborate closely with stakeholders from multiple teams in different time\-zones to define interfaces and requirements for an end\-to\-end stack;
**Experience**
* MS, or higher degree, in related field, or equivalent industry experience
* Professional experience with ML frameworks such as PyTorch, Jax or Tensorflow (PyTorch preferred)
* Experience with data sampling and data curation pipelines for autonomous driving datasets
* Experience in state of the art architectures for end\-to\-end autonomous driving
* Experience in ML workflows: data sampling and curation, pre\-processing, model training, ablation studies, evaluation, deployment, inference optimization
* Python and C\+\+ experience
* Experience with infrastructure for large scale datasets and distributed model training
* Experience working with a modern cloud service (AWS, GCP, Azure etc.)
**Nice to Have**
* Hands\-on experience with autonomous driving systems
* Experience with model deployment with NVIDIA stack (e.g. ONNX graphs, TensorRT, profiling)
* Familiarity with recent breakthroughs in ML (e.g. foundation models, pre\-training and efficient fine\-tuning, multimodal Transformer architectures)
* Knowledge of autonomous driving large scale data curation pipelines
 For positions based in Palo Alto, CA, the base pay ranges from $112,000\- $184,000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60">
      <c r="A60" t="inlineStr">
        <is>
          <t>li-4382688213</t>
        </is>
      </c>
      <c r="B60" t="inlineStr">
        <is>
          <t>AI/ML Engineer x 2</t>
        </is>
      </c>
      <c r="C60" t="inlineStr">
        <is>
          <t>Aventis Solutions</t>
        </is>
      </c>
      <c r="D60" t="inlineStr">
        <is>
          <t>linkedin</t>
        </is>
      </c>
      <c r="E60">
        <f>HYPERLINK("https://www.linkedin.com/jobs/view/4382688213", "https://www.linkedin.com/jobs/view/4382688213")</f>
        <v/>
      </c>
      <c r="F60" t="inlineStr"/>
      <c r="G60" t="inlineStr">
        <is>
          <t>New York, NY</t>
        </is>
      </c>
      <c r="H60" t="inlineStr"/>
      <c r="I60" t="inlineStr">
        <is>
          <t>**Follow Billy Hall and @AventisSolutions for more updates on the wider team build** 
 : Aventis Solutions is igniting the AI revolution:
 They have just launched
 **The AI Executive Podcast** 
 ,
 which can be found here:
* **YouTube**
* **Spotify**
* **Amazon Music**
 For now, we’re hiring AI Consultants, AI Engineers \&amp; Software Engineers (4 roles) on behalf of a high\-growth FinTech organisation (remote\-first, HQ in New York) as they continue to expand their AI and engineering capabilities.
 Open Positions:
* **2 x AI Consultants**
* **2 x AI Engineers**
* **2 x Software Engineers**
 This organisation is heavily investing in AI, advanced analytics, and next\-generation financial technology, building intelligent, scalable platforms that support clients across multiple sectors within financial services and adjacent industries.
**Key Details of the Roles:** 
* Fully remote working model (global\-friendly, with HQ in New York)
* Competitive salary, $120,000\-190,000 \+ bonus potential, and strong benefits
* High\-impact work within a fast\-scaling fintech environment
* Strong engineering culture with a product\-led mindset
* Exposure to cutting\-edge AI applications in regulated environments
**Technologies \&amp; Key Skills:** 
 Technology stacks vary by team and project, but typically include modern AI, cloud, and engineering tooling.
**Core technologies include:** 
* Cloud platforms:
 **AWS \&amp; Azure**
* AI/ML frameworks and LLM integration
* Python and modern backend languages
* APIs and microservices architectures
* Data platforms and real\-time processing systems
* CI/CD and DevOps tooling
* Containerisation and distributed systems
**Other key skills and experience:** 
* Designing and implementing scalable AI\-driven solutions
* Building robust, secure, production\-grade applications
* Experience working within fintech or regulated environments (desirable, not essential)
* Strong understanding of system design and performance optimisation
* Stakeholder collaboration and translating business needs into technical solutions
* Problem\-solving mindset with ability to work autonomously in remote teams
**Role Overview:** 
 This is an opportunity to join a
 **remote\-first fintech with strong backing and a New York HQ** 
 , operating at the intersection of finance, AI, and advanced technology. The company is delivering innovative solutions that combine intelligent automation, modern cloud infrastructure, and scalable software engineering.
 You’ll be working in an ambitious, fast\-moving environment where AI and technology are core to the business strategy, not just add\-ons.
**Follow Billy Hall and @AventisSolutions** 
 for more updates on the wider team build. You don't want to miss this.
 Believe the AI hype!
**Interested?** 
 Please submit your CV via LinkedIn or message Billy Hall for further information.
 Aventis Solutions is acting on behalf of our partner.
 Closing date March 28, 2025\.</t>
        </is>
      </c>
    </row>
    <row r="61">
      <c r="A61" t="inlineStr">
        <is>
          <t>li-4310260811</t>
        </is>
      </c>
      <c r="B61" t="inlineStr">
        <is>
          <t>Machine Learning Engineer, End-to-end Autonomy</t>
        </is>
      </c>
      <c r="C61" t="inlineStr">
        <is>
          <t>Woven by Toyota</t>
        </is>
      </c>
      <c r="D61" t="inlineStr">
        <is>
          <t>linkedin</t>
        </is>
      </c>
      <c r="E61">
        <f>HYPERLINK("https://www.linkedin.com/jobs/view/4310260811", "https://www.linkedin.com/jobs/view/4310260811")</f>
        <v/>
      </c>
      <c r="F61">
        <f>HYPERLINK("https://jobs.lever.co/woven-by-toyota/99345ea5-9338-47b6-902c-8a5a34cf7a8c/apply?source=LinkedIn&amp;urlHash=6ILb", "https://jobs.lever.co/woven-by-toyota/99345ea5-9338-47b6-902c-8a5a34cf7a8c/apply?source=LinkedIn&amp;urlHash=6ILb")</f>
        <v/>
      </c>
      <c r="G61" t="inlineStr">
        <is>
          <t>Ann Arbor, MI</t>
        </is>
      </c>
      <c r="H61" t="inlineStr"/>
      <c r="I61"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 Support the design and development of ML models or model components for end\-to\-end autonomous driving: ranging from initial data strategy, design, development, experimentation, evaluation and deployment;
* Able to navigate ambiguities and address uncertainties arising from complex projects involving multiple teams and legacy codebases;
* Writes high\-quality code while being rigorous with Machine Learning experimentation;
* Collaborate closely with stakeholders from multiple teams in different time\-zones to define interfaces and requirements for an end\-to\-end stack;
**Experience**
* MS, or higher degree, in related field, or equivalent industry experience
* Professional experience with ML frameworks such as PyTorch, Jax or Tensorflow (PyTorch preferred)
* Experience with data sampling and data curation pipelines for autonomous driving datasets
* Experience in state of the art architectures for end\-to\-end autonomous driving
* Experience in ML workflows: data sampling and curation, pre\-processing, model training, ablation studies, evaluation, deployment, inference optimization
* Python and C\+\+ experience
* Experience with infrastructure for large scale datasets and distributed model training
* Experience working with a modern cloud service (AWS, GCP, Azure etc.)
**Nice to Have**
* Hands\-on experience with autonomous driving systems
* Experience with model deployment with NVIDIA stack (e.g. ONNX graphs, TensorRT, profiling)
* Familiarity with recent breakthroughs in ML (e.g. foundation models, pre\-training and efficient fine\-tuning, multimodal Transformer architectures)
* Knowledge of autonomous driving large scale data curation pipelines
 For positions based in Palo Alto, CA, the base pay ranges from $112,000\- $184,000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62">
      <c r="A62" t="inlineStr">
        <is>
          <t>li-4381511987</t>
        </is>
      </c>
      <c r="B62" t="inlineStr">
        <is>
          <t>AI Engineer, Entry Level</t>
        </is>
      </c>
      <c r="C62" t="inlineStr">
        <is>
          <t>Jobright.ai</t>
        </is>
      </c>
      <c r="D62" t="inlineStr">
        <is>
          <t>linkedin</t>
        </is>
      </c>
      <c r="E62">
        <f>HYPERLINK("https://www.linkedin.com/jobs/view/4381511987", "https://www.linkedin.com/jobs/view/4381511987")</f>
        <v/>
      </c>
      <c r="F62">
        <f>HYPERLINK("https://jobright.ai/jobs/info/b2b_1770936109040_2?utm_source=5012&amp;utm_campaign=b2b_1770936109040_2&amp;urlHash=PvRu", "https://jobright.ai/jobs/info/b2b_1770936109040_2?utm_source=5012&amp;utm_campaign=b2b_1770936109040_2&amp;urlHash=PvRu")</f>
        <v/>
      </c>
      <c r="G62" t="inlineStr"/>
      <c r="H62" t="inlineStr"/>
      <c r="I62"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63">
      <c r="A63" t="inlineStr">
        <is>
          <t>li-4272434323</t>
        </is>
      </c>
      <c r="B63" t="inlineStr">
        <is>
          <t>Senior Machine Learning Engineer, Applied AI</t>
        </is>
      </c>
      <c r="C63" t="inlineStr">
        <is>
          <t>SimplePractice</t>
        </is>
      </c>
      <c r="D63" t="inlineStr">
        <is>
          <t>linkedin</t>
        </is>
      </c>
      <c r="E63">
        <f>HYPERLINK("https://www.linkedin.com/jobs/view/4272434323", "https://www.linkedin.com/jobs/view/4272434323")</f>
        <v/>
      </c>
      <c r="F63" t="inlineStr"/>
      <c r="G63" t="inlineStr"/>
      <c r="H63" t="inlineStr"/>
      <c r="I63" t="inlineStr">
        <is>
          <t>**About Us**
 At SimplePractice, we are improving access to quality care by equipping health and wellness clinicians with all the tools they need to thrive in private practice. 
 More than 250,000 providers trust SimplePractice to build their business through our industry\-leading software with powerful tools that simplify every part of practice management. From admin work to clinical care, our suite of innovative solutions work together to reduce administrative burden—empowering solo and small group practitioners to thrive alongside their clients. 
 Recognized by MedTech Breakthrough as the Best Practice Management Solution Provider in 2024 and the Digital Health Awards in 2023, SimplePractice is proud to pave the future of health tech.
**The Role**
 Our team is dedicated to empowering clinicians through data\-driven innovations. We combine rigorous data science with practical engineering to build systems that make daily workflows more efficient, insightful, and intuitive. If you love tackling challenging problems and turning data into meaningful outcomes, you’ll find a welcoming and dynamic environment here.
 As a
 **Senior Machine Learning Engineer, Applied AI** 
 , you’ll be at the forefront of building product features that help clinicians work effectively and efficiently, providing quality care to patients. You’ll be designing experiments, building robust models, tuning prompts, implementing LLM evals, and driving projects from idea to prototype to production with product, engineering and devOps teams. You’ll also play an important role in the roadmapping exercises of our ML platform. 
 We value mentorship, open communication, and pushing the boundaries of what AI can do in a real\-world healthcare context. Whether you’re fine\-tuning a model, presenting insights to stakeholders, or brainstorming new product features, your work will have a direct and meaningful impact.
**Key Responsibilities**
* AI Prototyping and Development
+ Develop AI workflows, customize data pipelines,  tune models, and engineer prompts to bring idea to prototype
+ Work with subject matter experts to set up evaluation for AI workflows, ensuring rigor, quality and safety of content output
+ Work with eng partners to integrate AI workflows into production
+ Build and configure AI performance monitoring with proper reporting and alerts
+ Optimize and maintain AI workflows for performance, reliability, and long\-term scalability
* Research
+ Start with the Job\-to\-be\-done, dive deep into the domain and understand the problem from user perspective
+ Decompose problems into conquerable pieces. Design solutions to address each with cross\-disciplinary thinking and big picture in mind.
+ Conduct exploratory data analysis to answer key questions and test assumptions. Design experiments and build prototypes for proof\-of\-concept.
+ Build artifacts to illustrate the findings with rigor and how they inform the roadmap and decisions
* Cross\-Functional Collaboration
+ Provide AI expert advice to product and eng partners in shaping product roadmap
+ Partner closely with software eng, product, data eng, ML platform teams to scope and plan in execution
+ Communicate timeline, milestones, findings w/ internal stakeholders
* Mentor \&amp; Advocate Best Practices
+ Guide less experienced team members, sharing knowledge on LLM workflows and AI/ML model lifecycle
+ Champion a culture of experimentation, continuous learning, and proactive problem\-solving
* Drive Innovation
+ Stay current with emerging ML tools and technologies, integrating new techniques that elevate our product capabilities
+ Look for creative ways to leverage data to make clinicians’ lives easier, more efficient, and more effective
**Desired Skills \&amp; Experience**
* BS or above in Computer Science, Statistics or a related technical field
* 5\+ years of experience in Machine Learning, with proven track record of bringing ideas to life, from prototype to productized features
* Strong proficiency in Python and hands\-on with advanced data analysis tools
* Strong skills in data engineering and self\-sufficient in data pipelines for the AI workflow
* Experience with AWS (or other cloud platforms) for model deployment
* Comfortable designing and evaluating LLM\-driven workflows
* Familiarity with retrieval pipelines and vector databases
* Problem\-oriented mindset with strong cross\-disciplinary thinking and a bias toward simplicity and clarity in solving problems
* Comfort working with remote teams, using GitHub, Slack, Notion, and Zoom
* Proficiency in English with strong communication and collaboration skill
**Bonus Points**
* Experience with RAG architecture and context/state management for LLMs
* Familiarity with LLM eval tools and human\-in\-the\-loop evaluation process
* Experience with Outerbounds or similar ML orchestration platforms
* Experience with Argo Flows for CI/CD
* Experience with prompt management tool like Langfuse
* Familiarity with Kubernetes for container orchestration
* Background in healthcare, clinical workflows, or regulated domains
**Base Compensation Range**
 $197,500 \- $241,000
 Base salary is one component of total compensation. Employees may also be eligible for an annual bonus or commission. Some roles may also be eligible for overtime pay.
 The above represents the expected base compensation range for this job requisition. Ultimately, in determining your pay, we’ll consider many factors including, but not limited to, skills, experience, qualifications, geographic location, and other job\-related factors.
**Benefits**
 We offer a competitive benefits program including:
* Medical, dental, vision, life \&amp; disability insurance
* 401(k) plan with company match
* Flexible Time Off (FTO), wellbeing days, paid holidays, and summer Fridays
* Mental health resources
* Paid parental leave \&amp; Backup Care
* Tuition reimbursement
* Employee Resource Groups (ERGs)
**California Job Applicant Privacy Notice**
 Thank you for your interest in opportunities at SimplePractice LLC (“SimplePractice” or “us” or “we” or “our”). Please note that when you submit your resume or application materials to us for employment purposes, you are subject to the SimplePractice California Job Applicant Privacy Notice. 
**For more information about our privacy practices, please contact us at privacy@simplepractice.com.**</t>
        </is>
      </c>
    </row>
    <row r="64">
      <c r="A64" t="inlineStr">
        <is>
          <t>li-4382669658</t>
        </is>
      </c>
      <c r="B64" t="inlineStr">
        <is>
          <t>AI Engineer</t>
        </is>
      </c>
      <c r="C64" t="inlineStr">
        <is>
          <t>Best Job Tool</t>
        </is>
      </c>
      <c r="D64" t="inlineStr">
        <is>
          <t>linkedin</t>
        </is>
      </c>
      <c r="E64">
        <f>HYPERLINK("https://www.linkedin.com/jobs/view/4382669658", "https://www.linkedin.com/jobs/view/4382669658")</f>
        <v/>
      </c>
      <c r="F64" t="inlineStr"/>
      <c r="G64" t="inlineStr"/>
      <c r="H64" t="inlineStr"/>
      <c r="I64" t="inlineStr">
        <is>
          <t>**About The Company**
 Lumeris Inc. is a leading healthcare technology and services company dedicated to transforming the way healthcare is delivered. With a focus on value\-based care, Lumeris partners with health plans, providers, and healthcare organizations to optimize clinical outcomes, improve patient experiences, and reduce costs. The company combines innovative technology solutions with expert consulting services to enable healthcare organizations to succeed in a rapidly evolving industry. Committed to making healthcare more accessible, affordable, and effective, Lumeris prides itself on fostering a collaborative and forward\-thinking work environment where innovation and excellence are at the core of everything it does.
**About The Role**
 We are seeking a highly motivated and detail\-oriented Healthcare Data Analyst to join our dynamic team at Lumeris Inc. In this role, you will be responsible for analyzing complex healthcare data to generate actionable insights that support our clients' strategic initiatives. The ideal candidate will have a strong background in data analysis, healthcare informatics, and a passion for improving healthcare delivery. You will work closely with cross\-functional teams, including clinical, operational, and technical staff, to develop data\-driven solutions that enhance patient care and operational efficiency. This position offers an excellent opportunity to contribute to innovative healthcare projects and make a tangible impact on the industry.
**Qualifications**
* Bachelor’s degree in Health Informatics, Data Science, Statistics, or a related field; Master’s degree preferred.
* Minimum of 3 years of experience in healthcare data analysis or a similar role.
* Proficiency in SQL, R, Python, or other data analysis tools.
* Experience working with healthcare data systems such as EHR, claims data, and population health management platforms.
* Strong analytical skills with the ability to interpret complex data sets and translate findings into meaningful insights.
* Excellent communication skills, capable of presenting technical information to non\-technical stakeholders.
* Knowledge of healthcare regulations and compliance standards, including HIPAA.
* Ability to work independently and collaboratively in a fast\-paced environment.
**Responsibilities**
* Analyze large datasets to identify trends, patterns, and opportunities for process improvement.
* Develop and maintain dashboards, reports, and visualizations to communicate insights effectively.
* Collaborate with clinical and operational teams to understand data needs and deliver relevant solutions.
* Support the development of predictive models and algorithms to enhance patient outcomes and operational efficiency.
* Ensure data quality and integrity through validation and regular audits.
* Assist in the design and implementation of data collection and management processes.
* Stay updated with industry best practices and emerging trends in healthcare data analytics.
* Participate in cross\-functional projects to support strategic initiatives and drive innovation.
**Benefits**
 Lumeris Inc. offers a comprehensive benefits package designed to support our employees' health, well\-being, and professional growth. Employees enjoy competitive salary packages, health insurance plans including medical, dental, and vision coverage, and a 401(k) retirement plan with company matching. We also provide paid time off, flexible work arrangements, and opportunities for continuous learning and development. Our commitment to fostering a positive and inclusive workplace culture ensures that every team member feels valued and empowered to contribute to our mission of transforming healthcare delivery.
 Equal Opportunity
 Lumeris Inc.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perspectives and experiences strengthen our organization and drive innovation in healthcare.</t>
        </is>
      </c>
    </row>
    <row r="65">
      <c r="A65" t="inlineStr">
        <is>
          <t>li-4321347365</t>
        </is>
      </c>
      <c r="B65" t="inlineStr">
        <is>
          <t>Machine Learning Engineer (AI Platform Lead)</t>
        </is>
      </c>
      <c r="C65" t="inlineStr">
        <is>
          <t>ArteraAI</t>
        </is>
      </c>
      <c r="D65" t="inlineStr">
        <is>
          <t>linkedin</t>
        </is>
      </c>
      <c r="E65">
        <f>HYPERLINK("https://www.linkedin.com/jobs/view/4321347365", "https://www.linkedin.com/jobs/view/4321347365")</f>
        <v/>
      </c>
      <c r="F65">
        <f>HYPERLINK("https://jobs.lever.co/artera/d3c0ca46-28cd-4193-a678-ef95002dce01/apply?source=LinkedIn&amp;urlHash=5bAC", "https://jobs.lever.co/artera/d3c0ca46-28cd-4193-a678-ef95002dce01/apply?source=LinkedIn&amp;urlHash=5bAC")</f>
        <v/>
      </c>
      <c r="G65" t="inlineStr"/>
      <c r="H65" t="inlineStr"/>
      <c r="I65" t="inlineStr">
        <is>
          <t>**About Us:** 
 Artera is an AI startup that develops medical artificial intelligence tests to personalize therapy for cancer patients. Artera is on a mission to personalize medical decisions for patients and physicians on a global scale.
 As a Machine Learning Engineer at Artera, you’ll work on the AI Platform team with a focus on establishing scalable and efficient pipelines for data processing and model training. You’ll work closely with AI model developers, fellow machine learning engineers, and our platform engineering team. You’ll ensure that Artera’s model developers can rely on highly efficient, large\-scale training regimes and deploy optimized models to production environments.
**Essential Responsibilities**
* Develop the long term vision and roadmap for Artera’s AI platform that will allow the company to continue to scale in terms of both increased inference volume and development workloads.
* Accountable for Artera’s ML compute infrastructure including scaling up Artera’s Foundation Model development by developing distributed training infrastructure and developer libraries.
* Build and evolve the core libraries used by AI scientists to develop, launch, and monitor AI products.
* Work with model developers to optimize GPU and CPU efficiency and data throughput of large\-scale foundation models and downstream model training runs.
* Optimize Artera’s ability to store and serve terabytes of digital pathology data efficiently for the use in serving large\-scale training regimes.
* Ensure that Artera’s observability infrastructure provides a clear picture of how to continue to optimize performance across our model landscape.
**Experience Requirements**
* 8\+ years of industry software engineering experience
* 4\+ years of industry experience in using ML orchestration frameworks such as Flyte, Ray, Kubeflow, Metaflow, MLFlow, Dagster, Argo Workflow or Prefect
* 4\+ years of industry experience using one of PyTorch, TensorFlow, or JAX in Python
* 3\+ years of industry experience building with AWS, Docker, and Kubernetes
* 1\+ years of industry experience optimizing large\-scale, high data\-throughput, distributed machine learning training pipelines
**Desired**
* Experience using Terraform, SqlAlchemy
* Experience in multi\-node and multi\-gpu training.
* Experience deploying and maintaining infrastructure for machine learning training and production inference
* Familiarity with TorchScript, ONNXRuntime, DeepSpeed, AWS Neuron or similar approaches to inference optimization
**Work Authorization Requirement**
* This is a remote role open to candidates who are currently authorized to work either in the United States or in Canada without the need for current or future employment\-based visa sponsorship. Artera does not sponsor visas for this position.
* Eligible candidates may include:
* Individuals authorized to work in the United States on a permanent basis (e.g., U.S. citizens, U.S. permanent residents), or
* Individuals authorized to work in Canada (e.g., Canadian citizens or Canadian permanent residents).
* Visa Transfers (if needed).
**Here are few posts from our teammates, partners and customer voices to highlight the work we do:**
* Artera Shapes the Future of Cancer Treatment Using Machine Learning on AWS
* How Artera AI test allowed Bruno to avoid hormone therapy
* Startups are using AI to predict responses to Cancer Drugs
* ArteraAI validates its Prognostic Model in Advanced Prostate Cancer
* How Artera Enhances Prostate Cancer Diagnostics Using AWS
 $180,000 \- $220,000 a year
 In addition to base salary, equity is a core component of our compensation. We also offer 401k matching, unlimited paid time off (PTO), and more.
 The base salary is competitive and commensurate with experience, qualifications, and other factors to be discussed during the interview process.
**Equal Employee Opportunity** 
 : At Artera, we value bringing together individuals from diverse backgrounds to develop new and innovative solutions for patients and physicians.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t>
        </is>
      </c>
    </row>
    <row r="66">
      <c r="A66" t="inlineStr">
        <is>
          <t>li-4333099773</t>
        </is>
      </c>
      <c r="B66" t="inlineStr">
        <is>
          <t>Senior AI/ML Engineer - AV Infra</t>
        </is>
      </c>
      <c r="C66" t="inlineStr">
        <is>
          <t>General Motors</t>
        </is>
      </c>
      <c r="D66" t="inlineStr">
        <is>
          <t>linkedin</t>
        </is>
      </c>
      <c r="E66">
        <f>HYPERLINK("https://www.linkedin.com/jobs/view/4333099773", "https://www.linkedin.com/jobs/view/4333099773")</f>
        <v/>
      </c>
      <c r="F66">
        <f>HYPERLINK("https://generalmotors.wd5.myworkdayjobs.com/Careers_GM/job/Sunnyvale-California-United-States-of-America/Senior-AI-ML-Engineer_JR-202520927?source=LinkedIn&amp;urlHash=hYCI", "https://generalmotors.wd5.myworkdayjobs.com/Careers_GM/job/Sunnyvale-California-United-States-of-America/Senior-AI-ML-Engineer_JR-202520927?source=LinkedIn&amp;urlHash=hYCI")</f>
        <v/>
      </c>
      <c r="G66" t="inlineStr">
        <is>
          <t>Sunnyvale, CA</t>
        </is>
      </c>
      <c r="H66" t="inlineStr"/>
      <c r="I66" t="inlineStr">
        <is>
          <t>**Job Description**
**Senior AI/ML Engineer, AV ML Infra**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As a
 **Senior AI/ML Engineer** 
 , you will focus on designing and implementing scalable ML infrastructure solutions. You will take ownership of key technical projects, provide mentorship to junior engineers, and collaborate across teams to solve complex problems. This is an individual contributor role emphasizing deep technical impact rather than leadership of large teams.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5\+ years of experience, with a strong background in large\-scale distributed systems preferred.
* 1\+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$170,600\- $261,300\.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7">
      <c r="A67" t="inlineStr">
        <is>
          <t>li-4333322561</t>
        </is>
      </c>
      <c r="B67" t="inlineStr">
        <is>
          <t>Staff AI/ML Engineer - CI Platform</t>
        </is>
      </c>
      <c r="C67" t="inlineStr">
        <is>
          <t>General Motors</t>
        </is>
      </c>
      <c r="D67" t="inlineStr">
        <is>
          <t>linkedin</t>
        </is>
      </c>
      <c r="E67">
        <f>HYPERLINK("https://www.linkedin.com/jobs/view/4333322561", "https://www.linkedin.com/jobs/view/4333322561")</f>
        <v/>
      </c>
      <c r="F67" t="inlineStr"/>
      <c r="G67" t="inlineStr">
        <is>
          <t>Mountain View, CA</t>
        </is>
      </c>
      <c r="H67" t="inlineStr"/>
      <c r="I67"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Staff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7\+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\#GM\-AV\-1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68">
      <c r="A68" t="inlineStr">
        <is>
          <t>li-4319497455</t>
        </is>
      </c>
      <c r="B68" t="inlineStr">
        <is>
          <t>Principal AI/ML Engineer - AdTech</t>
        </is>
      </c>
      <c r="C68" t="inlineStr">
        <is>
          <t>Zeta Global</t>
        </is>
      </c>
      <c r="D68" t="inlineStr">
        <is>
          <t>linkedin</t>
        </is>
      </c>
      <c r="E68">
        <f>HYPERLINK("https://www.linkedin.com/jobs/view/4319497455", "https://www.linkedin.com/jobs/view/4319497455")</f>
        <v/>
      </c>
      <c r="F68" t="inlineStr"/>
      <c r="G68" t="inlineStr">
        <is>
          <t>New York, United States</t>
        </is>
      </c>
      <c r="H68" t="inlineStr"/>
      <c r="I68"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**Role Description**
 As a Principal AI/ML Engineer in our AdTech team, you will be a key individual contributor driving the development of advanced machine learning models and AI\-driven features for our advertising platform. You will design, build, and deploy ML solutions for campaign optimization, user personalization, and creative content generation, operating at large scale and low latency to handle billions of ad events per day. This role requires deep expertise in machine learning techniques
 *and* 
 the programmatic advertising ecosystem (e.g., real\-time bidding and digital marketing data). You will work closely with engineering, product, and data science teams to ensure our ML systems are highly performant, scalable, and reliable. You will also spearhead innovation by leveraging large language models (LLMs) and intelligent agent architectures to create new capabilities that automate and enhance advertising campaigns.
**Key Responsibilities**
* Machine Learning Leadership: Lead the design and implementation of scalable, high\-performance, and resilient ML solutions for AdTech use cases. You will set technical direction for integrating AI/ML into our Demand\-Side Platform and broader ad tech stack.
* ML System Design: Architect and evolve the end\-to\-end machine learning pipeline – from data ingestion and training to real\-time inference, for our real\-time bidding, targeting, and optimization algorithms. Ensure that models seamlessly integrate with our ad serving architecture and handle low\-latency, high\-throughput requirements.
* Technical Strategy: Define the technical roadmap and vision for AI/ML in our platform, evaluating new tools and techniques (including the latest in deep learning and LLMs) and making strategic build\-vs\-buy decisions. Continuously assess emerging technologies to keep our AdTech capabilities on the cutting edge.
* AI \&amp; Agentic Applications: Develop intelligent systems using AI agents and agentic workflows to automate and optimize end\-to\-end campaign processes. Leverage LLMs and generative AI to enable autonomous campaign management tasks such as audience segmentation, dynamic bid adjustments, and creative asset generation.
* Cross\-Functional Collaboration: Partner with engineering, product, and data science teams to translate marketing objectives into ML\-driven solutions. Work closely with stakeholders to deliver innovative features – including those powered by Large Language Models (LLMs), that enhance our advertising products.
* Performance \&amp; Reliability: Ensure system robustness and stability for ML services in a high\-concurrency, low\-latency environment. Optimize algorithms and infrastructure for speed and scalability, and implement monitoring to maintain model performance and uptime in production.
* Mentorship \&amp; Best Practices: Provide technical guidance and mentorship to other engineers and data scientists, fostering a culture of excellence in engineering and ML best practices. Review code and models, share knowledge, and champion continuous improvement across teams.
**Required Qualifications**
* 10\+ years of experience in software engineering or data science, with at least 3\-5 years in a principal engineer or lead ML role (preferably in the AdTech/MarTech industry).
* Proven experience designing and building high\-throughput, low\-latency distributed systems or data pipelines for large\-scale applications.
* Deep expertise in the programmatic advertising ecosystem, including Demand\-Side Platforms (DSPs), real\-time bidding (RTB), Supply\-Side Platforms (SSPs), and ad exchanges.
* Proficiency in programming languages such as Java, Go, and Python for building both data\-intensive backend services and ML tools.
* Hands\-on experience with machine learning frameworks and libraries, especially PyTorch or TensorFlow, for developing and training models.
* Strong experience with big data and streaming frameworks (e.g., Apache Spark, Kafka, Hadoop) for processing and analyzing large datasets.
* Expertise with cloud platforms (preferably AWS) and related services for scalable ML model deployment and data storage.
* Experience with various data stores, including both SQL and NoSQL databases (e.g., MySQL/PostgreSQL, Cassandra, DynamoDB, Redis).
* Familiarity with containerization and orchestration technologies (Docker, Kubernetes) for deploying and managing services at scale.
* Excellent communication, presentation, and interpersonal skills, with ability to convey complex ML concepts to technical and non\-technical stakeholders.
**Preferred Qualifications**
* Experience with Large Language Models (LLMs) and generative AI applied to advertising, for example, using AI to generate ad copy, optimize creative content, or personalize messaging.
* Experience designing and implementing agentic workflows that enable autonomous decision\-making and real\-time optimization in marketing campaigns.
* Experience with machine learning model serving and optimization for real\-time inference applications (latency\-critical environments).
* Familiarity with modern data lake and table formats (e.g., Apache Iceberg, Apache Hudi) for managing large\-scale analytical datasets.
* Knowledge of microservices architecture and event\-driven design patterns in distributed systems.
* A track record of contributions to open\-source projects or speaking at industry conferences, demonstrating thought leadership in AI/ML.
**Benefits \&amp; Perks**
* Unlimited PTO
* Excellent medical, dental, and vision coverage
* Employee Equity
* Employee Discounts, Virtual Wellness Classes, and Pet Insurance And more!!
**SALARY RANGE**
 The salary range for this role is $300,000 \- $400,000,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69">
      <c r="A69" t="inlineStr">
        <is>
          <t>li-4292011886</t>
        </is>
      </c>
      <c r="B69" t="inlineStr">
        <is>
          <t>AI Staff Machine Learning Engineer -Gen AI,Machine Learning,Graph ML,Big Data(10030)</t>
        </is>
      </c>
      <c r="C69" t="inlineStr">
        <is>
          <t>Extreme Networks</t>
        </is>
      </c>
      <c r="D69" t="inlineStr">
        <is>
          <t>linkedin</t>
        </is>
      </c>
      <c r="E69">
        <f>HYPERLINK("https://www.linkedin.com/jobs/view/4292011886", "https://www.linkedin.com/jobs/view/4292011886")</f>
        <v/>
      </c>
      <c r="F69" t="inlineStr"/>
      <c r="G69" t="inlineStr">
        <is>
          <t>San Jose, CA</t>
        </is>
      </c>
      <c r="H69" t="inlineStr"/>
      <c r="I69"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Position : AI Staff Machine Learning Engineer \-Gen AI,Machine Learning,Graph ML,Big Data
 Experience : 5 to 14 Years
 Hybrid/Remote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**About The Position**
* Be a thought leader and forward thinker, help drive an innovative vision for our various products and platforms, design and launch strategic machine learning (ML) solutions and drive business\-wide innovation.
* Take the lead in the end\-to\-end software development lifecycle, encompassing design, testing, deployment, and operations, lead technical discussions and strategy, and participate hands\-on in design reviews, code reviews, and implementation.
* Craft high\-performance, high\-scale microservices architectures, including synchronous and asynchronous web services.
* Develop real\-time online inferencing for highly complex models using Triton, TensorRT and mixed precision computing.
* Mentor and develop other engineers on the team, establish technical direction and foster team culture.
* Uphold the highest standards of technical rigor in engineering and operational excellence, build highly resilient and scalable systems, and champion operational and process improvements.
**Basic Qualifications**
* Degree in mathematics/computer science or related discipline.
* 5 to 10 years of experience in the complete software development lifecycle including design, coding, code reviews, testing, build processes, deployments and operations.
* 5 to 10 years of experience in Python with an in\-depth knowledge of its advanced features and libraries.
* Expertise in designing RESTful APIs with hands\-on experience with technologies such as FastAPI.
* Proficient in Docker, Kubernetes, and modern CI/CD practices.
* 3\+ years of experience in leading the design and architecture of large distributed systems preferably on cloud platforms (e.g., AWS, Azure, Google Cloud).
* Experience as a mentor, tech lead or leading an engineering team.
**Preferred Qualifications**
* MS or PhD in Computer Science or equivalent experience in ML.
* Experience working with ML technologies (PyTorch, Sagemaker, Triton, TensorRT, etc.).
* Experience with NoSQL and document databases.
* Proven ability to handle big data, optimize workflows, and improve system performance.
* Come work with a team of highly talented engineers, and advance with us to achieve new heights every day!
* Salary based on qualifications, experience and region up to USD 170 k to 240 K plus benefits.
 $170,000 \- $240,000 a year
 Extreme Networks, Inc. ( EXTR )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0">
      <c r="A70" t="inlineStr">
        <is>
          <t>li-4196118958</t>
        </is>
      </c>
      <c r="B70" t="inlineStr">
        <is>
          <t>Applied AI Engineer, Enterprise GenAI</t>
        </is>
      </c>
      <c r="C70" t="inlineStr">
        <is>
          <t>Scale AI</t>
        </is>
      </c>
      <c r="D70" t="inlineStr">
        <is>
          <t>linkedin</t>
        </is>
      </c>
      <c r="E70">
        <f>HYPERLINK("https://www.linkedin.com/jobs/view/4196118958", "https://www.linkedin.com/jobs/view/4196118958")</f>
        <v/>
      </c>
      <c r="F70" t="inlineStr"/>
      <c r="G70" t="inlineStr"/>
      <c r="H70" t="inlineStr"/>
      <c r="I70" t="inlineStr">
        <is>
          <t>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Platform (SGP).
 The SGP ML team works on the front lines of this AI revolution. We interface directly with clients to build cutting edge products using the arsenal of proprietary research and resources developed at Scale. As an Applied AI Engineer, you’ll work with clients to create ML solutions to satisfy their business needs. Your work will range from building next\-generation AI cybersecurity firewalls to creating transformative AI experiences in journalism to applying foundation genomic models making predictions about life\-saving drug proteins. Daily data\-driven experiments will provide key insights around model strengths and inefficiencies which you’ll use to improve your product’s performance. If you are excited about shaping the future of the modern AI movement, we would love to hear from you!
**You will:**
* Own, plan, and optimize the AI behind our Enterprise customer’s deepest technical problems
* Leverage SGP to build the most advanced AI agents across the industry including multimodal functionality, tool\-calling, and more
* Have experience gathering business requirements and translating them into technical solutions
* Meet regularly with customer teams onsite and virtually, collaborating cross\-functionally with all teams responsible for their data and ML needs
* Push production code in multiple development environments, writing and debugging code directly in both our customer’s and Scale’s codebases.
* Be able and willing to multi\-task and learn new technologies quickly
**Ideally you'd have:**
* A love for solving deeply complex technical problems with ambiguity using state of the art research and AI to accomplish your client’s business goals
* Strong engineering background: a Bachelor’s degree in Computer Science, Mathematics, or another quantitative field or equivalent strong engineering background.
* Deep familiarity with a data\-driven approach when iterating on machine learning models and how changes in datasets can influence model results
* Experience working with cloud technology stack (eg. AWS or GCP) and developing machine learning models in a cloud environment
* Proficiency in Python to write, test and debug code using common libraries (ie numpy, pandas)
**Nice to haves:**
* Strong knowledge of software engineering best practices
* Have built applications taking advantage of Generative AI in real, production use cases
* Familiarity with state of the art LLMs and their strengths/weaknesses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$180,600—$225,750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71">
      <c r="A71" t="inlineStr">
        <is>
          <t>li-4381521483</t>
        </is>
      </c>
      <c r="B71" t="inlineStr">
        <is>
          <t>AI Engineer (Agents)</t>
        </is>
      </c>
      <c r="C71" t="inlineStr">
        <is>
          <t>Jobright.ai</t>
        </is>
      </c>
      <c r="D71" t="inlineStr">
        <is>
          <t>linkedin</t>
        </is>
      </c>
      <c r="E71">
        <f>HYPERLINK("https://www.linkedin.com/jobs/view/4381521483", "https://www.linkedin.com/jobs/view/4381521483")</f>
        <v/>
      </c>
      <c r="F71" t="inlineStr"/>
      <c r="G71" t="inlineStr">
        <is>
          <t>Santa Clara, CA</t>
        </is>
      </c>
      <c r="H71" t="inlineStr"/>
      <c r="I71"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deploy end\-to\-end AI agents for business and user\-facing applications
* Develop agent\-driven applications, including user interaction flows and APIs
* Build and maintain agent infrastructure, including orchestration, monitoring, and reliability
* Implement and iterate on agent evaluation (quality, reliability, latency, cost)
* Collaborate closely with product and business teams to translate real problems into agent solutions
* Continuously improve agent performance using real\-world feedback and data
**Qualification** 
 Required
* Familiarity with at least one programming language (e.g. Python, JavaScript, TypeScript)
* Experience with writing a lot of code, backend or full\-stack
* Experience building applications
* Strong interest in AI agents and applied LLM systems
* Ability to own features end\-to\-end, from design to production
 Preferred
* Hands\-on experience using and deploying AI agents, such as: Claude Code, Codex, ClawdBot, OpenCode, or similar agent frameworks/tools
* Experience with agent orchestration, tooling, or infra
* Experience building production AI products rather than demos
* Experience in fast\-moving startup environments
* Product\-minded approach and comfort with ambiguous problems</t>
        </is>
      </c>
    </row>
    <row r="72">
      <c r="A72" t="inlineStr">
        <is>
          <t>li-4365615697</t>
        </is>
      </c>
      <c r="B72" t="inlineStr">
        <is>
          <t>Machine Learning Engineer Operations Engineer</t>
        </is>
      </c>
      <c r="C72" t="inlineStr">
        <is>
          <t>Motion Recruitment</t>
        </is>
      </c>
      <c r="D72" t="inlineStr">
        <is>
          <t>linkedin</t>
        </is>
      </c>
      <c r="E72">
        <f>HYPERLINK("https://www.linkedin.com/jobs/view/4365615697", "https://www.linkedin.com/jobs/view/4365615697")</f>
        <v/>
      </c>
      <c r="F72" t="inlineStr"/>
      <c r="G72" t="inlineStr">
        <is>
          <t>Chicago, IL</t>
        </is>
      </c>
      <c r="H72" t="inlineStr"/>
      <c r="I72" t="inlineStr">
        <is>
          <t>A premier growth and venture capital firm is seeking a Software Engineer, Machine Learning Operations (MLOps), to play a vital role in advancing their proprietary data and analytics platform. The firm partners with innovative companies across diverse sectors sets itself apart by developing in\-house technology that drives investment insights. You’’ collaborate closely with both data scientists and investment professionals to rethink how intelligence and operational efficiency are generated.
 You’ll develop robust, scalable machine learning systems, and focus will be on architecting, deploying, and overseeing infrastructure for model training, deployment, and continuous monitoring. Their tech stack includes Python, PyTorch, Kubernetes, GCP, Terraform, and BigQuery. This is an ideal position for hands\-on engineers passionate about building impactful solutions at scale, eager to work at the intersection of machine learning, data, and high\-stakes business decision\-making, within a collaborative, cutting\-edge environment.
 Must be local to the Chicago area as this is hybrid.
**Required Skills \&amp; Experience**
* 7\+ years of professional experience
* Experience building production level software in Python or Java
* Proven experience with model versioning and building reliable ML systems
* Hands\-on knowledge with Kubernetes and Terraform
* Bachelor’s degree in Computer Science or related field
**Desired Skills \&amp; Experience**
* Cloud computing and distributed systems
* Advanced degree in a quantitative field
**What You Will Be Doing**
 Daily Responsibilities
* 70% Hands On
* 30% Team Collaboration
**The Offer**
* Bonus eligible
**You Will Receive The Following Benefits**
* Medical, Dental, and Vision Insurance
* Vacation Time
* Stock Options
 Applicants must be currently authorized to work in the US on a full\-time basis now and in the future.
**Posted By:** 
 Rose Baldonado</t>
        </is>
      </c>
    </row>
    <row r="73">
      <c r="A73" t="inlineStr">
        <is>
          <t>li-4333159460</t>
        </is>
      </c>
      <c r="B73" t="inlineStr">
        <is>
          <t>Principal Staff AI/ML Engineer - AV ML Infra</t>
        </is>
      </c>
      <c r="C73" t="inlineStr">
        <is>
          <t>General Motors</t>
        </is>
      </c>
      <c r="D73" t="inlineStr">
        <is>
          <t>linkedin</t>
        </is>
      </c>
      <c r="E73">
        <f>HYPERLINK("https://www.linkedin.com/jobs/view/4333159460", "https://www.linkedin.com/jobs/view/4333159460")</f>
        <v/>
      </c>
      <c r="F73">
        <f>HYPERLINK("https://generalmotors.wd5.myworkdayjobs.com/Careers_GM/job/Sunnyvale-California-United-States-of-America/Principal-Staff-AI-ML-Engineer_JR-202521005?source=LinkedIn&amp;urlHash=vvUb", "https://generalmotors.wd5.myworkdayjobs.com/Careers_GM/job/Sunnyvale-California-United-States-of-America/Principal-Staff-AI-ML-Engineer_JR-202521005?source=LinkedIn&amp;urlHash=vvUb")</f>
        <v/>
      </c>
      <c r="G73" t="inlineStr">
        <is>
          <t>Sunnyvale, CA</t>
        </is>
      </c>
      <c r="H73" t="inlineStr"/>
      <c r="I73" t="inlineStr">
        <is>
          <t>**Job Description**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The Principal AI/ML Engineer will lead a growing organization, guiding the AV ML Infra team in achieving its mission while shaping a long\-term vision and execution strategies across GM’s AI and ML efforts. This leadership role will drive a transformative leap in our infrastructure capabilities to meet the scale we anticipate. The leader will articulate a clear vision and strategy, design an organizational structure to enable effective execution, and cultivate strong partnerships across cross\-functional teams and stakeholders.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10\+ years of experience, with a strong background in large\-scale distributed systems preferred.
* 5\+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$296,300 \- $453,900\.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4">
      <c r="A74" t="inlineStr">
        <is>
          <t>li-4319513940</t>
        </is>
      </c>
      <c r="B74" t="inlineStr">
        <is>
          <t>Lead AI Engineer</t>
        </is>
      </c>
      <c r="C74" t="inlineStr">
        <is>
          <t>Guardian Life</t>
        </is>
      </c>
      <c r="D74" t="inlineStr">
        <is>
          <t>linkedin</t>
        </is>
      </c>
      <c r="E74">
        <f>HYPERLINK("https://www.linkedin.com/jobs/view/4319513940", "https://www.linkedin.com/jobs/view/4319513940")</f>
        <v/>
      </c>
      <c r="F74">
        <f>HYPERLINK("https://guardianlife.wd5.myworkdayjobs.com/Guardian-Life-Careers/job/New-York/AI-Engineer_R000107926?source=LinkedIn&amp;urlHash=YHxC", "https://guardianlife.wd5.myworkdayjobs.com/Guardian-Life-Careers/job/New-York/AI-Engineer_R000107926?source=LinkedIn&amp;urlHash=YHxC")</f>
        <v/>
      </c>
      <c r="G74" t="inlineStr">
        <is>
          <t>New York, NY</t>
        </is>
      </c>
      <c r="H74" t="inlineStr"/>
      <c r="I7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 A self\-starter who can work independently and as part of a team to implement and operate new technologies that help Guardian Life advance its Automation \&amp; Artificial Intelligence objectives.
* Driven by a desire to deliver outstanding customer service and a rock\-solid stable automation platform, you will be successful through successful operation of our automation platforms.
**You have:**
* Bachelor’s degree or equivalent in Computer Science, Computer Engineering, Computer Applications, Information Systems or Information Technology
* 7\+ years of experience in working with AWS Services, Enterprise Architecture best practices, system engineering and security.
* 7\+ years of development experience or significant knowledge of software engineering best practices across the development lifecycle, including agile methodologies, coding standards, code reviews, source management, build processes, testing, and operation
* 5\+ years of hands\-on experience with Python, AI Frameworks, AIOps
* Familiarity with Containerization and Orchestration technologies, Sagemaker
* Strong software troubleshooting, problem solving and system analysis skills
* Willingness and capability to learn new technologies quickly
* Experience working with remote teams in a matrixed environment
* Mentor junior team members and foster a culture of technical excellence
**You will:**
* Be part of a dispersed team both offshore and onshore for operation of process automation products \&amp; solutions
* Implement engineering best practices to ensure scalability and uptime
* Have an understanding of the Industry standard security best practices
* Track and report on platforms performance and availability metrics
* Be involved in all stages of the model development lifecycle from design to development, testing, and deployment.
* Design and implement scalable and reliable systems to AI applications
* Collaborate with software engineers, data scientists, and DevOps teams to design and implement technical designs and solutions
* Stay up\-to\-date with new technologies and industry trends, and continuously improve the platform to meet the changing needs of the company
**Location:**
* New York, New Jersey or Pennsylvania 3 day onsite hybrid
*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**Current Guardian Colleagues: Please apply through the internal Jobs Hub in Workday.**</t>
        </is>
      </c>
    </row>
    <row r="75">
      <c r="A75" t="inlineStr">
        <is>
          <t>li-4310274457</t>
        </is>
      </c>
      <c r="B75" t="inlineStr">
        <is>
          <t>Senior Machine Learning Engineer, End-to-end Autonomy</t>
        </is>
      </c>
      <c r="C75" t="inlineStr">
        <is>
          <t>Woven by Toyota</t>
        </is>
      </c>
      <c r="D75" t="inlineStr">
        <is>
          <t>linkedin</t>
        </is>
      </c>
      <c r="E75">
        <f>HYPERLINK("https://www.linkedin.com/jobs/view/4310274457", "https://www.linkedin.com/jobs/view/4310274457")</f>
        <v/>
      </c>
      <c r="F75" t="inlineStr"/>
      <c r="G75" t="inlineStr">
        <is>
          <t>Ann Arbor, MI</t>
        </is>
      </c>
      <c r="H75" t="inlineStr"/>
      <c r="I75"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**Responsibilities**
* Own design and development of ML models or model components for end\-to\-end autonomous driving: ranging from initial data strategy, design, development, experimentation, evaluation and deployment.
* Resolve ambiguities and address uncertainties arising from complex projects involving multiple teams and legacy codebases.
* Enable and help other colleagues on the team to be more effective through leading by example when it comes to writing high\-quality code, being rigorous with Machine Learning experimentation and knowledge sharing.
* Collaborate closely with stakeholders from multiple teams in different time\-zones to define interfaces and requirements for an end\-to\-end stack.
**Experience**
* MS, or higher degree, in related field, or equivalent industry experience
* Professional experience with ML frameworks such as PyTorch, Jax or Tensorflow (PyTorch preferred)
* Knowledge of debugging and profiling deep neural networks on NVIDIA CUDA stack
* Experience in state of the art architectures for object detection and 3D perception
* Experience in ML workflows: data sampling and curation, pre\-processing, model training, ablation studies, evaluation, deployment, inference optimization
* Python and C\+\+ experience
* Hands\-on experience with building a perception stack for autonomous systems
* Familiarity with recent breakthroughs in ML (e.g. foundation models, pre\-training and efficient fine\-tuning, multimodal Transformer architectures)
* Hands\-on experience with large scale distributed training
**Nice to Have**
* Hands\-on experience with building a perception stack for autonomous systems
* Experience with model deployment with NVIDIA stack (e.g. ONNX graphs, TensorRT, profiling)
* Experience with PyTorch and Computer Vision for sensor fusion (e.g. BEV representations)
* Experience with embedded ML platforms and real\-time OSes
 For positions based in Palo Alto, CA, the base pay ranges from $140,000\- $230,000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76">
      <c r="A76" t="inlineStr">
        <is>
          <t>li-4381511991</t>
        </is>
      </c>
      <c r="B76" t="inlineStr">
        <is>
          <t>LLM / Machine Learning Engineer</t>
        </is>
      </c>
      <c r="C76" t="inlineStr">
        <is>
          <t>Jobright.ai</t>
        </is>
      </c>
      <c r="D76" t="inlineStr">
        <is>
          <t>linkedin</t>
        </is>
      </c>
      <c r="E76">
        <f>HYPERLINK("https://www.linkedin.com/jobs/view/4381511991", "https://www.linkedin.com/jobs/view/4381511991")</f>
        <v/>
      </c>
      <c r="F76">
        <f>HYPERLINK("https://jobright.ai/jobs/info/b2b_1769712616466_396?utm_source=5012&amp;utm_campaign=b2b_1769712616466_396&amp;urlHash=JhAw", "https://jobright.ai/jobs/info/b2b_1769712616466_396?utm_source=5012&amp;utm_campaign=b2b_1769712616466_396&amp;urlHash=JhAw")</f>
        <v/>
      </c>
      <c r="G76" t="inlineStr">
        <is>
          <t>New York, United States</t>
        </is>
      </c>
      <c r="H76" t="inlineStr"/>
      <c r="I76"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GPTZero
**One\-liner:** 
 An AI detection platform that helps educators and publishers verify whether content was written by humans or AI. Used by over 4M people.
**Salary:** 
 $140K/yr \- $250K/yr
 Why Join Us:
**Role Responsibilities** 
* Fine\-tune and evaluate state\-of\-the\-art language models
* Optimize prompts to maximize classification accuracy, personalize outputs, and enforce style guidelines
* Develop multi\-agent workflows incorporating data from diverse sources using RAG
* Improve and iterate on AI agents using observability and experimentation tools
* Stay up\-to\-date with the latest literature and emerging technologies to solve novel problems
* Work closely with product and design teams to develop intuitive applications that create societal impact
**Qualifications** 
 Required
* 3\+ YOE in Python
* 1\+ YOE in LLM framework like Langchain or LlamaIndex
* 1\+ YOE with agentic or RAG applications
* Strong exploratory data analysis (EDA) skills to effectively leverage data in a way that informs pragmatic solutions
* Experience pushing the cutting\-edge in LLM abilities on novel tasks with subjective outputs
* Excellent software engineer with experience building highly extensible and modular codebases, as well as complex pipelines
* Self\-starter (pitch, plan, and implement as a project owner in a fast\-paced team)
* Highly motivated to make positive societal impact
* Ability to wear multiple hats and be a leader as our team grows
* Visa for work in Canada or US
 Preferred
* Strong open\-source portfolio
* Publications at top\-tier ML venues
* Experience working in an early\-stage startup environment
* Experience with a prompt optimization framework like DsPY or TextGrad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77">
      <c r="A77" t="inlineStr">
        <is>
          <t>li-4381518813</t>
        </is>
      </c>
      <c r="B77" t="inlineStr">
        <is>
          <t>AI Engineer – Data Engineering &amp; Experimentation (Mid/Senior Level)</t>
        </is>
      </c>
      <c r="C77" t="inlineStr">
        <is>
          <t>Jobright.ai</t>
        </is>
      </c>
      <c r="D77" t="inlineStr">
        <is>
          <t>linkedin</t>
        </is>
      </c>
      <c r="E77">
        <f>HYPERLINK("https://www.linkedin.com/jobs/view/4381518813", "https://www.linkedin.com/jobs/view/4381518813")</f>
        <v/>
      </c>
      <c r="F77" t="inlineStr"/>
      <c r="G77" t="inlineStr"/>
      <c r="H77" t="inlineStr"/>
      <c r="I77" t="inlineStr">
        <is>
          <t>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TOKADREAM
 One\-liner: TokaDream is a technology\-driven company focused on leveraging artificial intelligence and machine learning to deliver cutting\-edge products and services.
 Salary: $5,000/mo \- $12,000/mo
 Why Join Us:
 Role Responsibilities
 • Build and maintain scalable, automated ETL pipelines to support LLM\-based systems and broader AI products
 • Design and implement A/B testing frameworks to evaluate model, feature, and agent performance
 • Collaborate with product managers, engineers, and data scientists in agile teams to define requirements and deliver features
 • Participate in agile ceremonies including daily standups, sprint planning, and retrospectives
 • Instrument production systems for performance monitoring, user behavior tracking, and system health
 • Partner with analytics teams to ensure data quality, consistency, and accessibility across the organization
 • Work closely with infrastructure teams to deploy and monitor model endpoints and workflows in production
 • Contribute to documentation, code reviews, and team knowledge sharing to drive engineering excellence
 Qualifications
 Required
 • Bachelor's or Master's degree in Computer Science, Engineering, Data Science, or a related field
 • 3\+ years of professional experience in software engineering, data engineering, or AI/ML\-focused roles
 • Experience designing and maintaining robust ETL processes using tools like Airflow, Spark, dbt, or custom data pipelines
 • Familiarity with A/B testing tools, statistical evaluation metrics, and experimentation platforms
 • Solid understanding of Agile principles and experience working in Scrum or Kanban development teams
 • Strong proficiency in Python and SQL; experience with unit testing, Git, and CI/CD workflows
 • Solid understanding of cloud platforms (AWS, GCP, or Azure) and experience with data lakes, warehousing, and storage systems
 Preferred
 • Background in building or integrating AI/LLM models into production applications
 • Experience working with modern ML infrastructure (e.g., MLFlow, SageMaker, Vertex AI)
 • Exposure to analytics tools (Looker, Tableau, or similar)
 • Knowledge of data privacy and compliance concerns related to AI and user data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78">
      <c r="A78" t="inlineStr">
        <is>
          <t>li-4341892709</t>
        </is>
      </c>
      <c r="B78" t="inlineStr">
        <is>
          <t>AI &amp; Machine Learning Engineering Consultant - Manager - Consulting - Location OPEN</t>
        </is>
      </c>
      <c r="C78" t="inlineStr">
        <is>
          <t>EY</t>
        </is>
      </c>
      <c r="D78" t="inlineStr">
        <is>
          <t>linkedin</t>
        </is>
      </c>
      <c r="E78">
        <f>HYPERLINK("https://www.linkedin.com/jobs/view/4341892709", "https://www.linkedin.com/jobs/view/4341892709")</f>
        <v/>
      </c>
      <c r="F78">
        <f>HYPERLINK("https://careers.ey.com/ey/job/New-York-AI-&amp;-Machine-Learning-Engineering-Consultant-Manager-Consulting-Location-OPEN-NY-10001-8604/1268441501/?feedId=337401&amp;utm_source=LinkedInJobPostings&amp;utm_campaign=j2w_linkedin&amp;urlHash=ioOs", "https://careers.ey.com/ey/job/New-York-AI-&amp;-Machine-Learning-Engineering-Consultant-Manager-Consulting-Location-OPEN-NY-10001-8604/1268441501/?feedId=337401&amp;utm_source=LinkedInJobPostings&amp;utm_campaign=j2w_linkedin&amp;urlHash=ioOs")</f>
        <v/>
      </c>
      <c r="G78" t="inlineStr">
        <is>
          <t>Boston, MA</t>
        </is>
      </c>
      <c r="H78" t="inlineStr"/>
      <c r="I7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9">
      <c r="A79" t="inlineStr">
        <is>
          <t>li-4341972561</t>
        </is>
      </c>
      <c r="B79" t="inlineStr">
        <is>
          <t>AI &amp; Machine Learning Engineering Consultant - Manager - Consulting - Location OPEN</t>
        </is>
      </c>
      <c r="C79" t="inlineStr">
        <is>
          <t>EY</t>
        </is>
      </c>
      <c r="D79" t="inlineStr">
        <is>
          <t>linkedin</t>
        </is>
      </c>
      <c r="E79">
        <f>HYPERLINK("https://www.linkedin.com/jobs/view/4341972561", "https://www.linkedin.com/jobs/view/4341972561")</f>
        <v/>
      </c>
      <c r="F79" t="inlineStr"/>
      <c r="G79" t="inlineStr">
        <is>
          <t>Iselin, NJ</t>
        </is>
      </c>
      <c r="H79" t="inlineStr"/>
      <c r="I7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0">
      <c r="A80" t="inlineStr">
        <is>
          <t>li-4312750987</t>
        </is>
      </c>
      <c r="B80" t="inlineStr">
        <is>
          <t>PhD University Grad Machine Learning Engineer 2026 (USA)</t>
        </is>
      </c>
      <c r="C80" t="inlineStr">
        <is>
          <t>Pinterest</t>
        </is>
      </c>
      <c r="D80" t="inlineStr">
        <is>
          <t>linkedin</t>
        </is>
      </c>
      <c r="E80">
        <f>HYPERLINK("https://www.linkedin.com/jobs/view/4312750987", "https://www.linkedin.com/jobs/view/4312750987")</f>
        <v/>
      </c>
      <c r="F80">
        <f>HYPERLINK("https://www.pinterestcareers.com/jobs/7252807/phd-university-grad-machine-learning-engineer-2026-usa/?source=linkedin_limited_listing&amp;utm_source=linkedin_limited_listing&amp;urlHash=LVck", "https://www.pinterestcareers.com/jobs/7252807/phd-university-grad-machine-learning-engineer-2026-usa/?source=linkedin_limited_listing&amp;utm_source=linkedin_limited_listing&amp;urlHash=LVck")</f>
        <v/>
      </c>
      <c r="G80" t="inlineStr">
        <is>
          <t>Seattle, WA</t>
        </is>
      </c>
      <c r="H80" t="inlineStr"/>
      <c r="I8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570 million users around the world and 300 billion ideas saved, Pinterest Machine Learning engineers help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**By applying to this role, you will be considered for multiple roles open across our various ML teams. Please only apply once within the USA or Canada as multiple applications may delay our recruitment process.**
**This is a general posting for multiple roles open across our various ML teams. You will have the opportunity to work on a very large scope of problems in recommender systems, search, ads, ranking, natural language processing, graph representation learning, personalization, etc.**
 As a Machine Learning Engineer at Pinterest, you’ll work on tackling new challenges in machine learning and artificial intelligence. As you kickstart your career at Pinterest, you’ll join our engineering teams as we maneuver through exponential growth and massive scale while building awesome products and features, creating visually rich experiences, spearheading the discovery problem, and pinpointing tomorrow’s engineering challenges.
**What You’ll Do**
* Contribute to cutting\-edge research in machine learning and artificial intelligence that can be applied to Pinterest problems
* Collect, analyze, and synthesize findings from data and build intelligent data\-driven model
* Write clean, efficient, and sustainable code
* Use machine learning, natural language processing, and graph analysis to solve modeling and ranking problems across discovery, ads and search
* Design, build, and test models to predict engagement for notifications (push, emails, in\-app notifications)
* Build content recommendation systems to power our push, email, and in\-app notifications
* Work on state\-of\-the\-art large\-scale applied machine learning projects
* Scope and independently solve moderately complex problems
**What We’re Looking For** 
* PhD in Computer Science, ML, NLP, Statistics, Information Sciences or related field required
* Machine Learning experience (ranking, computer vision, NLP, content recommendations, embedding, information retrieval etc)
* Proficiency in at least one systems language (Java, C\+\+, Python) or one ML framework (Tensorflow, Pytorch, MLFlow)
* Experience with big data technologies (e.g., Hadoop/Spark) and scalable realtime systems that process stream data
* Experience in research and in solving analytical problems
* Strong communicator and team player with the ability to find solutions for open\-ended problems.
* Preferred Qualifications:
+ Publications in machine learning, AI, data science, data analytics, statistics, or related technical fields
+ Interest in research and in applying ML to impactful real\-world problems on the Pinterest product
**In\-Office Requirement Statement**
* We let the type of work you do guide the collaboration style. That means we’re not always working in an office, but we continue to gather for key moments of collaboration and connection
* This role may require you to be located near an office for in\-person collaboration, and therefore may need to be located a commutable distance from one of our Pinterest offices.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$162,690—$214,060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81">
      <c r="A81" t="inlineStr">
        <is>
          <t>li-4341882758</t>
        </is>
      </c>
      <c r="B81" t="inlineStr">
        <is>
          <t>AI &amp; Machine Learning Engineering Consultant - Manager - Consulting - Location OPEN</t>
        </is>
      </c>
      <c r="C81" t="inlineStr">
        <is>
          <t>EY</t>
        </is>
      </c>
      <c r="D81" t="inlineStr">
        <is>
          <t>linkedin</t>
        </is>
      </c>
      <c r="E81">
        <f>HYPERLINK("https://www.linkedin.com/jobs/view/4341882758", "https://www.linkedin.com/jobs/view/4341882758")</f>
        <v/>
      </c>
      <c r="F81">
        <f>HYPERLINK("https://careers.ey.com/ey/job/New-York-AI-&amp;-Machine-Learning-Engineering-Consultant-Manager-Consulting-Location-OPEN-NY-10001-8604/1268441501/?feedId=337401&amp;utm_source=LinkedInJobPostings&amp;utm_campaign=j2w_linkedin&amp;urlHash=ioOs", "https://careers.ey.com/ey/job/New-York-AI-&amp;-Machine-Learning-Engineering-Consultant-Manager-Consulting-Location-OPEN-NY-10001-8604/1268441501/?feedId=337401&amp;utm_source=LinkedInJobPostings&amp;utm_campaign=j2w_linkedin&amp;urlHash=ioOs")</f>
        <v/>
      </c>
      <c r="G81" t="inlineStr">
        <is>
          <t>Rochester, NY</t>
        </is>
      </c>
      <c r="H81" t="inlineStr"/>
      <c r="I8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2">
      <c r="A82" t="inlineStr">
        <is>
          <t>li-4341942642</t>
        </is>
      </c>
      <c r="B82" t="inlineStr">
        <is>
          <t>AI &amp; Machine Learning Engineering Consultant - Manager - Consulting - Location OPEN</t>
        </is>
      </c>
      <c r="C82" t="inlineStr">
        <is>
          <t>EY</t>
        </is>
      </c>
      <c r="D82" t="inlineStr">
        <is>
          <t>linkedin</t>
        </is>
      </c>
      <c r="E82">
        <f>HYPERLINK("https://www.linkedin.com/jobs/view/4341942642", "https://www.linkedin.com/jobs/view/4341942642")</f>
        <v/>
      </c>
      <c r="F82">
        <f>HYPERLINK("https://careers.ey.com/ey/job/New-York-AI-&amp;-Machine-Learning-Engineering-Consultant-Manager-Consulting-Location-OPEN-NY-10001-8604/1268441501/?feedId=337401&amp;utm_source=LinkedInJobPostings&amp;utm_campaign=j2w_linkedin&amp;urlHash=ioOs", "https://careers.ey.com/ey/job/New-York-AI-&amp;-Machine-Learning-Engineering-Consultant-Manager-Consulting-Location-OPEN-NY-10001-8604/1268441501/?feedId=337401&amp;utm_source=LinkedInJobPostings&amp;utm_campaign=j2w_linkedin&amp;urlHash=ioOs")</f>
        <v/>
      </c>
      <c r="G82" t="inlineStr">
        <is>
          <t>Washington, DC</t>
        </is>
      </c>
      <c r="H82" t="inlineStr"/>
      <c r="I8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3">
      <c r="A83" t="inlineStr">
        <is>
          <t>li-4341932696</t>
        </is>
      </c>
      <c r="B83" t="inlineStr">
        <is>
          <t>AI &amp; Machine Learning Engineering Consultant - Manager - Consulting - Location OPEN</t>
        </is>
      </c>
      <c r="C83" t="inlineStr">
        <is>
          <t>EY</t>
        </is>
      </c>
      <c r="D83" t="inlineStr">
        <is>
          <t>linkedin</t>
        </is>
      </c>
      <c r="E83">
        <f>HYPERLINK("https://www.linkedin.com/jobs/view/4341932696", "https://www.linkedin.com/jobs/view/4341932696")</f>
        <v/>
      </c>
      <c r="F83">
        <f>HYPERLINK("https://careers.ey.com/ey/job/New-York-AI-&amp;-Machine-Learning-Engineering-Consultant-Manager-Consulting-Location-OPEN-NY-10001-8604/1268441501/?feedId=337401&amp;utm_source=LinkedInJobPostings&amp;utm_campaign=j2w_linkedin&amp;urlHash=ioOs", "https://careers.ey.com/ey/job/New-York-AI-&amp;-Machine-Learning-Engineering-Consultant-Manager-Consulting-Location-OPEN-NY-10001-8604/1268441501/?feedId=337401&amp;utm_source=LinkedInJobPostings&amp;utm_campaign=j2w_linkedin&amp;urlHash=ioOs")</f>
        <v/>
      </c>
      <c r="G83" t="inlineStr">
        <is>
          <t>Chicago, IL</t>
        </is>
      </c>
      <c r="H83" t="inlineStr"/>
      <c r="I8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4">
      <c r="A84" t="inlineStr">
        <is>
          <t>li-4341922667</t>
        </is>
      </c>
      <c r="B84" t="inlineStr">
        <is>
          <t>AI &amp; Machine Learning Engineering Consultant - Manager - Consulting - Location OPEN</t>
        </is>
      </c>
      <c r="C84" t="inlineStr">
        <is>
          <t>EY</t>
        </is>
      </c>
      <c r="D84" t="inlineStr">
        <is>
          <t>linkedin</t>
        </is>
      </c>
      <c r="E84">
        <f>HYPERLINK("https://www.linkedin.com/jobs/view/4341922667", "https://www.linkedin.com/jobs/view/4341922667")</f>
        <v/>
      </c>
      <c r="F84" t="inlineStr"/>
      <c r="G84" t="inlineStr">
        <is>
          <t>Stamford, CT</t>
        </is>
      </c>
      <c r="H84" t="inlineStr"/>
      <c r="I8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5">
      <c r="A85" t="inlineStr">
        <is>
          <t>li-4341882756</t>
        </is>
      </c>
      <c r="B85" t="inlineStr">
        <is>
          <t>AI &amp; Machine Learning Engineering Consultant - Manager - Consulting - Location OPEN</t>
        </is>
      </c>
      <c r="C85" t="inlineStr">
        <is>
          <t>EY</t>
        </is>
      </c>
      <c r="D85" t="inlineStr">
        <is>
          <t>linkedin</t>
        </is>
      </c>
      <c r="E85">
        <f>HYPERLINK("https://www.linkedin.com/jobs/view/4341882756", "https://www.linkedin.com/jobs/view/4341882756")</f>
        <v/>
      </c>
      <c r="F85">
        <f>HYPERLINK("https://careers.ey.com/ey/job/New-York-AI-&amp;-Machine-Learning-Engineering-Consultant-Manager-Consulting-Location-OPEN-NY-10001-8604/1268441501/?feedId=337401&amp;utm_source=LinkedInJobPostings&amp;utm_campaign=j2w_linkedin&amp;urlHash=ioOs", "https://careers.ey.com/ey/job/New-York-AI-&amp;-Machine-Learning-Engineering-Consultant-Manager-Consulting-Location-OPEN-NY-10001-8604/1268441501/?feedId=337401&amp;utm_source=LinkedInJobPostings&amp;utm_campaign=j2w_linkedin&amp;urlHash=ioOs")</f>
        <v/>
      </c>
      <c r="G85" t="inlineStr">
        <is>
          <t>Philadelphia, PA</t>
        </is>
      </c>
      <c r="H85" t="inlineStr"/>
      <c r="I8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2026-03-08T17:28:53Z</dcterms:created>
  <dcterms:modified xsi:type="dcterms:W3CDTF">2026-03-08T17:28:53Z</dcterms:modified>
</cp:coreProperties>
</file>