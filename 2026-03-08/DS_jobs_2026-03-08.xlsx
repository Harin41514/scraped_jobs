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in-0d1b5f31c935a91c</t>
        </is>
      </c>
      <c r="B2" t="inlineStr">
        <is>
          <t>Senior Data Scientist (Member Analytics &amp; Strategy)</t>
        </is>
      </c>
      <c r="C2" t="inlineStr">
        <is>
          <t>Navy Federal Credit Union</t>
        </is>
      </c>
      <c r="D2" t="inlineStr">
        <is>
          <t>indeed</t>
        </is>
      </c>
      <c r="E2" t="inlineStr"/>
      <c r="F2" t="inlineStr"/>
      <c r="G2" t="inlineStr">
        <is>
          <t>Vienna, VA, US</t>
        </is>
      </c>
      <c r="H2" s="1" t="n">
        <v>46088</v>
      </c>
      <c r="I2" t="inlineStr">
        <is>
          <t>**Overview**
**Navy Federal Credit Union currently does not provide sponsorship for this role. Applicants must be authorized to work in the United States without the need for current or future sponsorship.**
Provide independent data science, machine learning, and advanced analytical insights using member, financial, and organizational data to support mission‑critical decision‑making across the enterprise. Partner with business units to understand business needs, translate them into analytical solutions, and identify opportunities for new products, services, and process optimization through the application of advanced analytics. Design, develop, and deploy descriptive, predictive, and prescriptive models that inform strategy, improve performance, and optimize member outcomes. Embed analytics into strategic planning and operational workflows to enable leaders to measure what matters, identify growth opportunities, and anticipate member needs. Perform work assignments of increasing complexity under moderate supervision, exercising sound independent judgment. Serve as an experienced professional within the field, applying a strong, well‑developed skill set and proficiency in data science and analytics methodologies.
*This position is eligible for the TalentQuest employee referral program. If an employee referred you for this job, please apply using the system\-generated link that was sent to you.*
**Responsibilities**
* Design and develop analytical solutions, segmentation logic, and moderately complex algorithms to support member analytics and enterprise decision‑making
* Identify meaningful insights from large, complex member, financial, and organizational data and metadata sources
* Apply analytical techniques, trend analysis, and exploratory methods to interpret data and generate actionable insights
* Exercise sound judgment and discretion within defined procedures and practices, applying independent analytical reasoning
* Use analytical modeling and trend analysis to assess patterns in member behavior, performance, and outcomes
* Apply and promote best practices related to responsible analytics and ethical use of data and AI
* Transform complex analytical results into clear charts, tables, and data products that support effective decision‑making
* Build strong working relationships with team members, business partners, and subject matter experts
* Lead potentially high‑impact projects or workstreams, contributing technical direction and analytical expertise
* Communicate findings through effective written and verbal documentation and presentations to a diverse set of stakeholders, including senior leadership or executive level
**Qualifications**
* 3\+ years of experience in exploratory data analysis
* Advanced understanding of business and operating environment
* Knowledge of statistics, programming, data modeling, simulation, and advanced mathematics
* Experience with large data environments and modern analytical tools.
* Experience with model lifecycle execution, including model development, testing, and validation
* Experience presenting analytical findings and insights to audiences with varying technical backgrounds
* Strong data storytelling and technical presentation skills, including experience creating presentation materials in PowerPoint.
* Experience documenting analytical work, technical documentation, and drafting SOPs
* Strong research, analytical, and critical thinking skills.
* Ability to collaborate and build relationships across technical and business teams
* Strong problem solving skills and sound judgment when responding to issues and opportunities
* Technical skills including big data analysis, coding, project management, and technical writing
* Bachelor’s degree in Data Science, Statistics, Mathematics, Computer Science, Engineering, or a related quantitative field
**Desired Qualifications**
* Master’s or PhD in Data Science, Statistics, Mathematics, Computer Science, Engineering, or similar quantitative discipline
* Experience working in consulting or highly cross\-functional analytical environments
* Experience owning analytical projects or leading small analytical initiatives
* Experience working in cloud or distributed data environments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3">
      <c r="A3" t="inlineStr">
        <is>
          <t>in-0a209f83bc928b63</t>
        </is>
      </c>
      <c r="B3" t="inlineStr">
        <is>
          <t>Applied Scientist, Alexa Smart Home</t>
        </is>
      </c>
      <c r="C3" t="inlineStr">
        <is>
          <t>Amazon.com</t>
        </is>
      </c>
      <c r="D3" t="inlineStr">
        <is>
          <t>indeed</t>
        </is>
      </c>
      <c r="E3" t="inlineStr"/>
      <c r="F3" t="inlineStr"/>
      <c r="G3" t="inlineStr">
        <is>
          <t>Seattle, WA, US</t>
        </is>
      </c>
      <c r="H3" s="1" t="n">
        <v>46033</v>
      </c>
      <c r="I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
      <c r="A4" t="inlineStr">
        <is>
          <t>in-616bca00d636e883</t>
        </is>
      </c>
      <c r="B4" t="inlineStr">
        <is>
          <t>Applied Scientist, Alexa Smart Home</t>
        </is>
      </c>
      <c r="C4" t="inlineStr">
        <is>
          <t>Amazon.com</t>
        </is>
      </c>
      <c r="D4" t="inlineStr">
        <is>
          <t>indeed</t>
        </is>
      </c>
      <c r="E4" t="inlineStr"/>
      <c r="F4" t="inlineStr"/>
      <c r="G4" t="inlineStr">
        <is>
          <t>Sunnyvale, CA, US</t>
        </is>
      </c>
      <c r="H4" s="1" t="n">
        <v>46033</v>
      </c>
      <c r="I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
      <c r="A5" t="inlineStr">
        <is>
          <t>in-704f0cea1c2ee565</t>
        </is>
      </c>
      <c r="B5" t="inlineStr">
        <is>
          <t>Applied Scientist, AWS Agentic AI</t>
        </is>
      </c>
      <c r="C5" t="inlineStr">
        <is>
          <t>Amazon Web Services</t>
        </is>
      </c>
      <c r="D5" t="inlineStr">
        <is>
          <t>indeed</t>
        </is>
      </c>
      <c r="E5" t="inlineStr"/>
      <c r="F5" t="inlineStr"/>
      <c r="G5" t="inlineStr">
        <is>
          <t>New York, NY, US</t>
        </is>
      </c>
      <c r="H5" s="1" t="n">
        <v>45962</v>
      </c>
      <c r="I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in-e3a79073a46ee5b4</t>
        </is>
      </c>
      <c r="B6" t="inlineStr">
        <is>
          <t>Applied Scientist, AWS Agentic AI</t>
        </is>
      </c>
      <c r="C6" t="inlineStr">
        <is>
          <t>Amazon Web Services</t>
        </is>
      </c>
      <c r="D6" t="inlineStr">
        <is>
          <t>indeed</t>
        </is>
      </c>
      <c r="E6" t="inlineStr"/>
      <c r="F6" t="inlineStr"/>
      <c r="G6" t="inlineStr">
        <is>
          <t>Seattle, WA, US</t>
        </is>
      </c>
      <c r="H6" s="1" t="n">
        <v>45962</v>
      </c>
      <c r="I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in-db3ed9cebdc007cc</t>
        </is>
      </c>
      <c r="B7" t="inlineStr">
        <is>
          <t>Applied Scientist, AWS Agentic AI</t>
        </is>
      </c>
      <c r="C7" t="inlineStr">
        <is>
          <t>Amazon Web Services</t>
        </is>
      </c>
      <c r="D7" t="inlineStr">
        <is>
          <t>indeed</t>
        </is>
      </c>
      <c r="E7" t="inlineStr"/>
      <c r="F7" t="inlineStr"/>
      <c r="G7" t="inlineStr">
        <is>
          <t>Santa Clara, CA, US</t>
        </is>
      </c>
      <c r="H7" s="1" t="n">
        <v>45962</v>
      </c>
      <c r="I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in-00908ff1bb3ab633</t>
        </is>
      </c>
      <c r="B8" t="inlineStr">
        <is>
          <t>Applied Scientist II, Prime Video Personalization and Discovery Science</t>
        </is>
      </c>
      <c r="C8" t="inlineStr">
        <is>
          <t>Amazon.com</t>
        </is>
      </c>
      <c r="D8" t="inlineStr">
        <is>
          <t>indeed</t>
        </is>
      </c>
      <c r="E8">
        <f>HYPERLINK("https://www.indeed.com/viewjob?jk=00908ff1bb3ab633", "https://www.indeed.com/viewjob?jk=00908ff1bb3ab633")</f>
        <v/>
      </c>
      <c r="F8">
        <f>HYPERLINK("https://www.amazon.jobs/jobs/3165157/applied-scientist-ii-prime-video-personalization-and-discovery-science?cmpid=DA_INAD200785B", "https://www.amazon.jobs/jobs/3165157/applied-scientist-ii-prime-video-personalization-and-discovery-science?cmpid=DA_INAD200785B")</f>
        <v/>
      </c>
      <c r="G8" t="inlineStr">
        <is>
          <t>Sunnyvale, CA, US</t>
        </is>
      </c>
      <c r="H8" s="2" t="n">
        <v>46034</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9">
      <c r="A9" t="inlineStr">
        <is>
          <t>in-ded40430027d9c16</t>
        </is>
      </c>
      <c r="B9" t="inlineStr">
        <is>
          <t>Applied Scientist II, Prime Video Personalization and Discovery Science</t>
        </is>
      </c>
      <c r="C9" t="inlineStr">
        <is>
          <t>Amazon.com</t>
        </is>
      </c>
      <c r="D9" t="inlineStr">
        <is>
          <t>indeed</t>
        </is>
      </c>
      <c r="E9">
        <f>HYPERLINK("https://www.indeed.com/viewjob?jk=ded40430027d9c16", "https://www.indeed.com/viewjob?jk=ded40430027d9c16")</f>
        <v/>
      </c>
      <c r="F9">
        <f>HYPERLINK("https://www.amazon.jobs/jobs/3165157/applied-scientist-ii-prime-video-personalization-and-discovery-science?cmpid=DA_INAD200785B", "https://www.amazon.jobs/jobs/3165157/applied-scientist-ii-prime-video-personalization-and-discovery-science?cmpid=DA_INAD200785B")</f>
        <v/>
      </c>
      <c r="G9" t="inlineStr">
        <is>
          <t>Seattle, WA, US</t>
        </is>
      </c>
      <c r="H9" s="2" t="n">
        <v>46034</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
      <c r="A10" t="inlineStr">
        <is>
          <t>in-e1e58e17b1622037</t>
        </is>
      </c>
      <c r="B10" t="inlineStr">
        <is>
          <t>Sr. Applied Scientist, Amazon Ads</t>
        </is>
      </c>
      <c r="C10" t="inlineStr">
        <is>
          <t>Amazon.com</t>
        </is>
      </c>
      <c r="D10" t="inlineStr">
        <is>
          <t>indeed</t>
        </is>
      </c>
      <c r="E10">
        <f>HYPERLINK("https://www.indeed.com/viewjob?jk=e1e58e17b1622037", "https://www.indeed.com/viewjob?jk=e1e58e17b1622037")</f>
        <v/>
      </c>
      <c r="F10">
        <f>HYPERLINK("https://www.amazon.jobs/jobs/3139328/sr-applied-scientist-amazon-ads?cmpid=DA_INAD200785B", "https://www.amazon.jobs/jobs/3139328/sr-applied-scientist-amazon-ads?cmpid=DA_INAD200785B")</f>
        <v/>
      </c>
      <c r="G10" t="inlineStr">
        <is>
          <t>Santa Monica, CA,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in-c1473d7a65ae8965</t>
        </is>
      </c>
      <c r="B11" t="inlineStr">
        <is>
          <t>Sr. Applied Scientist, Amazon Ads</t>
        </is>
      </c>
      <c r="C11" t="inlineStr">
        <is>
          <t>Amazon.com</t>
        </is>
      </c>
      <c r="D11" t="inlineStr">
        <is>
          <t>indeed</t>
        </is>
      </c>
      <c r="E11">
        <f>HYPERLINK("https://www.indeed.com/viewjob?jk=c1473d7a65ae8965", "https://www.indeed.com/viewjob?jk=c1473d7a65ae8965")</f>
        <v/>
      </c>
      <c r="F11">
        <f>HYPERLINK("https://www.amazon.jobs/jobs/3139328/sr-applied-scientist-amazon-ads?cmpid=DA_INAD200785B", "https://www.amazon.jobs/jobs/3139328/sr-applied-scientist-amazon-ads?cmpid=DA_INAD200785B")</f>
        <v/>
      </c>
      <c r="G11" t="inlineStr">
        <is>
          <t>Tukwila, WA,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in-072b866e1ccf62d7</t>
        </is>
      </c>
      <c r="B12" t="inlineStr">
        <is>
          <t>Sr. Applied Scientist, Amazon Ads</t>
        </is>
      </c>
      <c r="C12" t="inlineStr">
        <is>
          <t>Amazon.com</t>
        </is>
      </c>
      <c r="D12" t="inlineStr">
        <is>
          <t>indeed</t>
        </is>
      </c>
      <c r="E12">
        <f>HYPERLINK("https://www.indeed.com/viewjob?jk=072b866e1ccf62d7", "https://www.indeed.com/viewjob?jk=072b866e1ccf62d7")</f>
        <v/>
      </c>
      <c r="F12">
        <f>HYPERLINK("https://www.amazon.jobs/jobs/3139328/sr-applied-scientist-amazon-ads?cmpid=DA_INAD200785B", "https://www.amazon.jobs/jobs/3139328/sr-applied-scientist-amazon-ads?cmpid=DA_INAD200785B")</f>
        <v/>
      </c>
      <c r="G12" t="inlineStr">
        <is>
          <t>New York, NY,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in-cd77ee2e509e4050</t>
        </is>
      </c>
      <c r="B13" t="inlineStr">
        <is>
          <t>Sr. Applied Scientist, Amazon Ads</t>
        </is>
      </c>
      <c r="C13" t="inlineStr">
        <is>
          <t>Amazon.com</t>
        </is>
      </c>
      <c r="D13" t="inlineStr">
        <is>
          <t>indeed</t>
        </is>
      </c>
      <c r="E13">
        <f>HYPERLINK("https://www.indeed.com/viewjob?jk=cd77ee2e509e4050", "https://www.indeed.com/viewjob?jk=cd77ee2e509e4050")</f>
        <v/>
      </c>
      <c r="F13">
        <f>HYPERLINK("https://www.amazon.jobs/jobs/3139328/sr-applied-scientist-amazon-ads?cmpid=DA_INAD200785B", "https://www.amazon.jobs/jobs/3139328/sr-applied-scientist-amazon-ads?cmpid=DA_INAD200785B")</f>
        <v/>
      </c>
      <c r="G13" t="inlineStr">
        <is>
          <t>Corvallis, OR,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in-2b26017339a890cc</t>
        </is>
      </c>
      <c r="B14" t="inlineStr">
        <is>
          <t>Sr. Applied Scientist, Amazon Ads</t>
        </is>
      </c>
      <c r="C14" t="inlineStr">
        <is>
          <t>Amazon.com</t>
        </is>
      </c>
      <c r="D14" t="inlineStr">
        <is>
          <t>indeed</t>
        </is>
      </c>
      <c r="E14">
        <f>HYPERLINK("https://www.indeed.com/viewjob?jk=2b26017339a890cc", "https://www.indeed.com/viewjob?jk=2b26017339a890cc")</f>
        <v/>
      </c>
      <c r="F14">
        <f>HYPERLINK("https://www.amazon.jobs/jobs/3139328/sr-applied-scientist-amazon-ads?cmpid=DA_INAD200785B", "https://www.amazon.jobs/jobs/3139328/sr-applied-scientist-amazon-ads?cmpid=DA_INAD200785B")</f>
        <v/>
      </c>
      <c r="G14" t="inlineStr">
        <is>
          <t>Palo Alto, CA,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in-a645f5c6e550f217</t>
        </is>
      </c>
      <c r="B15" t="inlineStr">
        <is>
          <t>Sr. Applied Scientist, Amazon Ads</t>
        </is>
      </c>
      <c r="C15" t="inlineStr">
        <is>
          <t>Amazon.com</t>
        </is>
      </c>
      <c r="D15" t="inlineStr">
        <is>
          <t>indeed</t>
        </is>
      </c>
      <c r="E15">
        <f>HYPERLINK("https://www.indeed.com/viewjob?jk=a645f5c6e550f217", "https://www.indeed.com/viewjob?jk=a645f5c6e550f217")</f>
        <v/>
      </c>
      <c r="F15">
        <f>HYPERLINK("https://www.amazon.jobs/jobs/3139328/sr-applied-scientist-amazon-ads?cmpid=DA_INAD200785B", "https://www.amazon.jobs/jobs/3139328/sr-applied-scientist-amazon-ads?cmpid=DA_INAD200785B")</f>
        <v/>
      </c>
      <c r="G15" t="inlineStr">
        <is>
          <t>Sunnyvale, CA,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in-d948d017081c4856</t>
        </is>
      </c>
      <c r="B16" t="inlineStr">
        <is>
          <t>Sr. Applied Scientist, Amazon Ads</t>
        </is>
      </c>
      <c r="C16" t="inlineStr">
        <is>
          <t>Amazon.com</t>
        </is>
      </c>
      <c r="D16" t="inlineStr">
        <is>
          <t>indeed</t>
        </is>
      </c>
      <c r="E16">
        <f>HYPERLINK("https://www.indeed.com/viewjob?jk=d948d017081c4856", "https://www.indeed.com/viewjob?jk=d948d017081c4856")</f>
        <v/>
      </c>
      <c r="F16">
        <f>HYPERLINK("https://www.amazon.jobs/jobs/3139328/sr-applied-scientist-amazon-ads?cmpid=DA_INAD200785B", "https://www.amazon.jobs/jobs/3139328/sr-applied-scientist-amazon-ads?cmpid=DA_INAD200785B")</f>
        <v/>
      </c>
      <c r="G16" t="inlineStr">
        <is>
          <t>Brooklyn, NY,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in-42e9d73030d840bc</t>
        </is>
      </c>
      <c r="B17" t="inlineStr">
        <is>
          <t>Sr. Applied Scientist, Amazon Ads</t>
        </is>
      </c>
      <c r="C17" t="inlineStr">
        <is>
          <t>Amazon.com</t>
        </is>
      </c>
      <c r="D17" t="inlineStr">
        <is>
          <t>indeed</t>
        </is>
      </c>
      <c r="E17">
        <f>HYPERLINK("https://www.indeed.com/viewjob?jk=42e9d73030d840bc", "https://www.indeed.com/viewjob?jk=42e9d73030d840bc")</f>
        <v/>
      </c>
      <c r="F17">
        <f>HYPERLINK("https://www.amazon.jobs/jobs/3139328/sr-applied-scientist-amazon-ads?cmpid=DA_INAD200785B", "https://www.amazon.jobs/jobs/3139328/sr-applied-scientist-amazon-ads?cmpid=DA_INAD200785B")</f>
        <v/>
      </c>
      <c r="G17" t="inlineStr">
        <is>
          <t>Boulder, CO,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in-7e19b4298aeb69ea</t>
        </is>
      </c>
      <c r="B18" t="inlineStr">
        <is>
          <t>Sr. Applied Scientist, Amazon Ads</t>
        </is>
      </c>
      <c r="C18" t="inlineStr">
        <is>
          <t>Amazon.com</t>
        </is>
      </c>
      <c r="D18" t="inlineStr">
        <is>
          <t>indeed</t>
        </is>
      </c>
      <c r="E18">
        <f>HYPERLINK("https://www.indeed.com/viewjob?jk=7e19b4298aeb69ea", "https://www.indeed.com/viewjob?jk=7e19b4298aeb69ea")</f>
        <v/>
      </c>
      <c r="F18">
        <f>HYPERLINK("https://www.amazon.jobs/jobs/3139328/sr-applied-scientist-amazon-ads?cmpid=DA_INAD200785B", "https://www.amazon.jobs/jobs/3139328/sr-applied-scientist-amazon-ads?cmpid=DA_INAD200785B")</f>
        <v/>
      </c>
      <c r="G18" t="inlineStr">
        <is>
          <t>Seattle, WA,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in-4c05060ddb83fa08</t>
        </is>
      </c>
      <c r="B19" t="inlineStr">
        <is>
          <t>Sr. Applied Scientist, Amazon Ads</t>
        </is>
      </c>
      <c r="C19" t="inlineStr">
        <is>
          <t>Amazon.com</t>
        </is>
      </c>
      <c r="D19" t="inlineStr">
        <is>
          <t>indeed</t>
        </is>
      </c>
      <c r="E19">
        <f>HYPERLINK("https://www.indeed.com/viewjob?jk=4c05060ddb83fa08", "https://www.indeed.com/viewjob?jk=4c05060ddb83fa08")</f>
        <v/>
      </c>
      <c r="F19">
        <f>HYPERLINK("https://www.amazon.jobs/jobs/3139328/sr-applied-scientist-amazon-ads?cmpid=DA_INAD200785B", "https://www.amazon.jobs/jobs/3139328/sr-applied-scientist-amazon-ads?cmpid=DA_INAD200785B")</f>
        <v/>
      </c>
      <c r="G19" t="inlineStr">
        <is>
          <t>Boston, MA,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in-7c383fff618a1aff</t>
        </is>
      </c>
      <c r="B20" t="inlineStr">
        <is>
          <t>Senior Applied Scientist, Sponsored Products and Brands</t>
        </is>
      </c>
      <c r="C20" t="inlineStr">
        <is>
          <t>Amazon.com</t>
        </is>
      </c>
      <c r="D20" t="inlineStr">
        <is>
          <t>indeed</t>
        </is>
      </c>
      <c r="E20">
        <f>HYPERLINK("https://www.indeed.com/viewjob?jk=7c383fff618a1aff", "https://www.indeed.com/viewjob?jk=7c383fff618a1aff")</f>
        <v/>
      </c>
      <c r="F20">
        <f>HYPERLINK("https://www.amazon.jobs/jobs/3130062/senior-applied-scientist-sponsored-products-and-brands?cmpid=DA_INAD200785B", "https://www.amazon.jobs/jobs/3130062/senior-applied-scientist-sponsored-products-and-brands?cmpid=DA_INAD200785B")</f>
        <v/>
      </c>
      <c r="G20" t="inlineStr">
        <is>
          <t>New York, NY, US</t>
        </is>
      </c>
      <c r="H20" s="2" t="n">
        <v>45979</v>
      </c>
      <c r="I2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
      <c r="A21" t="inlineStr">
        <is>
          <t>in-45091c48eee8407c</t>
        </is>
      </c>
      <c r="B21" t="inlineStr">
        <is>
          <t>Senior Applied Scientist, Sponsored Products and Brands</t>
        </is>
      </c>
      <c r="C21" t="inlineStr">
        <is>
          <t>Amazon.com</t>
        </is>
      </c>
      <c r="D21" t="inlineStr">
        <is>
          <t>indeed</t>
        </is>
      </c>
      <c r="E21">
        <f>HYPERLINK("https://www.indeed.com/viewjob?jk=45091c48eee8407c", "https://www.indeed.com/viewjob?jk=45091c48eee8407c")</f>
        <v/>
      </c>
      <c r="F21">
        <f>HYPERLINK("https://www.amazon.jobs/jobs/3130062/senior-applied-scientist-sponsored-products-and-brands?cmpid=DA_INAD200785B", "https://www.amazon.jobs/jobs/3130062/senior-applied-scientist-sponsored-products-and-brands?cmpid=DA_INAD200785B")</f>
        <v/>
      </c>
      <c r="G21" t="inlineStr">
        <is>
          <t>Seattle, WA, US</t>
        </is>
      </c>
      <c r="H21" s="2" t="n">
        <v>45979</v>
      </c>
      <c r="I2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2">
      <c r="A22" t="inlineStr">
        <is>
          <t>in-996d2a148ed5e2dc</t>
        </is>
      </c>
      <c r="B22" t="inlineStr">
        <is>
          <t>Applied Scientist II, Prime Video - Personalization and Discovery Science, Personalization and Discovery Science</t>
        </is>
      </c>
      <c r="C22" t="inlineStr">
        <is>
          <t>Amazon.com</t>
        </is>
      </c>
      <c r="D22" t="inlineStr">
        <is>
          <t>indeed</t>
        </is>
      </c>
      <c r="E22">
        <f>HYPERLINK("https://www.indeed.com/viewjob?jk=996d2a148ed5e2dc", "https://www.indeed.com/viewjob?jk=996d2a148ed5e2dc")</f>
        <v/>
      </c>
      <c r="F2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 t="inlineStr">
        <is>
          <t>Seattle, WA, US</t>
        </is>
      </c>
      <c r="H22" s="2" t="n">
        <v>45930</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in-7b4e9771405d2384</t>
        </is>
      </c>
      <c r="B23" t="inlineStr">
        <is>
          <t>Applied Scientist II, Prime Video - Personalization and Discovery Science, Personalization and Discovery Science</t>
        </is>
      </c>
      <c r="C23" t="inlineStr">
        <is>
          <t>Amazon.com</t>
        </is>
      </c>
      <c r="D23" t="inlineStr">
        <is>
          <t>indeed</t>
        </is>
      </c>
      <c r="E23">
        <f>HYPERLINK("https://www.indeed.com/viewjob?jk=7b4e9771405d2384", "https://www.indeed.com/viewjob?jk=7b4e9771405d2384")</f>
        <v/>
      </c>
      <c r="F2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3" t="inlineStr">
        <is>
          <t>New York, NY, US</t>
        </is>
      </c>
      <c r="H23" s="2" t="n">
        <v>45930</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in-2dec5cdf9e6f0bf5</t>
        </is>
      </c>
      <c r="B24" t="inlineStr">
        <is>
          <t>Applied Scientist II, Prime Video - Personalization and Discovery Science, Personalization and Discovery Science</t>
        </is>
      </c>
      <c r="C24" t="inlineStr">
        <is>
          <t>Amazon.com</t>
        </is>
      </c>
      <c r="D24" t="inlineStr">
        <is>
          <t>indeed</t>
        </is>
      </c>
      <c r="E24">
        <f>HYPERLINK("https://www.indeed.com/viewjob?jk=2dec5cdf9e6f0bf5", "https://www.indeed.com/viewjob?jk=2dec5cdf9e6f0bf5")</f>
        <v/>
      </c>
      <c r="F2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 t="inlineStr">
        <is>
          <t>Sunnyvale, CA, US</t>
        </is>
      </c>
      <c r="H24" s="2" t="n">
        <v>45930</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in-0f890ea20128c0e4</t>
        </is>
      </c>
      <c r="B25" t="inlineStr">
        <is>
          <t>Sr. Applied Scientist, Prime Video - Personalization and Discovery Science</t>
        </is>
      </c>
      <c r="C25" t="inlineStr">
        <is>
          <t>Amazon.com</t>
        </is>
      </c>
      <c r="D25" t="inlineStr">
        <is>
          <t>indeed</t>
        </is>
      </c>
      <c r="E25">
        <f>HYPERLINK("https://www.indeed.com/viewjob?jk=0f890ea20128c0e4", "https://www.indeed.com/viewjob?jk=0f890ea20128c0e4")</f>
        <v/>
      </c>
      <c r="F25">
        <f>HYPERLINK("https://www.amazon.jobs/jobs/3084479/sr-applied-scientist-prime-video--personalization-and-discovery-science?cmpid=DA_INAD200785B", "https://www.amazon.jobs/jobs/3084479/sr-applied-scientist-prime-video--personalization-and-discovery-science?cmpid=DA_INAD200785B")</f>
        <v/>
      </c>
      <c r="G25" t="inlineStr">
        <is>
          <t>Seattle, WA,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6">
      <c r="A26" t="inlineStr">
        <is>
          <t>in-597b3a108985bb7d</t>
        </is>
      </c>
      <c r="B26" t="inlineStr">
        <is>
          <t>Sr. Applied Scientist, Prime Video - Personalization and Discovery Science</t>
        </is>
      </c>
      <c r="C26" t="inlineStr">
        <is>
          <t>Amazon.com</t>
        </is>
      </c>
      <c r="D26" t="inlineStr">
        <is>
          <t>indeed</t>
        </is>
      </c>
      <c r="E26">
        <f>HYPERLINK("https://www.indeed.com/viewjob?jk=597b3a108985bb7d", "https://www.indeed.com/viewjob?jk=597b3a108985bb7d")</f>
        <v/>
      </c>
      <c r="F26">
        <f>HYPERLINK("https://www.amazon.jobs/jobs/3084479/sr-applied-scientist-prime-video--personalization-and-discovery-science?cmpid=DA_INAD200785B", "https://www.amazon.jobs/jobs/3084479/sr-applied-scientist-prime-video--personalization-and-discovery-science?cmpid=DA_INAD200785B")</f>
        <v/>
      </c>
      <c r="G26" t="inlineStr">
        <is>
          <t>New York, NY, US</t>
        </is>
      </c>
      <c r="H26" s="2" t="n">
        <v>45896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7">
      <c r="A27" t="inlineStr">
        <is>
          <t>in-de28b0ce92cfb0ac</t>
        </is>
      </c>
      <c r="B27" t="inlineStr">
        <is>
          <t>Sr. Applied Scientist, Prime Video - Personalization and Discovery Science</t>
        </is>
      </c>
      <c r="C27" t="inlineStr">
        <is>
          <t>Amazon.com</t>
        </is>
      </c>
      <c r="D27" t="inlineStr">
        <is>
          <t>indeed</t>
        </is>
      </c>
      <c r="E27">
        <f>HYPERLINK("https://www.indeed.com/viewjob?jk=de28b0ce92cfb0ac", "https://www.indeed.com/viewjob?jk=de28b0ce92cfb0ac")</f>
        <v/>
      </c>
      <c r="F27">
        <f>HYPERLINK("https://www.amazon.jobs/jobs/3084479/sr-applied-scientist-prime-video--personalization-and-discovery-science?cmpid=DA_INAD200785B", "https://www.amazon.jobs/jobs/3084479/sr-applied-scientist-prime-video--personalization-and-discovery-science?cmpid=DA_INAD200785B")</f>
        <v/>
      </c>
      <c r="G27" t="inlineStr">
        <is>
          <t>Sunnyvale, CA, US</t>
        </is>
      </c>
      <c r="H27" s="2" t="n">
        <v>45896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8">
      <c r="A28" t="inlineStr">
        <is>
          <t>in-3775cb89650c24cf</t>
        </is>
      </c>
      <c r="B28" t="inlineStr">
        <is>
          <t>Sr. Applied Scientist, Prime Video - Personalization and Discovery Science</t>
        </is>
      </c>
      <c r="C28" t="inlineStr">
        <is>
          <t>Amazon.com</t>
        </is>
      </c>
      <c r="D28" t="inlineStr">
        <is>
          <t>indeed</t>
        </is>
      </c>
      <c r="E28">
        <f>HYPERLINK("https://www.indeed.com/viewjob?jk=3775cb89650c24cf", "https://www.indeed.com/viewjob?jk=3775cb89650c24cf")</f>
        <v/>
      </c>
      <c r="F28">
        <f>HYPERLINK("https://www.amazon.jobs/jobs/3059256/sr-applied-scientist-prime-video--personalization-and-discovery-science?cmpid=DA_INAD200785B", "https://www.amazon.jobs/jobs/3059256/sr-applied-scientist-prime-video--personalization-and-discovery-science?cmpid=DA_INAD200785B")</f>
        <v/>
      </c>
      <c r="G28" t="inlineStr">
        <is>
          <t>Sunnyvale, CA, US</t>
        </is>
      </c>
      <c r="H28" s="2" t="n">
        <v>45881</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in-b36d19d7ddc12231</t>
        </is>
      </c>
      <c r="B29" t="inlineStr">
        <is>
          <t>Applied Scientist II, Prime Video - Personalization and Discovery Science</t>
        </is>
      </c>
      <c r="C29" t="inlineStr">
        <is>
          <t>Amazon.com</t>
        </is>
      </c>
      <c r="D29" t="inlineStr">
        <is>
          <t>indeed</t>
        </is>
      </c>
      <c r="E29">
        <f>HYPERLINK("https://www.indeed.com/viewjob?jk=b36d19d7ddc12231", "https://www.indeed.com/viewjob?jk=b36d19d7ddc12231")</f>
        <v/>
      </c>
      <c r="F29">
        <f>HYPERLINK("https://www.amazon.jobs/jobs/3059253/applied-scientist-ii-prime-video--personalization-and-discovery-science?cmpid=DA_INAD200785B", "https://www.amazon.jobs/jobs/3059253/applied-scientist-ii-prime-video--personalization-and-discovery-science?cmpid=DA_INAD200785B")</f>
        <v/>
      </c>
      <c r="G29" t="inlineStr">
        <is>
          <t>Sunnyvale, CA,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in-b1cadf97d6b2d274</t>
        </is>
      </c>
      <c r="B30" t="inlineStr">
        <is>
          <t>Applied Scientist II, Prime Video - Personalization and Discovery Science</t>
        </is>
      </c>
      <c r="C30" t="inlineStr">
        <is>
          <t>Amazon.com</t>
        </is>
      </c>
      <c r="D30" t="inlineStr">
        <is>
          <t>indeed</t>
        </is>
      </c>
      <c r="E30">
        <f>HYPERLINK("https://www.indeed.com/viewjob?jk=b1cadf97d6b2d274", "https://www.indeed.com/viewjob?jk=b1cadf97d6b2d274")</f>
        <v/>
      </c>
      <c r="F30">
        <f>HYPERLINK("https://www.amazon.jobs/jobs/3059253/applied-scientist-ii-prime-video--personalization-and-discovery-science?cmpid=DA_INAD200785B", "https://www.amazon.jobs/jobs/3059253/applied-scientist-ii-prime-video--personalization-and-discovery-science?cmpid=DA_INAD200785B")</f>
        <v/>
      </c>
      <c r="G30" t="inlineStr">
        <is>
          <t>New York, NY,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in-f0bd940f45181a2e</t>
        </is>
      </c>
      <c r="B31" t="inlineStr">
        <is>
          <t>Sr. Applied Scientist, Prime Video - Personalization and Discovery Science</t>
        </is>
      </c>
      <c r="C31" t="inlineStr">
        <is>
          <t>Amazon.com</t>
        </is>
      </c>
      <c r="D31" t="inlineStr">
        <is>
          <t>indeed</t>
        </is>
      </c>
      <c r="E31">
        <f>HYPERLINK("https://www.indeed.com/viewjob?jk=f0bd940f45181a2e", "https://www.indeed.com/viewjob?jk=f0bd940f45181a2e")</f>
        <v/>
      </c>
      <c r="F31">
        <f>HYPERLINK("https://www.amazon.jobs/jobs/3059256/sr-applied-scientist-prime-video--personalization-and-discovery-science?cmpid=DA_INAD200785B", "https://www.amazon.jobs/jobs/3059256/sr-applied-scientist-prime-video--personalization-and-discovery-science?cmpid=DA_INAD200785B")</f>
        <v/>
      </c>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in-6178afea0666ccfb</t>
        </is>
      </c>
      <c r="B32" t="inlineStr">
        <is>
          <t>Sr. Applied Scientist, Prime Video - Personalization and Discovery Science</t>
        </is>
      </c>
      <c r="C32" t="inlineStr">
        <is>
          <t>Amazon.com</t>
        </is>
      </c>
      <c r="D32" t="inlineStr">
        <is>
          <t>indeed</t>
        </is>
      </c>
      <c r="E32">
        <f>HYPERLINK("https://www.indeed.com/viewjob?jk=6178afea0666ccfb", "https://www.indeed.com/viewjob?jk=6178afea0666ccfb")</f>
        <v/>
      </c>
      <c r="F32">
        <f>HYPERLINK("https://www.amazon.jobs/jobs/3059256/sr-applied-scientist-prime-video--personalization-and-discovery-science?cmpid=DA_INAD200785B", "https://www.amazon.jobs/jobs/3059256/sr-applied-scientist-prime-video--personalization-and-discovery-science?cmpid=DA_INAD200785B")</f>
        <v/>
      </c>
      <c r="G32" t="inlineStr">
        <is>
          <t>Seattle, WA,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in-3a52162fd2d38697</t>
        </is>
      </c>
      <c r="B33" t="inlineStr">
        <is>
          <t>Applied Scientist II, Prime Video - Personalization and Discovery Science</t>
        </is>
      </c>
      <c r="C33" t="inlineStr">
        <is>
          <t>Amazon.com</t>
        </is>
      </c>
      <c r="D33" t="inlineStr">
        <is>
          <t>indeed</t>
        </is>
      </c>
      <c r="E33">
        <f>HYPERLINK("https://www.indeed.com/viewjob?jk=3a52162fd2d38697", "https://www.indeed.com/viewjob?jk=3a52162fd2d38697")</f>
        <v/>
      </c>
      <c r="F33">
        <f>HYPERLINK("https://www.amazon.jobs/jobs/3059253/applied-scientist-ii-prime-video--personalization-and-discovery-science?cmpid=DA_INAD200785B", "https://www.amazon.jobs/jobs/3059253/applied-scientist-ii-prime-video--personalization-and-discovery-science?cmpid=DA_INAD200785B")</f>
        <v/>
      </c>
      <c r="G33" t="inlineStr">
        <is>
          <t>Seattle, WA,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in-f9edcdec2a4d3c4d</t>
        </is>
      </c>
      <c r="B34" t="inlineStr">
        <is>
          <t>Data Scientist, Rapid &amp; Rural Logistics (R2L)</t>
        </is>
      </c>
      <c r="C34" t="inlineStr">
        <is>
          <t>Amazon.com</t>
        </is>
      </c>
      <c r="D34" t="inlineStr">
        <is>
          <t>indeed</t>
        </is>
      </c>
      <c r="E34">
        <f>HYPERLINK("https://www.indeed.com/viewjob?jk=f9edcdec2a4d3c4d", "https://www.indeed.com/viewjob?jk=f9edcdec2a4d3c4d")</f>
        <v/>
      </c>
      <c r="F34">
        <f>HYPERLINK("https://www.amazon.jobs/jobs/3187361/data-scientist-rapid--rural-logistics-rl?cmpid=DA_INAD200785B", "https://www.amazon.jobs/jobs/3187361/data-scientist-rapid--rural-logistics-rl?cmpid=DA_INAD200785B")</f>
        <v/>
      </c>
      <c r="G34" t="inlineStr">
        <is>
          <t>New York, NY, US</t>
        </is>
      </c>
      <c r="H34" s="2" t="n">
        <v>46056</v>
      </c>
      <c r="I34"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35">
      <c r="A35" t="inlineStr">
        <is>
          <t>in-c05d51e8bcde7810</t>
        </is>
      </c>
      <c r="B35" t="inlineStr">
        <is>
          <t>Data Scientist, Rapid &amp; Rural Logistics (R2L)</t>
        </is>
      </c>
      <c r="C35" t="inlineStr">
        <is>
          <t>Amazon.com</t>
        </is>
      </c>
      <c r="D35" t="inlineStr">
        <is>
          <t>indeed</t>
        </is>
      </c>
      <c r="E35">
        <f>HYPERLINK("https://www.indeed.com/viewjob?jk=c05d51e8bcde7810", "https://www.indeed.com/viewjob?jk=c05d51e8bcde7810")</f>
        <v/>
      </c>
      <c r="F35">
        <f>HYPERLINK("https://www.amazon.jobs/jobs/3187361/data-scientist-rapid--rural-logistics-rl?cmpid=DA_INAD200785B", "https://www.amazon.jobs/jobs/3187361/data-scientist-rapid--rural-logistics-rl?cmpid=DA_INAD200785B")</f>
        <v/>
      </c>
      <c r="G35" t="inlineStr">
        <is>
          <t>Bellevue, WA, US</t>
        </is>
      </c>
      <c r="H35" s="2" t="n">
        <v>46056</v>
      </c>
      <c r="I35"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36">
      <c r="A36" t="inlineStr">
        <is>
          <t>in-08b22bc76cca31da</t>
        </is>
      </c>
      <c r="B36" t="inlineStr">
        <is>
          <t>Applied Scientist , Prime Video - Personalization and Discovery Science</t>
        </is>
      </c>
      <c r="C36" t="inlineStr">
        <is>
          <t>Amazon.com</t>
        </is>
      </c>
      <c r="D36" t="inlineStr">
        <is>
          <t>indeed</t>
        </is>
      </c>
      <c r="E36">
        <f>HYPERLINK("https://www.indeed.com/viewjob?jk=08b22bc76cca31da", "https://www.indeed.com/viewjob?jk=08b22bc76cca31da")</f>
        <v/>
      </c>
      <c r="F36">
        <f>HYPERLINK("https://www.amazon.jobs/jobs/3183547/applied-scientist--prime-video--personalization-and-discovery-science?cmpid=DA_INAD200785B", "https://www.amazon.jobs/jobs/3183547/applied-scientist--prime-video--personalization-and-discovery-science?cmpid=DA_INAD200785B")</f>
        <v/>
      </c>
      <c r="G36" t="inlineStr">
        <is>
          <t>Sunnyvale, CA, US</t>
        </is>
      </c>
      <c r="H36" s="2" t="n">
        <v>46069</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7">
      <c r="A37" t="inlineStr">
        <is>
          <t>in-14b8f96043119720</t>
        </is>
      </c>
      <c r="B37" t="inlineStr">
        <is>
          <t>Applied Scientist , Prime Video - Personalization and Discovery Science</t>
        </is>
      </c>
      <c r="C37" t="inlineStr">
        <is>
          <t>Amazon.com</t>
        </is>
      </c>
      <c r="D37" t="inlineStr">
        <is>
          <t>indeed</t>
        </is>
      </c>
      <c r="E37">
        <f>HYPERLINK("https://www.indeed.com/viewjob?jk=14b8f96043119720", "https://www.indeed.com/viewjob?jk=14b8f96043119720")</f>
        <v/>
      </c>
      <c r="F37">
        <f>HYPERLINK("https://www.amazon.jobs/jobs/3183547/applied-scientist--prime-video--personalization-and-discovery-science?cmpid=DA_INAD200785B", "https://www.amazon.jobs/jobs/3183547/applied-scientist--prime-video--personalization-and-discovery-science?cmpid=DA_INAD200785B")</f>
        <v/>
      </c>
      <c r="G37" t="inlineStr">
        <is>
          <t>Seattle, WA, US</t>
        </is>
      </c>
      <c r="H37" s="2" t="n">
        <v>46069</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8">
      <c r="A38" t="inlineStr">
        <is>
          <t>in-4e0886cdfe1212eb</t>
        </is>
      </c>
      <c r="B38" t="inlineStr">
        <is>
          <t>Applied Scientist, AWS Applied AI Solutions</t>
        </is>
      </c>
      <c r="C38" t="inlineStr">
        <is>
          <t>Amazon.com</t>
        </is>
      </c>
      <c r="D38" t="inlineStr">
        <is>
          <t>indeed</t>
        </is>
      </c>
      <c r="E38">
        <f>HYPERLINK("https://www.indeed.com/viewjob?jk=4e0886cdfe1212eb", "https://www.indeed.com/viewjob?jk=4e0886cdfe1212eb")</f>
        <v/>
      </c>
      <c r="F38">
        <f>HYPERLINK("https://www.amazon.jobs/jobs/3184564/applied-scientist-aws-applied-ai-solutions?cmpid=DA_INAD200785B", "https://www.amazon.jobs/jobs/3184564/applied-scientist-aws-applied-ai-solutions?cmpid=DA_INAD200785B")</f>
        <v/>
      </c>
      <c r="G38" t="inlineStr">
        <is>
          <t>New York, NY, US</t>
        </is>
      </c>
      <c r="H38" s="2" t="n">
        <v>46061</v>
      </c>
      <c r="I3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
      <c r="A39" t="inlineStr">
        <is>
          <t>in-4d154b3befbac8de</t>
        </is>
      </c>
      <c r="B39" t="inlineStr">
        <is>
          <t>Principal Applied Scientist, AWS Marketplace &amp; Partner Services</t>
        </is>
      </c>
      <c r="C39" t="inlineStr">
        <is>
          <t>Amazon Web Services</t>
        </is>
      </c>
      <c r="D39" t="inlineStr">
        <is>
          <t>indeed</t>
        </is>
      </c>
      <c r="E39">
        <f>HYPERLINK("https://www.indeed.com/viewjob?jk=4d154b3befbac8de", "https://www.indeed.com/viewjob?jk=4d154b3befbac8de")</f>
        <v/>
      </c>
      <c r="F39">
        <f>HYPERLINK("https://www.amazon.jobs/jobs/3177084/principal-applied-scientist-aws-marketplace--partner-services?cmpid=DA_INAD200785B", "https://www.amazon.jobs/jobs/3177084/principal-applied-scientist-aws-marketplace--partner-services?cmpid=DA_INAD200785B")</f>
        <v/>
      </c>
      <c r="G39" t="inlineStr">
        <is>
          <t>San Diego, CA, US</t>
        </is>
      </c>
      <c r="H39" s="2" t="n">
        <v>46056</v>
      </c>
      <c r="I3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0">
      <c r="A40" t="inlineStr">
        <is>
          <t>in-38bca1d6138e324d</t>
        </is>
      </c>
      <c r="B40" t="inlineStr">
        <is>
          <t>Principal Applied Scientist, AWS Marketplace &amp; Partner Services</t>
        </is>
      </c>
      <c r="C40" t="inlineStr">
        <is>
          <t>Amazon Web Services</t>
        </is>
      </c>
      <c r="D40" t="inlineStr">
        <is>
          <t>indeed</t>
        </is>
      </c>
      <c r="E40">
        <f>HYPERLINK("https://www.indeed.com/viewjob?jk=38bca1d6138e324d", "https://www.indeed.com/viewjob?jk=38bca1d6138e324d")</f>
        <v/>
      </c>
      <c r="F40">
        <f>HYPERLINK("https://www.amazon.jobs/jobs/3177084/principal-applied-scientist-aws-marketplace--partner-services?cmpid=DA_INAD200785B", "https://www.amazon.jobs/jobs/3177084/principal-applied-scientist-aws-marketplace--partner-services?cmpid=DA_INAD200785B")</f>
        <v/>
      </c>
      <c r="G40" t="inlineStr">
        <is>
          <t>Austin, TX, US</t>
        </is>
      </c>
      <c r="H40" s="2" t="n">
        <v>46056</v>
      </c>
      <c r="I4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1">
      <c r="A41" t="inlineStr">
        <is>
          <t>in-5855a83051b9467d</t>
        </is>
      </c>
      <c r="B41" t="inlineStr">
        <is>
          <t>Principal Applied Scientist, AWS Marketplace &amp; Partner Services</t>
        </is>
      </c>
      <c r="C41" t="inlineStr">
        <is>
          <t>Amazon Web Services</t>
        </is>
      </c>
      <c r="D41" t="inlineStr">
        <is>
          <t>indeed</t>
        </is>
      </c>
      <c r="E41">
        <f>HYPERLINK("https://www.indeed.com/viewjob?jk=5855a83051b9467d", "https://www.indeed.com/viewjob?jk=5855a83051b9467d")</f>
        <v/>
      </c>
      <c r="F41">
        <f>HYPERLINK("https://www.amazon.jobs/jobs/3177084/principal-applied-scientist-aws-marketplace--partner-services?cmpid=DA_INAD200785B", "https://www.amazon.jobs/jobs/3177084/principal-applied-scientist-aws-marketplace--partner-services?cmpid=DA_INAD200785B")</f>
        <v/>
      </c>
      <c r="G41" t="inlineStr">
        <is>
          <t>Seattle, WA, US</t>
        </is>
      </c>
      <c r="H41" s="2" t="n">
        <v>46056</v>
      </c>
      <c r="I4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2">
      <c r="A42" t="inlineStr">
        <is>
          <t>in-d63592b52076e1ac</t>
        </is>
      </c>
      <c r="B42" t="inlineStr">
        <is>
          <t>Principal Applied Scientist, AWS Marketplace &amp; Partner Services</t>
        </is>
      </c>
      <c r="C42" t="inlineStr">
        <is>
          <t>Amazon Web Services</t>
        </is>
      </c>
      <c r="D42" t="inlineStr">
        <is>
          <t>indeed</t>
        </is>
      </c>
      <c r="E42">
        <f>HYPERLINK("https://www.indeed.com/viewjob?jk=d63592b52076e1ac", "https://www.indeed.com/viewjob?jk=d63592b52076e1ac")</f>
        <v/>
      </c>
      <c r="F42">
        <f>HYPERLINK("https://www.amazon.jobs/jobs/3177084/principal-applied-scientist-aws-marketplace--partner-services?cmpid=DA_INAD200785B", "https://www.amazon.jobs/jobs/3177084/principal-applied-scientist-aws-marketplace--partner-services?cmpid=DA_INAD200785B")</f>
        <v/>
      </c>
      <c r="G42" t="inlineStr">
        <is>
          <t>New York, NY, US</t>
        </is>
      </c>
      <c r="H42" s="2" t="n">
        <v>46056</v>
      </c>
      <c r="I4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3">
      <c r="A43" t="inlineStr">
        <is>
          <t>in-08cc350f26136c43</t>
        </is>
      </c>
      <c r="B43" t="inlineStr">
        <is>
          <t>Sr. Applied Scientist, AWS Healthcare-AI</t>
        </is>
      </c>
      <c r="C43" t="inlineStr">
        <is>
          <t>Amazon.com</t>
        </is>
      </c>
      <c r="D43" t="inlineStr">
        <is>
          <t>indeed</t>
        </is>
      </c>
      <c r="E43">
        <f>HYPERLINK("https://www.indeed.com/viewjob?jk=08cc350f26136c43", "https://www.indeed.com/viewjob?jk=08cc350f26136c43")</f>
        <v/>
      </c>
      <c r="F43">
        <f>HYPERLINK("https://www.amazon.jobs/jobs/3179064/sr-applied-scientist-aws-healthcareai?cmpid=DA_INAD200785B", "https://www.amazon.jobs/jobs/3179064/sr-applied-scientist-aws-healthcareai?cmpid=DA_INAD200785B")</f>
        <v/>
      </c>
      <c r="G43" t="inlineStr">
        <is>
          <t>Mountain View, CA, US</t>
        </is>
      </c>
      <c r="H43" s="2" t="n">
        <v>46055</v>
      </c>
      <c r="I4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4">
      <c r="A44" t="inlineStr">
        <is>
          <t>in-fb999c71a233a76b</t>
        </is>
      </c>
      <c r="B44" t="inlineStr">
        <is>
          <t>Applied Scientist (Contract), Artificial General Intelligence</t>
        </is>
      </c>
      <c r="C44" t="inlineStr">
        <is>
          <t>Amazon.com</t>
        </is>
      </c>
      <c r="D44" t="inlineStr">
        <is>
          <t>indeed</t>
        </is>
      </c>
      <c r="E44">
        <f>HYPERLINK("https://www.indeed.com/viewjob?jk=fb999c71a233a76b", "https://www.indeed.com/viewjob?jk=fb999c71a233a76b")</f>
        <v/>
      </c>
      <c r="F44">
        <f>HYPERLINK("https://www.amazon.jobs/jobs/3179188/applied-scientist-contract-artificial-general-intelligence?cmpid=DA_INAD200785B", "https://www.amazon.jobs/jobs/3179188/applied-scientist-contract-artificial-general-intelligence?cmpid=DA_INAD200785B")</f>
        <v/>
      </c>
      <c r="G44" t="inlineStr">
        <is>
          <t>Boston, MA, US</t>
        </is>
      </c>
      <c r="H44" s="2" t="n">
        <v>46055</v>
      </c>
      <c r="I4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5">
      <c r="A45" t="inlineStr">
        <is>
          <t>in-96ba54f273f6693d</t>
        </is>
      </c>
      <c r="B45" t="inlineStr">
        <is>
          <t>Applied Scientist (Contract), Artificial General Intelligence</t>
        </is>
      </c>
      <c r="C45" t="inlineStr">
        <is>
          <t>Amazon.com</t>
        </is>
      </c>
      <c r="D45" t="inlineStr">
        <is>
          <t>indeed</t>
        </is>
      </c>
      <c r="E45">
        <f>HYPERLINK("https://www.indeed.com/viewjob?jk=96ba54f273f6693d", "https://www.indeed.com/viewjob?jk=96ba54f273f6693d")</f>
        <v/>
      </c>
      <c r="F45">
        <f>HYPERLINK("https://www.amazon.jobs/jobs/3179169/applied-scientist-contract-artificial-general-intelligence?cmpid=DA_INAD200785B", "https://www.amazon.jobs/jobs/3179169/applied-scientist-contract-artificial-general-intelligence?cmpid=DA_INAD200785B")</f>
        <v/>
      </c>
      <c r="G45" t="inlineStr">
        <is>
          <t>Bellevue, WA, US</t>
        </is>
      </c>
      <c r="H45" s="2" t="n">
        <v>46055</v>
      </c>
      <c r="I4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6">
      <c r="A46" t="inlineStr">
        <is>
          <t>in-6b2cf033fc7b90dd</t>
        </is>
      </c>
      <c r="B46" t="inlineStr">
        <is>
          <t>Sr. Applied Scientist, AWS Healthcare-AI</t>
        </is>
      </c>
      <c r="C46" t="inlineStr">
        <is>
          <t>Amazon.com</t>
        </is>
      </c>
      <c r="D46" t="inlineStr">
        <is>
          <t>indeed</t>
        </is>
      </c>
      <c r="E46">
        <f>HYPERLINK("https://www.indeed.com/viewjob?jk=6b2cf033fc7b90dd", "https://www.indeed.com/viewjob?jk=6b2cf033fc7b90dd")</f>
        <v/>
      </c>
      <c r="F46">
        <f>HYPERLINK("https://www.amazon.jobs/jobs/3179064/sr-applied-scientist-aws-healthcareai?cmpid=DA_INAD200785B", "https://www.amazon.jobs/jobs/3179064/sr-applied-scientist-aws-healthcareai?cmpid=DA_INAD200785B")</f>
        <v/>
      </c>
      <c r="G46" t="inlineStr">
        <is>
          <t>Seattle, WA, US</t>
        </is>
      </c>
      <c r="H46" s="2" t="n">
        <v>46055</v>
      </c>
      <c r="I46"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7">
      <c r="A47" t="inlineStr">
        <is>
          <t>in-f78a2a30f7b57937</t>
        </is>
      </c>
      <c r="B47" t="inlineStr">
        <is>
          <t>Applied Scientist (Contract), Artificial General Intelligence</t>
        </is>
      </c>
      <c r="C47" t="inlineStr">
        <is>
          <t>Amazon.com</t>
        </is>
      </c>
      <c r="D47" t="inlineStr">
        <is>
          <t>indeed</t>
        </is>
      </c>
      <c r="E47">
        <f>HYPERLINK("https://www.indeed.com/viewjob?jk=f78a2a30f7b57937", "https://www.indeed.com/viewjob?jk=f78a2a30f7b57937")</f>
        <v/>
      </c>
      <c r="F47">
        <f>HYPERLINK("https://www.amazon.jobs/jobs/3179168/applied-scientist-contract-artificial-general-intelligence?cmpid=DA_INAD200785B", "https://www.amazon.jobs/jobs/3179168/applied-scientist-contract-artificial-general-intelligence?cmpid=DA_INAD200785B")</f>
        <v/>
      </c>
      <c r="G47" t="inlineStr">
        <is>
          <t>Bellevue, WA, US</t>
        </is>
      </c>
      <c r="H47" s="2" t="n">
        <v>46055</v>
      </c>
      <c r="I4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8">
      <c r="A48" t="inlineStr">
        <is>
          <t>in-53b44f0961554e2c</t>
        </is>
      </c>
      <c r="B48" t="inlineStr">
        <is>
          <t>Applied Scientist (Contract), Artificial General Intelligence</t>
        </is>
      </c>
      <c r="C48" t="inlineStr">
        <is>
          <t>Amazon.com</t>
        </is>
      </c>
      <c r="D48" t="inlineStr">
        <is>
          <t>indeed</t>
        </is>
      </c>
      <c r="E48">
        <f>HYPERLINK("https://www.indeed.com/viewjob?jk=53b44f0961554e2c", "https://www.indeed.com/viewjob?jk=53b44f0961554e2c")</f>
        <v/>
      </c>
      <c r="F48">
        <f>HYPERLINK("https://www.amazon.jobs/jobs/3179168/applied-scientist-contract-artificial-general-intelligence?cmpid=DA_INAD200785B", "https://www.amazon.jobs/jobs/3179168/applied-scientist-contract-artificial-general-intelligence?cmpid=DA_INAD200785B")</f>
        <v/>
      </c>
      <c r="G48" t="inlineStr">
        <is>
          <t>Boston, MA, US</t>
        </is>
      </c>
      <c r="H48" s="2" t="n">
        <v>46055</v>
      </c>
      <c r="I4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9">
      <c r="A49" t="inlineStr">
        <is>
          <t>in-851da85862bf5453</t>
        </is>
      </c>
      <c r="B49" t="inlineStr">
        <is>
          <t>Applied Scientist (Contract), Artificial General Intelligence</t>
        </is>
      </c>
      <c r="C49" t="inlineStr">
        <is>
          <t>Amazon.com</t>
        </is>
      </c>
      <c r="D49" t="inlineStr">
        <is>
          <t>indeed</t>
        </is>
      </c>
      <c r="E49">
        <f>HYPERLINK("https://www.indeed.com/viewjob?jk=851da85862bf5453", "https://www.indeed.com/viewjob?jk=851da85862bf5453")</f>
        <v/>
      </c>
      <c r="F49">
        <f>HYPERLINK("https://www.amazon.jobs/jobs/3179169/applied-scientist-contract-artificial-general-intelligence?cmpid=DA_INAD200785B", "https://www.amazon.jobs/jobs/3179169/applied-scientist-contract-artificial-general-intelligence?cmpid=DA_INAD200785B")</f>
        <v/>
      </c>
      <c r="G49" t="inlineStr">
        <is>
          <t>Boston, MA, US</t>
        </is>
      </c>
      <c r="H49" s="2" t="n">
        <v>46055</v>
      </c>
      <c r="I4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0">
      <c r="A50" t="inlineStr">
        <is>
          <t>in-8cf3aa613caa31b7</t>
        </is>
      </c>
      <c r="B50" t="inlineStr">
        <is>
          <t>Applied Scientist (Contract), Artificial General Intelligence</t>
        </is>
      </c>
      <c r="C50" t="inlineStr">
        <is>
          <t>Amazon.com</t>
        </is>
      </c>
      <c r="D50" t="inlineStr">
        <is>
          <t>indeed</t>
        </is>
      </c>
      <c r="E50">
        <f>HYPERLINK("https://www.indeed.com/viewjob?jk=8cf3aa613caa31b7", "https://www.indeed.com/viewjob?jk=8cf3aa613caa31b7")</f>
        <v/>
      </c>
      <c r="F50">
        <f>HYPERLINK("https://www.amazon.jobs/jobs/3179188/applied-scientist-contract-artificial-general-intelligence?cmpid=DA_INAD200785B", "https://www.amazon.jobs/jobs/3179188/applied-scientist-contract-artificial-general-intelligence?cmpid=DA_INAD200785B")</f>
        <v/>
      </c>
      <c r="G50" t="inlineStr">
        <is>
          <t>Bellevue, WA, US</t>
        </is>
      </c>
      <c r="H50" s="2" t="n">
        <v>46055</v>
      </c>
      <c r="I5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1">
      <c r="A51" t="inlineStr">
        <is>
          <t>in-59bcad4e920034c9</t>
        </is>
      </c>
      <c r="B51" t="inlineStr">
        <is>
          <t>Applied Scientist (Contract), Artificial General Intelligence</t>
        </is>
      </c>
      <c r="C51" t="inlineStr">
        <is>
          <t>Amazon.com</t>
        </is>
      </c>
      <c r="D51" t="inlineStr">
        <is>
          <t>indeed</t>
        </is>
      </c>
      <c r="E51">
        <f>HYPERLINK("https://www.indeed.com/viewjob?jk=59bcad4e920034c9", "https://www.indeed.com/viewjob?jk=59bcad4e920034c9")</f>
        <v/>
      </c>
      <c r="F51">
        <f>HYPERLINK("https://www.amazon.jobs/jobs/3179187/applied-scientist-contract-artificial-general-intelligence?cmpid=DA_INAD200785B", "https://www.amazon.jobs/jobs/3179187/applied-scientist-contract-artificial-general-intelligence?cmpid=DA_INAD200785B")</f>
        <v/>
      </c>
      <c r="G51" t="inlineStr">
        <is>
          <t>Bellevue, WA, US</t>
        </is>
      </c>
      <c r="H51" s="2" t="n">
        <v>46051</v>
      </c>
      <c r="I5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2">
      <c r="A52" t="inlineStr">
        <is>
          <t>in-80eced68549e71de</t>
        </is>
      </c>
      <c r="B52" t="inlineStr">
        <is>
          <t>Applied Scientist (Contract), Artificial General Intelligence</t>
        </is>
      </c>
      <c r="C52" t="inlineStr">
        <is>
          <t>Amazon.com</t>
        </is>
      </c>
      <c r="D52" t="inlineStr">
        <is>
          <t>indeed</t>
        </is>
      </c>
      <c r="E52">
        <f>HYPERLINK("https://www.indeed.com/viewjob?jk=80eced68549e71de", "https://www.indeed.com/viewjob?jk=80eced68549e71de")</f>
        <v/>
      </c>
      <c r="F52">
        <f>HYPERLINK("https://www.amazon.jobs/jobs/3179187/applied-scientist-contract-artificial-general-intelligence?cmpid=DA_INAD200785B", "https://www.amazon.jobs/jobs/3179187/applied-scientist-contract-artificial-general-intelligence?cmpid=DA_INAD200785B")</f>
        <v/>
      </c>
      <c r="G52" t="inlineStr">
        <is>
          <t>Boston, MA, US</t>
        </is>
      </c>
      <c r="H52" s="2" t="n">
        <v>46051</v>
      </c>
      <c r="I5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3">
      <c r="A53" t="inlineStr">
        <is>
          <t>in-98eea208409e7d09</t>
        </is>
      </c>
      <c r="B53" t="inlineStr">
        <is>
          <t>Sr. Applied Scientist - SLAM, Amazon Industrial Robotics</t>
        </is>
      </c>
      <c r="C53" t="inlineStr">
        <is>
          <t>Amazon.com</t>
        </is>
      </c>
      <c r="D53" t="inlineStr">
        <is>
          <t>indeed</t>
        </is>
      </c>
      <c r="E53">
        <f>HYPERLINK("https://www.indeed.com/viewjob?jk=98eea208409e7d09", "https://www.indeed.com/viewjob?jk=98eea208409e7d09")</f>
        <v/>
      </c>
      <c r="F53">
        <f>HYPERLINK("https://www.amazon.jobs/jobs/3172078/sr-applied-scientist--slam-amazon-industrial-robotics?cmpid=DA_INAD200785B", "https://www.amazon.jobs/jobs/3172078/sr-applied-scientist--slam-amazon-industrial-robotics?cmpid=DA_INAD200785B")</f>
        <v/>
      </c>
      <c r="G53" t="inlineStr">
        <is>
          <t>Reading, MA, US</t>
        </is>
      </c>
      <c r="H53" s="2" t="n">
        <v>46050</v>
      </c>
      <c r="I5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4">
      <c r="A54" t="inlineStr">
        <is>
          <t>in-53d575209f3cc184</t>
        </is>
      </c>
      <c r="B54" t="inlineStr">
        <is>
          <t>Sr. Applied Scientist - SLAM, Amazon Industrial Robotics</t>
        </is>
      </c>
      <c r="C54" t="inlineStr">
        <is>
          <t>Amazon.com</t>
        </is>
      </c>
      <c r="D54" t="inlineStr">
        <is>
          <t>indeed</t>
        </is>
      </c>
      <c r="E54">
        <f>HYPERLINK("https://www.indeed.com/viewjob?jk=53d575209f3cc184", "https://www.indeed.com/viewjob?jk=53d575209f3cc184")</f>
        <v/>
      </c>
      <c r="F54">
        <f>HYPERLINK("https://www.amazon.jobs/jobs/3172078/sr-applied-scientist--slam-amazon-industrial-robotics?cmpid=DA_INAD200785B", "https://www.amazon.jobs/jobs/3172078/sr-applied-scientist--slam-amazon-industrial-robotics?cmpid=DA_INAD200785B")</f>
        <v/>
      </c>
      <c r="G54" t="inlineStr">
        <is>
          <t>Reading, MA, US</t>
        </is>
      </c>
      <c r="H54" s="2" t="n">
        <v>46050</v>
      </c>
      <c r="I5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5">
      <c r="A55" t="inlineStr">
        <is>
          <t>in-50d41191c55fc90b</t>
        </is>
      </c>
      <c r="B55" t="inlineStr">
        <is>
          <t>Principal Applied Scientist, Sensing, Industrial Robotics Group</t>
        </is>
      </c>
      <c r="C55" t="inlineStr">
        <is>
          <t>Amazon.com</t>
        </is>
      </c>
      <c r="D55" t="inlineStr">
        <is>
          <t>indeed</t>
        </is>
      </c>
      <c r="E55">
        <f>HYPERLINK("https://www.indeed.com/viewjob?jk=50d41191c55fc90b", "https://www.indeed.com/viewjob?jk=50d41191c55fc90b")</f>
        <v/>
      </c>
      <c r="F55">
        <f>HYPERLINK("https://www.amazon.jobs/jobs/3170953/principal-applied-scientist-sensing-industrial-robotics-group-?cmpid=DA_INAD200785B", "https://www.amazon.jobs/jobs/3170953/principal-applied-scientist-sensing-industrial-robotics-group-?cmpid=DA_INAD200785B")</f>
        <v/>
      </c>
      <c r="G55" t="inlineStr">
        <is>
          <t>Reading, MA, US</t>
        </is>
      </c>
      <c r="H55" s="2" t="n">
        <v>46050</v>
      </c>
      <c r="I5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6">
      <c r="A56" t="inlineStr">
        <is>
          <t>in-7fb35b4076135fdf</t>
        </is>
      </c>
      <c r="B56" t="inlineStr">
        <is>
          <t>Principal Applied Scientist, Sensing, Industrial Robotics Group</t>
        </is>
      </c>
      <c r="C56" t="inlineStr">
        <is>
          <t>Amazon.com</t>
        </is>
      </c>
      <c r="D56" t="inlineStr">
        <is>
          <t>indeed</t>
        </is>
      </c>
      <c r="E56">
        <f>HYPERLINK("https://www.indeed.com/viewjob?jk=7fb35b4076135fdf", "https://www.indeed.com/viewjob?jk=7fb35b4076135fdf")</f>
        <v/>
      </c>
      <c r="F56">
        <f>HYPERLINK("https://www.amazon.jobs/jobs/3170953/principal-applied-scientist-sensing-industrial-robotics-group-?cmpid=DA_INAD200785B", "https://www.amazon.jobs/jobs/3170953/principal-applied-scientist-sensing-industrial-robotics-group-?cmpid=DA_INAD200785B")</f>
        <v/>
      </c>
      <c r="G56" t="inlineStr">
        <is>
          <t>Reading, MA, US</t>
        </is>
      </c>
      <c r="H56" s="2" t="n">
        <v>46050</v>
      </c>
      <c r="I5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7">
      <c r="A57" t="inlineStr">
        <is>
          <t>in-e0bd3c6207ea23f2</t>
        </is>
      </c>
      <c r="B57" t="inlineStr">
        <is>
          <t>Applied Scientist II, Prime Video Personalization and Discovery Science</t>
        </is>
      </c>
      <c r="C57" t="inlineStr">
        <is>
          <t>Amazon.com</t>
        </is>
      </c>
      <c r="D57" t="inlineStr">
        <is>
          <t>indeed</t>
        </is>
      </c>
      <c r="E57">
        <f>HYPERLINK("https://www.indeed.com/viewjob?jk=e0bd3c6207ea23f2", "https://www.indeed.com/viewjob?jk=e0bd3c6207ea23f2")</f>
        <v/>
      </c>
      <c r="F57">
        <f>HYPERLINK("https://www.amazon.jobs/jobs/3168905/applied-scientist-ii-prime-video-personalization-and-discovery-science?cmpid=DA_INAD200785B", "https://www.amazon.jobs/jobs/3168905/applied-scientist-ii-prime-video-personalization-and-discovery-science?cmpid=DA_INAD200785B")</f>
        <v/>
      </c>
      <c r="G57" t="inlineStr">
        <is>
          <t>New York, NY, US</t>
        </is>
      </c>
      <c r="H57" s="2" t="n">
        <v>46047</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in-1f2efcb8c5db50c1</t>
        </is>
      </c>
      <c r="B58" t="inlineStr">
        <is>
          <t>Applied Scientist II, Prime Video Personalization and Discovery Science</t>
        </is>
      </c>
      <c r="C58" t="inlineStr">
        <is>
          <t>Amazon.com</t>
        </is>
      </c>
      <c r="D58" t="inlineStr">
        <is>
          <t>indeed</t>
        </is>
      </c>
      <c r="E58">
        <f>HYPERLINK("https://www.indeed.com/viewjob?jk=1f2efcb8c5db50c1", "https://www.indeed.com/viewjob?jk=1f2efcb8c5db50c1")</f>
        <v/>
      </c>
      <c r="F58">
        <f>HYPERLINK("https://www.amazon.jobs/jobs/3168905/applied-scientist-ii-prime-video-personalization-and-discovery-science?cmpid=DA_INAD200785B", "https://www.amazon.jobs/jobs/3168905/applied-scientist-ii-prime-video-personalization-and-discovery-science?cmpid=DA_INAD200785B")</f>
        <v/>
      </c>
      <c r="G58" t="inlineStr">
        <is>
          <t>Sunnyvale, CA, US</t>
        </is>
      </c>
      <c r="H58" s="2" t="n">
        <v>46047</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in-a3584deb8b666a40</t>
        </is>
      </c>
      <c r="B59" t="inlineStr">
        <is>
          <t>Applied Scientist, Amazon Connect</t>
        </is>
      </c>
      <c r="C59" t="inlineStr">
        <is>
          <t>Amazon Web Services</t>
        </is>
      </c>
      <c r="D59" t="inlineStr">
        <is>
          <t>indeed</t>
        </is>
      </c>
      <c r="E59">
        <f>HYPERLINK("https://www.indeed.com/viewjob?jk=a3584deb8b666a40", "https://www.indeed.com/viewjob?jk=a3584deb8b666a40")</f>
        <v/>
      </c>
      <c r="F59">
        <f>HYPERLINK("https://www.amazon.jobs/jobs/3168981/applied-scientist-amazon-connect?cmpid=DA_INAD200785B", "https://www.amazon.jobs/jobs/3168981/applied-scientist-amazon-connect?cmpid=DA_INAD200785B")</f>
        <v/>
      </c>
      <c r="G59" t="inlineStr">
        <is>
          <t>New York, NY, US</t>
        </is>
      </c>
      <c r="H59" s="2" t="n">
        <v>46047</v>
      </c>
      <c r="I5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in-2dd2976f513152db</t>
        </is>
      </c>
      <c r="B60" t="inlineStr">
        <is>
          <t>Applied Scientist II, Prime Video Personalization and Discovery Science</t>
        </is>
      </c>
      <c r="C60" t="inlineStr">
        <is>
          <t>Amazon.com</t>
        </is>
      </c>
      <c r="D60" t="inlineStr">
        <is>
          <t>indeed</t>
        </is>
      </c>
      <c r="E60">
        <f>HYPERLINK("https://www.indeed.com/viewjob?jk=2dd2976f513152db", "https://www.indeed.com/viewjob?jk=2dd2976f513152db")</f>
        <v/>
      </c>
      <c r="F60">
        <f>HYPERLINK("https://www.amazon.jobs/jobs/3168905/applied-scientist-ii-prime-video-personalization-and-discovery-science?cmpid=DA_INAD200785B", "https://www.amazon.jobs/jobs/3168905/applied-scientist-ii-prime-video-personalization-and-discovery-science?cmpid=DA_INAD200785B")</f>
        <v/>
      </c>
      <c r="G60" t="inlineStr">
        <is>
          <t>Seattle, WA, US</t>
        </is>
      </c>
      <c r="H60" s="2" t="n">
        <v>46047</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in-6f2ead3e6dddec22</t>
        </is>
      </c>
      <c r="B61" t="inlineStr">
        <is>
          <t>Applied Scientist, Amazon Connect</t>
        </is>
      </c>
      <c r="C61" t="inlineStr">
        <is>
          <t>Amazon Web Services</t>
        </is>
      </c>
      <c r="D61" t="inlineStr">
        <is>
          <t>indeed</t>
        </is>
      </c>
      <c r="E61">
        <f>HYPERLINK("https://www.indeed.com/viewjob?jk=6f2ead3e6dddec22", "https://www.indeed.com/viewjob?jk=6f2ead3e6dddec22")</f>
        <v/>
      </c>
      <c r="F61">
        <f>HYPERLINK("https://www.amazon.jobs/jobs/3168981/applied-scientist-amazon-connect?cmpid=DA_INAD200785B", "https://www.amazon.jobs/jobs/3168981/applied-scientist-amazon-connect?cmpid=DA_INAD200785B")</f>
        <v/>
      </c>
      <c r="G61" t="inlineStr">
        <is>
          <t>Seattle, WA, US</t>
        </is>
      </c>
      <c r="H61" s="2" t="n">
        <v>46047</v>
      </c>
      <c r="I6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in-8aeea16c1b156bf8</t>
        </is>
      </c>
      <c r="B62" t="inlineStr">
        <is>
          <t>Applied Scientist, Safety ML</t>
        </is>
      </c>
      <c r="C62" t="inlineStr">
        <is>
          <t>Amazon.com</t>
        </is>
      </c>
      <c r="D62" t="inlineStr">
        <is>
          <t>indeed</t>
        </is>
      </c>
      <c r="E62">
        <f>HYPERLINK("https://www.indeed.com/viewjob?jk=8aeea16c1b156bf8", "https://www.indeed.com/viewjob?jk=8aeea16c1b156bf8")</f>
        <v/>
      </c>
      <c r="F62">
        <f>HYPERLINK("https://www.amazon.jobs/jobs/3161224/applied-scientist-safety-ml?cmpid=DA_INAD200785B", "https://www.amazon.jobs/jobs/3161224/applied-scientist-safety-ml?cmpid=DA_INAD200785B")</f>
        <v/>
      </c>
      <c r="G62" t="inlineStr">
        <is>
          <t>Seattle, WA, US</t>
        </is>
      </c>
      <c r="H62" s="2" t="n">
        <v>46037</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3">
      <c r="A63" t="inlineStr">
        <is>
          <t>in-c20703ee18ec3d2a</t>
        </is>
      </c>
      <c r="B63" t="inlineStr">
        <is>
          <t>Applied Scientist, Safety ML</t>
        </is>
      </c>
      <c r="C63" t="inlineStr">
        <is>
          <t>Amazon.com</t>
        </is>
      </c>
      <c r="D63" t="inlineStr">
        <is>
          <t>indeed</t>
        </is>
      </c>
      <c r="E63">
        <f>HYPERLINK("https://www.indeed.com/viewjob?jk=c20703ee18ec3d2a", "https://www.indeed.com/viewjob?jk=c20703ee18ec3d2a")</f>
        <v/>
      </c>
      <c r="F63">
        <f>HYPERLINK("https://www.amazon.jobs/jobs/3161224/applied-scientist-safety-ml?cmpid=DA_INAD200785B", "https://www.amazon.jobs/jobs/3161224/applied-scientist-safety-ml?cmpid=DA_INAD200785B")</f>
        <v/>
      </c>
      <c r="G63" t="inlineStr">
        <is>
          <t>San Francisco, CA, US</t>
        </is>
      </c>
      <c r="H63" s="2" t="n">
        <v>46037</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4">
      <c r="A64" t="inlineStr">
        <is>
          <t>in-d47f7379db60ab6d</t>
        </is>
      </c>
      <c r="B64" t="inlineStr">
        <is>
          <t>Principal Applied Scientist, Measurement, AdTech and Data Science, Ads Performance Measurement</t>
        </is>
      </c>
      <c r="C64" t="inlineStr">
        <is>
          <t>Amazon.com</t>
        </is>
      </c>
      <c r="D64" t="inlineStr">
        <is>
          <t>indeed</t>
        </is>
      </c>
      <c r="E64">
        <f>HYPERLINK("https://www.indeed.com/viewjob?jk=d47f7379db60ab6d", "https://www.indeed.com/viewjob?jk=d47f7379db60ab6d")</f>
        <v/>
      </c>
      <c r="F64">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4" t="inlineStr">
        <is>
          <t>New York, NY, US</t>
        </is>
      </c>
      <c r="H64" s="2" t="n">
        <v>46037</v>
      </c>
      <c r="I6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5">
      <c r="A65" t="inlineStr">
        <is>
          <t>in-2388541d09297d07</t>
        </is>
      </c>
      <c r="B65" t="inlineStr">
        <is>
          <t>Principal Applied Scientist, Measurement, AdTech and Data Science, Ads Performance Measurement</t>
        </is>
      </c>
      <c r="C65" t="inlineStr">
        <is>
          <t>Amazon.com</t>
        </is>
      </c>
      <c r="D65" t="inlineStr">
        <is>
          <t>indeed</t>
        </is>
      </c>
      <c r="E65">
        <f>HYPERLINK("https://www.indeed.com/viewjob?jk=2388541d09297d07", "https://www.indeed.com/viewjob?jk=2388541d09297d07")</f>
        <v/>
      </c>
      <c r="F65">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5" t="inlineStr">
        <is>
          <t>Seattle, WA, US</t>
        </is>
      </c>
      <c r="H65" s="2" t="n">
        <v>46037</v>
      </c>
      <c r="I65"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6">
      <c r="A66" t="inlineStr">
        <is>
          <t>in-059d50261b77c462</t>
        </is>
      </c>
      <c r="B66" t="inlineStr">
        <is>
          <t>Principal Applied Scientist, Measurement, AdTech and Data Science, Ads Performance Measurement</t>
        </is>
      </c>
      <c r="C66" t="inlineStr">
        <is>
          <t>Amazon.com</t>
        </is>
      </c>
      <c r="D66" t="inlineStr">
        <is>
          <t>indeed</t>
        </is>
      </c>
      <c r="E66">
        <f>HYPERLINK("https://www.indeed.com/viewjob?jk=059d50261b77c462", "https://www.indeed.com/viewjob?jk=059d50261b77c462")</f>
        <v/>
      </c>
      <c r="F66">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6" t="inlineStr">
        <is>
          <t>Palo Alto, CA, US</t>
        </is>
      </c>
      <c r="H66" s="2" t="n">
        <v>46037</v>
      </c>
      <c r="I6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7">
      <c r="A67" t="inlineStr">
        <is>
          <t>in-9971a19a3c4cc719</t>
        </is>
      </c>
      <c r="B67" t="inlineStr">
        <is>
          <t>Applied Scientist III, Sponsored Products and Brands</t>
        </is>
      </c>
      <c r="C67" t="inlineStr">
        <is>
          <t>Amazon.com</t>
        </is>
      </c>
      <c r="D67" t="inlineStr">
        <is>
          <t>indeed</t>
        </is>
      </c>
      <c r="E67">
        <f>HYPERLINK("https://www.indeed.com/viewjob?jk=9971a19a3c4cc719", "https://www.indeed.com/viewjob?jk=9971a19a3c4cc719")</f>
        <v/>
      </c>
      <c r="F67">
        <f>HYPERLINK("https://www.amazon.jobs/jobs/3162901/applied-scientist-iii-sponsored-products-and-brands?cmpid=DA_INAD200785B", "https://www.amazon.jobs/jobs/3162901/applied-scientist-iii-sponsored-products-and-brands?cmpid=DA_INAD200785B")</f>
        <v/>
      </c>
      <c r="G67" t="inlineStr">
        <is>
          <t>New York, NY, US</t>
        </is>
      </c>
      <c r="H67" s="2" t="n">
        <v>46037</v>
      </c>
      <c r="I6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68">
      <c r="A68" t="inlineStr">
        <is>
          <t>in-6c790dac0a8b17b6</t>
        </is>
      </c>
      <c r="B68" t="inlineStr">
        <is>
          <t>Applied Scientist, LLM Code Agents, Kiro Science</t>
        </is>
      </c>
      <c r="C68" t="inlineStr">
        <is>
          <t>Amazon.com</t>
        </is>
      </c>
      <c r="D68" t="inlineStr">
        <is>
          <t>indeed</t>
        </is>
      </c>
      <c r="E68">
        <f>HYPERLINK("https://www.indeed.com/viewjob?jk=6c790dac0a8b17b6", "https://www.indeed.com/viewjob?jk=6c790dac0a8b17b6")</f>
        <v/>
      </c>
      <c r="F68">
        <f>HYPERLINK("https://www.amazon.jobs/jobs/3161363/applied-scientist-llm-code-agents-kiro-science?cmpid=DA_INAD200785B", "https://www.amazon.jobs/jobs/3161363/applied-scientist-llm-code-agents-kiro-science?cmpid=DA_INAD200785B")</f>
        <v/>
      </c>
      <c r="G68" t="inlineStr">
        <is>
          <t>Seattle, WA, US</t>
        </is>
      </c>
      <c r="H68" s="2" t="n">
        <v>46035</v>
      </c>
      <c r="I6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9">
      <c r="A69" t="inlineStr">
        <is>
          <t>in-838f8d85f9715459</t>
        </is>
      </c>
      <c r="B69" t="inlineStr">
        <is>
          <t>Applied Scientist, LLM Code Agents, Kiro Science</t>
        </is>
      </c>
      <c r="C69" t="inlineStr">
        <is>
          <t>Amazon.com</t>
        </is>
      </c>
      <c r="D69" t="inlineStr">
        <is>
          <t>indeed</t>
        </is>
      </c>
      <c r="E69">
        <f>HYPERLINK("https://www.indeed.com/viewjob?jk=838f8d85f9715459", "https://www.indeed.com/viewjob?jk=838f8d85f9715459")</f>
        <v/>
      </c>
      <c r="F69">
        <f>HYPERLINK("https://www.amazon.jobs/jobs/3161363/applied-scientist-llm-code-agents-kiro-science?cmpid=DA_INAD200785B", "https://www.amazon.jobs/jobs/3161363/applied-scientist-llm-code-agents-kiro-science?cmpid=DA_INAD200785B")</f>
        <v/>
      </c>
      <c r="G69" t="inlineStr">
        <is>
          <t>Santa Clara, CA, US</t>
        </is>
      </c>
      <c r="H69" s="2" t="n">
        <v>46035</v>
      </c>
      <c r="I6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70">
      <c r="A70" t="inlineStr">
        <is>
          <t>in-0a209f83bc928b63</t>
        </is>
      </c>
      <c r="B70" t="inlineStr">
        <is>
          <t>Applied Scientist, Alexa Smart Home</t>
        </is>
      </c>
      <c r="C70" t="inlineStr">
        <is>
          <t>Amazon.com</t>
        </is>
      </c>
      <c r="D70" t="inlineStr">
        <is>
          <t>indeed</t>
        </is>
      </c>
      <c r="E70">
        <f>HYPERLINK("https://www.indeed.com/viewjob?jk=0a209f83bc928b63", "https://www.indeed.com/viewjob?jk=0a209f83bc928b63")</f>
        <v/>
      </c>
      <c r="F70">
        <f>HYPERLINK("https://www.amazon.jobs/jobs/3169205/applied-scientist-alexa-smart-home?cmpid=DA_INAD200785B", "https://www.amazon.jobs/jobs/3169205/applied-scientist-alexa-smart-home?cmpid=DA_INAD200785B")</f>
        <v/>
      </c>
      <c r="G70" t="inlineStr">
        <is>
          <t>Seattle, WA, US</t>
        </is>
      </c>
      <c r="H70" s="2" t="n">
        <v>46033</v>
      </c>
      <c r="I7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1">
      <c r="A71" t="inlineStr">
        <is>
          <t>in-616bca00d636e883</t>
        </is>
      </c>
      <c r="B71" t="inlineStr">
        <is>
          <t>Applied Scientist, Alexa Smart Home</t>
        </is>
      </c>
      <c r="C71" t="inlineStr">
        <is>
          <t>Amazon.com</t>
        </is>
      </c>
      <c r="D71" t="inlineStr">
        <is>
          <t>indeed</t>
        </is>
      </c>
      <c r="E71">
        <f>HYPERLINK("https://www.indeed.com/viewjob?jk=616bca00d636e883", "https://www.indeed.com/viewjob?jk=616bca00d636e883")</f>
        <v/>
      </c>
      <c r="F71">
        <f>HYPERLINK("https://www.amazon.jobs/jobs/3169205/applied-scientist-alexa-smart-home?cmpid=DA_INAD200785B", "https://www.amazon.jobs/jobs/3169205/applied-scientist-alexa-smart-home?cmpid=DA_INAD200785B")</f>
        <v/>
      </c>
      <c r="G71" t="inlineStr">
        <is>
          <t>Sunnyvale, CA, US</t>
        </is>
      </c>
      <c r="H71" s="2" t="n">
        <v>46033</v>
      </c>
      <c r="I7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2">
      <c r="A72" t="inlineStr">
        <is>
          <t>in-4c645d0b2952e23e</t>
        </is>
      </c>
      <c r="B72" t="inlineStr">
        <is>
          <t>Applied Scientist, AWS Applied AI Solutions</t>
        </is>
      </c>
      <c r="C72" t="inlineStr">
        <is>
          <t>Amazon Web Services</t>
        </is>
      </c>
      <c r="D72" t="inlineStr">
        <is>
          <t>indeed</t>
        </is>
      </c>
      <c r="E72">
        <f>HYPERLINK("https://www.indeed.com/viewjob?jk=4c645d0b2952e23e", "https://www.indeed.com/viewjob?jk=4c645d0b2952e23e")</f>
        <v/>
      </c>
      <c r="F72">
        <f>HYPERLINK("https://www.amazon.jobs/jobs/3166907/applied-scientist-aws-applied-ai-solutions?cmpid=DA_INAD200785B", "https://www.amazon.jobs/jobs/3166907/applied-scientist-aws-applied-ai-solutions?cmpid=DA_INAD200785B")</f>
        <v/>
      </c>
      <c r="G72" t="inlineStr">
        <is>
          <t>Seattle, WA, US</t>
        </is>
      </c>
      <c r="H72" s="2" t="n">
        <v>46030</v>
      </c>
      <c r="I7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in-445ce297c0e32e65</t>
        </is>
      </c>
      <c r="B73" t="inlineStr">
        <is>
          <t>Applied Scientist, AWS Applied AI Solutions</t>
        </is>
      </c>
      <c r="C73" t="inlineStr">
        <is>
          <t>Amazon Web Services</t>
        </is>
      </c>
      <c r="D73" t="inlineStr">
        <is>
          <t>indeed</t>
        </is>
      </c>
      <c r="E73">
        <f>HYPERLINK("https://www.indeed.com/viewjob?jk=445ce297c0e32e65", "https://www.indeed.com/viewjob?jk=445ce297c0e32e65")</f>
        <v/>
      </c>
      <c r="F73">
        <f>HYPERLINK("https://www.amazon.jobs/jobs/3166907/applied-scientist-aws-applied-ai-solutions?cmpid=DA_INAD200785B", "https://www.amazon.jobs/jobs/3166907/applied-scientist-aws-applied-ai-solutions?cmpid=DA_INAD200785B")</f>
        <v/>
      </c>
      <c r="G73" t="inlineStr">
        <is>
          <t>New York, NY, US</t>
        </is>
      </c>
      <c r="H73" s="2" t="n">
        <v>46030</v>
      </c>
      <c r="I7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in-274ae88d28e3580c</t>
        </is>
      </c>
      <c r="B74" t="inlineStr">
        <is>
          <t>Senior Data Scientist, Amazon Global Logistics</t>
        </is>
      </c>
      <c r="C74" t="inlineStr">
        <is>
          <t>Amazon.com</t>
        </is>
      </c>
      <c r="D74" t="inlineStr">
        <is>
          <t>indeed</t>
        </is>
      </c>
      <c r="E74">
        <f>HYPERLINK("https://www.indeed.com/viewjob?jk=274ae88d28e3580c", "https://www.indeed.com/viewjob?jk=274ae88d28e3580c")</f>
        <v/>
      </c>
      <c r="F74">
        <f>HYPERLINK("https://www.amazon.jobs/jobs/3166902/senior-data-scientist-amazon-global-logistics?cmpid=DA_INAD200785B", "https://www.amazon.jobs/jobs/3166902/senior-data-scientist-amazon-global-logistics?cmpid=DA_INAD200785B")</f>
        <v/>
      </c>
      <c r="G74" t="inlineStr">
        <is>
          <t>Bellevue, WA, US</t>
        </is>
      </c>
      <c r="H74" s="2" t="n">
        <v>46029</v>
      </c>
      <c r="I74"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5">
      <c r="A75" t="inlineStr">
        <is>
          <t>in-b57eeea46c72a8b6</t>
        </is>
      </c>
      <c r="B75" t="inlineStr">
        <is>
          <t>Senior Data Scientist, Amazon Global Logistics</t>
        </is>
      </c>
      <c r="C75" t="inlineStr">
        <is>
          <t>Amazon.com</t>
        </is>
      </c>
      <c r="D75" t="inlineStr">
        <is>
          <t>indeed</t>
        </is>
      </c>
      <c r="E75">
        <f>HYPERLINK("https://www.indeed.com/viewjob?jk=b57eeea46c72a8b6", "https://www.indeed.com/viewjob?jk=b57eeea46c72a8b6")</f>
        <v/>
      </c>
      <c r="F75">
        <f>HYPERLINK("https://www.amazon.jobs/jobs/3166902/senior-data-scientist-amazon-global-logistics?cmpid=DA_INAD200785B", "https://www.amazon.jobs/jobs/3166902/senior-data-scientist-amazon-global-logistics?cmpid=DA_INAD200785B")</f>
        <v/>
      </c>
      <c r="G75" t="inlineStr">
        <is>
          <t>Boston, MA, US</t>
        </is>
      </c>
      <c r="H75" s="2" t="n">
        <v>46029</v>
      </c>
      <c r="I75"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6">
      <c r="A76" t="inlineStr">
        <is>
          <t>in-2e92eb799fe2fd2a</t>
        </is>
      </c>
      <c r="B76" t="inlineStr">
        <is>
          <t>Applied Scientist II, Prime Video Personalization and Discovery Science</t>
        </is>
      </c>
      <c r="C76" t="inlineStr">
        <is>
          <t>Amazon.com</t>
        </is>
      </c>
      <c r="D76" t="inlineStr">
        <is>
          <t>indeed</t>
        </is>
      </c>
      <c r="E76">
        <f>HYPERLINK("https://www.indeed.com/viewjob?jk=2e92eb799fe2fd2a", "https://www.indeed.com/viewjob?jk=2e92eb799fe2fd2a")</f>
        <v/>
      </c>
      <c r="F76">
        <f>HYPERLINK("https://www.amazon.jobs/jobs/3155448/applied-scientist-ii-prime-video-personalization-and-discovery-science?cmpid=DA_INAD200785B", "https://www.amazon.jobs/jobs/3155448/applied-scientist-ii-prime-video-personalization-and-discovery-science?cmpid=DA_INAD200785B")</f>
        <v/>
      </c>
      <c r="G76" t="inlineStr">
        <is>
          <t>New York, NY, US</t>
        </is>
      </c>
      <c r="H76" s="2" t="n">
        <v>46028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7">
      <c r="A77" t="inlineStr">
        <is>
          <t>in-db75124bb3b154fa</t>
        </is>
      </c>
      <c r="B77" t="inlineStr">
        <is>
          <t>Applied Scientist II, Prime Video Personalization and Discovery Science</t>
        </is>
      </c>
      <c r="C77" t="inlineStr">
        <is>
          <t>Amazon.com</t>
        </is>
      </c>
      <c r="D77" t="inlineStr">
        <is>
          <t>indeed</t>
        </is>
      </c>
      <c r="E77">
        <f>HYPERLINK("https://www.indeed.com/viewjob?jk=db75124bb3b154fa", "https://www.indeed.com/viewjob?jk=db75124bb3b154fa")</f>
        <v/>
      </c>
      <c r="F77">
        <f>HYPERLINK("https://www.amazon.jobs/jobs/3155448/applied-scientist-ii-prime-video-personalization-and-discovery-science?cmpid=DA_INAD200785B", "https://www.amazon.jobs/jobs/3155448/applied-scientist-ii-prime-video-personalization-and-discovery-science?cmpid=DA_INAD200785B")</f>
        <v/>
      </c>
      <c r="G77" t="inlineStr">
        <is>
          <t>Seattle, WA, US</t>
        </is>
      </c>
      <c r="H77" s="2" t="n">
        <v>46028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8">
      <c r="A78" t="inlineStr">
        <is>
          <t>in-2fa578b335edffc2</t>
        </is>
      </c>
      <c r="B78" t="inlineStr">
        <is>
          <t>Applied Scientist II, Prime Video Personalization and Discovery Science</t>
        </is>
      </c>
      <c r="C78" t="inlineStr">
        <is>
          <t>Amazon.com</t>
        </is>
      </c>
      <c r="D78" t="inlineStr">
        <is>
          <t>indeed</t>
        </is>
      </c>
      <c r="E78">
        <f>HYPERLINK("https://www.indeed.com/viewjob?jk=2fa578b335edffc2", "https://www.indeed.com/viewjob?jk=2fa578b335edffc2")</f>
        <v/>
      </c>
      <c r="F78">
        <f>HYPERLINK("https://www.amazon.jobs/jobs/3155448/applied-scientist-ii-prime-video-personalization-and-discovery-science?cmpid=DA_INAD200785B", "https://www.amazon.jobs/jobs/3155448/applied-scientist-ii-prime-video-personalization-and-discovery-science?cmpid=DA_INAD200785B")</f>
        <v/>
      </c>
      <c r="G78" t="inlineStr">
        <is>
          <t>Sunnyvale, CA, US</t>
        </is>
      </c>
      <c r="H78" s="2" t="n">
        <v>46028</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9">
      <c r="A79" t="inlineStr">
        <is>
          <t>in-6a31c9c2ad89114b</t>
        </is>
      </c>
      <c r="B79" t="inlineStr">
        <is>
          <t>Applied Scientist II, Locomotion, Amazon Industrial Robotics</t>
        </is>
      </c>
      <c r="C79" t="inlineStr">
        <is>
          <t>Amazon.com</t>
        </is>
      </c>
      <c r="D79" t="inlineStr">
        <is>
          <t>indeed</t>
        </is>
      </c>
      <c r="E79">
        <f>HYPERLINK("https://www.indeed.com/viewjob?jk=6a31c9c2ad89114b", "https://www.indeed.com/viewjob?jk=6a31c9c2ad89114b")</f>
        <v/>
      </c>
      <c r="F79">
        <f>HYPERLINK("https://www.amazon.jobs/jobs/3154607/applied-scientist-ii-locomotion-amazon-industrial-robotics?cmpid=DA_INAD200785B", "https://www.amazon.jobs/jobs/3154607/applied-scientist-ii-locomotion-amazon-industrial-robotics?cmpid=DA_INAD200785B")</f>
        <v/>
      </c>
      <c r="G79" t="inlineStr">
        <is>
          <t>Reading, MA, US</t>
        </is>
      </c>
      <c r="H79" s="2" t="n">
        <v>46028</v>
      </c>
      <c r="I7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0">
      <c r="A80" t="inlineStr">
        <is>
          <t>in-d9260d20e9fffe02</t>
        </is>
      </c>
      <c r="B80" t="inlineStr">
        <is>
          <t>Applied Scientist II, Locomotion, Amazon Industrial Robotics</t>
        </is>
      </c>
      <c r="C80" t="inlineStr">
        <is>
          <t>Amazon.com</t>
        </is>
      </c>
      <c r="D80" t="inlineStr">
        <is>
          <t>indeed</t>
        </is>
      </c>
      <c r="E80">
        <f>HYPERLINK("https://www.indeed.com/viewjob?jk=d9260d20e9fffe02", "https://www.indeed.com/viewjob?jk=d9260d20e9fffe02")</f>
        <v/>
      </c>
      <c r="F80">
        <f>HYPERLINK("https://www.amazon.jobs/jobs/3154607/applied-scientist-ii-locomotion-amazon-industrial-robotics?cmpid=DA_INAD200785B", "https://www.amazon.jobs/jobs/3154607/applied-scientist-ii-locomotion-amazon-industrial-robotics?cmpid=DA_INAD200785B")</f>
        <v/>
      </c>
      <c r="G80" t="inlineStr">
        <is>
          <t>Reading, MA, US</t>
        </is>
      </c>
      <c r="H80" s="2" t="n">
        <v>46028</v>
      </c>
      <c r="I8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1">
      <c r="A81" t="inlineStr">
        <is>
          <t>in-60481a9c61f32033</t>
        </is>
      </c>
      <c r="B81" t="inlineStr">
        <is>
          <t>Senior Applied Scientist, Industrial Robotics Group</t>
        </is>
      </c>
      <c r="C81" t="inlineStr">
        <is>
          <t>Amazon.com</t>
        </is>
      </c>
      <c r="D81" t="inlineStr">
        <is>
          <t>indeed</t>
        </is>
      </c>
      <c r="E81">
        <f>HYPERLINK("https://www.indeed.com/viewjob?jk=60481a9c61f32033", "https://www.indeed.com/viewjob?jk=60481a9c61f32033")</f>
        <v/>
      </c>
      <c r="F81">
        <f>HYPERLINK("https://www.amazon.jobs/jobs/3154866/senior-applied-scientist-industrial-robotics-group?cmpid=DA_INAD200785B", "https://www.amazon.jobs/jobs/3154866/senior-applied-scientist-industrial-robotics-group?cmpid=DA_INAD200785B")</f>
        <v/>
      </c>
      <c r="G81" t="inlineStr">
        <is>
          <t>Reading, MA, US</t>
        </is>
      </c>
      <c r="H81" s="2" t="n">
        <v>46027</v>
      </c>
      <c r="I81"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2">
      <c r="A82" t="inlineStr">
        <is>
          <t>in-ffe7352f585e0566</t>
        </is>
      </c>
      <c r="B82" t="inlineStr">
        <is>
          <t>Senior Applied Scientist, Industrial Robotics Group</t>
        </is>
      </c>
      <c r="C82" t="inlineStr">
        <is>
          <t>Amazon.com</t>
        </is>
      </c>
      <c r="D82" t="inlineStr">
        <is>
          <t>indeed</t>
        </is>
      </c>
      <c r="E82">
        <f>HYPERLINK("https://www.indeed.com/viewjob?jk=ffe7352f585e0566", "https://www.indeed.com/viewjob?jk=ffe7352f585e0566")</f>
        <v/>
      </c>
      <c r="F82">
        <f>HYPERLINK("https://www.amazon.jobs/jobs/3154866/senior-applied-scientist-industrial-robotics-group?cmpid=DA_INAD200785B", "https://www.amazon.jobs/jobs/3154866/senior-applied-scientist-industrial-robotics-group?cmpid=DA_INAD200785B")</f>
        <v/>
      </c>
      <c r="G82" t="inlineStr">
        <is>
          <t>Reading, MA, US</t>
        </is>
      </c>
      <c r="H82" s="2" t="n">
        <v>46027</v>
      </c>
      <c r="I82"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3">
      <c r="A83" t="inlineStr">
        <is>
          <t>in-edf1b0ffb8f0ca1a</t>
        </is>
      </c>
      <c r="B83" t="inlineStr">
        <is>
          <t>Senior Applied Scientist, Distributed SQL</t>
        </is>
      </c>
      <c r="C83" t="inlineStr">
        <is>
          <t>Amazon Web Services</t>
        </is>
      </c>
      <c r="D83" t="inlineStr">
        <is>
          <t>indeed</t>
        </is>
      </c>
      <c r="E83">
        <f>HYPERLINK("https://www.indeed.com/viewjob?jk=edf1b0ffb8f0ca1a", "https://www.indeed.com/viewjob?jk=edf1b0ffb8f0ca1a")</f>
        <v/>
      </c>
      <c r="F83">
        <f>HYPERLINK("https://www.amazon.jobs/jobs/3148444/senior-applied-scientist-distributed-sql?cmpid=DA_INAD200785B", "https://www.amazon.jobs/jobs/3148444/senior-applied-scientist-distributed-sql?cmpid=DA_INAD200785B")</f>
        <v/>
      </c>
      <c r="G83" t="inlineStr">
        <is>
          <t>Seattle, WA, US</t>
        </is>
      </c>
      <c r="H83" s="2" t="n">
        <v>46012</v>
      </c>
      <c r="I8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4">
      <c r="A84" t="inlineStr">
        <is>
          <t>in-c85f11013793f440</t>
        </is>
      </c>
      <c r="B84" t="inlineStr">
        <is>
          <t>Senior Applied Scientist, Distributed SQL</t>
        </is>
      </c>
      <c r="C84" t="inlineStr">
        <is>
          <t>Amazon Web Services</t>
        </is>
      </c>
      <c r="D84" t="inlineStr">
        <is>
          <t>indeed</t>
        </is>
      </c>
      <c r="E84">
        <f>HYPERLINK("https://www.indeed.com/viewjob?jk=c85f11013793f440", "https://www.indeed.com/viewjob?jk=c85f11013793f440")</f>
        <v/>
      </c>
      <c r="F84">
        <f>HYPERLINK("https://www.amazon.jobs/jobs/3148444/senior-applied-scientist-distributed-sql?cmpid=DA_INAD200785B", "https://www.amazon.jobs/jobs/3148444/senior-applied-scientist-distributed-sql?cmpid=DA_INAD200785B")</f>
        <v/>
      </c>
      <c r="G84" t="inlineStr">
        <is>
          <t>East Palo Alto, CA, US</t>
        </is>
      </c>
      <c r="H84" s="2" t="n">
        <v>46012</v>
      </c>
      <c r="I8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5">
      <c r="A85" t="inlineStr">
        <is>
          <t>in-d1c88063fe8c6e32</t>
        </is>
      </c>
      <c r="B85" t="inlineStr">
        <is>
          <t>Principal Applied Scientist, Kiro Science</t>
        </is>
      </c>
      <c r="C85" t="inlineStr">
        <is>
          <t>Amazon Web Services</t>
        </is>
      </c>
      <c r="D85" t="inlineStr">
        <is>
          <t>indeed</t>
        </is>
      </c>
      <c r="E85">
        <f>HYPERLINK("https://www.indeed.com/viewjob?jk=d1c88063fe8c6e32", "https://www.indeed.com/viewjob?jk=d1c88063fe8c6e32")</f>
        <v/>
      </c>
      <c r="F85">
        <f>HYPERLINK("https://www.amazon.jobs/jobs/3161064/principal-applied-scientist-kiro-science?cmpid=DA_INAD200785B", "https://www.amazon.jobs/jobs/3161064/principal-applied-scientist-kiro-science?cmpid=DA_INAD200785B")</f>
        <v/>
      </c>
      <c r="G85" t="inlineStr">
        <is>
          <t>New York, NY, US</t>
        </is>
      </c>
      <c r="H85" s="2" t="n">
        <v>45999</v>
      </c>
      <c r="I8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6">
      <c r="A86" t="inlineStr">
        <is>
          <t>in-5ba1bf8e2922085d</t>
        </is>
      </c>
      <c r="B86" t="inlineStr">
        <is>
          <t>Principal Applied Scientist, Kiro Science</t>
        </is>
      </c>
      <c r="C86" t="inlineStr">
        <is>
          <t>Amazon Web Services</t>
        </is>
      </c>
      <c r="D86" t="inlineStr">
        <is>
          <t>indeed</t>
        </is>
      </c>
      <c r="E86">
        <f>HYPERLINK("https://www.indeed.com/viewjob?jk=5ba1bf8e2922085d", "https://www.indeed.com/viewjob?jk=5ba1bf8e2922085d")</f>
        <v/>
      </c>
      <c r="F86">
        <f>HYPERLINK("https://www.amazon.jobs/jobs/3161064/principal-applied-scientist-kiro-science?cmpid=DA_INAD200785B", "https://www.amazon.jobs/jobs/3161064/principal-applied-scientist-kiro-science?cmpid=DA_INAD200785B")</f>
        <v/>
      </c>
      <c r="G86" t="inlineStr">
        <is>
          <t>Santa Clara, CA, US</t>
        </is>
      </c>
      <c r="H86" s="2" t="n">
        <v>45999</v>
      </c>
      <c r="I8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7">
      <c r="A87" t="inlineStr">
        <is>
          <t>in-cc7915cb4e359e57</t>
        </is>
      </c>
      <c r="B87" t="inlineStr">
        <is>
          <t>Principal Applied Scientist, Sponsored Products and Brands</t>
        </is>
      </c>
      <c r="C87" t="inlineStr">
        <is>
          <t>Amazon.com</t>
        </is>
      </c>
      <c r="D87" t="inlineStr">
        <is>
          <t>indeed</t>
        </is>
      </c>
      <c r="E87">
        <f>HYPERLINK("https://www.indeed.com/viewjob?jk=cc7915cb4e359e57", "https://www.indeed.com/viewjob?jk=cc7915cb4e359e57")</f>
        <v/>
      </c>
      <c r="F87">
        <f>HYPERLINK("https://www.amazon.jobs/jobs/3130855/principal-applied-scientist-sponsored-products-and-brands?cmpid=DA_INAD200785B", "https://www.amazon.jobs/jobs/3130855/principal-applied-scientist-sponsored-products-and-brands?cmpid=DA_INAD200785B")</f>
        <v/>
      </c>
      <c r="G87" t="inlineStr">
        <is>
          <t>Seattle, WA, US</t>
        </is>
      </c>
      <c r="H87" s="2" t="n">
        <v>45979</v>
      </c>
      <c r="I8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in-772a4610db25f8ca</t>
        </is>
      </c>
      <c r="B88" t="inlineStr">
        <is>
          <t>Principal Applied Scientist, Sponsored Products and Brands</t>
        </is>
      </c>
      <c r="C88" t="inlineStr">
        <is>
          <t>Amazon.com</t>
        </is>
      </c>
      <c r="D88" t="inlineStr">
        <is>
          <t>indeed</t>
        </is>
      </c>
      <c r="E88">
        <f>HYPERLINK("https://www.indeed.com/viewjob?jk=772a4610db25f8ca", "https://www.indeed.com/viewjob?jk=772a4610db25f8ca")</f>
        <v/>
      </c>
      <c r="F88">
        <f>HYPERLINK("https://www.amazon.jobs/jobs/3130855/principal-applied-scientist-sponsored-products-and-brands?cmpid=DA_INAD200785B", "https://www.amazon.jobs/jobs/3130855/principal-applied-scientist-sponsored-products-and-brands?cmpid=DA_INAD200785B")</f>
        <v/>
      </c>
      <c r="G88" t="inlineStr">
        <is>
          <t>New York, NY, US</t>
        </is>
      </c>
      <c r="H88" s="2" t="n">
        <v>45979</v>
      </c>
      <c r="I8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in-876970e30b41a838</t>
        </is>
      </c>
      <c r="B89" t="inlineStr">
        <is>
          <t>Sr. Applied Scientist, Sponsored Products</t>
        </is>
      </c>
      <c r="C89" t="inlineStr">
        <is>
          <t>Amazon.com</t>
        </is>
      </c>
      <c r="D89" t="inlineStr">
        <is>
          <t>indeed</t>
        </is>
      </c>
      <c r="E89">
        <f>HYPERLINK("https://www.indeed.com/viewjob?jk=876970e30b41a838", "https://www.indeed.com/viewjob?jk=876970e30b41a838")</f>
        <v/>
      </c>
      <c r="F89">
        <f>HYPERLINK("https://www.amazon.jobs/jobs/3136156/sr-applied-scientist-sponsored-products?cmpid=DA_INAD200785B", "https://www.amazon.jobs/jobs/3136156/sr-applied-scientist-sponsored-products?cmpid=DA_INAD200785B")</f>
        <v/>
      </c>
      <c r="G89" t="inlineStr">
        <is>
          <t>New York, NY, US</t>
        </is>
      </c>
      <c r="H89" s="2" t="n">
        <v>45976</v>
      </c>
      <c r="I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0">
      <c r="A90" t="inlineStr">
        <is>
          <t>in-8d987e1ff6d1d757</t>
        </is>
      </c>
      <c r="B90" t="inlineStr">
        <is>
          <t>Sr. Applied Scientist, Sponsored Products</t>
        </is>
      </c>
      <c r="C90" t="inlineStr">
        <is>
          <t>Amazon.com</t>
        </is>
      </c>
      <c r="D90" t="inlineStr">
        <is>
          <t>indeed</t>
        </is>
      </c>
      <c r="E90">
        <f>HYPERLINK("https://www.indeed.com/viewjob?jk=8d987e1ff6d1d757", "https://www.indeed.com/viewjob?jk=8d987e1ff6d1d757")</f>
        <v/>
      </c>
      <c r="F90">
        <f>HYPERLINK("https://www.amazon.jobs/jobs/3136156/sr-applied-scientist-sponsored-products?cmpid=DA_INAD200785B", "https://www.amazon.jobs/jobs/3136156/sr-applied-scientist-sponsored-products?cmpid=DA_INAD200785B")</f>
        <v/>
      </c>
      <c r="G90" t="inlineStr">
        <is>
          <t>Arlington, VA, US</t>
        </is>
      </c>
      <c r="H90" s="2" t="n">
        <v>45976</v>
      </c>
      <c r="I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1">
      <c r="A91" t="inlineStr">
        <is>
          <t>in-90688f6c2f991409</t>
        </is>
      </c>
      <c r="B91" t="inlineStr">
        <is>
          <t>Sr. Applied Scientist, Sponsored Products</t>
        </is>
      </c>
      <c r="C91" t="inlineStr">
        <is>
          <t>Amazon.com</t>
        </is>
      </c>
      <c r="D91" t="inlineStr">
        <is>
          <t>indeed</t>
        </is>
      </c>
      <c r="E91">
        <f>HYPERLINK("https://www.indeed.com/viewjob?jk=90688f6c2f991409", "https://www.indeed.com/viewjob?jk=90688f6c2f991409")</f>
        <v/>
      </c>
      <c r="F91">
        <f>HYPERLINK("https://www.amazon.jobs/jobs/3136156/sr-applied-scientist-sponsored-products?cmpid=DA_INAD200785B", "https://www.amazon.jobs/jobs/3136156/sr-applied-scientist-sponsored-products?cmpid=DA_INAD200785B")</f>
        <v/>
      </c>
      <c r="G91" t="inlineStr">
        <is>
          <t>Seattle, WA, US</t>
        </is>
      </c>
      <c r="H91" s="2" t="n">
        <v>45976</v>
      </c>
      <c r="I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2">
      <c r="A92" t="inlineStr">
        <is>
          <t>in-2fdad5acd612d6ec</t>
        </is>
      </c>
      <c r="B92" t="inlineStr">
        <is>
          <t>Principal Applied Scientist, AWS Agentic AI Science</t>
        </is>
      </c>
      <c r="C92" t="inlineStr">
        <is>
          <t>Amazon Web Services</t>
        </is>
      </c>
      <c r="D92" t="inlineStr">
        <is>
          <t>indeed</t>
        </is>
      </c>
      <c r="E92">
        <f>HYPERLINK("https://www.indeed.com/viewjob?jk=2fdad5acd612d6ec", "https://www.indeed.com/viewjob?jk=2fdad5acd612d6ec")</f>
        <v/>
      </c>
      <c r="F92">
        <f>HYPERLINK("https://www.amazon.jobs/jobs/3132887/principal-applied-scientist-aws-agentic-ai-science?cmpid=DA_INAD200785B", "https://www.amazon.jobs/jobs/3132887/principal-applied-scientist-aws-agentic-ai-science?cmpid=DA_INAD200785B")</f>
        <v/>
      </c>
      <c r="G92" t="inlineStr">
        <is>
          <t>New York, NY, US</t>
        </is>
      </c>
      <c r="H92" s="2" t="n">
        <v>45963</v>
      </c>
      <c r="I9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3">
      <c r="A93" t="inlineStr">
        <is>
          <t>in-5bd166e14d595657</t>
        </is>
      </c>
      <c r="B93" t="inlineStr">
        <is>
          <t>Principal Applied Scientist, AWS Agentic AI Science</t>
        </is>
      </c>
      <c r="C93" t="inlineStr">
        <is>
          <t>Amazon Web Services</t>
        </is>
      </c>
      <c r="D93" t="inlineStr">
        <is>
          <t>indeed</t>
        </is>
      </c>
      <c r="E93">
        <f>HYPERLINK("https://www.indeed.com/viewjob?jk=5bd166e14d595657", "https://www.indeed.com/viewjob?jk=5bd166e14d595657")</f>
        <v/>
      </c>
      <c r="F93">
        <f>HYPERLINK("https://www.amazon.jobs/jobs/3132887/principal-applied-scientist-aws-agentic-ai-science?cmpid=DA_INAD200785B", "https://www.amazon.jobs/jobs/3132887/principal-applied-scientist-aws-agentic-ai-science?cmpid=DA_INAD200785B")</f>
        <v/>
      </c>
      <c r="G93" t="inlineStr">
        <is>
          <t>Santa Clara, CA, US</t>
        </is>
      </c>
      <c r="H93" s="2" t="n">
        <v>45963</v>
      </c>
      <c r="I93"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4">
      <c r="A94" t="inlineStr">
        <is>
          <t>in-704f0cea1c2ee565</t>
        </is>
      </c>
      <c r="B94" t="inlineStr">
        <is>
          <t>Applied Scientist, AWS Agentic AI</t>
        </is>
      </c>
      <c r="C94" t="inlineStr">
        <is>
          <t>Amazon Web Services</t>
        </is>
      </c>
      <c r="D94" t="inlineStr">
        <is>
          <t>indeed</t>
        </is>
      </c>
      <c r="E94">
        <f>HYPERLINK("https://www.indeed.com/viewjob?jk=704f0cea1c2ee565", "https://www.indeed.com/viewjob?jk=704f0cea1c2ee565")</f>
        <v/>
      </c>
      <c r="F94">
        <f>HYPERLINK("https://www.amazon.jobs/jobs/3141517/applied-scientist-aws-agentic-ai-?cmpid=DA_INAD200785B", "https://www.amazon.jobs/jobs/3141517/applied-scientist-aws-agentic-ai-?cmpid=DA_INAD200785B")</f>
        <v/>
      </c>
      <c r="G94" t="inlineStr">
        <is>
          <t>New York, NY, US</t>
        </is>
      </c>
      <c r="H94" s="2" t="n">
        <v>45962</v>
      </c>
      <c r="I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in-e3a79073a46ee5b4</t>
        </is>
      </c>
      <c r="B95" t="inlineStr">
        <is>
          <t>Applied Scientist, AWS Agentic AI</t>
        </is>
      </c>
      <c r="C95" t="inlineStr">
        <is>
          <t>Amazon Web Services</t>
        </is>
      </c>
      <c r="D95" t="inlineStr">
        <is>
          <t>indeed</t>
        </is>
      </c>
      <c r="E95">
        <f>HYPERLINK("https://www.indeed.com/viewjob?jk=e3a79073a46ee5b4", "https://www.indeed.com/viewjob?jk=e3a79073a46ee5b4")</f>
        <v/>
      </c>
      <c r="F95">
        <f>HYPERLINK("https://www.amazon.jobs/jobs/3141517/applied-scientist-aws-agentic-ai-?cmpid=DA_INAD200785B", "https://www.amazon.jobs/jobs/3141517/applied-scientist-aws-agentic-ai-?cmpid=DA_INAD200785B")</f>
        <v/>
      </c>
      <c r="G95" t="inlineStr">
        <is>
          <t>Seattle, WA, US</t>
        </is>
      </c>
      <c r="H95" s="2" t="n">
        <v>45962</v>
      </c>
      <c r="I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in-db3ed9cebdc007cc</t>
        </is>
      </c>
      <c r="B96" t="inlineStr">
        <is>
          <t>Applied Scientist, AWS Agentic AI</t>
        </is>
      </c>
      <c r="C96" t="inlineStr">
        <is>
          <t>Amazon Web Services</t>
        </is>
      </c>
      <c r="D96" t="inlineStr">
        <is>
          <t>indeed</t>
        </is>
      </c>
      <c r="E96">
        <f>HYPERLINK("https://www.indeed.com/viewjob?jk=db3ed9cebdc007cc", "https://www.indeed.com/viewjob?jk=db3ed9cebdc007cc")</f>
        <v/>
      </c>
      <c r="F96">
        <f>HYPERLINK("https://www.amazon.jobs/jobs/3141517/applied-scientist-aws-agentic-ai-?cmpid=DA_INAD200785B", "https://www.amazon.jobs/jobs/3141517/applied-scientist-aws-agentic-ai-?cmpid=DA_INAD200785B")</f>
        <v/>
      </c>
      <c r="G96" t="inlineStr">
        <is>
          <t>Santa Clara, CA, US</t>
        </is>
      </c>
      <c r="H96" s="2" t="n">
        <v>45962</v>
      </c>
      <c r="I9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in-d40b91b495fcc1d1</t>
        </is>
      </c>
      <c r="B97" t="inlineStr">
        <is>
          <t>Applied Scientist, Prime Video - Content Understanding, Localization &amp; Enrichment Team</t>
        </is>
      </c>
      <c r="C97" t="inlineStr">
        <is>
          <t>Amazon.com</t>
        </is>
      </c>
      <c r="D97" t="inlineStr">
        <is>
          <t>indeed</t>
        </is>
      </c>
      <c r="E97">
        <f>HYPERLINK("https://www.indeed.com/viewjob?jk=d40b91b495fcc1d1", "https://www.indeed.com/viewjob?jk=d40b91b495fcc1d1")</f>
        <v/>
      </c>
      <c r="F97">
        <f>HYPERLINK("https://www.amazon.jobs/jobs/3111928/applied-scientist-prime-video--content-understanding-localization--enrichment-team?cmpid=DA_INAD200785B", "https://www.amazon.jobs/jobs/3111928/applied-scientist-prime-video--content-understanding-localization--enrichment-team?cmpid=DA_INAD200785B")</f>
        <v/>
      </c>
      <c r="G97" t="inlineStr">
        <is>
          <t>San Francisco, CA, US</t>
        </is>
      </c>
      <c r="H97" s="2" t="n">
        <v>45943</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8">
      <c r="A98" t="inlineStr">
        <is>
          <t>in-8495c1490892cc19</t>
        </is>
      </c>
      <c r="B98" t="inlineStr">
        <is>
          <t>Applied Scientist, Prime Video - Content Understanding, Localization &amp; Enrichment Team</t>
        </is>
      </c>
      <c r="C98" t="inlineStr">
        <is>
          <t>Amazon.com</t>
        </is>
      </c>
      <c r="D98" t="inlineStr">
        <is>
          <t>indeed</t>
        </is>
      </c>
      <c r="E98">
        <f>HYPERLINK("https://www.indeed.com/viewjob?jk=8495c1490892cc19", "https://www.indeed.com/viewjob?jk=8495c1490892cc19")</f>
        <v/>
      </c>
      <c r="F98">
        <f>HYPERLINK("https://www.amazon.jobs/jobs/3111928/applied-scientist-prime-video--content-understanding-localization--enrichment-team?cmpid=DA_INAD200785B", "https://www.amazon.jobs/jobs/3111928/applied-scientist-prime-video--content-understanding-localization--enrichment-team?cmpid=DA_INAD200785B")</f>
        <v/>
      </c>
      <c r="G98" t="inlineStr">
        <is>
          <t>Seattle, WA, US</t>
        </is>
      </c>
      <c r="H98" s="2" t="n">
        <v>45943</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9">
      <c r="A99" t="inlineStr">
        <is>
          <t>in-0c3ccfba3d92965d</t>
        </is>
      </c>
      <c r="B99" t="inlineStr">
        <is>
          <t>Principal Applied Scientist, Advertiser Growth, Amazon Sponsored Products &amp; Brands</t>
        </is>
      </c>
      <c r="C99" t="inlineStr">
        <is>
          <t>Amazon.com</t>
        </is>
      </c>
      <c r="D99" t="inlineStr">
        <is>
          <t>indeed</t>
        </is>
      </c>
      <c r="E99">
        <f>HYPERLINK("https://www.indeed.com/viewjob?jk=0c3ccfba3d92965d", "https://www.indeed.com/viewjob?jk=0c3ccfba3d92965d")</f>
        <v/>
      </c>
      <c r="F99">
        <f>HYPERLINK("https://www.amazon.jobs/jobs/3115279/principal-applied-scientist-advertiser-growth-amazon-sponsored-products--brands?cmpid=DA_INAD200785B", "https://www.amazon.jobs/jobs/3115279/principal-applied-scientist-advertiser-growth-amazon-sponsored-products--brands?cmpid=DA_INAD200785B")</f>
        <v/>
      </c>
      <c r="G99" t="inlineStr">
        <is>
          <t>Palo Alto, CA, US</t>
        </is>
      </c>
      <c r="H99" s="2" t="n">
        <v>45942</v>
      </c>
      <c r="I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in-49321f5e1c9d7882</t>
        </is>
      </c>
      <c r="B100" t="inlineStr">
        <is>
          <t>Principal Applied Scientist, Advertiser Growth, Amazon Sponsored Products &amp; Brands</t>
        </is>
      </c>
      <c r="C100" t="inlineStr">
        <is>
          <t>Amazon.com</t>
        </is>
      </c>
      <c r="D100" t="inlineStr">
        <is>
          <t>indeed</t>
        </is>
      </c>
      <c r="E100">
        <f>HYPERLINK("https://www.indeed.com/viewjob?jk=49321f5e1c9d7882", "https://www.indeed.com/viewjob?jk=49321f5e1c9d7882")</f>
        <v/>
      </c>
      <c r="F100">
        <f>HYPERLINK("https://www.amazon.jobs/jobs/3115279/principal-applied-scientist-advertiser-growth-amazon-sponsored-products--brands?cmpid=DA_INAD200785B", "https://www.amazon.jobs/jobs/3115279/principal-applied-scientist-advertiser-growth-amazon-sponsored-products--brands?cmpid=DA_INAD200785B")</f>
        <v/>
      </c>
      <c r="G100" t="inlineStr">
        <is>
          <t>Seattle, WA, US</t>
        </is>
      </c>
      <c r="H100" s="2" t="n">
        <v>45942</v>
      </c>
      <c r="I10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in-ba3e5e79bb6fbfd4</t>
        </is>
      </c>
      <c r="B101" t="inlineStr">
        <is>
          <t>Principal Applied Scientist, Advertiser Growth, Amazon Sponsored Products &amp; Brands</t>
        </is>
      </c>
      <c r="C101" t="inlineStr">
        <is>
          <t>Amazon.com</t>
        </is>
      </c>
      <c r="D101" t="inlineStr">
        <is>
          <t>indeed</t>
        </is>
      </c>
      <c r="E101">
        <f>HYPERLINK("https://www.indeed.com/viewjob?jk=ba3e5e79bb6fbfd4", "https://www.indeed.com/viewjob?jk=ba3e5e79bb6fbfd4")</f>
        <v/>
      </c>
      <c r="F101">
        <f>HYPERLINK("https://www.amazon.jobs/jobs/3115279/principal-applied-scientist-advertiser-growth-amazon-sponsored-products--brands?cmpid=DA_INAD200785B", "https://www.amazon.jobs/jobs/3115279/principal-applied-scientist-advertiser-growth-amazon-sponsored-products--brands?cmpid=DA_INAD200785B")</f>
        <v/>
      </c>
      <c r="G101" t="inlineStr">
        <is>
          <t>New York, NY, US</t>
        </is>
      </c>
      <c r="H101" s="2" t="n">
        <v>45942</v>
      </c>
      <c r="I10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in-9ea9bce6da8567cb</t>
        </is>
      </c>
      <c r="B102" t="inlineStr">
        <is>
          <t>Sr. Applied Scientist, Amazon Advertising</t>
        </is>
      </c>
      <c r="C102" t="inlineStr">
        <is>
          <t>Amazon.com</t>
        </is>
      </c>
      <c r="D102" t="inlineStr">
        <is>
          <t>indeed</t>
        </is>
      </c>
      <c r="E102">
        <f>HYPERLINK("https://www.indeed.com/viewjob?jk=9ea9bce6da8567cb", "https://www.indeed.com/viewjob?jk=9ea9bce6da8567cb")</f>
        <v/>
      </c>
      <c r="F102">
        <f>HYPERLINK("https://www.amazon.jobs/jobs/3035686/sr-applied-scientist-amazon-advertising?cmpid=DA_INAD200785B", "https://www.amazon.jobs/jobs/3035686/sr-applied-scientist-amazon-advertising?cmpid=DA_INAD200785B")</f>
        <v/>
      </c>
      <c r="G102" t="inlineStr">
        <is>
          <t>West Hollywood,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in-6aafcc416536b264</t>
        </is>
      </c>
      <c r="B103" t="inlineStr">
        <is>
          <t>Sr. Applied Scientist, Amazon Advertising</t>
        </is>
      </c>
      <c r="C103" t="inlineStr">
        <is>
          <t>Amazon.com</t>
        </is>
      </c>
      <c r="D103" t="inlineStr">
        <is>
          <t>indeed</t>
        </is>
      </c>
      <c r="E103">
        <f>HYPERLINK("https://www.indeed.com/viewjob?jk=6aafcc416536b264", "https://www.indeed.com/viewjob?jk=6aafcc416536b264")</f>
        <v/>
      </c>
      <c r="F103">
        <f>HYPERLINK("https://www.amazon.jobs/jobs/3035686/sr-applied-scientist-amazon-advertising?cmpid=DA_INAD200785B", "https://www.amazon.jobs/jobs/3035686/sr-applied-scientist-amazon-advertising?cmpid=DA_INAD200785B")</f>
        <v/>
      </c>
      <c r="G103" t="inlineStr">
        <is>
          <t>Simi Valley,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in-367661947b494680</t>
        </is>
      </c>
      <c r="B104" t="inlineStr">
        <is>
          <t>Sr. Applied Scientist, Amazon Advertising</t>
        </is>
      </c>
      <c r="C104" t="inlineStr">
        <is>
          <t>Amazon.com</t>
        </is>
      </c>
      <c r="D104" t="inlineStr">
        <is>
          <t>indeed</t>
        </is>
      </c>
      <c r="E104">
        <f>HYPERLINK("https://www.indeed.com/viewjob?jk=367661947b494680", "https://www.indeed.com/viewjob?jk=367661947b494680")</f>
        <v/>
      </c>
      <c r="F104">
        <f>HYPERLINK("https://www.amazon.jobs/jobs/3035686/sr-applied-scientist-amazon-advertising?cmpid=DA_INAD200785B", "https://www.amazon.jobs/jobs/3035686/sr-applied-scientist-amazon-advertising?cmpid=DA_INAD200785B")</f>
        <v/>
      </c>
      <c r="G104" t="inlineStr">
        <is>
          <t>Arlington, VA,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in-c8449e313a9c7bc2</t>
        </is>
      </c>
      <c r="B105" t="inlineStr">
        <is>
          <t>Sr. Applied Scientist, Amazon Advertising</t>
        </is>
      </c>
      <c r="C105" t="inlineStr">
        <is>
          <t>Amazon.com</t>
        </is>
      </c>
      <c r="D105" t="inlineStr">
        <is>
          <t>indeed</t>
        </is>
      </c>
      <c r="E105">
        <f>HYPERLINK("https://www.indeed.com/viewjob?jk=c8449e313a9c7bc2", "https://www.indeed.com/viewjob?jk=c8449e313a9c7bc2")</f>
        <v/>
      </c>
      <c r="F105">
        <f>HYPERLINK("https://www.amazon.jobs/jobs/3035686/sr-applied-scientist-amazon-advertising?cmpid=DA_INAD200785B", "https://www.amazon.jobs/jobs/3035686/sr-applied-scientist-amazon-advertising?cmpid=DA_INAD200785B")</f>
        <v/>
      </c>
      <c r="G105" t="inlineStr">
        <is>
          <t>Los Angeles, CA,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in-eaf0290bd3fb2cd8</t>
        </is>
      </c>
      <c r="B106" t="inlineStr">
        <is>
          <t>Sr. Applied Scientist, Amazon Advertising</t>
        </is>
      </c>
      <c r="C106" t="inlineStr">
        <is>
          <t>Amazon.com</t>
        </is>
      </c>
      <c r="D106" t="inlineStr">
        <is>
          <t>indeed</t>
        </is>
      </c>
      <c r="E106">
        <f>HYPERLINK("https://www.indeed.com/viewjob?jk=eaf0290bd3fb2cd8", "https://www.indeed.com/viewjob?jk=eaf0290bd3fb2cd8")</f>
        <v/>
      </c>
      <c r="F106">
        <f>HYPERLINK("https://www.amazon.jobs/jobs/3035686/sr-applied-scientist-amazon-advertising?cmpid=DA_INAD200785B", "https://www.amazon.jobs/jobs/3035686/sr-applied-scientist-amazon-advertising?cmpid=DA_INAD200785B")</f>
        <v/>
      </c>
      <c r="G106" t="inlineStr">
        <is>
          <t>New York, NY,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in-1920a8c8b5a9d298</t>
        </is>
      </c>
      <c r="B107" t="inlineStr">
        <is>
          <t>Sr. Applied Scientist, Amazon Advertising</t>
        </is>
      </c>
      <c r="C107" t="inlineStr">
        <is>
          <t>Amazon.com</t>
        </is>
      </c>
      <c r="D107" t="inlineStr">
        <is>
          <t>indeed</t>
        </is>
      </c>
      <c r="E107">
        <f>HYPERLINK("https://www.indeed.com/viewjob?jk=1920a8c8b5a9d298", "https://www.indeed.com/viewjob?jk=1920a8c8b5a9d298")</f>
        <v/>
      </c>
      <c r="F107">
        <f>HYPERLINK("https://www.amazon.jobs/jobs/3035686/sr-applied-scientist-amazon-advertising?cmpid=DA_INAD200785B", "https://www.amazon.jobs/jobs/3035686/sr-applied-scientist-amazon-advertising?cmpid=DA_INAD200785B")</f>
        <v/>
      </c>
      <c r="G107" t="inlineStr">
        <is>
          <t>Austin, TX,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in-c0b36f46ae7e112c</t>
        </is>
      </c>
      <c r="B108" t="inlineStr">
        <is>
          <t>Sr. Applied Scientist, Amazon Advertising</t>
        </is>
      </c>
      <c r="C108" t="inlineStr">
        <is>
          <t>Amazon.com</t>
        </is>
      </c>
      <c r="D108" t="inlineStr">
        <is>
          <t>indeed</t>
        </is>
      </c>
      <c r="E108">
        <f>HYPERLINK("https://www.indeed.com/viewjob?jk=c0b36f46ae7e112c", "https://www.indeed.com/viewjob?jk=c0b36f46ae7e112c")</f>
        <v/>
      </c>
      <c r="F108">
        <f>HYPERLINK("https://www.amazon.jobs/jobs/3035686/sr-applied-scientist-amazon-advertising?cmpid=DA_INAD200785B", "https://www.amazon.jobs/jobs/3035686/sr-applied-scientist-amazon-advertising?cmpid=DA_INAD200785B")</f>
        <v/>
      </c>
      <c r="G108" t="inlineStr">
        <is>
          <t>Seattle, WA,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in-20c44f442e863e1e</t>
        </is>
      </c>
      <c r="B109" t="inlineStr">
        <is>
          <t>Sr. Applied Scientist, Amazon Advertising</t>
        </is>
      </c>
      <c r="C109" t="inlineStr">
        <is>
          <t>Amazon.com</t>
        </is>
      </c>
      <c r="D109" t="inlineStr">
        <is>
          <t>indeed</t>
        </is>
      </c>
      <c r="E109">
        <f>HYPERLINK("https://www.indeed.com/viewjob?jk=20c44f442e863e1e", "https://www.indeed.com/viewjob?jk=20c44f442e863e1e")</f>
        <v/>
      </c>
      <c r="F109">
        <f>HYPERLINK("https://www.amazon.jobs/jobs/3035686/sr-applied-scientist-amazon-advertising?cmpid=DA_INAD200785B", "https://www.amazon.jobs/jobs/3035686/sr-applied-scientist-amazon-advertising?cmpid=DA_INAD200785B")</f>
        <v/>
      </c>
      <c r="G109" t="inlineStr">
        <is>
          <t>Palo Alto,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in-b0ceeeb09f4b5951</t>
        </is>
      </c>
      <c r="B110" t="inlineStr">
        <is>
          <t>Applied Scientist, Prime Video - Personalization and Discovery Science</t>
        </is>
      </c>
      <c r="C110" t="inlineStr">
        <is>
          <t>Amazon.com</t>
        </is>
      </c>
      <c r="D110" t="inlineStr">
        <is>
          <t>indeed</t>
        </is>
      </c>
      <c r="E110">
        <f>HYPERLINK("https://www.indeed.com/viewjob?jk=b0ceeeb09f4b5951", "https://www.indeed.com/viewjob?jk=b0ceeeb09f4b5951")</f>
        <v/>
      </c>
      <c r="F110">
        <f>HYPERLINK("https://www.amazon.jobs/jobs/3033050/applied-scientist-prime-video--personalization-and-discovery-science?cmpid=DA_INAD200785B", "https://www.amazon.jobs/jobs/3033050/applied-scientist-prime-video--personalization-and-discovery-science?cmpid=DA_INAD200785B")</f>
        <v/>
      </c>
      <c r="G110" t="inlineStr">
        <is>
          <t>Sunnyvale, CA, US</t>
        </is>
      </c>
      <c r="H110" s="2"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in-0e02e7e7662910cd</t>
        </is>
      </c>
      <c r="B111" t="inlineStr">
        <is>
          <t>Applied Scientist, Prime Video - Personalization and Discovery Science</t>
        </is>
      </c>
      <c r="C111" t="inlineStr">
        <is>
          <t>Amazon.com</t>
        </is>
      </c>
      <c r="D111" t="inlineStr">
        <is>
          <t>indeed</t>
        </is>
      </c>
      <c r="E111">
        <f>HYPERLINK("https://www.indeed.com/viewjob?jk=0e02e7e7662910cd", "https://www.indeed.com/viewjob?jk=0e02e7e7662910cd")</f>
        <v/>
      </c>
      <c r="F111">
        <f>HYPERLINK("https://www.amazon.jobs/jobs/3033050/applied-scientist-prime-video--personalization-and-discovery-science?cmpid=DA_INAD200785B", "https://www.amazon.jobs/jobs/3033050/applied-scientist-prime-video--personalization-and-discovery-science?cmpid=DA_INAD200785B")</f>
        <v/>
      </c>
      <c r="G111" t="inlineStr">
        <is>
          <t>New York, NY, US</t>
        </is>
      </c>
      <c r="H111" s="2"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in-dcebfda210c4e49f</t>
        </is>
      </c>
      <c r="B112" t="inlineStr">
        <is>
          <t>Applied Scientist, Prime Video - Personalization and Discovery Science</t>
        </is>
      </c>
      <c r="C112" t="inlineStr">
        <is>
          <t>Amazon.com</t>
        </is>
      </c>
      <c r="D112" t="inlineStr">
        <is>
          <t>indeed</t>
        </is>
      </c>
      <c r="E112">
        <f>HYPERLINK("https://www.indeed.com/viewjob?jk=dcebfda210c4e49f", "https://www.indeed.com/viewjob?jk=dcebfda210c4e49f")</f>
        <v/>
      </c>
      <c r="F112">
        <f>HYPERLINK("https://www.amazon.jobs/jobs/3033050/applied-scientist-prime-video--personalization-and-discovery-science?cmpid=DA_INAD200785B", "https://www.amazon.jobs/jobs/3033050/applied-scientist-prime-video--personalization-and-discovery-science?cmpid=DA_INAD200785B")</f>
        <v/>
      </c>
      <c r="G112" t="inlineStr">
        <is>
          <t>Seattle, WA, US</t>
        </is>
      </c>
      <c r="H112" s="2" t="n">
        <v>45845</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3">
      <c r="A113" t="inlineStr">
        <is>
          <t>in-48e0a03412be079b</t>
        </is>
      </c>
      <c r="B113" t="inlineStr">
        <is>
          <t>Sr. Data Scientist, Amazon Leo Global Planning, Amazon Leo</t>
        </is>
      </c>
      <c r="C113" t="inlineStr">
        <is>
          <t>Amazon.com</t>
        </is>
      </c>
      <c r="D113" t="inlineStr">
        <is>
          <t>indeed</t>
        </is>
      </c>
      <c r="E113">
        <f>HYPERLINK("https://www.indeed.com/viewjob?jk=48e0a03412be079b", "https://www.indeed.com/viewjob?jk=48e0a03412be079b")</f>
        <v/>
      </c>
      <c r="F113">
        <f>HYPERLINK("https://www.amazon.jobs/jobs/3016062/sr-data-scientist-amazon-leo-global-planning-amazon-leo?cmpid=DA_INAD200785B", "https://www.amazon.jobs/jobs/3016062/sr-data-scientist-amazon-leo-global-planning-amazon-leo?cmpid=DA_INAD200785B")</f>
        <v/>
      </c>
      <c r="G113" t="inlineStr">
        <is>
          <t>Bellevue, WA, US</t>
        </is>
      </c>
      <c r="H113" s="2" t="n">
        <v>45830</v>
      </c>
      <c r="I11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4">
      <c r="A114" t="inlineStr">
        <is>
          <t>in-39a81b38f032b1c2</t>
        </is>
      </c>
      <c r="B114" t="inlineStr">
        <is>
          <t>Sr. Data Scientist, Amazon Leo Global Planning, Amazon Leo</t>
        </is>
      </c>
      <c r="C114" t="inlineStr">
        <is>
          <t>Amazon.com</t>
        </is>
      </c>
      <c r="D114" t="inlineStr">
        <is>
          <t>indeed</t>
        </is>
      </c>
      <c r="E114">
        <f>HYPERLINK("https://www.indeed.com/viewjob?jk=39a81b38f032b1c2", "https://www.indeed.com/viewjob?jk=39a81b38f032b1c2")</f>
        <v/>
      </c>
      <c r="F114">
        <f>HYPERLINK("https://www.amazon.jobs/jobs/3016062/sr-data-scientist-amazon-leo-global-planning-amazon-leo?cmpid=DA_INAD200785B", "https://www.amazon.jobs/jobs/3016062/sr-data-scientist-amazon-leo-global-planning-amazon-leo?cmpid=DA_INAD200785B")</f>
        <v/>
      </c>
      <c r="G114" t="inlineStr">
        <is>
          <t>Redmond, WA, US</t>
        </is>
      </c>
      <c r="H114" s="2" t="n">
        <v>45830</v>
      </c>
      <c r="I11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5">
      <c r="A115" t="inlineStr">
        <is>
          <t>in-550d16c844237716</t>
        </is>
      </c>
      <c r="B115" t="inlineStr">
        <is>
          <t>Principal Applied Scientist, Delivery Foundation Model</t>
        </is>
      </c>
      <c r="C115" t="inlineStr">
        <is>
          <t>Amazon.com</t>
        </is>
      </c>
      <c r="D115" t="inlineStr">
        <is>
          <t>indeed</t>
        </is>
      </c>
      <c r="E115">
        <f>HYPERLINK("https://www.indeed.com/viewjob?jk=550d16c844237716", "https://www.indeed.com/viewjob?jk=550d16c844237716")</f>
        <v/>
      </c>
      <c r="F115">
        <f>HYPERLINK("https://www.amazon.jobs/jobs/3006938/principal-applied-scientist-delivery-foundation-model-?cmpid=DA_INAD200785B", "https://www.amazon.jobs/jobs/3006938/principal-applied-scientist-delivery-foundation-model-?cmpid=DA_INAD200785B")</f>
        <v/>
      </c>
      <c r="G115" t="inlineStr">
        <is>
          <t>Austin, TX, US</t>
        </is>
      </c>
      <c r="H115" s="2"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6">
      <c r="A116" t="inlineStr">
        <is>
          <t>in-3ac51e9a4f0f0931</t>
        </is>
      </c>
      <c r="B116" t="inlineStr">
        <is>
          <t>Principal Applied Scientist, Delivery Foundation Model</t>
        </is>
      </c>
      <c r="C116" t="inlineStr">
        <is>
          <t>Amazon.com</t>
        </is>
      </c>
      <c r="D116" t="inlineStr">
        <is>
          <t>indeed</t>
        </is>
      </c>
      <c r="E116">
        <f>HYPERLINK("https://www.indeed.com/viewjob?jk=3ac51e9a4f0f0931", "https://www.indeed.com/viewjob?jk=3ac51e9a4f0f0931")</f>
        <v/>
      </c>
      <c r="F116">
        <f>HYPERLINK("https://www.amazon.jobs/jobs/3006938/principal-applied-scientist-delivery-foundation-model-?cmpid=DA_INAD200785B", "https://www.amazon.jobs/jobs/3006938/principal-applied-scientist-delivery-foundation-model-?cmpid=DA_INAD200785B")</f>
        <v/>
      </c>
      <c r="G116" t="inlineStr">
        <is>
          <t>Santa Clara, CA, US</t>
        </is>
      </c>
      <c r="H116" s="2"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7">
      <c r="A117" t="inlineStr">
        <is>
          <t>in-f43f6bbdfa4992f0</t>
        </is>
      </c>
      <c r="B117" t="inlineStr">
        <is>
          <t>Principal Applied Scientist, Delivery Foundation Model</t>
        </is>
      </c>
      <c r="C117" t="inlineStr">
        <is>
          <t>Amazon.com</t>
        </is>
      </c>
      <c r="D117" t="inlineStr">
        <is>
          <t>indeed</t>
        </is>
      </c>
      <c r="E117">
        <f>HYPERLINK("https://www.indeed.com/viewjob?jk=f43f6bbdfa4992f0", "https://www.indeed.com/viewjob?jk=f43f6bbdfa4992f0")</f>
        <v/>
      </c>
      <c r="F117">
        <f>HYPERLINK("https://www.amazon.jobs/jobs/3006938/principal-applied-scientist-delivery-foundation-model-?cmpid=DA_INAD200785B", "https://www.amazon.jobs/jobs/3006938/principal-applied-scientist-delivery-foundation-model-?cmpid=DA_INAD200785B")</f>
        <v/>
      </c>
      <c r="G117" t="inlineStr">
        <is>
          <t>Bellevue, WA, US</t>
        </is>
      </c>
      <c r="H117" s="2"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in-9d640949160fa2fa</t>
        </is>
      </c>
      <c r="B118" t="inlineStr">
        <is>
          <t>Principal Applied Scientist, Delivery Foundation Model</t>
        </is>
      </c>
      <c r="C118" t="inlineStr">
        <is>
          <t>Amazon.com</t>
        </is>
      </c>
      <c r="D118" t="inlineStr">
        <is>
          <t>indeed</t>
        </is>
      </c>
      <c r="E118">
        <f>HYPERLINK("https://www.indeed.com/viewjob?jk=9d640949160fa2fa", "https://www.indeed.com/viewjob?jk=9d640949160fa2fa")</f>
        <v/>
      </c>
      <c r="F118">
        <f>HYPERLINK("https://www.amazon.jobs/jobs/3006938/principal-applied-scientist-delivery-foundation-model-?cmpid=DA_INAD200785B", "https://www.amazon.jobs/jobs/3006938/principal-applied-scientist-delivery-foundation-model-?cmpid=DA_INAD200785B")</f>
        <v/>
      </c>
      <c r="G118" t="inlineStr">
        <is>
          <t>New York, NY, US</t>
        </is>
      </c>
      <c r="H118" s="2"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9">
      <c r="A119" t="inlineStr">
        <is>
          <t>in-89b970b64d71abea</t>
        </is>
      </c>
      <c r="B119" t="inlineStr">
        <is>
          <t>Senior Applied Scientist, Delivery Foundation Model</t>
        </is>
      </c>
      <c r="C119" t="inlineStr">
        <is>
          <t>Amazon.com</t>
        </is>
      </c>
      <c r="D119" t="inlineStr">
        <is>
          <t>indeed</t>
        </is>
      </c>
      <c r="E119">
        <f>HYPERLINK("https://www.indeed.com/viewjob?jk=89b970b64d71abea", "https://www.indeed.com/viewjob?jk=89b970b64d71abea")</f>
        <v/>
      </c>
      <c r="F119">
        <f>HYPERLINK("https://www.amazon.jobs/jobs/2998435/senior-applied-scientist-delivery-foundation-model-?cmpid=DA_INAD200785B", "https://www.amazon.jobs/jobs/2998435/senior-applied-scientist-delivery-foundation-model-?cmpid=DA_INAD200785B")</f>
        <v/>
      </c>
      <c r="G119" t="inlineStr">
        <is>
          <t>New York, NY, US</t>
        </is>
      </c>
      <c r="H119" s="2"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in-65f800075039e54e</t>
        </is>
      </c>
      <c r="B120" t="inlineStr">
        <is>
          <t>Senior Applied Scientist, Delivery Foundation Model</t>
        </is>
      </c>
      <c r="C120" t="inlineStr">
        <is>
          <t>Amazon.com</t>
        </is>
      </c>
      <c r="D120" t="inlineStr">
        <is>
          <t>indeed</t>
        </is>
      </c>
      <c r="E120">
        <f>HYPERLINK("https://www.indeed.com/viewjob?jk=65f800075039e54e", "https://www.indeed.com/viewjob?jk=65f800075039e54e")</f>
        <v/>
      </c>
      <c r="F120">
        <f>HYPERLINK("https://www.amazon.jobs/jobs/2998435/senior-applied-scientist-delivery-foundation-model-?cmpid=DA_INAD200785B", "https://www.amazon.jobs/jobs/2998435/senior-applied-scientist-delivery-foundation-model-?cmpid=DA_INAD200785B")</f>
        <v/>
      </c>
      <c r="G120" t="inlineStr">
        <is>
          <t>Bellevue, WA, US</t>
        </is>
      </c>
      <c r="H120" s="2" t="n">
        <v>45806</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in-25e443804abb8ddc</t>
        </is>
      </c>
      <c r="B121" t="inlineStr">
        <is>
          <t>Senior Applied Scientist, Delivery Foundation Model</t>
        </is>
      </c>
      <c r="C121" t="inlineStr">
        <is>
          <t>Amazon.com</t>
        </is>
      </c>
      <c r="D121" t="inlineStr">
        <is>
          <t>indeed</t>
        </is>
      </c>
      <c r="E121">
        <f>HYPERLINK("https://www.indeed.com/viewjob?jk=25e443804abb8ddc", "https://www.indeed.com/viewjob?jk=25e443804abb8ddc")</f>
        <v/>
      </c>
      <c r="F121">
        <f>HYPERLINK("https://www.amazon.jobs/jobs/2998435/senior-applied-scientist-delivery-foundation-model-?cmpid=DA_INAD200785B", "https://www.amazon.jobs/jobs/2998435/senior-applied-scientist-delivery-foundation-model-?cmpid=DA_INAD200785B")</f>
        <v/>
      </c>
      <c r="G121" t="inlineStr">
        <is>
          <t>Santa Clara, CA, US</t>
        </is>
      </c>
      <c r="H121" s="2" t="n">
        <v>45806</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in-c2427b1bed069ec2</t>
        </is>
      </c>
      <c r="B122" t="inlineStr">
        <is>
          <t>Sr. Applied Scientist - Privacy, Privacy Engineering</t>
        </is>
      </c>
      <c r="C122" t="inlineStr">
        <is>
          <t>Amazon.com</t>
        </is>
      </c>
      <c r="D122" t="inlineStr">
        <is>
          <t>indeed</t>
        </is>
      </c>
      <c r="E122">
        <f>HYPERLINK("https://www.indeed.com/viewjob?jk=c2427b1bed069ec2", "https://www.indeed.com/viewjob?jk=c2427b1bed069ec2")</f>
        <v/>
      </c>
      <c r="F122">
        <f>HYPERLINK("https://www.amazon.jobs/jobs/2997657/sr-applied-scientist--privacy-privacy-engineering?cmpid=DA_INAD200785B", "https://www.amazon.jobs/jobs/2997657/sr-applied-scientist--privacy-privacy-engineering?cmpid=DA_INAD200785B")</f>
        <v/>
      </c>
      <c r="G122" t="inlineStr">
        <is>
          <t>San Francisco, CA, US</t>
        </is>
      </c>
      <c r="H122" s="2"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in-64df816ac418b670</t>
        </is>
      </c>
      <c r="B123" t="inlineStr">
        <is>
          <t>Sr. Applied Scientist - Privacy, Privacy Engineering</t>
        </is>
      </c>
      <c r="C123" t="inlineStr">
        <is>
          <t>Amazon.com</t>
        </is>
      </c>
      <c r="D123" t="inlineStr">
        <is>
          <t>indeed</t>
        </is>
      </c>
      <c r="E123">
        <f>HYPERLINK("https://www.indeed.com/viewjob?jk=64df816ac418b670", "https://www.indeed.com/viewjob?jk=64df816ac418b670")</f>
        <v/>
      </c>
      <c r="F123">
        <f>HYPERLINK("https://www.amazon.jobs/jobs/2997657/sr-applied-scientist--privacy-privacy-engineering?cmpid=DA_INAD200785B", "https://www.amazon.jobs/jobs/2997657/sr-applied-scientist--privacy-privacy-engineering?cmpid=DA_INAD200785B")</f>
        <v/>
      </c>
      <c r="G123" t="inlineStr">
        <is>
          <t>Santa Clara, CA, US</t>
        </is>
      </c>
      <c r="H123" s="2"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in-aba5aae8272ba42f</t>
        </is>
      </c>
      <c r="B124" t="inlineStr">
        <is>
          <t>Sr. Applied Scientist - Privacy, Privacy Engineering</t>
        </is>
      </c>
      <c r="C124" t="inlineStr">
        <is>
          <t>Amazon.com</t>
        </is>
      </c>
      <c r="D124" t="inlineStr">
        <is>
          <t>indeed</t>
        </is>
      </c>
      <c r="E124">
        <f>HYPERLINK("https://www.indeed.com/viewjob?jk=aba5aae8272ba42f", "https://www.indeed.com/viewjob?jk=aba5aae8272ba42f")</f>
        <v/>
      </c>
      <c r="F124">
        <f>HYPERLINK("https://www.amazon.jobs/jobs/2997657/sr-applied-scientist--privacy-privacy-engineering?cmpid=DA_INAD200785B", "https://www.amazon.jobs/jobs/2997657/sr-applied-scientist--privacy-privacy-engineering?cmpid=DA_INAD200785B")</f>
        <v/>
      </c>
      <c r="G124" t="inlineStr">
        <is>
          <t>Seattle, WA, US</t>
        </is>
      </c>
      <c r="H124" s="2"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in-a2497ca52b96a634</t>
        </is>
      </c>
      <c r="B125" t="inlineStr">
        <is>
          <t>Sr. Applied Scientist - Privacy, Privacy Engineering</t>
        </is>
      </c>
      <c r="C125" t="inlineStr">
        <is>
          <t>Amazon.com</t>
        </is>
      </c>
      <c r="D125" t="inlineStr">
        <is>
          <t>indeed</t>
        </is>
      </c>
      <c r="E125">
        <f>HYPERLINK("https://www.indeed.com/viewjob?jk=a2497ca52b96a634", "https://www.indeed.com/viewjob?jk=a2497ca52b96a634")</f>
        <v/>
      </c>
      <c r="F125">
        <f>HYPERLINK("https://www.amazon.jobs/jobs/2997657/sr-applied-scientist--privacy-privacy-engineering?cmpid=DA_INAD200785B", "https://www.amazon.jobs/jobs/2997657/sr-applied-scientist--privacy-privacy-engineering?cmpid=DA_INAD200785B")</f>
        <v/>
      </c>
      <c r="G125" t="inlineStr">
        <is>
          <t>Sunnyvale, CA, US</t>
        </is>
      </c>
      <c r="H125" s="2" t="n">
        <v>45787</v>
      </c>
      <c r="I1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in-9674f35e7edf6530</t>
        </is>
      </c>
      <c r="B126" t="inlineStr">
        <is>
          <t>Principal Applied Scientist, Delivery Foundation Model</t>
        </is>
      </c>
      <c r="C126" t="inlineStr">
        <is>
          <t>Amazon.com</t>
        </is>
      </c>
      <c r="D126" t="inlineStr">
        <is>
          <t>indeed</t>
        </is>
      </c>
      <c r="E126">
        <f>HYPERLINK("https://www.indeed.com/viewjob?jk=9674f35e7edf6530", "https://www.indeed.com/viewjob?jk=9674f35e7edf6530")</f>
        <v/>
      </c>
      <c r="F126">
        <f>HYPERLINK("https://www.amazon.jobs/jobs/2998635/principal-applied-scientist-delivery-foundation-model-?cmpid=DA_INAD200785B", "https://www.amazon.jobs/jobs/2998635/principal-applied-scientist-delivery-foundation-model-?cmpid=DA_INAD200785B")</f>
        <v/>
      </c>
      <c r="G126" t="inlineStr">
        <is>
          <t>Bellevue, WA, US</t>
        </is>
      </c>
      <c r="H126" s="2"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7">
      <c r="A127" t="inlineStr">
        <is>
          <t>in-c47efc5c3a8182ee</t>
        </is>
      </c>
      <c r="B127" t="inlineStr">
        <is>
          <t>Principal Applied Scientist, Delivery Foundation Model</t>
        </is>
      </c>
      <c r="C127" t="inlineStr">
        <is>
          <t>Amazon.com</t>
        </is>
      </c>
      <c r="D127" t="inlineStr">
        <is>
          <t>indeed</t>
        </is>
      </c>
      <c r="E127">
        <f>HYPERLINK("https://www.indeed.com/viewjob?jk=c47efc5c3a8182ee", "https://www.indeed.com/viewjob?jk=c47efc5c3a8182ee")</f>
        <v/>
      </c>
      <c r="F127">
        <f>HYPERLINK("https://www.amazon.jobs/jobs/2998635/principal-applied-scientist-delivery-foundation-model-?cmpid=DA_INAD200785B", "https://www.amazon.jobs/jobs/2998635/principal-applied-scientist-delivery-foundation-model-?cmpid=DA_INAD200785B")</f>
        <v/>
      </c>
      <c r="G127" t="inlineStr">
        <is>
          <t>Santa Clara, CA, US</t>
        </is>
      </c>
      <c r="H127" s="2"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8">
      <c r="A128" t="inlineStr">
        <is>
          <t>in-cc62ed33dad0e98e</t>
        </is>
      </c>
      <c r="B128" t="inlineStr">
        <is>
          <t>Principal Applied Scientist, Delivery Foundation Model</t>
        </is>
      </c>
      <c r="C128" t="inlineStr">
        <is>
          <t>Amazon.com</t>
        </is>
      </c>
      <c r="D128" t="inlineStr">
        <is>
          <t>indeed</t>
        </is>
      </c>
      <c r="E128">
        <f>HYPERLINK("https://www.indeed.com/viewjob?jk=cc62ed33dad0e98e", "https://www.indeed.com/viewjob?jk=cc62ed33dad0e98e")</f>
        <v/>
      </c>
      <c r="F128">
        <f>HYPERLINK("https://www.amazon.jobs/jobs/2998635/principal-applied-scientist-delivery-foundation-model-?cmpid=DA_INAD200785B", "https://www.amazon.jobs/jobs/2998635/principal-applied-scientist-delivery-foundation-model-?cmpid=DA_INAD200785B")</f>
        <v/>
      </c>
      <c r="G128" t="inlineStr">
        <is>
          <t>New York, NY, US</t>
        </is>
      </c>
      <c r="H128" s="2" t="n">
        <v>45757</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9">
      <c r="A129" t="inlineStr">
        <is>
          <t>in-df7cb53ee47f04d8</t>
        </is>
      </c>
      <c r="B129" t="inlineStr">
        <is>
          <t>Principal Applied Scientist, FAR (Frontier AI &amp; Robotics)</t>
        </is>
      </c>
      <c r="C129" t="inlineStr">
        <is>
          <t>Amazon.com</t>
        </is>
      </c>
      <c r="D129" t="inlineStr">
        <is>
          <t>indeed</t>
        </is>
      </c>
      <c r="E129">
        <f>HYPERLINK("https://www.indeed.com/viewjob?jk=df7cb53ee47f04d8", "https://www.indeed.com/viewjob?jk=df7cb53ee47f04d8")</f>
        <v/>
      </c>
      <c r="F129">
        <f>HYPERLINK("https://www.amazon.jobs/jobs/2938625/principal-applied-scientist-far-frontier-ai--robotics?cmpid=DA_INAD200785B", "https://www.amazon.jobs/jobs/2938625/principal-applied-scientist-far-frontier-ai--robotics?cmpid=DA_INAD200785B")</f>
        <v/>
      </c>
      <c r="G129" t="inlineStr">
        <is>
          <t>Seattle, WA, US</t>
        </is>
      </c>
      <c r="H129" s="2" t="n">
        <v>45740</v>
      </c>
      <c r="I12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li-4349823783</t>
        </is>
      </c>
      <c r="B2" t="inlineStr">
        <is>
          <t>Data Scientist</t>
        </is>
      </c>
      <c r="C2" t="inlineStr">
        <is>
          <t>FanDuel</t>
        </is>
      </c>
      <c r="D2" t="inlineStr">
        <is>
          <t>linkedin</t>
        </is>
      </c>
      <c r="E2" t="inlineStr"/>
      <c r="F2" t="inlineStr"/>
      <c r="G2" t="inlineStr">
        <is>
          <t>Jersey City, NJ</t>
        </is>
      </c>
      <c r="H2" t="inlineStr"/>
      <c r="I2"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3">
      <c r="A3" t="inlineStr">
        <is>
          <t>li-4319965227</t>
        </is>
      </c>
      <c r="B3" t="inlineStr">
        <is>
          <t>Data Scientist</t>
        </is>
      </c>
      <c r="C3" t="inlineStr">
        <is>
          <t>Opendoor</t>
        </is>
      </c>
      <c r="D3" t="inlineStr">
        <is>
          <t>linkedin</t>
        </is>
      </c>
      <c r="E3" t="inlineStr"/>
      <c r="F3" t="inlineStr"/>
      <c r="G3" t="inlineStr">
        <is>
          <t>Seattle, WA</t>
        </is>
      </c>
      <c r="H3" t="inlineStr"/>
      <c r="I3" t="inlineStr">
        <is>
          <t>**Data Scientist, Pricing**
***Location: In office 4 days a week** 
 ; Seattle WA.*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financial performance.
 We are looking for mid to senior level Data Scientists. In this role, you will be a core driver of how Opendoor prices real estate at scale. You’ll operate at the intersection of economics, machine learning, experimentation, and product strategy — tackling ambiguity, shaping the pricing roadmap, and building models/analyses that materially move the business. Your insights will influence how we evaluate millions of dollars of housing inventory — and directly shape outcomes for our customers, our balance sheet, and the health of our marketplace.
**What You’ll Do**
* Build and maintain pricing metrics, dashboards, and frameworks.
* Run experiments and causal analyses to measure impact and drive decisions.
* Develop predictive \+ statistical models that improve pricing accuracy.
* Partner closely with Product, Engineering, and Operations teams to influence roadmap and model deployment.
* Deliver insights and narratives that inform executive strategy.
**Skills \&amp; Qualifications**
* Deep statistical reasoning: hypothesis design, experimental design, causal inference, and ability to distinguish signal vs noise.
* Proven end\-to\-end ML ownership: data acquisition, feature engineering, model development, validation, deployment, and ongoing monitoring.
* Strong SQL \+ Python proficiency; comfortable working with production data pipelines and modern ML tooling (e.g., Spark, Airflow, Ray, SageMaker, Vertex, etc.).
* Demonstrated ability to translate complex analytical findings into clear business recommendations and influence cross\-functional decision\-making.
* Experience working with ill\-defined problems and driving clarity on problem definition, success metrics, and realistic tradeoffs.
* High data\-quality bar: disciplined approach to validation, bias analysis, and making decisions rooted in evidence vs intuition.
* Effective communicator — able to tell the story behind the model to both highly technical and non\-technical audiences.
*Base salary range for this role varies. Generally, the base salary range is $143,200 – $213,000 annually \+ RSUs \+ bonus \+ ESPP \+ additional employee benefits (medical/dental/vision, life insurance, unlimited PTO, 401K).*
 \#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4">
      <c r="A4" t="inlineStr">
        <is>
          <t>li-4355431958</t>
        </is>
      </c>
      <c r="B4" t="inlineStr">
        <is>
          <t>Data Scientist, Product</t>
        </is>
      </c>
      <c r="C4" t="inlineStr">
        <is>
          <t>Robinhood</t>
        </is>
      </c>
      <c r="D4" t="inlineStr">
        <is>
          <t>linkedin</t>
        </is>
      </c>
      <c r="E4" t="inlineStr"/>
      <c r="F4" t="inlineStr"/>
      <c r="G4" t="inlineStr">
        <is>
          <t>New York, NY</t>
        </is>
      </c>
      <c r="H4" t="inlineStr"/>
      <c r="I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Brokerage products are the bread and butter of Robinhood. The Brokerage team is fast\-paced, dynamic, and deeply collaborative, driving innovation across our suite of brokerage products.
 As a Senior Data Scientist on the Data Science team, you'll be part of a high\-impact, multi\-functional group working closely with partners across product, engineering, user research, design, marketing, finance, and operations. Together, you’ll unlock the power of data to shape the future of our brokerage business and deliver outstanding value to our customers.
 We’re looking for a dedicated and ambitious data science leader to help us accelerate product growth through world\-class experimentation, analysis, and data\-informed strategy. Your work will directly influence the roadmap, uncover new opportunities, and improve the trading experience for millions of users.
 This role is based in our
 **New York**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Perform deep\-dive analyses to identify product growth opportunities and drive improvements in core business metrics.
* Design, plan, implement, and analyze A/B experiments, and conduct causal inference analysis to evaluate product changes.
* Define and maintain key product performance metrics; build scalable dashboards to monitor these metrics and advise decision\-making.
* Build compelling data visualizations and narratives to effectively communicate insights and recommendations to multi\-functional partners, collaborators, and senior leadership.
* Lead and implement large\-scale analytics projects to uncover user insights, inform product strategy, and deliver measurable business impact.
* Partner closely with Product, Engineering, Operations, and other multi\-functional teams to integrate data\-driven decision\-making into product and business processes.
* Assist with established methods, standard approaches, and promote a data\-informed culture within the organization.
****What You Bring****
* Proven expertise in data science, with a strong background in statistical analysis and machine learning.
* Outstanding problem\-solving skills and the ability to think critically and creatively.
* Strong programming skills in Python \&amp; SQL, or other relevant languages.
* Experience with data visualization tools and techniques.
* Ability to successfully implement projects and compete in a fast\-paced environment.
* PhD or master’s degree in a quantitative field such as mathematics, statistics, engineering or natural sciences and at least 6\-10 years of experience developing and deploying predictive models.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$179,000—$210,000 USD
 Zone 2 (Denver, CO; Westlake, TX; Chicago, IL)
 $157,000—$185,000 USD
 Zone 3 (Lake Mary, FL; Clearwater, FL; Gainesville, FL)
 $139,000—$164,000 USD
**In addition to the base pay range listed below, this role is also eligible for bonus opportunities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**Base Pay Range:**
 Toronto, ON
 $110,500—$130,000 CAD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**Base Pay Range:**
 Toronto, ON
 $110,500—$130,000 CAD
 Base pay for the successful applicant will depend on a variety of job\-related factors, which may include education, training, experience, location, business needs, or market demands. The expected hourly range for this role is based on the location where the work will be performed.
 Toronto, ON
 $110,500—$130,000 CAD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5">
      <c r="A5" t="inlineStr">
        <is>
          <t>li-4343356776</t>
        </is>
      </c>
      <c r="B5" t="inlineStr">
        <is>
          <t>Data Scientist, Algorithms, Optimization - Fulfillment</t>
        </is>
      </c>
      <c r="C5" t="inlineStr">
        <is>
          <t>Lyft</t>
        </is>
      </c>
      <c r="D5" t="inlineStr">
        <is>
          <t>linkedin</t>
        </is>
      </c>
      <c r="E5" t="inlineStr"/>
      <c r="F5" t="inlineStr"/>
      <c r="G5" t="inlineStr">
        <is>
          <t>New York, NY</t>
        </is>
      </c>
      <c r="H5" t="inlineStr"/>
      <c r="I5"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6">
      <c r="A6" t="inlineStr">
        <is>
          <t>li-4293212630</t>
        </is>
      </c>
      <c r="B6" t="inlineStr">
        <is>
          <t>Data Scientist</t>
        </is>
      </c>
      <c r="C6" t="inlineStr">
        <is>
          <t>Siro</t>
        </is>
      </c>
      <c r="D6" t="inlineStr">
        <is>
          <t>linkedin</t>
        </is>
      </c>
      <c r="E6" t="inlineStr"/>
      <c r="F6" t="inlineStr"/>
      <c r="G6" t="inlineStr">
        <is>
          <t>New York, United States</t>
        </is>
      </c>
      <c r="H6" t="inlineStr"/>
      <c r="I6"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**About The Role**
 We're looking for a pioneering Data Scientist. This role combines classical data science with cutting\-edge LLM applications, sitting at the intersection of business intelligence, experimentation, and AI\-powered product features.
 This role will build the data foundation that empowers Siro teams to make confident decisions \-from Product launching AI\-powered features, to Sales identifying winning patterns, to Customer Success driving adoption. Your work will unlock insights that directly accelerate growth and shape our product strategy.
 If you're excited about turning raw data into actionable insights and shaping the future of a high\-growth AI\-first company, this is the role for you.
 What you’ll do
 Product Analytics and Business Intelligence
* Partner with multiple functions to understand customer behavior, visualize usage trends, and identify opportunities
* Develop and optimize product analytics infrastructure and dashboards for internal and external stakeholders
* Contribute to weekly and quarterly business reviews for strategic accounts
 Ad Hoc Insights and LLM Applications
* Explore customer sales conversation data to extract insights via LLM\-based and traditional analysis methods
* Communicate ad hoc insights to external customers
* Implement LLM evaluations
 Data Quality
* Own data quality in our databases
* Establish data quality standards and monitoring
* Identify improvements needed and work with Engineering to implement
 Success Metrics
* Adoption rate of data products, internal and customer\-facing
* Impact on product development velocity and decision quality
* Quality and reliability of AI\-powered insights
* % of product decisions backed by quantitative data
**Qualifications**
* 2\+ years of experience in data science, ML/AI, or related field
* Strong foundation in statistics and experimental design
* Expertise in Python, SQL, and data pipeline development
* Experience with business intelligence and visualization tools (e.g., Looker, Metabase, Tableau)
* Experience working with structured and unstructured data
* Strong problem\-solving skills with a business\-focused approach
* Excellent communication skills
* Familiarity with LLMs
 Our Tech Stack
 Core Tools
* Data Infrastructure: Google Cloud Platform (GCP), BigQuery, Postgres
* BI/Analytics: Mixpanel, Explo
* Languages: Python, SQL
* Version Control: Git
 AI/ML Stack
* LLM Frameworks: Anthropic, OpenAI, Google LangChain
* Data Science \&amp; ML Libraries: pandas, scikit\-learn
* NLP Tools: Hugging Face
 Nice to Have
* Experience with Node.js/TypeScript
* Background in conversation AI or natural language processing
 Who You Are
* Product\-minded data scientist who balances rigorous analysis with practical impact
* Strong communicator who can translate complex concepts for various audiences
* Self\-directed learner excited about emerging AI technologies
* Collaborative team player who thrives in a fast\-paced environment
* Passionate about using data to improve human performance and outcomes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7">
      <c r="A7" t="inlineStr">
        <is>
          <t>li-4313228879</t>
        </is>
      </c>
      <c r="B7" t="inlineStr">
        <is>
          <t>Senior Product Data Scientist</t>
        </is>
      </c>
      <c r="C7" t="inlineStr">
        <is>
          <t>Talkiatry</t>
        </is>
      </c>
      <c r="D7" t="inlineStr">
        <is>
          <t>linkedin</t>
        </is>
      </c>
      <c r="E7" t="inlineStr"/>
      <c r="F7" t="inlineStr"/>
      <c r="G7" t="inlineStr"/>
      <c r="H7" t="inlineStr"/>
      <c r="I7" t="inlineStr">
        <is>
          <t>We are looking for a Sr. Product Data Scientist to join our growing Data team in our Product organization. This is a senior individual contributor role with broad scope across product insights, experimentation, modeling and applied analytics focusing on growth. The ideal candidate is not only technically strong, but also proactive in uncovering opportunities, framing insights, and ensuring leaders have the context they need to make the right calls. We are looking for this individual to bring analytical thought leadership as we continue to rapidly grow and iterate on our product offerings across Talkiatry.
 You’ll own projects that range from producing growth and performance analyses that guide strategic and product decisions, to designing and evaluating experiments, to building predictive models, and to improving patient engagement and clinical efficiency. You’ll be expected to communicate insights proactively, frame results in business terms, and work closely with your core cross\-functional teammates (Product, Engineering and Design) as well as stakeholders across Operations, Clinical, and Finance.
**About Talkiatry:**
 Talkiatry transforms psychiatry with accessible, human, and responsible care. We’re a national mental health practice co\-founded by a patient and a triple\-board\-certified psychiatrist to solve the problems both groups face in accessing and providing the highest quality treatment.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
**You will:**
* Proactive Insights \&amp; Storytelling
* Identify growth opportunities for the Product teams by analyzing data and understanding patient behaviors
* Help Product teams maximize impact, by working with PMs and engineers to understand costs and constraints, while looking at underlying data and making reasonable assumptions to size opportunities
* Identify risks by exploring data and monitoring trends to understand the impact of emerging issues before they become problems
* Frame analyses and estimates in terms of “so what” for the practice to ensure findings don’t just inform, but influence the team
* Develop regular deliverables that turn historical data into forward looking guidance for product and operational teams
* Anticipate questions our teams should be asking and bring forward insights before they’re requested
* Modeling \&amp; Prediction
* Build, evaluate, and productionalize models to forecast outcomes such as patient retention, no shows, demand patterns, and more
* Balance technical sophistication with pragmatic application, recognizing when simpler analyses can achieve the same business impact
* Experimentation \&amp; Measurement
* Partner with Product and Operations teams to design experiments, define success metrics, and implement robust statistical evaluation frameworks
* Ensure appropriate statistical power, so results are both valid and actionable
* Analyze experiment results and establish clear post experiment communication, ensuring learnings (positive or negative) are codified and inform future product or operational decisions
* Applied Analytics
* Lead analyses on patient growth, clinician utilization, marketplace dynamics and more to surface actionable insights to leadership
* Translate adhoc analyses into repeatable frameworks and scalable reporting so insights don’t stay one\-off, but become institutional knowledge
* Collaboration
* Collaborate with Data Engineering and BI teams to define requirements and highlight gaps, so that data pipelines reliably support advanced analytics and modeling
* Act as a thought partner to Operations, Clinical, and Finance leaders, not just answering questions, but shaping the questions we should be asking
**You have:**
* 4\+ years of experience in data science, analytics, or related fields, with a track record of delivering measurable business impact
* Advanced proficiency in Python (pandas, scikit\-learn, statsmodels and all other common data science packages) and SQL; experience with modern data warehouses (Snowflake, Redshift, BigQuery)
* Strong foundation in experimental design, causal inference, and statistical methods
* Practical understanding of ML modeling trade\-offs: when to deploy advanced models vs. when a well\-structured analysis is the right tool
* Understands the spirit of George Box’s reminder that “all models are wrong, but some are useful” and applies that judgment to build solutions that balance sophistication with pragmatism
* Exceptional communication skills, displaying the ability to frame technical findings in a way that resonates with stakeholders
* Experience in DBT is a plus, but not required
* Experience on a Product growth team, where experimentation and opportunity identification were key aspects of the role, is a plus
* Strong applied experience in data science is essential; a Master’s or PhD in a quantitative field is a plus
**Why Talkiatry:**
* Top\-notch team: we're a diverse, experienced group motivated to make a difference in mental health care
* Collaborative environment: be part of building something from the ground up at a fast\-paced startup
* Excellent benefits: medical, dental, vision, effective day 1 of employment, 401K with match, generous PTO plus paid holidays, paid parental leave, and more!
* Grow your career with us: hone your skills and build new ones with our Learning team as Talkiatry expands
* It all comes back to care: we’re a mental health company, and we put our team’s well\-being first
*Talkiatry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
*At Talkiatry, we are an equal opportunity employer committed to a diverse, inclusive, and equitable workplace and candidate experience. We strive to create an environment where everyone has a sense of belonging and purpose, and where we learn from the unique experiences of those around us.*
*We encourage all qualified candidates to apply regardless of race, color, ancestry, religion, national origin, sexual orientation, age, citizenship, marital or family status, disability, gender, gender identity or expression, pregnancy or caregiver status, veteran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for this position is $145,000 to $180,000, depending on experience; actual compensation will be dependent upon the specific role, location, as well as the individual’s qualifications, experience, skills and certifications.</t>
        </is>
      </c>
    </row>
    <row r="8">
      <c r="A8" t="inlineStr">
        <is>
          <t>li-4291315440</t>
        </is>
      </c>
      <c r="B8" t="inlineStr">
        <is>
          <t>AI/ML Scientist/Developer</t>
        </is>
      </c>
      <c r="C8" t="inlineStr">
        <is>
          <t>Axle</t>
        </is>
      </c>
      <c r="D8" t="inlineStr">
        <is>
          <t>linkedin</t>
        </is>
      </c>
      <c r="E8" t="inlineStr"/>
      <c r="F8" t="inlineStr"/>
      <c r="G8" t="inlineStr">
        <is>
          <t>Frederick, MD</t>
        </is>
      </c>
      <c r="H8" t="inlineStr"/>
      <c r="I8" t="inlineStr">
        <is>
          <t>(ID: 2025\-0402\)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***AI/ML Scientist/Developer***
 to join our vibrant team at the
 **National Institutes of Health (NIH)** 
 supporting the Standardized Organoid Model Center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**Overview** 
 The AI/ML Scientist/Developer will develop innovative computational models to predict and optimize organoid growth and differentiation protocols. This position represents a unique opportunity to apply cutting\-edge machine learning techniques to advance organoid standardization and contribute to the development of predictive models for tissue engineering applications.
**Responsibilities** 
* The successful candidate will design and implement machine learning models that predict organoid development outcomes based on protocol parameters, environmental conditions, and molecular characterization data.
* They will develop in silico models that can simulate organoid growth dynamics and identify optimal conditions for reproducible organoid generation.
* The role involves creating feedback loops between experimental validation and computational prediction to iteratively improve protocol standardization.
* Collaboration with experimental teams to design validation experiments and with data scientists to integrate multi\-modal datasets will be essential components of this position.
**Required Qualifications** 
* Candidates must possess a Master's degree or PhD in computer science, engineering, applied mathematics, or a related field with demonstrated experience in AI/ML model development.
* Strong programming skills in Python, R, or similar languages are required, along with experience with machine learning frameworks such as TensorFlow, PyTorch, or scikit\-learn.
* Previous experience applying computational methods in biological laboratory settings is necessary, with knowledge of experimental design principles and biological data types.
**Preferred Qualifications** 
* Experience with organoid systems or tissue engineering applications is highly desirable.
* Knowledge of differential equations, systems biology modeling, and experience with deep learning approaches for biological applications will be considered strong assets.
* Familiarity with cloud computing platforms and containerization technologies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Salary Range: $115,000 USD \- $130,000 USD</t>
        </is>
      </c>
    </row>
    <row r="9">
      <c r="A9" t="inlineStr">
        <is>
          <t>li-4329966693</t>
        </is>
      </c>
      <c r="B9" t="inlineStr">
        <is>
          <t>Data Scientist</t>
        </is>
      </c>
      <c r="C9" t="inlineStr">
        <is>
          <t>Kikoff</t>
        </is>
      </c>
      <c r="D9" t="inlineStr">
        <is>
          <t>linkedin</t>
        </is>
      </c>
      <c r="E9" t="inlineStr"/>
      <c r="F9" t="inlineStr"/>
      <c r="G9" t="inlineStr">
        <is>
          <t>San Francisco, CA</t>
        </is>
      </c>
      <c r="H9" t="inlineStr"/>
      <c r="I9" t="inlineStr">
        <is>
          <t>**Kikoff: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As a Data Scientist at Kikoff, you work closely with cross functional teams incl. Product, Engineering, Data Engineering, Marketing, Operation. By applying your technical skills, analytical mindset, and product intuition, you will help our customers improve their financial security. You will use data to identify and solve product development’s biggest challenges. Your responsibilities includes:
* Product leadership: use data to shape product development, quantify new opportunities, set goals, identify upcoming challenges, and ensure the products we build bring value to our customers.
* Analytics: develop hypotheses and employ a diverse toolkit of rigorous analytical approaches, different methodologies, frameworks, and technical approaches to test them.
* Communication and influence: convince and influence your partners by telling clear data stories.
**Qualifications** 
* Bachelors’ or above in quantitative discipline: Statistics, Applied Mathematics, Economics, Computer Science, Engineering, or related field
* A minimum of 2 years of work experience in analytics
* Expert knowledge of SQL and experience with Python
* Deep understanding of statistical analysis, experimentation design, and common analytical techniques like regression, decision trees
* Strong verbal and written communication skills
* A humble collaborative can\-do attitude and natural curiosity
**Base Range** 
 $160,000 \- $260,000 USD
 🏥 Medical, dental, and vision coverage \- Kikoff covers the full cost of health insurance for the employee!
 📈 Meaningful equity in the form of RSU's
 🏝️ 20 days of paid time off per year — we encourage taking real time away to recharge and do your best work
 💵 401(k) plan with a generous employer match to help you invest in your future
 💰 Competitive pay based on experience consisting of base \+ equity \+ benefits
 Location: Hybrid, 3 days onsite in San Francisco, CA.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
 .</t>
        </is>
      </c>
    </row>
    <row r="10">
      <c r="A10" t="inlineStr">
        <is>
          <t>li-4363426142</t>
        </is>
      </c>
      <c r="B10" t="inlineStr">
        <is>
          <t>Growth Data Scientist</t>
        </is>
      </c>
      <c r="C10" t="inlineStr">
        <is>
          <t>Docusign</t>
        </is>
      </c>
      <c r="D10" t="inlineStr">
        <is>
          <t>linkedin</t>
        </is>
      </c>
      <c r="E10" t="inlineStr"/>
      <c r="F10" t="inlineStr"/>
      <c r="G10" t="inlineStr">
        <is>
          <t>San Francisco, CA</t>
        </is>
      </c>
      <c r="H10" t="inlineStr"/>
      <c r="I1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We’re looking for a strategic, execution\-minded Growth Data Scientist to be the data science engine behind Docusign’s self\-serve retention motion — ensuring our customers stay active, get value, and renew through intuitive, data\-driven product and lifecycle experiences. Partnering closely with a cross\-functional squad — including Growth, Product, Lifecycle Marketing, Customer Success, Engineering, and Strategy \&amp; Ops — you will use data and insights to help build and scale the systems that prevent churn and drive durable customer value.
 You will lead strategic analyses and hands\-on experimentation to uncover, validate, and scale new ways to reduce active and partial churn by improving usage, value realization, plan fit, and save\-flows. You will sit at the center of Docusign’s retention strategy, translating behavioral signals, product telemetry, and customer intent into decisions that shape how customers stay, downgrade, upgrade, or renew.
 In this high\-impact, hands\-on role, you will own retention performance readouts, design and analyze cancel\-save and customer lifecycle experiments, and deliver clear, compelling insights that directly inform product, marketing, and go\-to\-market execution. You will help Docusign evolve to a proactive, intelligent, and customer\-centric retention engine — where the right intervention happens at the right moment in the customer journey.
 Our ideal candidate combines best\-in\-class analytical skills, a strong strategic mindset with a bias for execution, a passion for experimentation and continuous learning, and a proven record of turning usage, churn signals, and customer behavior into measurable retention and revenue impact.
 This position is an individual contributor role reporting to the Director, Growth Analytics.
**Responsibility**
* Translate complex data and analyses into clear, data‑backed recommendations for senior leadership, influencing strategic direction across Growth, Product, Marketing, Sales, and Customer Success
* Provide regular reporting on key metrics to executive leadership, highlighting successes, identifying risks, and recommending proactive solutions
* Design, implement, and analyze experiments (A/B tests, causal inference) that inform product and GTM decisions and quantify business impact
* Identify growth opportunities and risks, using forecasting and scenario modeling to guide resource allocation and prioritization
* Apply advanced analytical techniques (e.g., predictive modeling, customer segmentation, LTV analysis) to understand customer behavior, forecast outcomes, and inform strategic initiatives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2\+ years of experience in Analytics, Data Science, or related roles \- ideally spanning product/growth analytics, strategic/consulting analytics, or sales‑operations analytics in a SaaS environment
* Experience with experimentation frameworks (A/B testing, causal inference) and strategic analysis
* Experience with SQL plus Python or R, and strong command of visualization tools such as Tableau, Looker, or equivalent
* Demonstrated ability to distill complex analytical findings into concise, actionable recommendations for executive audiences
**Preferred**
* Excellent communication and presentation skills with the ability to present complex data analysis, insights, and recommendations to senior leadership
* Prior partnership with Growth Product Management or Marketing, influencing strategy through data‑driven insights.
* Experience operating in hybrid self‑serve / sales‑assisted SaaS business models
* MBA, MS, or PhD in a quantitative discipline (e.g., Statistics, Computer Science, Economics)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1">
      <c r="A11" t="inlineStr">
        <is>
          <t>li-4381508880</t>
        </is>
      </c>
      <c r="B11" t="inlineStr">
        <is>
          <t>Data Scientist (Fintech / Onchain Analytics)</t>
        </is>
      </c>
      <c r="C11" t="inlineStr">
        <is>
          <t>PulseRise Technologies</t>
        </is>
      </c>
      <c r="D11" t="inlineStr">
        <is>
          <t>linkedin</t>
        </is>
      </c>
      <c r="E11" t="inlineStr"/>
      <c r="F11" t="inlineStr"/>
      <c r="G11" t="inlineStr">
        <is>
          <t>New York, NY</t>
        </is>
      </c>
      <c r="H11" t="inlineStr"/>
      <c r="I11" t="inlineStr">
        <is>
          <t>**HYBRID IN NEW YORK**
 We are looking for an experienced Data Scientist to drive data\-informed decision\-making across product, finance, and engineering within a fast\-growing crypto payments infrastructure company. This role sits at the intersection of onchain analytics, product experimentation, and business performance optimization. You will transform transaction flows, routing behavior, and user journey data into insights that directly shape roadmap and growth strategy. The position requires strong statistical expertise, hands\-on experimentation experience, and comfort working with large\-scale financial datasets. You will collaborate closely with product leaders and the CFO to evaluate unit economics, conversion funnels, and market dynamics. This is a high\-ownership role based in New York City, working in\-person with the core team.
 Details
 Location: NYC
 Work Model: Hybrid (4 days in\-office)
 Employment Type: Full\-time
 Industry: Fintech / Crypto Infrastructure
 Start Date: ASAP
 Key Responsibilities
 Design scalable data models to analyze transaction flows, routing behavior, and user journeys
 Build and maintain reliable data pipelines and transformations ensuring data quality and reproducibility
 Partner with CFO and leadership to analyze unit economics, revenue drivers, and growth performance
 Define and track product KPIs such as conversion, retention, engagement, and cohort performance
 Design and execute experiments (A/B testing, causal inference, uplift modeling)
 Translate complex quantitative findings into clear, actionable insights for technical and non\-technical stakeholders
 Analyze market behavior and liquidity patterns within crypto or DeFi ecosystems
 Support roadmap decisions with production\-grade data insights
**Requirements**
 5\+ years of experience using Python and SQL in data science or analytics roles
 Strong background in statistics, experimentation design, and causal inference
 Experience analyzing user behavior, funnels, retention, and product performance
 Experience working with modern data platforms (Redshift, Snowflake, Databricks)
 Experience with data transformation/orchestration tools such as dbt
 Strong communication skills and ability to explain complex analysis clearly
 Experience working in cross\-functional environments
 Nice to Have
 Experience analyzing large\-scale transaction or financial datasets (payments, trading, lending)
 Experience with ML libraries (Pandas, NumPy, scikit\-learn; PyTorch or TensorFlow a plus)
 Familiarity with spreads, slippage, liquidity dynamics in crypto markets
 Background in fintech, crypto analytics, or DeFi protocols
 Deep interest in Web3 infrastructure and onchain ecosystems</t>
        </is>
      </c>
    </row>
    <row r="12">
      <c r="A12" t="inlineStr">
        <is>
          <t>li-4349721364</t>
        </is>
      </c>
      <c r="B12" t="inlineStr">
        <is>
          <t>Data Scientist AI</t>
        </is>
      </c>
      <c r="C12" t="inlineStr">
        <is>
          <t>Internet Brands</t>
        </is>
      </c>
      <c r="D12" t="inlineStr">
        <is>
          <t>linkedin</t>
        </is>
      </c>
      <c r="E12" t="inlineStr"/>
      <c r="F12" t="inlineStr"/>
      <c r="G12" t="inlineStr">
        <is>
          <t>El Segundo, CA</t>
        </is>
      </c>
      <c r="H12" t="inlineStr"/>
      <c r="I12" t="inlineStr">
        <is>
          <t>**Description**
**Data Scientist AI**
**Internet Brands and WebMD are looking for a Data Scientist to join our Los Angeles based headquarters, and work on exciting personalization initiatives! The position is 5 days a week in the office. The ideal candidate has a practical background in machine learning and deep learning, with recent hands\-on experience in natural language understanding, large language models (LLMs), generative AI applications, retrieval\-augmented generation (RAG), or agentic AI systems. You will be working on various efforts involving machine learning, product engineers and data scientists in building projects such as content recommendation, personalization, and business intelligence models to enhance our customer experience and business intelligence capabilities.**
 Responsibilities:
* Processing, cleansing, and verifying the integrity of data used for analysis
* Doing ad\-hoc analysis and presenting results in a clear manner.
* Experience with feature synthesis and selection techniques to build models
* Solid understanding of regression, classification algorithms framework
* Apply machine learning techniques at scale on massive data sets
* Working with large language models (LLMs) for applications such as content summarization, recommendation, and personalization. Apply RAG (Retrieval\-Augmented Generation) pipelines for knowledge retrieval.
* Experiment agentic AI framework to enhance personalization and automation.
* Prior work with model evaluation benchmarks and large\-scale LLM testing frameworks.
* Experience with prompt fine\-tuning techniques, LLMs optimization techniques(pre\-training, post\-training etc)
* Collaborate with cross\-functional agile teams of software engineers, domain experts, and others to build new product features for multiple business units.
* Collaborate with data scientists across a variety of businesses to prioritize and promote our machine learning efforts.
 Skills and Qualifications:
* 2\-4 years of data science experience with expertise in predictive analytics,
* B.S., M.S. or PhD in Data Science, Computer Science, Software Engineering, Information Science, Mathematics, Statistics, Electrical Engineering, Physics or related fields or equivalent experience.
* Strong understanding of transformer\-based architectures, embeddings, and tokenization techniques.
* Proficiency with LLM frameworks and APIs, such as LangChain, Hugging Face Transformers, OpenAI, Google Vertex AI (Gemini), or Anthropic Claude, coupled with expertise in evaluation and performance benchmarking
* Demonstrated ability to implement prompt engineering, fine\-tuning, and evaluation for LLMs.
* Strong understanding of personalization and recommendation algorithms, including collaborative filtering (CF), content\-based filtering, hybrid recommenders, sequence\-based or session\-based models, and graph\-based models.
* Proficiency in using query languages such as SQL.
* Web analytics experience (Google Analytics, Adobe)
* Experience with common data science toolkits, such as R, Scikit\-learn, NumPy, Tensorflow.
* This role is 5 days a week onsite at Internet Brands' headquarters in El Segundo, CA
 At Internet Brands, we carefully consider a wide range of factors when determining compensation, including your background and experience. These considerations can cause your compensation to vary. We expect the compensation for this role to be in the low 100s.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13">
      <c r="A13" t="inlineStr">
        <is>
          <t>li-4327090012</t>
        </is>
      </c>
      <c r="B13" t="inlineStr">
        <is>
          <t>Sr. Data Scientist, Recommendations</t>
        </is>
      </c>
      <c r="C13" t="inlineStr">
        <is>
          <t>Tinder</t>
        </is>
      </c>
      <c r="D13" t="inlineStr">
        <is>
          <t>linkedin</t>
        </is>
      </c>
      <c r="E13" t="inlineStr"/>
      <c r="F13" t="inlineStr"/>
      <c r="G13" t="inlineStr">
        <is>
          <t>Los Angeles, CA</t>
        </is>
      </c>
      <c r="H13" t="inlineStr"/>
      <c r="I1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Data Science \&amp; Analytics team thrives on data\-driven insights to make more informed decisions through our insights into our member’s behavior, preferences, and common trends. We take ownership over the integrity of our data and work to improve data literacy across Tinder.
 Recommendations (Recs) is core to Tinder’s experience—covering ranking, retrieval, signals, and model evaluation—to improve match quality, conversations, retention, and revenue through principled ML and experimentation.
 As a Senior Data Scientist on the Recommendations (Recs) team, you will partner closely with Product, Engineering, and Machine Learning (ML) to identify and size new opportunities, strengthen existing algorithms, and shape measurement and experimentation across a two\-sided marketplace. You’ll build the tooling and dashboards needed for crisp reads and health monitoring, communicate insights and tradeoffs with executive clarity, and serve as a trusted, respected partner to the Recs pod and a mentor for the broader Data Science team.
 This role will be given wide latitude but high expectations for the development of analyses, models, and plans that will be shared directly with the executive team and help shape the trajectory of our product roadmap.
**Where you’ll work:** 
 This is a hybrid role and requires in\-office collaboration three times per week in Los Angeles, Palo Alto or San Francisco.
**In this role, you will:** 
- Work closely with Product, Engineering, and ML to identify and evaluate new opportunities; frame hypotheses, define success metrics and guardrails, and translate findings into clear product recommendations
- Support the ML team in improving algorithms across retrieval, ranking, and personalization; strengthen offline/online evaluation and alignment
- Define and lead experimentation design and analysis tailored to a two‑sided marketplace; drive meta\-analyses and playbooks that uplevel reads and decision quality
- Build tools and dashboards to improve experiment reads and KPI monitoring; standardize templates and health checks for fast, reliable iteration
- Deliver executive\-ready presentations and docs that clarify options, tradeoffs, risks, and expected business impact
- Be a trusted and respected partner for the Recs pod, focused on delivering the best recommendations for our worldwide member base
- Mentor and inspire other data scientists; review analyses and elevate experimentation, causal inference, and model evaluation practices across the team
**You'll Need:** 
- Bachelor’s, Master’s, and/or Ph.D. degree in a quantitative field (e.g., Statistics, Mathematics, Computer Science, Economics, or related fields)
- 5\+ years of professional experience in data science/analytics, with meaningful time in recommender systems, ranking, search, or personalization at consumer scale (or equivalent impact/complexity)
- Fluency in SQL and Python (required)
- Deep understanding of statistics and causal inference; hands\-on experience designing and analyzing online experiments (A/B, variance reduction, sequential testing) and applying quasi\-experimental methods when appropriate
- Strong product sense and analytical rigor; ability to frame the right questions, choose fit\-for\-purpose methods, and land actionable recommendations with cross\-functional partners
- Familiarity with machine learning for recommendations, including offline/online metric design and model evaluation for ranking/personalization use cases
**Nice to have:** 
- Experience with modern Recs stacks (e.g., retrieval/two‑tower, learning‑to‑rank, embeddings/feature stores) and counterfactual evaluation approaches (IPS/DR, switchback tests)
- Working knowledge of Spark or similar large‑scale data tools and MLOps concepts (feature stores, evaluation pipelines, drift/monitoring)
- Two‑sided marketplace intuition and guardrail design to protect ecosystem health
- Track record of mentorship, thought leadership, and cross‑functional influence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14">
      <c r="A14" t="inlineStr">
        <is>
          <t>li-4382662593</t>
        </is>
      </c>
      <c r="B14" t="inlineStr">
        <is>
          <t>Data Scientist - Safety Alignment</t>
        </is>
      </c>
      <c r="C14" t="inlineStr">
        <is>
          <t>Wiraa</t>
        </is>
      </c>
      <c r="D14" t="inlineStr">
        <is>
          <t>linkedin</t>
        </is>
      </c>
      <c r="E14" t="inlineStr"/>
      <c r="F14" t="inlineStr"/>
      <c r="G14" t="inlineStr"/>
      <c r="H14" t="inlineStr"/>
      <c r="I14" t="inlineStr">
        <is>
          <t>**About The Company**
 Humana Inc. is a leading health and well\-being company dedicated to putting health first for its members, employees, and communities. With a focus on innovative healthcare solutions, Humana operates across various segments including insurance services and healthcare delivery through its CenterWell division. The company is committed to improving the quality of life for diverse populations such as Medicare beneficiaries, Medicaid recipients, military personnel, and individuals seeking personalized health plans. Humana emphasizes a culture of inclusion, integrity, and innovation, leveraging advanced technology and data\-driven insights to enhance healthcare experiences and outcomes. As a forward\-thinking organization, Humana continually invests in cutting\-edge research and development, particularly in fields like artificial intelligence, to revolutionize healthcare delivery and ensure responsible, ethical practices across all initiatives.
**About The Role**
 We are seeking a highly skilled Lead Data Scientist to join our Enterprise AI organization at Humana. This pivotal role focuses on driving the safety, alignment, and ethical development of Agentic AI systems. As a leader in this space, you will spearhead initiatives to ensure that our intelligent agents behave reliably, safely, and in accordance with human values across complex, multi\-agent, and high\-stakes environments. Your expertise will be instrumental in designing and implementing safety architectures, developing alignment techniques, and establishing continuous monitoring strategies to oversee agent behavior in both simulated and real\-world settings. Collaborating closely with cross\-functional teams—including product management, legal, governance, and deployment—you will contribute to responsible AI scaling and deployment. Additionally, you will have the opportunity to publish research, contribute to industry standards, and shape the future of AI safety within healthcare and beyond.
**Qualifications**
* Master’s Degree in Computer Science, Data Science, Machine Learning, or a related field
* 4\+ years of experience in research, ML engineering, or applied research roles with a focus on AI solutions
* 2\+ years of experience leading AI/ML system development projects
* Deep expertise in AI alignment, multi\-agent systems, or reinforcement learning
* Proven ability to lead research\-to\-production initiatives and establish governance frameworks
* Strong publication record or contributions in AI safety, interoperability, or algorithm ethics
* Proficiency in SQL, Python, and data analysis/data mining tools
* Experience with machine learning frameworks such as PyTorch, JAX, ReAct, LangChain, LangGraph, or AutoGen
* Experience working with large\-scale ML systems and deploying or auditing LLM\-based agents
* Knowledge of large\-scale ETL processes
**Responsibilities**
* Design and develop safety architectures for Agentic AI systems, including guardrails, reward modeling, and self\-monitoring capabilities
* Lead and collaborate on alignment techniques such as inverse reinforcement learning, preference learning, interpretability tools, and human\-in\-the\-loop evaluation processes
* Develop strategies for continuous monitoring of agent behavior in both simulated and real\-world environments to ensure safety and compliance
* Partner with product, legal, Responsible AI, governance, and deployment teams to facilitate responsible scaling and deployment of AI systems
* Contribute to research efforts by publishing findings on AI alignment, multi\-agent cooperation, conflict resolution, and value learning
* Proactively identify potential failure modes such as goal misgeneralization, deceptive behaviors, or unintended instrumental actions, and implement mitigation strategies
* Set safety milestones and review deployment readiness for autonomous capabilities within AI systems
* Stay current with emerging trends and research in AI safety and ethics, integrating best practices into development processes
**Benefits**
* Work from home flexibility with remote US work options
* Generous paid time off and holiday leave policies
* Health benefits effective from day one of employment
* Participation in annual incentive plans based on individual and company performance
* 401(k) retirement savings plan with an excellent company match
* Well\-being programs and resources to support mental and physical health
* Paid volunteer time off to encourage community engagement
* Access to professional development opportunities and a collaborative work environment
 Equal Opportunity
 Humana is an equal opportunity employer committed to diversity and inclusion in the workplace. We do not discriminate against any employee or applicant based on race, color, religion, sex, sexual orientation, gender identity, national origin, age, marital status, genetic information, disability, veteran status, or any other protected characteristic. We uphold affirmative action policies in accordance with applicable laws and regulations, ensuring fair treatment and equal opportunities for all. Humana fosters an inclusive environment where everyone’s contributions are valued, and we are dedicated to creating a workplace that reflects the diverse communities we serve.</t>
        </is>
      </c>
    </row>
    <row r="15">
      <c r="A15" t="inlineStr">
        <is>
          <t>li-4365631235</t>
        </is>
      </c>
      <c r="B15" t="inlineStr">
        <is>
          <t>Applied Scientist (Contract), Artificial General Intelligence</t>
        </is>
      </c>
      <c r="C15" t="inlineStr">
        <is>
          <t>Amazon</t>
        </is>
      </c>
      <c r="D15" t="inlineStr">
        <is>
          <t>linkedin</t>
        </is>
      </c>
      <c r="E15" t="inlineStr"/>
      <c r="F15" t="inlineStr"/>
      <c r="G15" t="inlineStr">
        <is>
          <t>Boston, MA</t>
        </is>
      </c>
      <c r="H15" t="inlineStr"/>
      <c r="I1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A3165531</t>
        </is>
      </c>
    </row>
    <row r="16">
      <c r="A16" t="inlineStr">
        <is>
          <t>li-4346868636</t>
        </is>
      </c>
      <c r="B16" t="inlineStr">
        <is>
          <t>Associate R &amp; D Data Scientist</t>
        </is>
      </c>
      <c r="C16" t="inlineStr">
        <is>
          <t>ETS</t>
        </is>
      </c>
      <c r="D16" t="inlineStr">
        <is>
          <t>linkedin</t>
        </is>
      </c>
      <c r="E16" t="inlineStr"/>
      <c r="F16" t="inlineStr"/>
      <c r="G16" t="inlineStr">
        <is>
          <t>Princeton, NJ</t>
        </is>
      </c>
      <c r="H16" t="inlineStr"/>
      <c r="I16" t="inlineStr">
        <is>
          <t>**About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R\&amp;D Data Scientist contributes to the planning, development, and execution of data science analyses for research and development projects within the ETS Research Institute. This role focuses on applying advanced data science, statistics, machine learning, and AI to make inferences and/or predictions from data. The position requires expertise in modern frameworks and cloud computing environments to support innovative research in educational measurement and assessment.
**Technical Responsibilties**
**Primary Responsibilities**
 Data Management and Analysis
* Collect, preprocess, and manage structured and unstructured data from diverse sources, ensuring data quality and integrity.
* Perform exploratory data analysis to identify trends, patterns, and actionable insights.
 Model Development and Evaluation
* Design, implement, and validate predictive models and machine\-learning algorithms using frameworks such as PyTorch/TensorFlow, and scikit\-learn.
* Experiment with large language models and generative AI techniques (e.g., working with large language model APIs, prompt engineering) to support innovative research.
 Deployment and Scalability
* Develop and maintain pipelines for model deployment in cloud computing environments (e.g., AWS, Azure) to ensure scalability and reproducibility.
 Research and Collaboration
* Collaborate with scientists and cross\-functional research teams to align data science efforts with program objectives
* Contribute to technical reports, presentations, and publications that disseminate research findings.
* Communicate complex technical concepts clearly to both technical and non\-technical stakeholders.
 \#Remote
* Demonstrable proficiency and experience in Python and/or R for data analysis and modeling.
* Hands\-on experience with PyTorch/TensorFlow, Scikit\-learn, and other machine learning frameworks.
* Familiarity with generative AI methods and their practical applications.
* Strong understanding of statistical methods, experimental design, and data visualization.
* Ability to work in cloud computing environments (e.g., AWS) for model deployment and data processing.
* Excellent problem\-solving skills and adaptability to evolving research priorities.
* Effective written and verbal communication skills for collaborative research environments.
* Exceptional attention to detail, ensuring accuracy and reliability in data analysis, modeling, and reporting.
**Education**
 Master’s degree in Data Science, Computer Science, Statistics, or a related quantitative field; or equivalent combination of education and experience.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In support of this ETS offers multiple Business Resource Groups (BRG) for you to learn and advance your career growth!
* As a not\-for\-profit organization we will encourage you to lean in to your passion for volunteering.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t>
        </is>
      </c>
    </row>
    <row r="17">
      <c r="A17" t="inlineStr">
        <is>
          <t>li-4332972429</t>
        </is>
      </c>
      <c r="B17" t="inlineStr">
        <is>
          <t>Senior Staff Data Scientist</t>
        </is>
      </c>
      <c r="C17" t="inlineStr">
        <is>
          <t>Intuit</t>
        </is>
      </c>
      <c r="D17" t="inlineStr">
        <is>
          <t>linkedin</t>
        </is>
      </c>
      <c r="E17" t="inlineStr"/>
      <c r="F17" t="inlineStr"/>
      <c r="G17" t="inlineStr">
        <is>
          <t>San Diego, CA</t>
        </is>
      </c>
      <c r="H17" t="inlineStr"/>
      <c r="I17"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an accelerating growth for a strategic priority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field. Equivalent experience will be considered.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Qualifications**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18">
      <c r="A18" t="inlineStr">
        <is>
          <t>li-4349280113</t>
        </is>
      </c>
      <c r="B18" t="inlineStr">
        <is>
          <t>Senior Applied Scientist – Research Products</t>
        </is>
      </c>
      <c r="C18" t="inlineStr">
        <is>
          <t>Thomson Reuters</t>
        </is>
      </c>
      <c r="D18" t="inlineStr">
        <is>
          <t>linkedin</t>
        </is>
      </c>
      <c r="E18" t="inlineStr"/>
      <c r="F18" t="inlineStr"/>
      <c r="G18" t="inlineStr">
        <is>
          <t>Eagan, MN</t>
        </is>
      </c>
      <c r="H18" t="inlineStr"/>
      <c r="I18" t="inlineStr">
        <is>
          <t>Are you excited about working at the forefront of applied research in an industry setting? Thomson Reuters Labs in the USA is seeking scientists with a passion for solving problems using state\-of\-the\-art information retrieval, natural language processing and generative AI.
 What does Thomson Reuters Labs do? We experiment, we build, we deliver. We support the organization and our customers through applied research in informational retrieval and natural language processing. We work closely with product and domain experts to identify compelling solutions at the intersection of user needs and technical feasibility. Our team is designing the next generation of research technology for Legal and Tax Professionals globally. We drive AI innovation for Thomson Reuters’ Core Research Products, including Westlaw, Practical Law, and Checkpoint.
**About The Role**
 Senior Applied Scientists are experts in Machine Learning / NLP, responsible for the design and delivery of AI solutions that enhance Thomson Reuters' products. They leverage information retrieval techniques, agentic workflows, and extensive evaluation design to build and optimize solutions. Their work ensures AI technologies are effectively aligned with business objectives, driving product innovation and value.
**As a Senior Applied Scientist, You Will**
* Own and manage end\-to\-end model development, guiding others in research, data engineering, and evaluation.
* Operate in an agile way, pushing for quick iterations guided by customers’ needs.
* Be accountable for all research deliverables on small to medium\-sized projects
* Communicate research in peer\-reviewed publications and develop patentable ideas ensuring competitiveness of the company’s products and services.
* Work with stakeholders to define scope, determine feasibility, and translate business/customer objectives into technical requirements.
* Partner effectively with Engineering to ensure well\-managed software delivery and co\-design ML Ops processes related to model monitoring, evaluation, and retraining.
**About You**
 You’re a fit for the role of Senior Applied Scientist if your background includes:
* PhD in a relevant discipline or Master’s plus a comparable level of experience
* 5\+ years of hands\-on experience building IR / NLP systems for commercial applications
* 2\+ years experience building customer\-facing products with generative AI
* 1\+ years experience building agentic AI systems
* Experience writing production code and ensuring well\-managed software delivery
* Demonstrable experience translating complex problems into successful AI applications
* Outstanding communication, problem\-solving, and analysis skills
* Collaborating with Product, Engineering and Business Stakeholders in an agile manner to demonstrate value and iterate with customer feedback
* (Preferred) Publications at relevant venues such as ACL, EMNLP, NAACL, NeurIPS, ICLR, SIGIR, or KDD.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$137,100 USD \- $254,700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03/31/2026\.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9">
      <c r="A19" t="inlineStr">
        <is>
          <t>li-4302587686</t>
        </is>
      </c>
      <c r="B19" t="inlineStr">
        <is>
          <t>Senior Data Scientist, Accounting and ERP</t>
        </is>
      </c>
      <c r="C19" t="inlineStr">
        <is>
          <t>Johnson &amp; Johnson</t>
        </is>
      </c>
      <c r="D19" t="inlineStr">
        <is>
          <t>linkedin</t>
        </is>
      </c>
      <c r="E19" t="inlineStr"/>
      <c r="F19" t="inlineStr"/>
      <c r="G19" t="inlineStr">
        <is>
          <t>New Brunswick, NJ</t>
        </is>
      </c>
      <c r="H19" t="inlineStr"/>
      <c r="I1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Data Science
**Job Category**
 Scientific/Technology
**All Job Posting Locations:**
 New Brunswick, New Jersey, United States of America
**Job Description**
**We are searching for the best talent for Senior Data Scientist, Accounting and ERP to be in New Brunswick, NJ.**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**Purpose**
 As a Senior Data Scientist in Global Finance Data Science Team, you will be responsible for delivering data science production processes to a high standard, contributing to products that are consumed and scrutinized by senior leadership. You will work in a global team of Data Scientists, Data Engineers and Machine Learning Engineers to advance data science/AI roadmap for J\&amp;J’s Global Finance function. You will help deliver value\-added insights and analytics to our finance and business leaders, reduce manual workload through automation, and enhance user\-experience.
 Project focus areas will include the application of Machine Learning and Generative AI to technical accounting use cases, and using data from SAP Hana, Datahub and Datasphere. This includes aligning finance and business needs, input data validations from different source systems, data reconciliation/validations and work on other ongoing enhancements/ad\-hoc requests from leadership etc.
 You will aid data science projects across their lifecycle: Design/ proof\-of\-concept (PoC), development, data pipelines and engineering, deployment, adoption by end\-users and ongoing enhancements. The capabilities developed will include predictive, Gen AI, descriptive analytics, data visualization and decision support. You will need to ensure that PoC’s are put into production\-grade with correct amount of automation, data validations and systems/process integration. This role will involve understanding the needs of business stakeholders and advocating the merits of data\-driven analytics to provide viable solutions.
**You Will Be Responsible For**
* Develop data science solutions based on the needs of business/ finance stakeholders.
* Build and adjust data engineering pipelines for large datasets from finance/ERP systems and automate data science processes.
* Understanding the nuances of accounting and finance data so this can be appropriately applied in Machine Learning and AI models.
* Iteratively improve the process and models to solve problems, testing and documenting changes, aligning changes within the team.
* Develop and deploy data science and AI solutions, including data processing, algorithm development, data visualization, and communication of insights to stakeholders.
* Research and implement statistical and machine learning models, monitor model performance, and continuously improve existing models.
* Collaborate with finance, commercial leaders, technology teams, and external partners to deliver end\-to\- end solutions, ensuring compliance and risk management.
* Experienced using accounting data within SAP data tables, understanding the contents of tables and how they are used within the accounting process.
* Knowledge of Python programming and Data Science Cloud platforms like AWS, Databricks, and Domino.
* Able to work independently and under time pressure to deliver a process, investigating and solving data issues in an explainable way.
* Skilled in data visualization and dashboarding using Tableau or PowerBI.
* Knowledgeable in advanced statistical techniques and concepts, such as regression, properties of distributions, and statistical tests.
* Experience of end\-to\-end production deployment, from concept to production\-grade models, and experienced with Gen AI technologies like AWS Bedrock, Azure OpenAI service, and Joule.
* Familiar with automated workflow tools like Alteryx and workflow orchestration tools like Airflow, as well as standards and best practices for technical documentation using tools like JIRA and Confluence.
* Strong data analytics skills, attention to detail with business/finance logics, and experience working across multiple levels of stakeholders to create context around key business drivers.
**Qualifications / Requirements**
* Minimum of 5 years of Data Science/ AI experience in an industry setting, preferably in a Finance or Healthcare setting.
* Alternatively: 5\+ years accounting experience with intensive use advanced analytics and data handling techniques.
* Minimum of Bachelors degree required, within Science, Economics, Business Analytics, Data Science, Finance, Computer Science, Engineering or any other quantitative or STEM discipline. Master’s degree in a relevant field preferred.
**Other**
* Located in New Brunswick, NJ with up to 5%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\#JNJDataScience
**Required Skills**
 Accounting, Advanced Analytics, Data Science
**Preferred Skills**
**The anticipated base pay range for this position is :**
 The anticipated base pay range for this position is $147,000 to $169,050 USD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20">
      <c r="A20" t="inlineStr">
        <is>
          <t>li-4324737887</t>
        </is>
      </c>
      <c r="B20" t="inlineStr">
        <is>
          <t>Data Scientist, Legal Analytics</t>
        </is>
      </c>
      <c r="C20" t="inlineStr">
        <is>
          <t>Internet Brands</t>
        </is>
      </c>
      <c r="D20" t="inlineStr">
        <is>
          <t>linkedin</t>
        </is>
      </c>
      <c r="E20" t="inlineStr"/>
      <c r="F20" t="inlineStr"/>
      <c r="G20" t="inlineStr">
        <is>
          <t>El Segundo, CA</t>
        </is>
      </c>
      <c r="H20" t="inlineStr"/>
      <c r="I20" t="inlineStr">
        <is>
          <t>**Description**
 We are seeking a
 **Data Scientist** 
 to join our Legal Analytics team to apply data science, machine learning, and statistical techniques to discover and operationalize user signals from our legal product and adjacent service ecosystem, identify niche audiences, and enable targeted marketing and growth initiatives. This role sits at the intersection of legal expertise, data science, and marketing analytics and will design defensible, privacy\-compliant signal pipelines and segmentation strategies that drive measurable marketing outcomes and business value. The role will partner with marketing, technology, product teams, and business stakeholders to deliver actionable insights that improve consumer acquisition strategy, marketing efficiency, user experience, and revenue predictability.
**Key Responsibilities**
* Turn consumer signals into actionable insights to boost marketing performance, efficiency, and revenue through robust data collection, transformation, normalization, and cleaning.
* Lead development of feature pipelines and data products that surface intent, risk, and propensity signals relevant to legal consumers and their essential needs.
* Build rigorous audience discovery processes: cohort analysis, micro\-segmentation, propensity modeling, lookalike creation, and transactional value estimation for niche legal segments.
* Partner with Marketing to translate signals into targeting strategies across paid acquisition, content personalization, and nurture campaigns; measure and iterate on channel\-level performance.
* Establish instrumentation, tagging, and event taxonomy standards to ensure signal quality, provenance, and reusability across teams.
* Ensure all data collection and use adheres to confidentiality requirements, and privacy/regulatory constraints (e.g., GDPR, CCPA); coordinate with Legal and Compliance on guardrails.
* Design and run experiments and uplift analyses to validate causal impact of targeted campaigns and segmentation strategies (A/B testing, holdouts, synthetic controls).
* Provide executive\-facing insights and dashboards that surface trends, audience opportunity maps, and ROI on marketing outreach to legal consumer cohorts.
* Create reproducible analytics, documentation, and model governance.
* Collaborate effectively in cross\-functional, multidisciplinary teams and champion knowledge sharing and peer mentorship.
* Represent analytics in cross\-functional forums and evangelize data\-driven approaches to targeting and product\-market fit within the organization.
**Desired Experience \&amp; Skills**
* Bachelor’s or advanced degree with a strong emphasis in Econometrics, Economics, or other quantitative disciplines.
* Demonstrated track record discovering/synthesizing user signals and turning them into commercial outcomes (lead generation, conversion lift, and/or revenue optimization).
* Strong technical skills: SQL, Python/R, PySpark, warehousing, ETL orchestration and experience building production data products.
* Hands\-on experience with segmentation, clustering, propensity/score modeling, uplift modeling, survival analysis, and causal inference.
* Familiarity with product analytics, CDP/DMP tooling, and marketing systems.
* Excellent stakeholder management and communication skills; ability to translate technical outputs into clear marketing and product recommendations.
* Deep appreciation for data privacy, confidentiality, and ethical considerations when working with sensitive legal data.
* Preferred Qualifications: Knowledge of legal consumer journeys.
 At Internet Brands, we carefully consider a wide range of factors when determining compensation, including your background and experience. These considerations can cause your compensation to vary. We expect compensation for this role to range from the low to mid $100s.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and its wholly owned affiliates are an equal opportunity employer. Internet Brands will consider qualified applicants with criminal histories in a manner consistent with the City of Los Angeles Fair Chance Initiative for Hiring Ordinance (FCIHO).
 Notice to California residents: you can find information about our privacy practices, on: https://www.internetbrands.com/work\-with\-us/cpra</t>
        </is>
      </c>
    </row>
    <row r="21">
      <c r="A21" t="inlineStr">
        <is>
          <t>li-4351035797</t>
        </is>
      </c>
      <c r="B21" t="inlineStr">
        <is>
          <t>Sr. Data Scientist - Predictive Planning</t>
        </is>
      </c>
      <c r="C21" t="inlineStr">
        <is>
          <t>Ovative Group</t>
        </is>
      </c>
      <c r="D21" t="inlineStr">
        <is>
          <t>linkedin</t>
        </is>
      </c>
      <c r="E21" t="inlineStr"/>
      <c r="F21" t="inlineStr"/>
      <c r="G21" t="inlineStr">
        <is>
          <t>Chicago, IL</t>
        </is>
      </c>
      <c r="H21" t="inlineStr"/>
      <c r="I21" t="inlineStr">
        <is>
          <t>**About Ovative Group**
 Ovative Group is an independent, full\-funnel media, measurement, and creative firm. Leveraging our deep industry expertise, we help brands like Best Buy, Domino's, American Eagle, The Home Depot, Post, Disney, Tumi, Michael Kors, Boost Mobile, and UnitedHealth Group transform their media and measurement programs. The result? Profitable growth that speaks for itself.
 At Ovative, we don't just track data, we redefine success. How do we do it? Our proprietary MarTech platform, EMRge helps businesses transform marketing into a driver of sustainable growth. Powered by Enterprise Marketing Return (EMR), our differentiated approach to holistic media buying, planning, and measurement, EMRge is the first MarTech platform to measure businesses holistically. We're all about raising the bar every day, and it shows. Our work has been recognized by organizations like Digiday, Google, Inc. 5000, USA Today, and Search Engine Land.
**About The Role**
 As the Senior Data Scientist, you will play a key role in
* Developing advanced marketing measurement capabilities that unlock our company vision to transform the measure of marketing success. You will be at the forefront of developing and delivering differentiated AI assisted marketing data science and measurement solutions focused on maximizing profitable enterprise revenue and customer value for our clients.
* Partnering with driven, solution\-minded experts, business leaders, analysts, and scientists at Ovative in engaging with clients, and defining approaches and road maps for solutions to client problems.
* Technical mentoring of junior data scientists and offshore resources, guiding their algorithmic, testing methodological approaches, and reviewing their code.
* Working with technology leaders, product owners and engineers to convert novel solutions developed to scalable new services and product offerings at Ovative.
* Being a part of an inclusive culture that inspires and motivates the team and attracts new, diverse technical talent to the organization.
**Responsibilities Of a Sr. Data Scientist**
* Lead technical data science contributor in a high\-performance multi\-disciplinary team comprising of data science, data engineering, and full stack members, responsible for your team’s productivity, operational excellence, and business impact
* Drive value across multiple business verticals by leading the technical development and deployment of impactful and interpretable models
* Partner closely with Engineering and Product Management to scale your team’s innovative measurement solutions into product and service offerings
* Provide mentoring, training, and other opportunities for effective technical development of data scientists
* Assist with technical parts of business development as needed, including RFP response, sales and conference presentations using AI assistance where applicable.
* Build strong relationships across the organization to understand internal stakeholder needs for trusted data science support
**Requirements**
* 5\+ years of hands\-on experience in data science or a related quantitative field, with a strong track record of delivering business value through technical innovation.
* Proven success as a technical contributor in high\-performing data science teams, preferably within product\-centric or consulting environments. Ability to quickly learn and execute
* Expertise in machine learning, optimization algorithms, advanced statistical modeling, with hands\-on experience in the areas listed below.
* Demonstrated expertise in object\-oriented programming in Python and industry best practices in writing scalable and maintainable code related to Media Mix Modeling (MMM) and Optimization algorithms (ex. Gradient\-based, Convex optimization and Greedy algorithms)
* Experience with Linear Algebra, Bayesian modeling, and with Poetry, Docker and cloud services (such as Azure, Databricks)
* Experience with Attribution Modeling and Generative AI Data Science is preferred, although not required
* Proficiency in the following preferred programming and data environments:
* Languages: Python
* Tools: Git, Docker, Poetry, Azure
* Data platforms: BigQuery, Databricks
* Strong business acumen, especially within digital and traditional marketing domains; ability to translate data insights into clear strategic recommendations.
* Excellent communicator: able to lead conversations with technical and non\-technical stakeholders, including senior client partners and internal executives.
* Demonstrated leadership and mentorship skills; able to think independently, guide junior team members and influence cross\-functional teams.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Data Scientist positions, our compensation ranges from $90,000 to $132,000, which is inclusive of a 20% bonus.
**Benefits Of Working At Ovative Group**
 We provide strong, competitive, holistic benefits that understand the importance of your life inside and out of work.
**Culture:**
 Culture matters and we’ve been recognized as a Top Workplace for ten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Ovative is committed to fostering an inclusive environment where everyone can participate and thrive. We do not tolerate discrimination of any kind, including on the basis of race, sexual orientation, gender identity, or gender expression. Our policies reflect this commitment—for example, our medical leave benefits are inclusive of same\-sex partners, ensuring equitable care and support for all families.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Flexible paid vacation policy
* 401k match program
* Top\-notch health insurance options, inclusive of same sex partners
* Family formation benefits including reimbursement options for fertility, pregnancy, and parenting needs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row>
    <row r="22">
      <c r="A22" t="inlineStr">
        <is>
          <t>li-4343301990</t>
        </is>
      </c>
      <c r="B22" t="inlineStr">
        <is>
          <t>Senior Data Scientist Forecasting BI</t>
        </is>
      </c>
      <c r="C22" t="inlineStr">
        <is>
          <t>Johnson &amp; Johnson</t>
        </is>
      </c>
      <c r="D22" t="inlineStr">
        <is>
          <t>linkedin</t>
        </is>
      </c>
      <c r="E22" t="inlineStr"/>
      <c r="F22" t="inlineStr"/>
      <c r="G22" t="inlineStr">
        <is>
          <t>New Brunswick, NJ</t>
        </is>
      </c>
      <c r="H22" t="inlineStr"/>
      <c r="I2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Data Science
**Job Category**
 Scientific/Technology
**All Job Posting Locations:**
 New Brunswick, New Jersey, United States of America
**Job Description**
**We are searching for the best talent for Senior Data Scientist: Forecasting, BI to be in New Brunswick, NJ.**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**Purpose**
 As a Senior Data Scientist in Global Finance Data Science Team: You will be responsible for delivering data science production processes to a high standard, contributing to products that are consumed and scrutinized by senior leadership. You will work in a global team of Data Scientists, Data Engineers and Machine Learning Engineers to advance data science/AI roadmap for J\&amp;J’s Global Finance function. You will help deliver value\-added insights and analytics to our finance and business leaders, reduce manual workload through automation, and enhance user\-experience.
 Project focus area will also include Predictive Sales Forecasting as part of SAP Analytics Cloud reporting capability, taking it from PoC to Production\-grade standards. This includes aligning finance and business needs, input data validations from different source systems, data reconciliation/validations and work on other ongoing enhancements/ad\-hoc requests from leadership etc.
 You will help in data science projects across their lifecycle: Design/ proof\-of\-concept (PoC), development, data pipelines and engineering, deployment, adoption by end\-users and ongoing enhancements. The capabilities developed will include predictive financial forecasting, Gen AI, descriptive analytics, data visualization and decision support. You will need to ensure that PoC’s are put into production\-grade with correct amount of automation, data validations and systems/process integration. This role will involve understanding the needs of business stakeholders and advocating the merits of data\-driven analytics to provide viable solutions.
**You Will Be Responsible For**
* Adopting a highly successful forecasting process and technologies to deliver a monthly sales financial forecast for consumption by senior leaders
* Assessing BI sources to understand the impact of future events on forecast accuracy, developing judgement on how to adjust forecasts.
* Adjust data engineering pipelines for large datasets from finance/ERP systems and automate data science processes.
* Iteratively improve the process and models to solve problems, testing and documenting changes, aligning changes within the team.
* Develop and deploy data science and AI solutions, including data processing, algorithm development, data visualization, and communication of insights to stakeholders.
* Research and implement statistical and machine learning models, monitor model performance, and continuously improve existing models.
* Collaborate with finance, commercial leaders, technology teams, and external partners to deliver end\-to\-end solutions, ensuring compliance and risk management.
* Advocate for data\-driven insights and data science methods across the organization and managing compliance adherence.
**Qualifications**
**Qualifications / Requirements:**
* Minimum of 5 years of Data Science/ AI experience in an industry setting is required, preferably in a Finance or Healthcare setting.
* Minimum of a Bachelors degree is required, preferably in Science, Economics, Business Analytics, Data Science, Finance, Computer Science, Engineering or any other quantitative or STEM discipline. Master’s degree in a relevant field is preferred.
**Technical Requirements**
* Proficient in Python/R/Alteryx programming and experienced with Data Science Cloud platforms like AWS, Azure, and Domino.
* Experienced using finance data and SAP HANA data tables is an advantage.
* Proficient in interpreting BI sources and understanding the impact of these on finance metrics.
* Able to work independently and under time pressure to deliver a process, investigating and solving data issues in an explainable way.
* Skilled in data visualization and dashboarding using Tableau or PowerBI.
* Knowledgeable in advanced statistical techniques and concepts, such as regression, properties of distributions, and statistical tests. Proficient in end\-to\-end production deployment, from concept to production\-grade models, and experienced with Gen AI technologies like AWS Bedrock, Azure OpenAI service, and Joule.
* Familiar with automated workflow tools like Alteryx and workflow orchestration tools like Airflow, as well as standards and best practices for technical documentation using tools like JIRA and Confluence.
* Strong data analytics skills, attention to detail with business/finance logics, and experience working across multiple levels of stakeholders to create context around key business drivers.
**Other**
* The position will be located in New Brunswick, NJ and may require up to 10% travel.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\#JNJDataScience
**Required Skills**
 Data Science
**Preferred Skills**
 Alteryx, Healthcare Industry, Microsoft Power Business Intelligence (BI) Data Visualization, Python (Programming Language), R Programming, SAP HANA, Tableau Dashboard Development
**The anticipated base pay range for this position is :**
 The anticipated base pay range for this position is $147,000 to $169,050 USD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23">
      <c r="A23" t="inlineStr">
        <is>
          <t>li-4319472169</t>
        </is>
      </c>
      <c r="B23" t="inlineStr">
        <is>
          <t>Principal Data Scientist - Machine Learning</t>
        </is>
      </c>
      <c r="C23" t="inlineStr">
        <is>
          <t>AvePoint</t>
        </is>
      </c>
      <c r="D23" t="inlineStr">
        <is>
          <t>linkedin</t>
        </is>
      </c>
      <c r="E23" t="inlineStr"/>
      <c r="F23" t="inlineStr"/>
      <c r="G23" t="inlineStr">
        <is>
          <t>Seattle, WA</t>
        </is>
      </c>
      <c r="H23" t="inlineStr"/>
      <c r="I23"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24">
      <c r="A24" t="inlineStr">
        <is>
          <t>li-4337632210</t>
        </is>
      </c>
      <c r="B24" t="inlineStr">
        <is>
          <t>Data Scientist</t>
        </is>
      </c>
      <c r="C24" t="inlineStr">
        <is>
          <t>Booz Allen Hamilton</t>
        </is>
      </c>
      <c r="D24" t="inlineStr">
        <is>
          <t>linkedin</t>
        </is>
      </c>
      <c r="E24" t="inlineStr"/>
      <c r="F24" t="inlineStr"/>
      <c r="G24" t="inlineStr">
        <is>
          <t>Tampa, FL</t>
        </is>
      </c>
      <c r="H24" t="inlineStr"/>
      <c r="I24" t="inlineStr">
        <is>
          <t>**Job Number: R0229725**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exploratory data analysis using programming languages, including SQL and Python
* Experience analyzing structured and unstructured data sources
* Experience developing predictive data models, quantitative analyses, and visualization of targeted data sources
* Knowledge of Machine Learning, Artificial Intelligence, or Natural Language Processing
* Ability to explain data insights clearly to both technical and non\-technical stakeholders
* TS/SCI clearance
* Bachelor’s degree
**Nice If You Have:**
* 2\+ years of experience with visualization software, including Qlik or Tableau
* 2\+ years of experience with distributed data and computing tools, including MapReduce, Hadoop, Hive, EMR, Kafka, Spark, Gurobi, or MySQL
* 2\+ years of experience with Machine Learning, AI, or NLP
* Experience with translating complex data into a compelling narrative that informs and influences a specific audience
* Experience with visualization packages, including Plotly, Seaborn, or ggplot2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5">
      <c r="A25" t="inlineStr">
        <is>
          <t>li-4327303546</t>
        </is>
      </c>
      <c r="B25" t="inlineStr">
        <is>
          <t>Senior Data Scientist</t>
        </is>
      </c>
      <c r="C25" t="inlineStr">
        <is>
          <t>Harris Blitzer Sports &amp; Entertainment</t>
        </is>
      </c>
      <c r="D25" t="inlineStr">
        <is>
          <t>linkedin</t>
        </is>
      </c>
      <c r="E25" t="inlineStr"/>
      <c r="F25" t="inlineStr"/>
      <c r="G25" t="inlineStr">
        <is>
          <t>Camden, NJ</t>
        </is>
      </c>
      <c r="H25" t="inlineStr"/>
      <c r="I25" t="inlineStr">
        <is>
          <t>**WHO WE ARE:**
 Founded by Josh Harris and David Blitzer, Harris Blitzer Sports \&amp; Entertainment (HBSE) includes in its portfolio the Philadelphia 76ers, the New Jersey Devils, Prudential Center in Newark, N.J., the Delaware Blue Coats, the Utica Comets and a variety of other sports and entertainment properties. Led by some of the best and brightest minds in the industry, HBSE positions itself as a pioneering and innovative global sports and entertainment business enterprise. We also strive to positively impact the local communities in which we operate through the powerful platform of sports. HBSE offers an energetic work environment built on collaboration, growth and a quest to excel in everything we do.
 As part of its portfolio, Prudential Center in downtown Newark, N.J. annually hosts more than 200 games, concerts, family shows and special events and is a top\-5 ranked sports and entertainment venue in the U.S. by Pollstar and Billboard. It is home to the New Jersey Devils, a renowned NHL franchise with three Stanley Cup championships and a proud, passionate fan base. HBSE also owns the NBA’s Philadelphia 76ers, one of the most storied franchises in American sports, having won three championships led by some of the most iconic athletes in NBA history.
**OUR COMMITMENT TO INCLUSION:**
 At HBSE, we are dedicated to hiring the best talent from the communities where we live, work and play \- across all groups and levels; supporting and developing every employee to reach their potential; and creating an inclusive environment that allows team members to bring their true authentic selves to work.
**POSITION OVERVIEW:**
 The Philadelphia 76ers are seeking a
 **Senior Data Scientist** 
 to join the Basketball Research and Development team. This role supports decision\-making across all departments in Basketball Operations. The ideal candidate combines a strong foundation in machine learning, predictive modeling, and data engineering.
**RESPONSIBILITIES INCLUDE, BUT ARE NOT LIMITED, TO THE BELOW:**
* Lead the development, validation, and deployment of models that evaluate and forecast player and team performance
* Work with large, complex, and often noisy datasets (including player\-tracking and biomechanical data) to generate actionable insights on the court
* Collaborate with front office and coaching staff to translate analytical findings into decision support tools
* Continuously iterate on existing models and infrastructure to improve performance and usability
* Stay up to date with emerging techniques in data science, sports analytics, and related academic research
**QUALIFICATIONS:**
* 3\+ years of professional experience in a data science, research, or quantitative modeling role
* Expertise with modern machine learning techniques
* Proficiency in at least one programming language, Python and SQL experience preferred
* Familiarity with data engineering or cloud platforms (AWS, GCP, or Azure) is a plus
* Self\-motivated, proactive, and comfortable working on open\-ended or ambiguous problems
* Passion for basketball and for leveraging data to improve decision\-making
**WORKING CONDITIONS:**
* Travel Requirements: May be required to travel occasionally
 **,** 
 including between HBSE’s various offices; trips may require air travel and/or overnight stay.
* Work Environment: This position generally requires that work primarily be performed from the Penn Medicine/Philadelphia 76ers’ office in Camden, NJ, and may require attendance at events taking place at the Xfinity Mobile Arena in Philadelphia, PA.
**COMPENSATION AND BENEFITS:**
 The pay range for this position at commencement of employment is expected to be between $130,000 and $200,000/year. Base pay offered may vary depending on multiple individualized factors, including market location, job\-related knowledge, skills, and experience.
 The total compensation package for this position may also include other elements, including eligibility for bonus.
 This position may be governed by an employment agreement, on a form to be provided by the Company, with an expected initial term of two years, although all terms and conditions of any such employment agreement are subject to negotiation between the selected candidate and the Company. If, instead, this position is determined to be an “at will position”, the Company reserves the right to modify base pay (as well as any other discretionary payment or compensation program) at any time, including for reasons related to individual performance, Company or individual department/team performance, and market factors.
 The benefits package for the position may include the following, subject to the terms of the then\-in\-effect Company policies, plan documents and other eligibility criteria:
* Medical/Dental/Vision/Flexible Spending Accounts
* Pretax Transportation Benefit
* Generous Parental Leave policies
* 401K (with a company match after 1 year of service)
* Generous Paid Time Off policies
* 13 Paid Holidays
* ½ Day Summer Fridays
* Complimentary or Discounted Sports \&amp; Concert Tickets
* On Site Fitness Rooms
* Other League \&amp; Partner Discounts
 Details of participation in these benefit plans will be provided if a candidate receives an offer of employment.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26">
      <c r="A26" t="inlineStr">
        <is>
          <t>li-4292579407</t>
        </is>
      </c>
      <c r="B26" t="inlineStr">
        <is>
          <t>Applied Scientist II, Prime Video Recommendation/Search Science</t>
        </is>
      </c>
      <c r="C26" t="inlineStr">
        <is>
          <t>Prime Video &amp; Amazon MGM Studios</t>
        </is>
      </c>
      <c r="D26" t="inlineStr">
        <is>
          <t>linkedin</t>
        </is>
      </c>
      <c r="E26" t="inlineStr"/>
      <c r="F26" t="inlineStr"/>
      <c r="G26" t="inlineStr">
        <is>
          <t>Seattle, WA</t>
        </is>
      </c>
      <c r="H26" t="inlineStr"/>
      <c r="I2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27">
      <c r="A27" t="inlineStr">
        <is>
          <t>li-4365639138</t>
        </is>
      </c>
      <c r="B27" t="inlineStr">
        <is>
          <t>Senior Marketing Data Scientist</t>
        </is>
      </c>
      <c r="C27" t="inlineStr">
        <is>
          <t>SoFi</t>
        </is>
      </c>
      <c r="D27" t="inlineStr">
        <is>
          <t>linkedin</t>
        </is>
      </c>
      <c r="E27" t="inlineStr"/>
      <c r="F27" t="inlineStr"/>
      <c r="G27" t="inlineStr">
        <is>
          <t>New York, NY</t>
        </is>
      </c>
      <c r="H27" t="inlineStr"/>
      <c r="I2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8">
      <c r="A28" t="inlineStr">
        <is>
          <t>li-4365630385</t>
        </is>
      </c>
      <c r="B28" t="inlineStr">
        <is>
          <t>Sr. Manager, Supply Chain Data Scientist</t>
        </is>
      </c>
      <c r="C28" t="inlineStr">
        <is>
          <t>E.L.F. BEAUTY</t>
        </is>
      </c>
      <c r="D28" t="inlineStr">
        <is>
          <t>linkedin</t>
        </is>
      </c>
      <c r="E28" t="inlineStr"/>
      <c r="F28" t="inlineStr"/>
      <c r="G28" t="inlineStr">
        <is>
          <t>New York, NY</t>
        </is>
      </c>
      <c r="H28" t="inlineStr"/>
      <c r="I28" t="inlineStr">
        <is>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Keys Soulcare, a groundbreaking lifestyle beauty brand created with Alicia Keys, Naturium, high\-performance, biocompatible, clinically\-effective and accessible skin care, and our newest brand, rhode, a line of curated skincare essentials, formulated for a variety of skin types and needs with high performance ingredients, it’s a daily routine that nourishes your skin barrier over time.
 In our Fiscal year 25, we had net sales of $1 Billion and our business performance has been nothing short of extraordinary with 28 consecutive quarters of net sales growth. We are the \#2 mass cosmetics brand in the US and are the fastest growing mass cosmetics brand among the top 5\. Our total compensation philosophy offers every full\-time new hire competitive pay and benefits, bonus eligibility (200% of target over the last six fiscal years), equity, flexible time off, year\-round half\-day Fridays, and a hybrid 3 day in office, 2 day at home work environment. We believe the combination of our unique culture, total compensation, workplace flexibility and care for the team is unmatched across not just beauty but any industry.
 Visit our Career Page to learn more about our team: https://www.elfbeauty.com/work\-with\-us
**Position Summary**
 The Senior Manager, Supply Chain Data Scientist serves as a senior technical and strategic thought partner, defining solution architectures, influencing product and business decisions, and ensuring that analytical solutions are both technically rigorous and operationally viable. The ideal candidate can lead end\-to\-end solutioning independently, manage ambiguity and complex stakeholder dynamics, and communicate technical and business risk effectively across teams and leadership levels. SQL and Python programming, and working with ML modeling will be a daily activity as you work with Snowflake data sets to build out planning and network optimization models.
**Responsibilities:**
* Lead the framing, design, and delivery of advanced optimization and machine learning solutions for high\-impact retail supply chain challenges
* Lead successful implementation and development of advanced planning and scheduling software, including network optimization and scenario planning
* Creating supply chain planning tools to improve planning processes, increasing accuracy and efficiency
* Developing, implementing, and maintaining key performance indicators for supply chain planning
* Build ad hoc reports for supply chain planning functions to help improve planning processes and communications
* Refining statistical and machine learning forecasting models to minimize forecast error and bias
* Develop Supply planning tools that include rough cut and finite capacity constraining
**Requirements:**
* 5\+ years of experience with advanced SQL and Python programming for data mapping, transformation and querying
* Prefer 3\+ years’ experience within Supply Planning, Inventory Optimization, or Supply Chain Analytics
* Strong communication skills with the ability to lead cross\-functional data initiatives
* Proven organizational skills, problem\-solving ability, and leadership experience
* Bachelor’s degree minimum, advanced degree preferred
* High drive for results and willing to work in a demanding \&amp; rapid paced environment
* Excellent communication skills both verbal and written
* Excellent analytical, follow\-up, and attention to detail skills
* Ability to work autonomously across functions to meet deadlines and drive tasks to completion
* System implementation experience a plus
* Excellent Excel Skills and knowledge; proficient in Microsoft Suite (Word and PowerPoint)
 The base salary range for this role is listed above.
 Total compensation includes base salary, annual company\-based performance bonus, and equity. Under e.l.f.’s annual bonus program, employees are eligible to earn up to 200% of their target bonus when company performance exceeds defined goals. In addition, e.l.f. provides a variety of other benefits to employees, including medical, dental, and vision insurance, a retirement savings plan, gender neutral parental leave, and unlimited paid time off. The amount of total compensation (including base salary) offered will be based on a wide range of factors, including geographic location, experience, specific skills, and qualifications.
 Compensation components are subject to change at the company’s discretion
***This job description is intended to describe the general nature and level of work being performed in this position. It also reflects the general details considered necessary to describe the principal functions of the job identified, and shall not be considered, as detailed description of all the work required inherent in the job. It is not an exhaustive list of responsibilities, and it is subject to changes and exceptions at the supervisors’ discretion.***
*e.l.f. Beauty respects your privacy. Please see our Job Applicant Privacy Notice (www.elfbeauty.com/us\-job\-applicant\-privacy\-notice) for how your personal information is used and shared.*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li-4349872575</t>
        </is>
      </c>
      <c r="B29" t="inlineStr">
        <is>
          <t>Staff, Data Scientist_Conversational AI</t>
        </is>
      </c>
      <c r="C29" t="inlineStr">
        <is>
          <t>Walmart</t>
        </is>
      </c>
      <c r="D29" t="inlineStr">
        <is>
          <t>linkedin</t>
        </is>
      </c>
      <c r="E29" t="inlineStr"/>
      <c r="F29" t="inlineStr"/>
      <c r="G29" t="inlineStr">
        <is>
          <t>Sunnyvale, CA</t>
        </is>
      </c>
      <c r="H29" t="inlineStr"/>
      <c r="I29" t="inlineStr">
        <is>
          <t>Position Summary...
**What You'll Do...Position Summary...**
* Develop and customize state\-of\-the\-art deep learning based generative models and multimodal models to support conversational customer shopping experience;
* Utilize cutting\-edge machine learning/statistical/optimization techniques to deliver solutions for projects in the domain of conversational AI;
* Build, validate, test and deploy language models combined with different machine learning techniques to explain or predict behavior and solve a variety of business and engineering problems;
* Mine massive data, derive business insights, and propose interesting modeling projects that have the potential to have high business impact;
* Collaborate with engineering teams to define interfaces, understanding and resolving dependencies;
* Standardize and build scalable and highly available systems that follow operational best practices;
* Develop visuals and reports to efficiently communicating model results and insights to business teams;
* Maintain world\-class academic credentials through patent applications, publications, conference presentations, and external collaboration and service to the research community.
 What you'll do...
 You will work on Walmart’s core A.I. conversational platform, powering the vision of delivering the world’s best personal assistants to Walmart’s customers, accessible via natural voice commands, text messages, rich UI interactions, and a mix of all the above via multi\-modal experiences.
 We believe
 *conversations* 
 are a natural and powerful user interface for interacting with technology and enable a richer customer experience – both online and in\-store. We are building and designing the next generation of Natural Language Understanding (NLU) services that other teams can easily integrate and leverage, and build rich experiences: from pure voice and text shopping assistants (Sparky), to customer care channels, to mobile apps with rich, intertwined, multi\-modal interaction modes. We also partner with different external super\-agent platforms (ChatGPT) to provide and optimize potential customers’ shopping experience.
 Interested in diving in?
 We need passionate and seasoned NLP data\-scientists to help us improve and evolve our capabilities, taking into account the full conversational context, multi\-modal interactions, and an ever\-increasing list of use cases.
 Come at the right time, and you will have an enormous opportunity to make a massive impact on the design, architecture, and implementation of an innovative, mission critical product, driven by data\-science, used every day, by people you know, and which customers love.
 As part of the emerging tech group, you will also have the additional opportunity of building demos, proof of concepts, creating white papers, writing blogs, etc.
 Minimum Qualifications
* Rich experience with NLP and language models (e.g., Transformers, BERT, Llama, GPTs, Gemini), including but not limited to prompt engineering, fine\-tuning and efficient deployment.
* Experience with agentic system development, including but not limited to static/agentic flow design, agentic system evaluation.
* Solid programming skills of Python and familiar with challenges working with large data;
* Ability to take a project from scoping requirements through actual launch.
* A continuous drive to explore, improve, enhance, automate, and optimize models and products.
* Excellent oral and written communication skills.
 Preferred Qualifications
* Expertise in working with deep\-learning based generative/multi\-modal models or similar research experience with deep\-learning/AI.
* Expertise in NLP and language models (e.g., Transformers, BERT, Llama, GPTs, Gemini), including but not limited to prompt engineering, fine\-tuning and efficient deployment.
* Expertise in agentic system development, including but not limited to static/agentic flow design, agentic system evaluation.
* Solid programming skills of Python and familiar with challenges working with large data.
* Ability to independently take a project from scoping requirements through actual launch, driving alignment between product, engineers and UX designer.
* Rich experience in continuous drive to explore, improve, enhance, automate, and optimize models and products.
* Excellent oral and written communication skills.
* PhD degree in computer science, statistics, data science, mathematics or other discipline (e.g., electrical engineering, economics, psychology) that exposes scientific methods of research and analysis.
* Strong academic and publication record is required (NeurIPS, ICML, EMNLP, ACL, ICLR, AAAI, KDD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0">
      <c r="A30" t="inlineStr">
        <is>
          <t>li-4365679146</t>
        </is>
      </c>
      <c r="B30" t="inlineStr">
        <is>
          <t>Lead Data Scientist</t>
        </is>
      </c>
      <c r="C30" t="inlineStr">
        <is>
          <t>JPMorganChase</t>
        </is>
      </c>
      <c r="D30" t="inlineStr">
        <is>
          <t>linkedin</t>
        </is>
      </c>
      <c r="E30" t="inlineStr"/>
      <c r="F30" t="inlineStr"/>
      <c r="G30" t="inlineStr">
        <is>
          <t>McLean, VA</t>
        </is>
      </c>
      <c r="H30" t="inlineStr"/>
      <c r="I30" t="inlineStr">
        <is>
          <t>**Job Description**
 Preferred candidates will have a strong working knowledge of common workflows for data analysis, data preparation and model development. They must have a working knowledge of data analysis and manipulation tools, statistics (e.g. statistical distributions and probability) and have experience with applying supervised and unsupervised learning models to solve well defined problems. They should possess the ability to develop statistical and Deep Learning models, measure their outcomes and be able to interpret them for business stakeholders. Candidates should have a working knowledge of Generative AI models, transformer architectures and when to apply these tools and techniques.
 As a Lead Data Scientist at JPMorgan Chase within the Cybersecurity and Technology Controls line of business, you are an integral part of team that works to deliver Machine Learning solutions that satisfy pre\-defined functional and user requirements with the added dimension of detection and prevention of misuse, circumvention, and malicious behavior. As a core technical contributor, you are responsible for carrying out critical technology solutions with tamper\-proof, audit defensible methods across multiple technical areas within various business functions.
**Job Responsibilities**
* Works with stakeholders and business leaders to understand security needs and recommend business modifications during periods of vulnerability.
* Work with cybersecurity engineers and data engineers to acquire data that addresses each use case (fraud, anomaly detection, Cyber threats).
* Perform Exploratory Data Analysis on datasets and communicate results to stakeholders.
* Select statistical or Deep Learning models that are best positioned to achieve business results.
* Perform feature engineering or hyperparameter tuning to optimize model performance.
* Perform model governance activities for model interpretability, testability and results.
* Executes creative security solutions, design, development, and technical troubleshooting with the ability to think beyond routine or conventional approaches to build solutions and break down technical problems.
* Develops secure and high\-quality production code and reviews and debugs code written by others.
* Minimizes security vulnerabilities by following industry insights and governmental regulations to continuously evolve security protocols, including creating processes to determine the effectiveness of current controls.
**Required Qualifications, Capabilities, And Skills**
* Formal training or certification on security engineering concepts and 5\+ years applied experience.
* Advanced in one or more programming languages
* Advanced understanding of agile methodologies such as CI/CD, Application Resiliency, and Security
* Working knowledge of probability, statistics and statistical distributions and their applicability to use cases and the ability to perform Exploratory Data Analysis using Jupyter or SageMaker Notebooks
* Proficient in Pandas, SQL and Data Visualization tools such as Matplotlib, Seaborn or Plotly
* Working knowledge of Scikit\-Learn for development of classification, regression and clustering models and Deep Learning frameworks such as PyTorch
* Experience with feature engineering complex datasets.
* Possess the ability to explain model selection, model interpretability and performance metrics verbally and in writing.
**Preferred Qualifications, Capabilities, And Skills**
* Bachelor’s degree in Data Science, Mathematics, Statistics, Econometrics or Computer Science and 7\+ years data\-science experience (Exploratory Data Analysis, statistical analysis and reporting results).
* Experience with Knowledge Graphs, graph analytics and graph databases a plus.
* Working knowledge of Large Language Models (LLM), NLP, Embedding Models and Vector Databases.
* Experience with Retrieval Augmented Generation (RAG) applications and the frameworks used to create them such as Langchain or Llamaindex.
* Experience with AI Agent frameworks such as Google ADK and Langraph
* Experience deploying Statistical or Machine Learning models via AWS SageMaker in a production setting.
* Working knowledge of Responsible AI, model fairness, and reliability and safety.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1">
      <c r="A31" t="inlineStr">
        <is>
          <t>li-4334633358</t>
        </is>
      </c>
      <c r="B31" t="inlineStr">
        <is>
          <t>Azure Senior Data Scientist</t>
        </is>
      </c>
      <c r="C31" t="inlineStr">
        <is>
          <t>MCA Connect</t>
        </is>
      </c>
      <c r="D31" t="inlineStr">
        <is>
          <t>linkedin</t>
        </is>
      </c>
      <c r="E31" t="inlineStr"/>
      <c r="F31" t="inlineStr"/>
      <c r="G31" t="inlineStr"/>
      <c r="H31" t="inlineStr"/>
      <c r="I31" t="inlineStr">
        <is>
          <t>Through passion and deep industry expertise, MCA Connect helps manufacturers succeed by unlocking innovation with actionable business insights. Our strategic solutions, innovation, and industry intelligence help manufacturers gain visibility, improve profitability, and achieve a competitive edge.
 Established in 2002, MCA Connect has grown into one of the largest US\-based solution partners in Microsoft Business Applications and Azure Data \&amp; AI / Digital \&amp; App Innovation. Our Microsoft Specialties include Finance and Supply Chain, Analytics on Azure, Data Warehouse Migration, and Power Platform. We’re also a fifteen\-time Microsoft Partner of the Year and three\-time Inc. Best Workplaces award winner.
**Title** 
 Senior Data Scientist
**Location** 
 Fully Remote with travel up to 10%
**Description**
 The Senior Data Scientist is responsible for being a partner to team members, a mentor, and directly enabling growth of the Data \&amp; AI Services team at MCA. The Senior Data Scientist is expected to lead Data Science implementations, drive innovation, upskill and mentor junior teammates, and partner with leadership to drive continuous improvement
 Within a project framework, the Senior Data Scientist is responsible for building client relationships, effectively utilizing Agile project delivery methodologies, implementing scalable and efficient technical architectures to satisfy client requirements, and performing hands on implementations of Microsoft data solutions for MCA Connect’s current and future customers/projects
**Responsibilities**
* Lead end\-to\-end data science and ML engagements on Microsoft Azure, Microsoft Fabric, and Databricks to solve manufacturing, supply chain, and operations use cases for MCA clients.
* Design and implement advanced analytics solutions using Azure Machine Learning, Azure OpenAI, Databricks (PySpark/MLflow), and Power BI, ensuring they are secure, scalable, and aligned to MCA delivery standards.
* Build modern retrieval and RAG patterns on Azure (vectorization, similarity search) to expose knowledge from SOPs, service histories, maintenance logs, and data sources commonly associated with manufacturing, supply chain, and logistics.
* Develop, fine\-tune, and deploy models across the spectrum—from classical and statistical approaches (forecasting, optimization, anomaly detection) to deep learning and Generative AI—selecting the simplest viable approach for the business problem.
* Perform hands\-on LLM adaptation (such as LoRA/QLoRA) and package or customize models for production hosting in Azure and Databricks.
* Translate client business requirements into technical architectures, feature roadmaps, and implementation plans, and advise when a regression or optimization solution is more appropriate than a complex GenAI approach.
* Analyze large, complex, and mixed (structured and unstructured) datasets to generate actionable insights for plant, quality, and supply chain stakeholders.
* Present model results, data stories, and recommended actions in a way that non\-technical leaders can understand and operationalize.
* Partner with data engineering and architecture teams to improve data capture, data quality, and automation across Azure data lakes, warehouses, and ERP/MES sources.
* Create reusable notebooks, components, and delivery patterns to raise the maturity of the Manufacturing Intelligence team and accelerate future projects.
* Ensure MLOps best practices for the full model lifecycle, including tracking, registry, CI/CD, monitoring, and governance using Azure ML and Databricks.
* Manage and prioritize multiple client projects simultaneously, including requirements gathering, scope definition, timeline coordination, and status reporting.
* Contribute to Statements of Work and proposals that clearly define services, effort, and the Azure/Databricks solution approach.
* Stay current on Microsoft and Databricks product roadmaps and industry changes and recommend adoption where it improves client outcomes.
* Meet with clients to understand problems, validate assumptions, and shape analytics and AI solutions.
* Be available for approximately 10 percent travel on an as\-needed basis.
**Qualifications**
* 9\+ years of hands\-on experience delivering data science and ML/AI solutions on cloud platforms, preferably Microsoft Azure and Databricks; experience with data engineering patterns is a plus.
* BS/MS in a quantitative field such as Statistics, Mathematics, Computer Science, Engineering, AI, or Analytics
* PhD strongly preferred
* Proven ownership of the full MLOps lifecycle—experiment tracking, model registration, deployment, monitoring, and retraining—using Azure ML and Databricks/MLflow, ideally with CI/CD in Azure DevOps or GitHub.
* Ability to translate manufacturing, supply chain, or operations business problems into technical requirements by partnering with business stakeholders, data scientists, and data/solution architects.
* Strong consulting\-grade communication skills, including storytelling with analytics and visualization, to explain model behavior and drive decisions with non\-technical audiences.
* Expert\-level proficiency in Python and SQL, with T\-SQL preferred for Azure SQL/Synapse/Fabric environments.
* Deep, hands\-on experience with core data science libraries, including scikit\-learn for classical and statistical ML and PyTorch for deep learning.
* Proven experience working in Databricks with PySpark, plus hands\-on use of optimization approaches commonly applied in supply chain and manufacturing—such as mixed\-integer/linear programming for planning and scheduling, network/routing optimization, and constraint\-based solvers—using libraries like OR\-Tools or SciPy optimize.
* Practical knowledge of Generative AI on Azure, including prompt engineering, retrieval\-augmented generation (RAG), and the ability to identify and prioritize high\-value LLM use cases in a business context.
* Hands\-on experience implementing RAG and vectorization on Microsoft\-first tooling (for example Azure AI Search/Vector Search, Azure OpenAI, Databricks vector stores or Lakehouse\-based retrieval pipelines), including document ingestion, chunking, and securing access to manufacturing and supply chain content.
* Hands\-on experience building and orchestrating AI agents in the Microsoft ecosystem (Azure AI Studio/Agents, Azure OpenAI with tool/function calling, and integrations to Databricks/Fabric or REST backends), including securing those agents against tenant data and conditioning them for manufacturing and supply chain workflows.
* Extensive experience integrating with Azure\-centric data platforms, including data lakes, data warehouses, Delta/Parquet, NoSQL stores, and APIs.
* Ability to stand up and manage data and experimentation environments to support rapid model development and evaluation.
* Strong critical thinking, active listening, and situational awareness to infer business needs, understand context, and turn loose direction into concrete analytical solutions.
* Attention to detail and a bias for end\-to\-end ownership of deliverables in a consulting/project setting.
* Experience delivering projects on large, complex datasets, preferably in manufacturing, supply chain, or logistics industries.
* Demonstrated ability to communicate effectively with technical teams, business stakeholders, and client leadership.
 $105,000 \- $165,000 a year
**PLUS** 
 Uncapped Supplemental Compensation (Bonus) Plan paid out quarterly
**Why work for MCA Connect?**
 Our Compensation Plan Offers One Of The Best Bonus Structures In The Industry. Along With This We Also Offer a Generous Benefit Package
* Work/Life Balance with Unlimited Paid Time Off (UPTO)
* 401k Plan with Company Matching Contribution
* Monthly Stipend for Home Office Expenses
* Subsidized Medical, Dental and Vision Coverage
* Health Savings and Flexible Spending Accounts
* Company Paid Life and Disability Insurance
* Training, Certification and Continuing Education Support
 MCA Connect offers limitless opportunities for personal and professional growth in a stimulating, challenging, and performance\-oriented work culture where you can share your ideas and make impactful daily contributions. Our employees are highly motivated and talented individuals dedicated to developing, marketing, and selling products designed to deliver value for mid\-market and enterprise\-size manufacturing, distribution, and energy companies. We take the time to train our consultants so that they understand the industries we serve and can deliver best practices, proven methodologies, and ongoing industry expertise to our clients.
 MCA Connect is an Equal Opportunity Employer. MCA Connect promotes equal employment opportunity to all employees and applicants and does not discriminate on the basis of race, religion, color, creed, national origin, sex, age, sexual/gender orientation, status as a protected disabled or Vietnam Era Veteran, disability, or any other legally protected status. We firmly believe our differences make us stronger!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li-4343484578</t>
        </is>
      </c>
      <c r="B32" t="inlineStr">
        <is>
          <t>Senior Data Scientist, Full Stack</t>
        </is>
      </c>
      <c r="C32" t="inlineStr">
        <is>
          <t>SentiLink</t>
        </is>
      </c>
      <c r="D32" t="inlineStr">
        <is>
          <t>linkedin</t>
        </is>
      </c>
      <c r="E32" t="inlineStr"/>
      <c r="F32" t="inlineStr"/>
      <c r="G32" t="inlineStr">
        <is>
          <t>Austin, TX</t>
        </is>
      </c>
      <c r="H32" t="inlineStr"/>
      <c r="I32"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Data Scientist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4\+ years relevant work experience \&amp; relevant PhD or 6\+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Bonus for familiarity with: identity solutions, fintech, or adjacent industries
* Experience working at a startup strongly preferred
* Thrive in a fast paced environment characterized by the need to solve extremely varied, high impact, open ended problems.
* Candidates must be legally authorized to work in the United States and must live in the United States
**Salary Range**
* $180,000/year \- $230,000/year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33">
      <c r="A33" t="inlineStr">
        <is>
          <t>li-4365620967</t>
        </is>
      </c>
      <c r="B33" t="inlineStr">
        <is>
          <t>Applied Scientist, Sales AI</t>
        </is>
      </c>
      <c r="C33" t="inlineStr">
        <is>
          <t>Amazon</t>
        </is>
      </c>
      <c r="D33" t="inlineStr">
        <is>
          <t>linkedin</t>
        </is>
      </c>
      <c r="E33" t="inlineStr"/>
      <c r="F33" t="inlineStr"/>
      <c r="G33" t="inlineStr">
        <is>
          <t>Sunnyvale, CA</t>
        </is>
      </c>
      <c r="H33" t="inlineStr"/>
      <c r="I33"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Generative AI and quantitative modeling (forecasting, recommender systems, reinforcement learning, causal inferencing or generative artificial intelligence) to build and refine models that can be implemented in production. You will contribute to chart new courses with our ad sales support technologies, and you have the communication skills necessary to explain complex technical approaches to a variety of stakeholders and customers. You will be part of a team of fellow scientists and engineers taking on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A3165830</t>
        </is>
      </c>
    </row>
    <row r="34">
      <c r="A34" t="inlineStr">
        <is>
          <t>li-4343295686</t>
        </is>
      </c>
      <c r="B34" t="inlineStr">
        <is>
          <t>Senior Data Scientist, Full Stack</t>
        </is>
      </c>
      <c r="C34" t="inlineStr">
        <is>
          <t>SentiLink</t>
        </is>
      </c>
      <c r="D34" t="inlineStr">
        <is>
          <t>linkedin</t>
        </is>
      </c>
      <c r="E34" t="inlineStr"/>
      <c r="F34" t="inlineStr"/>
      <c r="G34" t="inlineStr">
        <is>
          <t>Chicago, IL</t>
        </is>
      </c>
      <c r="H34" t="inlineStr"/>
      <c r="I34" t="inlineStr">
        <is>
          <t>SentiLink provides innovative identity and risk solutions, empowering institutions and individuals to transaction with confidence. We’re building the future of identity verification in the United States replacing a clunky, ineffective, and expensive status quo with solutions that are 10x faster, smarter, and more accurate.
 We’ve seen tremendous traction and are growing extremely quickly. Our real\-time APIs have helped verify hundreds of millions of identities, starting with financial services and rapidly expanding into new markets. SentiLink is backed by world\-class investors including Craft Ventures, Andreessen Horowitz, NYCA, and Max Levchin.
 We’ve earned recognition from TechCrunch, CNBC, Bloomberg, Forbes, Business Insider, PYMNTS, American Banker, LendIt, and have been named to the Forbes Fintech 50 list every year since 2023\. Last but not least, we’ve even made history \- we were the first company to go live with the eCBSV and testified before the United States House of Representatives on the future of identity.
 SentiLink supports a variety of ways to work, ranging from fully remote to in\-office. We operate as a digital\-first company with strong collaboration across the U.S. and India. We maintain physical offices in Austin, San Francisco, New York City, Seattle, Los Angeles, and Chicago in the U.S., and in Gurugram (Delhi) and Bengaluru in India. If you’re located near one of these offices, we would love for you to spend time in the office regularly. Some roles are hybrid or in\-office by design. For example, our engineering team in India works primarily from our Gurugram office.
**Role**
 As a Senior Data Scientist at SentiLink, you will build our core products: models that identify fraudsters and also advance our growing suite of products in financial risk. As an experienced researcher you will be relied upon to be technically capable and the definitive owner of your respective domain. You will often work on projects with high visibility and impact that require deep domain understanding, critical thinking and strong technical abilities. You will work with teams across the company to research new types of fraud, develop new products, and provide analysis to drive sales and marketing. This is a full\-stack data science role, involving model development, analysis, and writing production code. You should be interested in having end\-to\-end ownership and a fast\-moving environment where deep domain understanding drives development and unusual insights drive our competitive advantage rather than optimization of new machine learning methodologies.
**Technologies:** 
 Python 3, PostgreSQL, and AWS infrastructure (EC2, S3, RDS, Redshift, etc.)
**Responsibilities**
* Develop and maintain SentiLink’s fraud detection models through the full model development lifespan: from data acquisition decisions through featurization, focusing labeling resources, model training, experimentation, productionalization, and monitoring.
* Build foundational modeling to drive SentiLink’s expanding suite of Fraud and Financial Risk products.
* Research new types of fraud and develop new SentiLink products around identity verification.
* Achieve success by researching / developing through iteration, integration of new data sources and inventive feature engineering.
* Write production\-ready code that can be relied on for real\-time decision making by our partners.
* Design, perform, and present analyses that will inform data acquisition, product development, risk operations priorities, marketing, and sales efforts.
* Work with engineering, risk operations, and data acquisitions to access necessary data, maintain data quality, and support data access
**Requirements**
* 4\+ years relevant work experience \&amp; relevant PhD or 6\+ years \&amp; relevant Masters
* Proven track record of solving complex / high profile business problems with DS / ML solutions
* Experience in communicating outcomes / progress to senior management / stakeholders
* Very strong in “end to end” DS development: Planning, fleshing out success criteria / metrics, getting buy\-in, developing the solution, delivering the solution (prod / deck / strategy doc / etc)
* Strong practical ML / Stats knowledge, i.e. can easily employ the suite of standard ML / stats tools to quickly scope out solutions, and double down where needed. Experience with SOTA ML solutions is a plus
* Interest in developing deep domain expertise for product\-focused work: a background in fraud is not required, but willingness to learn is
* Experience writing production code and tests
* Detail oriented and thoughtful \- someone we can rely on to make business\-changing decisions
* Bonus for familiarity with: identity solutions, fintech, or adjacent industries
* Experience working at a startup strongly preferred
* Thrive in a fast paced environment characterized by the need to solve extremely varied, high impact, open ended problems.
* Candidates must be legally authorized to work in the United States and must live in the United States
**Salary Range**
* $180,000/year \- $230,000/year \+ equity \+ benefits
**Perks**
* Employer paid group health insurance for you and your dependents
* 401(k) plan with employer match (or equivalent for non US\-based roles)
* Flexible paid time off
* Regular company\-wide in\-person events
* Home office stipend, and more!
**Corporate Values**
* Follow Through
* Deep Understanding
* Whatever It Takes
* Do Something Smart</t>
        </is>
      </c>
    </row>
    <row r="35">
      <c r="A35" t="inlineStr">
        <is>
          <t>li-4312551449</t>
        </is>
      </c>
      <c r="B35" t="inlineStr">
        <is>
          <t>Sr. Applied Scientist, Prime Video - Personalization and Discovery Science</t>
        </is>
      </c>
      <c r="C35" t="inlineStr">
        <is>
          <t>Prime Video &amp; Amazon MGM Studios</t>
        </is>
      </c>
      <c r="D35" t="inlineStr">
        <is>
          <t>linkedin</t>
        </is>
      </c>
      <c r="E35" t="inlineStr"/>
      <c r="F35" t="inlineStr"/>
      <c r="G35" t="inlineStr">
        <is>
          <t>Seattle, WA</t>
        </is>
      </c>
      <c r="H35" t="inlineStr"/>
      <c r="I3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A3084479</t>
        </is>
      </c>
    </row>
    <row r="36">
      <c r="A36" t="inlineStr">
        <is>
          <t>li-4332959084</t>
        </is>
      </c>
      <c r="B36" t="inlineStr">
        <is>
          <t>AI Engineer (Applied Scientist) III</t>
        </is>
      </c>
      <c r="C36" t="inlineStr">
        <is>
          <t>Cedar</t>
        </is>
      </c>
      <c r="D36" t="inlineStr">
        <is>
          <t>linkedin</t>
        </is>
      </c>
      <c r="E36" t="inlineStr"/>
      <c r="F36" t="inlineStr"/>
      <c r="G36" t="inlineStr"/>
      <c r="H36" t="inlineStr"/>
      <c r="I36"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37">
      <c r="A37" t="inlineStr">
        <is>
          <t>li-4222974134</t>
        </is>
      </c>
      <c r="B37" t="inlineStr">
        <is>
          <t>Data Scientist</t>
        </is>
      </c>
      <c r="C37" t="inlineStr">
        <is>
          <t>Versa Networks</t>
        </is>
      </c>
      <c r="D37" t="inlineStr">
        <is>
          <t>linkedin</t>
        </is>
      </c>
      <c r="E37" t="inlineStr"/>
      <c r="F37" t="inlineStr"/>
      <c r="G37" t="inlineStr">
        <is>
          <t>Santa Clara, CA</t>
        </is>
      </c>
      <c r="H37" t="inlineStr"/>
      <c r="I37"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seeking a talented and motivated Data Scientist to join our Machine Learning team. In this role, you will contribute to a wide range of data\-driven projects, from exploratory data analysis to building and deploying machine learning models for a variety of Networking, Security and Language use\-cases. You will work closely with cross\-functional teams to uncover insights, solve complex problems, and drive data\-informed decision\-making.
**Responsibilities**
* Data Analysis and Visualization: Conduct exploratory data analysis (EDA) to understand data characteristics and identify patterns. Utilize data visualization techniques to communicate insights effectively.
* Data Preparation and Engineering: Ingest, clean, preprocess, and transform data to prepare it for analysis and modeling. Handle missing values, outliers, and inconsistencies. Labeling datasets appropriately for classification problems.
* Machine Learning: Build, train, and evaluate machine learning models, including traditional algorithms like CNNs, XGBoost, Transformers, Various Graph ML algorithms, Time Series modelling, LLM etc.
* Model Deployment: Collaborate with engineering teams to deploy models into production, ensuring scalability and reliability. You need to be aware of and have experience in model quantization, model evaluation and various deployment formats like ONNX, GGUF etc
* Problem\-Solving: Apply critical thinking and problem\-solving skills to tackle complex data challenges.
* Collaboration: Work effectively with data engineers, analysts, and domain experts to understand business requirements and translate them into actionable data insights.
**Qualifications**
* Masters degree in Computer Science/Engineering.
* 8\+ years of experience in data science or a related field.
* Strong proficiency in Python programming language.
* Experience with data analysis and visualization tools (e.g., Pandas, NumPy, Matplotlib, Seaborn).
* Knowledge of machine learning algorithms and techniques.
* Familiarity with deep learning frameworks (e.g., TensorFlow, PyTorch).
* Experience with natural language processing (NLP) and large language models (LLMs) is a plus.
* Strong problem\-solving and analytical skills.
* Excellent communication and collaboration skills.
* Preferred Qualifications:
+ Experience with Go programming language.
+ Acceleration frameworks such as RAPIDS, Spark is preferable.
+ Knowledge of cloud platforms (e.g., AWS, GCP, Azure).
+ Experience with data version control and MLOps practices.
 Location: Santa Clara
* Applicants must be authorized to work in the US
 The pay range for this position at commencement of employment in California, Washington, or New York City is expected in the range of $225,000 \- $300,000\.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38">
      <c r="A38" t="inlineStr">
        <is>
          <t>li-4382651996</t>
        </is>
      </c>
      <c r="B38" t="inlineStr">
        <is>
          <t>Data Scientist</t>
        </is>
      </c>
      <c r="C38" t="inlineStr">
        <is>
          <t>Wiraa</t>
        </is>
      </c>
      <c r="D38" t="inlineStr">
        <is>
          <t>linkedin</t>
        </is>
      </c>
      <c r="E38" t="inlineStr"/>
      <c r="F38" t="inlineStr"/>
      <c r="G38" t="inlineStr"/>
      <c r="H38" t="inlineStr"/>
      <c r="I38" t="inlineStr">
        <is>
          <t>**About The Company**
 Join the Future of Commerce with Whatnot! Whatnot is the largest live shopping platform in North America and Europe, revolutionizing the way people buy, sell, and discover their favorite items. We blend community, shopping, and entertainment into an engaging and dynamic marketplace, creating a unique experience for our users. As a remote co\-located team with hubs across the US, UK, Germany, Ireland, and Poland, we are committed to innovation and building the future of online marketplaces. Our platform offers a diverse range of products, including fashion, beauty, electronics, collectibles like trading cards, comic books, and even live plants, with live auctions that cater to all interests. As one of the fastest\-growing marketplaces, we are passionate about empowering passionate individuals and fostering a vibrant community that connects buyers and sellers seamlessly.
**About The Role**
 In order to sustain our rapid growth and maintain a safe and trusted environment, Whatnot is seeking a highly skilled Data Scientist with specialized expertise in fraud detection and risk management. The successful candidate will play a critical role in identifying, analyzing, and mitigating threats to our community. Your primary responsibilities will include generating actionable insights, defining key performance indicators (KPIs), and collaborating with cross\-functional teams to develop and implement anti\-fraud strategies. You will design and evaluate experiments to measure the effectiveness of new features aimed at reducing fraud, and build data products and tools that support the broader organization. As a thought leader within the Trust \&amp; Risk organization, you will communicate complex data insights clearly and influence strategic decisions that enhance platform security and user trust. Your work will directly impact the integrity of our marketplace and ensure a safe environment for millions of users.
**Qualifications**
* 5\+ years of experience in the Data field, with at least 3\+ years supporting anti\-fraud, risk, trust \&amp; safety, or integrity initiatives
* Bachelor’s degree in Computer Science, Economics, Statistics, Cybersecurity, or a related field, or equivalent work experience
* Proven ability to apply scientific methods to large\-scale data problems in a real\-world setting
* Advanced SQL skills and experience with modern data warehouses such as Snowflake, BigQuery, or Redshift
* Proficiency with Python or R for data analysis, modeling, and experimentation
* Experience designing and analyzing A/B tests and understanding causal inference techniques
* Strong data visualization skills and familiarity with BI tools for creating interactive dashboards
* Excellent communication skills, capable of translating complex insights for diverse audiences
* Experience leading cross\-functional projects and influencing organizational strategy
* Ability to thrive in fast\-paced, ambiguous environments with a high degree of ownership
**Responsibilities**
* Generate insights and shape strategic direction by translating complex data into actionable recommendations for fraud engineering and operations teams
* Define and own KPIs that measure the cost of fraud, effectiveness of prevention strategies, and impact on users and marketplace performance
* Analyze the effectiveness of existing anti\-fraud measures and collaborate with product and machine learning engineers to develop improved practices
* Design, implement, and evaluate experiments to test new features and strategies for fraud mitigation
* Lead the development of frameworks for causal inference and impact measurement, especially for efforts not suited to traditional A/B testing
* Build dashboards, data pipelines, and self\-serve tools to empower teams across Whatnot with reliable and accessible data
* Partner with engineering teams to enhance data accessibility, ensure data quality, and support instrumentation for new features
* Advocate for data\-driven decision\-making and foster a culture of measurement within the Trust \&amp; Risk organization
* Communicate complex insights effectively to both technical and non\-technical stakeholders, influencing product roadmaps and strategic initiatives
* Support investigations into bad actor tactics, quantify threats, and develop longer\-term protections against fraud vectors
* Serve as a thought leader in shaping fraud prevention strategies and building a secure, trustworthy platform
**Benefits**
* Flexible time\-off policy and company\-wide holidays, including seasonal breaks
* Comprehensive health insurance options covering medical, dental, and vision care
* Support for remote work, including home office setup allowances and monthly stipends for cellphone and internet expenses
* Wellness benefits, including monthly allowances for health and well\-being
* Annual childcare allowances and lifetime benefits for family planning such as adoption or fertility expenses
* Retirement plans including 401(k) with employer matching up to 4% in the US, and pension plans internationally
* Monthly allowances to promote engagement with our platform, including funding for app usage
* Paid parental leave of 16 weeks plus a gradual return\-to\-work program
* Opportunities for professional growth and development within a dynamic, innovative environment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 We believe that a diverse workforce enhances our creativity, innovation, and overall success, and we encourage applicants from all backgrounds to join us in shaping the future of commerce.</t>
        </is>
      </c>
    </row>
    <row r="39">
      <c r="A39" t="inlineStr">
        <is>
          <t>li-4343467522</t>
        </is>
      </c>
      <c r="B39" t="inlineStr">
        <is>
          <t>Senior Data Scientist</t>
        </is>
      </c>
      <c r="C39" t="inlineStr">
        <is>
          <t>Intuit</t>
        </is>
      </c>
      <c r="D39" t="inlineStr">
        <is>
          <t>linkedin</t>
        </is>
      </c>
      <c r="E39" t="inlineStr"/>
      <c r="F39" t="inlineStr"/>
      <c r="G39" t="inlineStr">
        <is>
          <t>Mountain View, CA</t>
        </is>
      </c>
      <c r="H39" t="inlineStr"/>
      <c r="I39" t="inlineStr">
        <is>
          <t>**Overview**
 Come join the Mailchimp Paid Media Marketing Data Science team as a Senior Data Scientist. You will be joining a team that is responsible for driving marketing decisions through data\-backed insights, bringing in new customers via paid marketing channels. As a paid media marketing data scientist, you will drive a deeper understanding of marketing campaign performance, help identify areas of opportunity within marketing channels, and inform marketing strategy through advanced analytics and data science tools.
**Responsibilities**
* Build and execute marketing measurement and learning plans for Mailchimp paid media campaigns and growth initiatives
* Deploy measurement models to drive insights and business intelligence for the paid media and broader Mailchimp marketing teams
* Own E2E data exploration including ETL, hypothesis formation, analysis, and readout
* Leverage GenAI and dashboarding tools to create recurring views of paid media performance for marketing partners
* Execute and manage a portfolio of paid media experiments to drive channel innovation and customer acquisition
* Give guidance to business leaders by driving the POV around campaign performance relative to business objectives, marketing goals, and financial forecasts; clearly calling out drivers of strength and areas of opportunity
**Qualifications**
* 4\+ years of experience delivering data and analytics solutions and roadmaps for marketing organizations
* Fundamental understanding of SAAS\-based product marketing strategy, corporate strategy, corporate finance
* Domain knowledge of paid media channels, media data, and marketing technology stacks strongly preferred
* Experience with incremental marketing measurement models, experimentation, and causal inference with paid media applications
* Strong data storytelling and executive communication skills
* Advanced degree in a quantitative field or business/economics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$159,500 \- 215,500\.</t>
        </is>
      </c>
    </row>
    <row r="40">
      <c r="A40" t="inlineStr">
        <is>
          <t>li-4355374382</t>
        </is>
      </c>
      <c r="B40" t="inlineStr">
        <is>
          <t>Market Data Scientist</t>
        </is>
      </c>
      <c r="C40" t="inlineStr">
        <is>
          <t>ISO New England Inc.</t>
        </is>
      </c>
      <c r="D40" t="inlineStr">
        <is>
          <t>linkedin</t>
        </is>
      </c>
      <c r="E40" t="inlineStr"/>
      <c r="F40" t="inlineStr"/>
      <c r="G40" t="inlineStr">
        <is>
          <t>Holyoke, MA</t>
        </is>
      </c>
      <c r="H40" t="inlineStr"/>
      <c r="I40" t="inlineStr">
        <is>
          <t>ISO New England is the independent system operator responsible for ensuring the safe and reliable flow of electricity in our region and planning for the future of the electric grid. We are at the forefront of New England’s ongoing transition to clean energy.
 We seek motivated individuals to join the Market Development team. Our job is to lead projects that integrate new technologies into competitive electricity markets and help facilitate the region’s clean energy transition. We work as a team, within the department, the company, and the region, to assess, design, and implement real\-world changes to improve the electric grid and electricity markets.
 As a Market Data Scientist, your primary responsibilities will involve transforming complex data into actionable insights. You will contribute to cross\-functional projects that enhance market design, test proposed rules, and guide stakeholder discussions. Your teammates come from a variety of backgrounds \- economists, engineers, data scientists, writers, business professionals and more. Collectively, we assign projects and project roles base on each person’s expertise, passions, and goals. Candidates from all backgrounds are encouraged to apply.
**What We Offer You**
* Hybrid work environment (3 days/week onsite)
* Relocation assistance
* Competitive compensation with a base salary \+ performance bonus
* Robust benefits package, including:
* Enhanced 401(k) and financial planning support
* Tuition reimbursement and professional development
* Wellness programs, including an onsite gym
* Free coffee at our onsite café
* Flexible work hours
* Employee Business Networks
* A stable, mission\-driven workplace where your impact truly matters
 How you will make an Impact
* Develop and maintain statistical and machine learning models to assess market outcomes, simulate policy changes, and forecast trends.
* Design ETL processes to extract and analyze very large datasets from the ISO’s operational systems using SQL, Python, SAS, or R, with efficient post\-processing workflows to support high\-volume reporting and strategic analysis.
* Produce reports and dashboards that clearly communicate trends, anomalies, and insights to both technical and business stakeholders.
* Collaborate in cross\-functional project teams focused on shaping market rules, implementation strategy, and stakeholder engagement.
 What we are looking for
* Bachelor’s or Master’s degree in Data Science, Statistics, Computer Science, Operations Research, Economics, Math, Finance, or a related technical field.
* Proficiency in Python and either R or SAS.
* Proficiency with SQL.
* Strong understanding of core statistical concepts such as regression, probability, and hypothesis testing.
* Desired not required
* Experience working in energy, electricity markets, or large\-scale policy\-driven data environments.
* Knowledge of GAMS or other optimization modeling tools.
* Familiarity with version control (e.g., Git) and collaborative coding workflows.
* Prior exposure to data visualization or dashboard tools (e.g., Plotly, Dash, R Shiny).
* Experience with neural networks, deep learning frameworks, or experimentation methods.
 This employer will not sponsor applicants for work visas for this position (ex: H\-1B, F\-1/CPT/OPT, O\-1, E\-3, TN, J, etc.).
 The expected salary range for this position is $82,000 \- $113,000 per year. This role is also eligible for an annual performance bonus, comprehensive health insurance (medical, dental and vision), flexible spending and health savings accounts, a 401(k) plan with generous employer contributions and a student debt benefit, life and AD\&amp;D insurance, disability insurance, critical illness and hospital indemnity benefits, paid time off, paid leave, a wellness program, an employee assistance program and other great company perks.
 This is a U.S. based role. If the successful candidate resides outside of the U.S., relocation will be required.
 Equal Opportunity: We are proud to be an EEO employer. Applicants for employment are considered without regard to race, color, religion, creed, sex (including pregnancy, childbirth, and related medical conditions), gender identity or expression, sexual orientation, citizenship, national origin, age, ancestry, marital status, disability (including learning, mental, intellectual, and physical), service in the uniformed services, genetic information, or any other status protected by applicable law.
 Drug Free Environment: We maintain a drug\-free workplace and perform pre\-employment substance abuse testing.</t>
        </is>
      </c>
    </row>
    <row r="41">
      <c r="A41" t="inlineStr">
        <is>
          <t>li-4311191542</t>
        </is>
      </c>
      <c r="B41" t="inlineStr">
        <is>
          <t>Sr Data Scientist, TLM</t>
        </is>
      </c>
      <c r="C41" t="inlineStr">
        <is>
          <t>Uber</t>
        </is>
      </c>
      <c r="D41" t="inlineStr">
        <is>
          <t>linkedin</t>
        </is>
      </c>
      <c r="E41" t="inlineStr"/>
      <c r="F41" t="inlineStr"/>
      <c r="G41" t="inlineStr">
        <is>
          <t>San Francisco, CA</t>
        </is>
      </c>
      <c r="H41" t="inlineStr"/>
      <c r="I41" t="inlineStr">
        <is>
          <t>**About The Role**
 As a Data Science, Tech Lead Manager (TLM), you will play an instrumental role in shaping how Uber tracks its financial data as well as understands and optimizes its financial performance across diverse business lines. You'll work on a wide range of initiatives from building scalable financial data products and developing predictive models to improving reporting workflows and uncovering insights that drive strategic decisions. And you will lead a small team of data scientists partnering closely with teams in Finance and FinTech. This is a hands\-on leadership role where you'll balance managing projects and people with diving deep into data yourself.
**What You Will Do**
* Lead a team of data scientists located in the US and India
* Actively participate and contribute to the technical solutioning and execution of the data science roadmap including helping develop robust forecasting models and impactful Gen AI applications
* Collaborate closely with teams in finance, engineering, product, business analysts, legal and data science teams across different lines of businesses, to design, prototype, and productionize end\-to\-end data science solutions.
* Develop the team with active coaching and mentoring. Help grow the talent in the team via effective hiring and performance management.
* Deliver strong presentations to stakeholders and senior leadership on the team's work, models, solutions, and data science findings.
**Basic Qualifications**
**Basic Qualifications**
* M.S. or Bachelor's degree in Data Science, Computer Science, Statistics, Economics, Mathematics, Finance, or other quantitative fields.
* Minimum 4 years of industry experience as a data scientist with demonstrated ability working with large data sets, mining actionable insights, statistical methods, and basic ML model development
* Domain experience in Finance, Accounting, Payments, FinTech, Tax
* Minimum 1 year of experience managing a small team of Data/Applied Scientists with strong leadership skills, growing and mentoring your team members
* Proficiency in SQL and at least one programming language used for data analysis (e.g., Python or R)
* Experience with data visualization tools (e.g., Tableau, Power BI, Looker or similar)
* Demonstrated ability to translate business problems into analytical solutions and communicate findings to both technical and non\-technical audiences
* Strong communication and organizational skills with the ability to manage multiple projects and stakeholders simultaneously.
* Bias to action and proven track record of getting things done.
**Preferred Qualifications**
* Degree or work experience in finance, augmented with work experience as a data scientist (or experience as a data scientist in finance or a related domain) with minimum 1 year of tech leading or managerial experience
* Experience developing forecasting or anomaly detection models, ideally in financial or operational domains
 For San Francisco,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2">
      <c r="A42" t="inlineStr">
        <is>
          <t>li-4332992188</t>
        </is>
      </c>
      <c r="B42" t="inlineStr">
        <is>
          <t>Data Scientist (Hybrid/Remote)</t>
        </is>
      </c>
      <c r="C42" t="inlineStr">
        <is>
          <t>Selective Insurance</t>
        </is>
      </c>
      <c r="D42" t="inlineStr">
        <is>
          <t>linkedin</t>
        </is>
      </c>
      <c r="E42" t="inlineStr"/>
      <c r="F42" t="inlineStr"/>
      <c r="G42" t="inlineStr">
        <is>
          <t>Hartford, CT</t>
        </is>
      </c>
      <c r="H42" t="inlineStr"/>
      <c r="I42"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***Applicants must be authorized to work for any employer in the United States. Selective will not sponsor or assume the sponsorship of an employment visa at this time* 
 .**
**Overview**
 Responsible for development and maintenance of analytical solutions through applications of Data Mining, Machine Learning, Predictive Modeling, Generative AI and other emerging technologies for current and future business needs. Lead the supervised and unsupervised model development efforts in partnership with business and Information Technology (IT) stakeholders from diverse functional areas. Proactively monitor outcome post installation and report actionable insights. All job duties and responsibilities must be carried out in compliance with applicable legal and regulatory requirements.
*Note: (For NJ candidates) This role will be located at our future headquarters in Short Hills, N.J. Until the new headquarters is operational, the successful candidate will be offered the ability to work in our Branchville, N.J. location during this interim period.*
**Responsibilities**
* Understand the competitive marketplace, business issues, and data challenges to deliver actionable insights, recommendations, and business processes.
* Manipulate high\-volume, high\-dimensionality data from varying sources to highlight patterns, anomalies, relationships, and trends.
* Perform descriptive and diagnostics analysis to provide actionable insights for a range of business customers via effective visualization.
* Perform prescriptive analysis seeking for statistical inference providing information that will drive strategic decision making related to marketing, claims and underwriting.
* Develop predictive models and machine learning solutions to investigate problems, detect patterns and recommend solutions. Work with Information Technology to integrate the model into production environment.
* Perform model maintenance and post installation monitoring, including performance tracking, model refit/refresh, documentation, and version control.
* Research and prototype advanced data science techniques like Text Mining, Natural Language Processing (NLP), Image Recognition, Generative AI and Robotic Process Automation (RPA).
* Research and recommend new data, tools, modeling techniques to enrich analytics solutions in alignment to policy lifecycle.
* Participate in the broader community to stay current with industry trends including cutting\-edge methodology, software, platform and recommend best practices.
**Qualifications**
**Knowledge and Requirements**
* Professional statistics/quantitative skills.
* Hands\-on experience of solving business problem with various multi variate statistical methods including generalized linear model, survival model, time series, mixed effects model etc.
* Familiar with the whole life cycle of predictive modeling, including data provision, model development, validation and testing, model deployment.
* Proficient with manipulating data with enterprise\-scale database systems (SQL, SAS).
* Proficient with at least one scripting language such as R, Python, or Java.
* Experience with BI tools such as Tableau, Spotfile etc. is preferred.
* Knowledge of HTML for web app development is preferred.
* Hands on experience with Big Data / Hadoop / Spark is preferred.
* Experience with version control workflow such as Git is plus.
**Education And Experience**
* PhD with 1 year of Predictive Modeling Experience, or Masters with 2\-3 years of Predictive Modeling Experience or Bachelors with 4\-5 Years of Data Science Experience and education in Statistics, Economics, Computer Science, Mathematics or related field preferred.
* Property \&amp; Casualty Insurance experience highly preferred.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$97,000\.00 \- USD $146,000\.00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43">
      <c r="A43" t="inlineStr">
        <is>
          <t>li-4365633286</t>
        </is>
      </c>
      <c r="B43" t="inlineStr">
        <is>
          <t>Senior Marketing Data Scientist</t>
        </is>
      </c>
      <c r="C43" t="inlineStr">
        <is>
          <t>SoFi</t>
        </is>
      </c>
      <c r="D43" t="inlineStr">
        <is>
          <t>linkedin</t>
        </is>
      </c>
      <c r="E43" t="inlineStr"/>
      <c r="F43" t="inlineStr"/>
      <c r="G43" t="inlineStr">
        <is>
          <t>San Francisco, CA</t>
        </is>
      </c>
      <c r="H43" t="inlineStr"/>
      <c r="I4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4">
      <c r="A44" t="inlineStr">
        <is>
          <t>li-4327256285</t>
        </is>
      </c>
      <c r="B44" t="inlineStr">
        <is>
          <t>Senior Data Scientist – Mail Intelligence</t>
        </is>
      </c>
      <c r="C44" t="inlineStr">
        <is>
          <t>Yahoo</t>
        </is>
      </c>
      <c r="D44" t="inlineStr">
        <is>
          <t>linkedin</t>
        </is>
      </c>
      <c r="E44" t="inlineStr"/>
      <c r="F44" t="inlineStr"/>
      <c r="G44" t="inlineStr"/>
      <c r="H44" t="inlineStr"/>
      <c r="I44" t="inlineStr">
        <is>
          <t>Yahoo Mail is the ultimate consumer inbox with hundreds of millions of users. It’s the best way to access your email and stay organized from a computer, phone or tablet. With its beautiful design and lightning fast speed, Yahoo Mail makes reading, organizing, and sending emails easier than ever.
****About Our Team:****
 As part of Yahoo Mail Data Science \&amp; Analytics, our team is the driving force behind experimental analysis, data science, and business intelligence for Yahoo Mail. We thrive on data and insights to craft outstanding product experiences. Our commitment is towards providing data\-driven guidance that fuels user growth and product innovation, maintaining high\-quality data standards, and devising insightful A/B tests and advanced analyses.
 Mail Intelligence is the intelligent layer of Yahoo Mail, responsible for overseeing end\-to\-end AI and machine learning components within the platform. The squad delivers cutting\-edge AI capabilities that enhance user experience, scales personalization features, powers AI\-driven functionalities (including generative AI and LLMs), and provides smart signals and insights driven by Mail data across the Yahoo ecosystem.
**Key Capabilities include:**
* Mail Content Classification \&amp; Targeting (Kamino taxonomy, spam/abuse detection)
* Mail Extraction (product, coupon, travel, and event extraction)
* Text Summarization \&amp; TLDR
* User Action Predictions \&amp; Personalization (Priority Inbox, user profiles, segmentation)
* AI\-Powered Experiences (Smart Reply, Nudges, ranking \&amp; arbitration)
****Why Join Us:****
* Be at the forefront of AI innovation in one of the world's largest consumer email platforms.
* Work alongside a world\-class team of ML engineers, research scientists, and product leaders building the intelligent layer of Yahoo Mail.
* Shape the analytics strategy for capabilities that directly impact 200M\+ monthly users.
* Grow your career in a high\-visibility role with direct influence on Yahoo Mail's AI\-driven product roadmap.
****Position Overview:****
 As a Senior Data Scientist for Yahoo Mail Intelligence, you will be the dedicated analytics partner for the Mail Intelligence squad, collaborating with product, engineering, and research science teams to measure, evaluate, and optimize Yahoo Mail's AI and ML\-powered capabilities.
 Your focus will be on designing rigorous experimentation frameworks for backend ML features, evaluating AI model performance, and translating complex data into actionable insights that drive product innovation at scale.
****Your Day\-to\-Day:****
* Partner with Mail Intelligence product, engineering, and research science teams to frame AI/ML challenges into data\-analyzable questions, devise analysis strategies, and translate findings into actionable insights.
* Design and lead A/B testing and experimentation for backend ML features — including classification models, extraction pipelines, TLDR summarization, personalization, and ranking/arbitration logic.
* Evaluate ML model performance through offline and online metrics, coverage analysis, and quality assessments to inform model iteration and deployment decisions.
* Conduct ad\-hoc data mining and statistical analysis to understand user behaviors, feature adoption, engagement patterns, and the impact of AI\-powered experiences.
* Develop and maintain measurement frameworks and dashboards (Tableau, Looker) to track Mail Intelligence KPIs, squad OKRs, and feature health.
* Advocate for and enforce high standards in data logging and instrumentation to ensure data integrity and accuracy across backend systems.
* Collaborate cross\-functionally with frontend squads (Inbox \&amp; Organize, Commerce, Read Write Search) to ensure alignment of experimentation logic and data flows for features powered by Mail Intelligence signals.
* Drive the development of reporting strategies to accurately reflect business results and guide future AI/ML investment decisions.
****Who You Are:****
* A seasoned data science professional with a track record of solving complex business problems in AI/ML\-driven product environments, digital media, or consumer technology.
* Experienced in evaluating and measuring machine learning model performance in production systems, with an understanding of classification, extraction, NLP, and recommendation systems.
* Skilled at designing and analyzing experiments for backend features and ML systems, where measurement complexity goes beyond standard front\-end A/B tests.
* Experienced in agile, iterative, and fast\-paced experimentation environments, managing multiple projects within a matrixed team.
* An effective communicator who presents insights to both technical (ML engineers, research scientists) and non\-technical (product managers, leadership) stakeholders with clarity and rationale.
* A proactive self\-starter who identifies data\-driven opportunities and influences product strategy through analytical rigor.
****Your Skills:****
* Expertise in data querying languages (e.g., SQL) and scripting languages (e.g., Python).
* Experience with big data technologies, including BigQuery, Hive, Hadoop, and Spark.
* Proficiency in visualization tools such as Tableau and/or Looker
* Hands\-on experience with Experimentation Frameworks for A/B Testing and Multivariate Testing, particularly for backend/ML features.
* Strong machine learning knowledge, covering classification, NLP/text summarization, predictive modeling, clustering, neural networks, and ranking systems.
* Proficiency in statistical techniques, including correlation analysis, design of experimentation, regression methods, time series analysis, and causal inference.
* Familiarity with ML evaluation methodologies — precision/recall, F1, coverage analysis, and offline/online metric reconciliation.
****Qualifications****
****Required:****
* Minimum of 7\+ years of work experience (minimum of 4 years with a Ph.D.) in data science, product analytics, or a similar role in consumer technology, AI/ML products, digital media, or product development.
* Master's Degree in Math, Engineering, Statistics, Data Science, Computer Science, or a related field.
* Subject matter expertise in consumer internet products, ideally with exposure to AI/ML\-powered features.
* Strong understanding of experimentation design and analysis in complex, multi\-layered systems.
****Preferred:****
* Experience working directly with ML/AI engineering and research science teams.
* Experience in email, messaging, or communication platforms.
* Familiarity with NLP, LLMs, and generative AI measurement and evaluation.
* Experience with project management tools like those from Atlassian (JIRA, Confluence).
* Experience with GCP (Vertex AI, BigQuery) and cloud\-based ML infrastructure.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45">
      <c r="A45" t="inlineStr">
        <is>
          <t>li-4382675288</t>
        </is>
      </c>
      <c r="B45" t="inlineStr">
        <is>
          <t>Senior Data Scientist (Member Analytics &amp; Strategy)</t>
        </is>
      </c>
      <c r="C45" t="inlineStr">
        <is>
          <t>Navy Federal Credit Union</t>
        </is>
      </c>
      <c r="D45" t="inlineStr">
        <is>
          <t>linkedin</t>
        </is>
      </c>
      <c r="E45" t="inlineStr"/>
      <c r="F45" t="inlineStr"/>
      <c r="G45" t="inlineStr">
        <is>
          <t>Vienna, VA</t>
        </is>
      </c>
      <c r="H45" t="inlineStr"/>
      <c r="I45" t="inlineStr">
        <is>
          <t>**Overview**
**Navy Federal Credit Union currently does not provide sponsorship for this role. Applicants must be authorized to work in the United States without the need for current or future sponsorship.**
 Provide independent data science, machine learning, and advanced analytical insights using member, financial, and organizational data to support mission‑critical decision‑making across the enterprise. Partner with business units to understand business needs, translate them into analytical solutions, and identify opportunities for new products, services, and process optimization through the application of advanced analytics. Design, develop, and deploy descriptive, predictive, and prescriptive models that inform strategy, improve performance, and optimize member outcomes. Embed analytics into strategic planning and operational workflows to enable leaders to measure what matters, identify growth opportunities, and anticipate member needs. Perform work assignments of increasing complexity under moderate supervision, exercising sound independent judgment. Serve as an experienced professional within the field, applying a strong, well‑developed skill set and proficiency in data science and analytics methodologies.
*This position is eligible for the TalentQuest employee referral program. If an employee referred you for this job, please apply using the system\-generated link that was sent to you.*
**Responsibilities**
* Design and develop analytical solutions, segmentation logic, and moderately complex algorithms to support member analytics and enterprise decision‑making
* Identify meaningful insights from large, complex member, financial, and organizational data and metadata sources
* Apply analytical techniques, trend analysis, and exploratory methods to interpret data and generate actionable insights
* Exercise sound judgment and discretion within defined procedures and practices, applying independent analytical reasoning
* Use analytical modeling and trend analysis to assess patterns in member behavior, performance, and outcomes
* Apply and promote best practices related to responsible analytics and ethical use of data and AI
* Transform complex analytical results into clear charts, tables, and data products that support effective decision‑making
* Build strong working relationships with team members, business partners, and subject matter experts
* Lead potentially high‑impact projects or workstreams, contributing technical direction and analytical expertise
* Communicate findings through effective written and verbal documentation and presentations to a diverse set of stakeholders, including senior leadership or executive level
**Qualifications**
* 3\+ years of experience in exploratory data analysis
* Advanced understanding of business and operating environment
* Knowledge of statistics, programming, data modeling, simulation, and advanced mathematics
* Experience with large data environments and modern analytical tools.
* Experience with model lifecycle execution, including model development, testing, and validation
* Experience presenting analytical findings and insights to audiences with varying technical backgrounds
* Strong data storytelling and technical presentation skills, including experience creating presentation materials in PowerPoint.
* Experience documenting analytical work, technical documentation, and drafting SOPs
* Strong research, analytical, and critical thinking skills.
* Ability to collaborate and build relationships across technical and business teams
* Strong problem solving skills and sound judgment when responding to issues and opportunities
* Technical skills including big data analysis, coding, project management, and technical writing
* Bachelor’s degree in Data Science, Statistics, Mathematics, Computer Science, Engineering, or a related quantitative field
**Desired Qualifications**
* Master’s or PhD in Data Science, Statistics, Mathematics, Computer Science, Engineering, or similar quantitative discipline
* Experience working in consulting or highly cross\-functional analytical environments
* Experience owning analytical projects or leading small analytical initiatives
* Experience working in cloud or distributed data environments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46">
      <c r="A46" t="inlineStr">
        <is>
          <t>li-4365629396</t>
        </is>
      </c>
      <c r="B46" t="inlineStr">
        <is>
          <t>Senior Marketing Data Scientist</t>
        </is>
      </c>
      <c r="C46" t="inlineStr">
        <is>
          <t>SoFi</t>
        </is>
      </c>
      <c r="D46" t="inlineStr">
        <is>
          <t>linkedin</t>
        </is>
      </c>
      <c r="E46" t="inlineStr"/>
      <c r="F46" t="inlineStr"/>
      <c r="G46" t="inlineStr">
        <is>
          <t>Greenville, DE</t>
        </is>
      </c>
      <c r="H46" t="inlineStr"/>
      <c r="I4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47">
      <c r="A47" t="inlineStr">
        <is>
          <t>li-4338570072</t>
        </is>
      </c>
      <c r="B47" t="inlineStr">
        <is>
          <t>Senior Applied Scientist, Planning and Controls, Industrial Robotics Group</t>
        </is>
      </c>
      <c r="C47" t="inlineStr">
        <is>
          <t>Amazon</t>
        </is>
      </c>
      <c r="D47" t="inlineStr">
        <is>
          <t>linkedin</t>
        </is>
      </c>
      <c r="E47" t="inlineStr"/>
      <c r="F47" t="inlineStr"/>
      <c r="G47" t="inlineStr">
        <is>
          <t>Middlesex County, MA</t>
        </is>
      </c>
      <c r="H47" t="inlineStr"/>
      <c r="I47"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A3127891</t>
        </is>
      </c>
    </row>
    <row r="48">
      <c r="A48" t="inlineStr">
        <is>
          <t>li-4343356776</t>
        </is>
      </c>
      <c r="B48" t="inlineStr">
        <is>
          <t>Data Scientist, Algorithms, Optimization - Fulfillment</t>
        </is>
      </c>
      <c r="C48" t="inlineStr">
        <is>
          <t>Lyft</t>
        </is>
      </c>
      <c r="D48" t="inlineStr">
        <is>
          <t>linkedin</t>
        </is>
      </c>
      <c r="E48">
        <f>HYPERLINK("https://www.linkedin.com/jobs/view/4343356776", "https://www.linkedin.com/jobs/view/4343356776")</f>
        <v/>
      </c>
      <c r="F48">
        <f>HYPERLINK("http://boards.greenhouse.io/lyft/jobs/8335733002?gh_src=dd08aaff2us&amp;source=LinkedIn&amp;urlHash=kDkw", "http://boards.greenhouse.io/lyft/jobs/8335733002?gh_src=dd08aaff2us&amp;source=LinkedIn&amp;urlHash=kDkw")</f>
        <v/>
      </c>
      <c r="G48" t="inlineStr">
        <is>
          <t>New York, NY</t>
        </is>
      </c>
      <c r="H48" t="inlineStr"/>
      <c r="I48" t="inlineStr">
        <is>
          <t>At Lyft, our purpose is to serve and connect. We aim to achieve this by cultivating a work environment where all team members belong and have the opportunity to thrive.
 Data Science is central to Lyft's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
 As a Data Scientist specializing in Algorithms, you will develop mathematical models for the platform's core services, addressing diverse problems in optimization, prediction, machine learning, and inference. On the Fulfillment team, you will collaborate with cross\-functional teammates and stakeholders to enhance algorithms for matching rideshare supply and demand in real time and develop product offerings to improve the experiences of Lyft Riders and Drivers.
**Responsibilities:**
* Leverage data and analytic frameworks to direct creations and improvements of algorithms and models underpinning the team’s systems and products
* Partner with Engineers, Product Managers, and Business Partners to frame problems, both mathematically and within the business context.
* Perform exploratory data analysis to gain a deeper understanding of the problem
* Construct and fit statistical, machine learning, or optimization models
* Write production modeling code; collaborate with Software Engineers to implement algorithms in production
* Design and implement both simulated and live traffic experiments
* Analyze experimental and observational data; communicate findings; facilitate launch decisions
* Develop measurement methodologies to monitor the health of our products, as well as the impacts on user outcomes and marketplace outcomes
* Drive collaboration and coordination with cross\-functional teams
**Experience:**
* M.S. or Ph.D. in Machine Learning, Statistics, Operations Research, Computer Science, Mathematics, or other quantitative fields
* 2\+ years professional experience in a technology company setting
* Proven experience with building and evaluating machine learning models
* Proficiency with Python and working in a production coding environment
* Passion for solving unstructured and non\-standard mathematical problems
* End\-to\-end experience with data, including querying, aggregation, analysis, and visualization
* Strong oral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\-$160,000\.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row>
    <row r="49">
      <c r="A49" t="inlineStr">
        <is>
          <t>li-4293212630</t>
        </is>
      </c>
      <c r="B49" t="inlineStr">
        <is>
          <t>Data Scientist</t>
        </is>
      </c>
      <c r="C49" t="inlineStr">
        <is>
          <t>Siro</t>
        </is>
      </c>
      <c r="D49" t="inlineStr">
        <is>
          <t>linkedin</t>
        </is>
      </c>
      <c r="E49">
        <f>HYPERLINK("https://www.linkedin.com/jobs/view/4293212630", "https://www.linkedin.com/jobs/view/4293212630")</f>
        <v/>
      </c>
      <c r="F49">
        <f>HYPERLINK("https://jobs.ashbyhq.com/siro/15890b8d-0894-47e2-b47b-7ee5c578ab79?src=LinkedIn&amp;urlHash=QEtV", "https://jobs.ashbyhq.com/siro/15890b8d-0894-47e2-b47b-7ee5c578ab79?src=LinkedIn&amp;urlHash=QEtV")</f>
        <v/>
      </c>
      <c r="G49" t="inlineStr">
        <is>
          <t>New York, United States</t>
        </is>
      </c>
      <c r="H49" t="inlineStr"/>
      <c r="I49" t="inlineStr">
        <is>
          <t>Field sales powers the economy — but most teams are struggling. Reps are buried in admin work, managers are stretched thin, and leaders can’t see what’s really happening in the field.
 Siro is redefining how field sales teams learn, perform, and win.
 We started as an AI\-powered coaching platform that helped reps improve their outcomes in the field.
 Today, we’re something much bigger — an intelligent companion that automates sales reps’ tedious admin work, gives managers real\-time visibility, and helps executives see around corners.
 Our platform integrates with systems like Salesforce, analyzing thousands of in\-person sales conversations to surface insights, automate workflows, and drive better outcomes across the org. Think
 *Iron Man’s* 
 Jarvis for sales — proactive, personalized, and built directly into the tools teams already use.
 Siro has raised $75M and is backed by world\-class investors like Index, Fika, CRV, and SignalFire. We are trusted by leading home\-improvement, retail, hospitality, and automotive brands, and powered by a lean team from Meta, McKinsey, Doordash, and Uber.
 We’re building the future of human\-AI collaboration in sales — and we’re just getting started.
**About The Role**
 We're looking for a pioneering Data Scientist. This role combines classical data science with cutting\-edge LLM applications, sitting at the intersection of business intelligence, experimentation, and AI\-powered product features.
 This role will build the data foundation that empowers Siro teams to make confident decisions \-from Product launching AI\-powered features, to Sales identifying winning patterns, to Customer Success driving adoption. Your work will unlock insights that directly accelerate growth and shape our product strategy.
 If you're excited about turning raw data into actionable insights and shaping the future of a high\-growth AI\-first company, this is the role for you.
 What you’ll do
 Product Analytics and Business Intelligence
* Partner with multiple functions to understand customer behavior, visualize usage trends, and identify opportunities
* Develop and optimize product analytics infrastructure and dashboards for internal and external stakeholders
* Contribute to weekly and quarterly business reviews for strategic accounts
 Ad Hoc Insights and LLM Applications
* Explore customer sales conversation data to extract insights via LLM\-based and traditional analysis methods
* Communicate ad hoc insights to external customers
* Implement LLM evaluations
 Data Quality
* Own data quality in our databases
* Establish data quality standards and monitoring
* Identify improvements needed and work with Engineering to implement
 Success Metrics
* Adoption rate of data products, internal and customer\-facing
* Impact on product development velocity and decision quality
* Quality and reliability of AI\-powered insights
* % of product decisions backed by quantitative data
**Qualifications**
* 2\+ years of experience in data science, ML/AI, or related field
* Strong foundation in statistics and experimental design
* Expertise in Python, SQL, and data pipeline development
* Experience with business intelligence and visualization tools (e.g., Looker, Metabase, Tableau)
* Experience working with structured and unstructured data
* Strong problem\-solving skills with a business\-focused approach
* Excellent communication skills
* Familiarity with LLMs
 Our Tech Stack
 Core Tools
* Data Infrastructure: Google Cloud Platform (GCP), BigQuery, Postgres
* BI/Analytics: Mixpanel, Explo
* Languages: Python, SQL
* Version Control: Git
 AI/ML Stack
* LLM Frameworks: Anthropic, OpenAI, Google LangChain
* Data Science \&amp; ML Libraries: pandas, scikit\-learn
* NLP Tools: Hugging Face
 Nice to Have
* Experience with Node.js/TypeScript
* Background in conversation AI or natural language processing
 Who You Are
* Product\-minded data scientist who balances rigorous analysis with practical impact
* Strong communicator who can translate complex concepts for various audiences
* Self\-directed learner excited about emerging AI technologies
* Collaborative team player who thrives in a fast\-paced environment
* Passionate about using data to improve human performance and outcomes
*At Siro, we are committed to creating a diverse and inclusive environment where all people feel that they are equally respected and valued, whether they are applying for an open position or working at the company. We provide equal employment opportunities to all applicants without regard to race, religion, color, national origin, gender, sexual orientation, age, marital status, veteran status, or disability status.*</t>
        </is>
      </c>
    </row>
    <row r="50">
      <c r="A50" t="inlineStr">
        <is>
          <t>li-4313228879</t>
        </is>
      </c>
      <c r="B50" t="inlineStr">
        <is>
          <t>Senior Product Data Scientist</t>
        </is>
      </c>
      <c r="C50" t="inlineStr">
        <is>
          <t>Talkiatry</t>
        </is>
      </c>
      <c r="D50" t="inlineStr">
        <is>
          <t>linkedin</t>
        </is>
      </c>
      <c r="E50">
        <f>HYPERLINK("https://www.linkedin.com/jobs/view/4313228879", "https://www.linkedin.com/jobs/view/4313228879")</f>
        <v/>
      </c>
      <c r="F50" t="inlineStr"/>
      <c r="G50" t="inlineStr"/>
      <c r="H50" t="inlineStr"/>
      <c r="I50" t="inlineStr">
        <is>
          <t>We are looking for a Sr. Product Data Scientist to join our growing Data team in our Product organization. This is a senior individual contributor role with broad scope across product insights, experimentation, modeling and applied analytics focusing on growth. The ideal candidate is not only technically strong, but also proactive in uncovering opportunities, framing insights, and ensuring leaders have the context they need to make the right calls. We are looking for this individual to bring analytical thought leadership as we continue to rapidly grow and iterate on our product offerings across Talkiatry.
 You’ll own projects that range from producing growth and performance analyses that guide strategic and product decisions, to designing and evaluating experiments, to building predictive models, and to improving patient engagement and clinical efficiency. You’ll be expected to communicate insights proactively, frame results in business terms, and work closely with your core cross\-functional teammates (Product, Engineering and Design) as well as stakeholders across Operations, Clinical, and Finance.
**About Talkiatry:**
 Talkiatry transforms psychiatry with accessible, human, and responsible care. We’re a national mental health practice co\-founded by a patient and a triple\-board\-certified psychiatrist to solve the problems both groups face in accessing and providing the highest quality treatment.
 60% of adults in the U.S. with a diagnosable mental illness go untreated every year because care is inaccessible, while 45% of clinicians are out of network with insurers because reimbursement rates are low, and paperwork is unduly burdensome. With innovative technology and a human\-centered philosophy, we provide patients with the care they need—and allow psychiatrists to focus on why they got into medicine.
**You will:**
* Proactive Insights \&amp; Storytelling
* Identify growth opportunities for the Product teams by analyzing data and understanding patient behaviors
* Help Product teams maximize impact, by working with PMs and engineers to understand costs and constraints, while looking at underlying data and making reasonable assumptions to size opportunities
* Identify risks by exploring data and monitoring trends to understand the impact of emerging issues before they become problems
* Frame analyses and estimates in terms of “so what” for the practice to ensure findings don’t just inform, but influence the team
* Develop regular deliverables that turn historical data into forward looking guidance for product and operational teams
* Anticipate questions our teams should be asking and bring forward insights before they’re requested
* Modeling \&amp; Prediction
* Build, evaluate, and productionalize models to forecast outcomes such as patient retention, no shows, demand patterns, and more
* Balance technical sophistication with pragmatic application, recognizing when simpler analyses can achieve the same business impact
* Experimentation \&amp; Measurement
* Partner with Product and Operations teams to design experiments, define success metrics, and implement robust statistical evaluation frameworks
* Ensure appropriate statistical power, so results are both valid and actionable
* Analyze experiment results and establish clear post experiment communication, ensuring learnings (positive or negative) are codified and inform future product or operational decisions
* Applied Analytics
* Lead analyses on patient growth, clinician utilization, marketplace dynamics and more to surface actionable insights to leadership
* Translate adhoc analyses into repeatable frameworks and scalable reporting so insights don’t stay one\-off, but become institutional knowledge
* Collaboration
* Collaborate with Data Engineering and BI teams to define requirements and highlight gaps, so that data pipelines reliably support advanced analytics and modeling
* Act as a thought partner to Operations, Clinical, and Finance leaders, not just answering questions, but shaping the questions we should be asking
**You have:**
* 4\+ years of experience in data science, analytics, or related fields, with a track record of delivering measurable business impact
* Advanced proficiency in Python (pandas, scikit\-learn, statsmodels and all other common data science packages) and SQL; experience with modern data warehouses (Snowflake, Redshift, BigQuery)
* Strong foundation in experimental design, causal inference, and statistical methods
* Practical understanding of ML modeling trade\-offs: when to deploy advanced models vs. when a well\-structured analysis is the right tool
* Understands the spirit of George Box’s reminder that “all models are wrong, but some are useful” and applies that judgment to build solutions that balance sophistication with pragmatism
* Exceptional communication skills, displaying the ability to frame technical findings in a way that resonates with stakeholders
* Experience in DBT is a plus, but not required
* Experience on a Product growth team, where experimentation and opportunity identification were key aspects of the role, is a plus
* Strong applied experience in data science is essential; a Master’s or PhD in a quantitative field is a plus
**Why Talkiatry:**
* Top\-notch team: we're a diverse, experienced group motivated to make a difference in mental health care
* Collaborative environment: be part of building something from the ground up at a fast\-paced startup
* Excellent benefits: medical, dental, vision, effective day 1 of employment, 401K with match, generous PTO plus paid holidays, paid parental leave, and more!
* Grow your career with us: hone your skills and build new ones with our Learning team as Talkiatry expands
* It all comes back to care: we’re a mental health company, and we put our team’s well\-being first
*Talkiatry participates in E\-Verify and will provide the federal government with your Form I\-9 information to confirm that you are authorized to work in the U.S. only after a job offer is accepted and Form I\-9 is completed. For more information on E\-Verify, please visit the following:* 
*EVerify Participation* 
*\&amp;* 
*IER Right to Work* 
*.*
*At Talkiatry, we are an equal opportunity employer committed to a diverse, inclusive, and equitable workplace and candidate experience. We strive to create an environment where everyone has a sense of belonging and purpose, and where we learn from the unique experiences of those around us.*
*We encourage all qualified candidates to apply regardless of race, color, ancestry, religion, national origin, sexual orientation, age, citizenship, marital or family status, disability, gender, gender identity or expression, pregnancy or caregiver status, veteran status,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for this position is $145,000 to $180,000, depending on experience; actual compensation will be dependent upon the specific role, location, as well as the individual’s qualifications, experience, skills and certifications.</t>
        </is>
      </c>
    </row>
    <row r="51">
      <c r="A51" t="inlineStr">
        <is>
          <t>li-4349823783</t>
        </is>
      </c>
      <c r="B51" t="inlineStr">
        <is>
          <t>Data Scientist</t>
        </is>
      </c>
      <c r="C51" t="inlineStr">
        <is>
          <t>FanDuel</t>
        </is>
      </c>
      <c r="D51" t="inlineStr">
        <is>
          <t>linkedin</t>
        </is>
      </c>
      <c r="E51">
        <f>HYPERLINK("https://www.linkedin.com/jobs/view/4349823783", "https://www.linkedin.com/jobs/view/4349823783")</f>
        <v/>
      </c>
      <c r="F51" t="inlineStr"/>
      <c r="G51" t="inlineStr">
        <is>
          <t>Jersey City, NJ</t>
        </is>
      </c>
      <c r="H51" t="inlineStr"/>
      <c r="I51" t="inlineStr">
        <is>
          <t>**THE POSITION**
 Our roster has an opening with your name on it
 FanDuel is looking for a Data Scientist, to drive our Sportsbook customer generosity distribution and bonus spend optimization. In this role you will be responsible for customer segmentation, modeling, automation, reporting and data analysis across all areas of Sportsbook generosity distribution. Using your numerical and technology capabilities you will play a key role in bonus spend research, optimization and communication of results to CRM and Commercial senior management.
 This is a great opportunity for somebody who wants to work in an environment where curiosity is rewarded, and people are empowered to make decisions. The ideal candidate will have a passion for continual learning and developing innovative solutions to business problems.
**THE GAME PLAN**
 Everyone on our team has a part to play
* Take on data science projects from start to finish, including working with stakeholders to agree project KPIs, and reporting on progress and outcomes throughout projects at agreed cadence
* Deliver high\-quality analysis, customer segmentation and predictive models which help drive incremental revenue through optimal automated bonus spend distribution
* Improve our understanding of customer behaviors, efficiency of promotions, and effectiveness of bonus spend
* Through idea generation and exploratory analysis, develop new and innovative ways to turn behaviors into features for use in analysis, segmentation and predictive modeling
* Create, modify, and evolve models which solve business problems, and show demonstrable improvements to department KPIs
* Demonstrate accurate insights and predictions using easy to interpret visualizations and clear explanations of results, recommendations, methods, biases and limitations
* Work with Data Engineering and Analytics Engineer to optimize data quality and data modeling pipelines
* Take responsibility to learn the necessary skills and techniques, to develop ability to work with independence, integrity and accuracy
* Collaborate with key stakeholders to help in identifying areas for improvement, and support their strategic objectives
* Assist in coaching, developing and performance managing less experienced team members
* Contribute new ideas for data science projects which have demonstrable potential to improve revenue performance or customer experience
**THE STATS**
 What we're looking for in our next teammate
* Minimum of 3\+ years of previous Data Science or Analytics Experience
* Minimum 1\+ years building and deploying complex machine learning models with real world applications
* Have a developed technical skill set which facilitates high\-quality, efficient \&amp; comprehensive quantitative analysis
* Proficient in SQL and experience of manipulating large datasets in Microsoft Excel
* Proficient in statistical or programming software and techniques (e.g. in Python, R, C\#, VBA, etc.)
* Strong communication and presentation skills, experienced in explaining technical projects to non\-technical stakeholders
* Experience working with data visualization tools like Tableau an advantage
* Undergraduate degree in a numerate or technical discipline
* Interest in sports is a plus
* Interest or experience in the Sports betting industry is an advantage
**About Fanduel**
 FanDuel Group is the premier mobile gaming company in the United States.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***The applicable salary range for this position is $116,000 \- $145,000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t>
        </is>
      </c>
    </row>
    <row r="52">
      <c r="A52" t="inlineStr">
        <is>
          <t>li-4291315440</t>
        </is>
      </c>
      <c r="B52" t="inlineStr">
        <is>
          <t>AI/ML Scientist/Developer</t>
        </is>
      </c>
      <c r="C52" t="inlineStr">
        <is>
          <t>Axle</t>
        </is>
      </c>
      <c r="D52" t="inlineStr">
        <is>
          <t>linkedin</t>
        </is>
      </c>
      <c r="E52">
        <f>HYPERLINK("https://www.linkedin.com/jobs/view/4291315440", "https://www.linkedin.com/jobs/view/4291315440")</f>
        <v/>
      </c>
      <c r="F52" t="inlineStr"/>
      <c r="G52" t="inlineStr">
        <is>
          <t>Frederick, MD</t>
        </is>
      </c>
      <c r="H52" t="inlineStr"/>
      <c r="I52" t="inlineStr">
        <is>
          <t>(ID: 2025\-0402\)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***AI/ML Scientist/Developer***
 to join our vibrant team at the
 **National Institutes of Health (NIH)** 
 supporting the Standardized Organoid Model Center in 
 **Frederick, MD.** 
 The Standardized Organoid Model Center is an NIH\-funded initiative dedicated to advancing organoid research through the development of validated, reproducible, and well\-characterized organoid models. The center brings together interdisciplinary teams of researchers to establish standardized protocols, develop quality control measures, and create resources that will benefit the broader organoid research community.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**Overview** 
 The AI/ML Scientist/Developer will develop innovative computational models to predict and optimize organoid growth and differentiation protocols. This position represents a unique opportunity to apply cutting\-edge machine learning techniques to advance organoid standardization and contribute to the development of predictive models for tissue engineering applications.
**Responsibilities** 
* The successful candidate will design and implement machine learning models that predict organoid development outcomes based on protocol parameters, environmental conditions, and molecular characterization data.
* They will develop in silico models that can simulate organoid growth dynamics and identify optimal conditions for reproducible organoid generation.
* The role involves creating feedback loops between experimental validation and computational prediction to iteratively improve protocol standardization.
* Collaboration with experimental teams to design validation experiments and with data scientists to integrate multi\-modal datasets will be essential components of this position.
**Required Qualifications** 
* Candidates must possess a Master's degree or PhD in computer science, engineering, applied mathematics, or a related field with demonstrated experience in AI/ML model development.
* Strong programming skills in Python, R, or similar languages are required, along with experience with machine learning frameworks such as TensorFlow, PyTorch, or scikit\-learn.
* Previous experience applying computational methods in biological laboratory settings is necessary, with knowledge of experimental design principles and biological data types.
**Preferred Qualifications** 
* Experience with organoid systems or tissue engineering applications is highly desirable.
* Knowledge of differential equations, systems biology modeling, and experience with deep learning approaches for biological applications will be considered strong assets.
* Familiarity with cloud computing platforms and containerization technologies is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Salary Range: $115,000 USD \- $130,000 USD</t>
        </is>
      </c>
    </row>
    <row r="53">
      <c r="A53" t="inlineStr">
        <is>
          <t>li-4329966693</t>
        </is>
      </c>
      <c r="B53" t="inlineStr">
        <is>
          <t>Data Scientist</t>
        </is>
      </c>
      <c r="C53" t="inlineStr">
        <is>
          <t>Kikoff</t>
        </is>
      </c>
      <c r="D53" t="inlineStr">
        <is>
          <t>linkedin</t>
        </is>
      </c>
      <c r="E53">
        <f>HYPERLINK("https://www.linkedin.com/jobs/view/4329966693", "https://www.linkedin.com/jobs/view/4329966693")</f>
        <v/>
      </c>
      <c r="F53" t="inlineStr"/>
      <c r="G53" t="inlineStr">
        <is>
          <t>San Francisco, CA</t>
        </is>
      </c>
      <c r="H53" t="inlineStr"/>
      <c r="I53" t="inlineStr">
        <is>
          <t>**Kikoff: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As a Data Scientist at Kikoff, you work closely with cross functional teams incl. Product, Engineering, Data Engineering, Marketing, Operation. By applying your technical skills, analytical mindset, and product intuition, you will help our customers improve their financial security. You will use data to identify and solve product development’s biggest challenges. Your responsibilities includes:
* Product leadership: use data to shape product development, quantify new opportunities, set goals, identify upcoming challenges, and ensure the products we build bring value to our customers.
* Analytics: develop hypotheses and employ a diverse toolkit of rigorous analytical approaches, different methodologies, frameworks, and technical approaches to test them.
* Communication and influence: convince and influence your partners by telling clear data stories.
**Qualifications** 
* Bachelors’ or above in quantitative discipline: Statistics, Applied Mathematics, Economics, Computer Science, Engineering, or related field
* A minimum of 2 years of work experience in analytics
* Expert knowledge of SQL and experience with Python
* Deep understanding of statistical analysis, experimentation design, and common analytical techniques like regression, decision trees
* Strong verbal and written communication skills
* A humble collaborative can\-do attitude and natural curiosity
**Base Range** 
 $160,000 \- $260,000 USD
 🏥 Medical, dental, and vision coverage \- Kikoff covers the full cost of health insurance for the employee!
 📈 Meaningful equity in the form of RSU's
 🏝️ 20 days of paid time off per year — we encourage taking real time away to recharge and do your best work
 💵 401(k) plan with a generous employer match to help you invest in your future
 💰 Competitive pay based on experience consisting of base \+ equity \+ benefits
 Location: Hybrid, 3 days onsite in San Francisco, CA.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
 .</t>
        </is>
      </c>
    </row>
    <row r="54">
      <c r="A54" t="inlineStr">
        <is>
          <t>li-4363426142</t>
        </is>
      </c>
      <c r="B54" t="inlineStr">
        <is>
          <t>Growth Data Scientist</t>
        </is>
      </c>
      <c r="C54" t="inlineStr">
        <is>
          <t>Docusign</t>
        </is>
      </c>
      <c r="D54" t="inlineStr">
        <is>
          <t>linkedin</t>
        </is>
      </c>
      <c r="E54">
        <f>HYPERLINK("https://www.linkedin.com/jobs/view/4363426142", "https://www.linkedin.com/jobs/view/4363426142")</f>
        <v/>
      </c>
      <c r="F54">
        <f>HYPERLINK("https://careers.docusign.com/jobs/28525?lang=en-us&amp;iis=Job+board&amp;iisn=LinkedIn&amp;urlHash=WVG4", "https://careers.docusign.com/jobs/28525?lang=en-us&amp;iis=Job+board&amp;iisn=LinkedIn&amp;urlHash=WVG4")</f>
        <v/>
      </c>
      <c r="G54" t="inlineStr">
        <is>
          <t>San Francisco, CA</t>
        </is>
      </c>
      <c r="H54" t="inlineStr"/>
      <c r="I54"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We’re looking for a strategic, execution\-minded Growth Data Scientist to be the data science engine behind Docusign’s self\-serve retention motion — ensuring our customers stay active, get value, and renew through intuitive, data\-driven product and lifecycle experiences. Partnering closely with a cross\-functional squad — including Growth, Product, Lifecycle Marketing, Customer Success, Engineering, and Strategy \&amp; Ops — you will use data and insights to help build and scale the systems that prevent churn and drive durable customer value.
 You will lead strategic analyses and hands\-on experimentation to uncover, validate, and scale new ways to reduce active and partial churn by improving usage, value realization, plan fit, and save\-flows. You will sit at the center of Docusign’s retention strategy, translating behavioral signals, product telemetry, and customer intent into decisions that shape how customers stay, downgrade, upgrade, or renew.
 In this high\-impact, hands\-on role, you will own retention performance readouts, design and analyze cancel\-save and customer lifecycle experiments, and deliver clear, compelling insights that directly inform product, marketing, and go\-to\-market execution. You will help Docusign evolve to a proactive, intelligent, and customer\-centric retention engine — where the right intervention happens at the right moment in the customer journey.
 Our ideal candidate combines best\-in\-class analytical skills, a strong strategic mindset with a bias for execution, a passion for experimentation and continuous learning, and a proven record of turning usage, churn signals, and customer behavior into measurable retention and revenue impact.
 This position is an individual contributor role reporting to the Director, Growth Analytics.
**Responsibility**
* Translate complex data and analyses into clear, data‑backed recommendations for senior leadership, influencing strategic direction across Growth, Product, Marketing, Sales, and Customer Success
* Provide regular reporting on key metrics to executive leadership, highlighting successes, identifying risks, and recommending proactive solutions
* Design, implement, and analyze experiments (A/B tests, causal inference) that inform product and GTM decisions and quantify business impact
* Identify growth opportunities and risks, using forecasting and scenario modeling to guide resource allocation and prioritization
* Apply advanced analytical techniques (e.g., predictive modeling, customer segmentation, LTV analysis) to understand customer behavior, forecast outcomes, and inform strategic initiatives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2\+ years of experience in Analytics, Data Science, or related roles \- ideally spanning product/growth analytics, strategic/consulting analytics, or sales‑operations analytics in a SaaS environment
* Experience with experimentation frameworks (A/B testing, causal inference) and strategic analysis
* Experience with SQL plus Python or R, and strong command of visualization tools such as Tableau, Looker, or equivalent
* Demonstrated ability to distill complex analytical findings into concise, actionable recommendations for executive audiences
**Preferred**
* Excellent communication and presentation skills with the ability to present complex data analysis, insights, and recommendations to senior leadership
* Prior partnership with Growth Product Management or Marketing, influencing strategy through data‑driven insights.
* Experience operating in hybrid self‑serve / sales‑assisted SaaS business models
* MBA, MS, or PhD in a quantitative discipline (e.g., Statistics, Computer Science, Economics)
 Wage Transparency
 Pay for this position is based on a number of factors including geographic location and may vary depending on job\-related knowledge, skills, and experience.
 Based on applicable legislation, the below details pay ranges in the following locations:
 California: $100,300\.00 \- $154,900\.00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55">
      <c r="A55" t="inlineStr">
        <is>
          <t>li-4381508880</t>
        </is>
      </c>
      <c r="B55" t="inlineStr">
        <is>
          <t>Data Scientist (Fintech / Onchain Analytics)</t>
        </is>
      </c>
      <c r="C55" t="inlineStr">
        <is>
          <t>PulseRise Technologies</t>
        </is>
      </c>
      <c r="D55" t="inlineStr">
        <is>
          <t>linkedin</t>
        </is>
      </c>
      <c r="E55">
        <f>HYPERLINK("https://www.linkedin.com/jobs/view/4381508880", "https://www.linkedin.com/jobs/view/4381508880")</f>
        <v/>
      </c>
      <c r="F55">
        <f>HYPERLINK("https://pulserisetechnologies.freshteam.com/jobs/l4ChAsfCVU-0/data-scientist-fintech-onchain-analytics?ft_source=2000143903&amp;ft_medium=2000137342&amp;urlHash=Wiy0", "https://pulserisetechnologies.freshteam.com/jobs/l4ChAsfCVU-0/data-scientist-fintech-onchain-analytics?ft_source=2000143903&amp;ft_medium=2000137342&amp;urlHash=Wiy0")</f>
        <v/>
      </c>
      <c r="G55" t="inlineStr">
        <is>
          <t>New York, NY</t>
        </is>
      </c>
      <c r="H55" t="inlineStr"/>
      <c r="I55" t="inlineStr">
        <is>
          <t>**HYBRID IN NEW YORK**
 We are looking for an experienced Data Scientist to drive data\-informed decision\-making across product, finance, and engineering within a fast\-growing crypto payments infrastructure company. This role sits at the intersection of onchain analytics, product experimentation, and business performance optimization. You will transform transaction flows, routing behavior, and user journey data into insights that directly shape roadmap and growth strategy. The position requires strong statistical expertise, hands\-on experimentation experience, and comfort working with large\-scale financial datasets. You will collaborate closely with product leaders and the CFO to evaluate unit economics, conversion funnels, and market dynamics. This is a high\-ownership role based in New York City, working in\-person with the core team.
 Details
 Location: NYC
 Work Model: Hybrid (4 days in\-office)
 Employment Type: Full\-time
 Industry: Fintech / Crypto Infrastructure
 Start Date: ASAP
 Key Responsibilities
 Design scalable data models to analyze transaction flows, routing behavior, and user journeys
 Build and maintain reliable data pipelines and transformations ensuring data quality and reproducibility
 Partner with CFO and leadership to analyze unit economics, revenue drivers, and growth performance
 Define and track product KPIs such as conversion, retention, engagement, and cohort performance
 Design and execute experiments (A/B testing, causal inference, uplift modeling)
 Translate complex quantitative findings into clear, actionable insights for technical and non\-technical stakeholders
 Analyze market behavior and liquidity patterns within crypto or DeFi ecosystems
 Support roadmap decisions with production\-grade data insights
**Requirements**
 5\+ years of experience using Python and SQL in data science or analytics roles
 Strong background in statistics, experimentation design, and causal inference
 Experience analyzing user behavior, funnels, retention, and product performance
 Experience working with modern data platforms (Redshift, Snowflake, Databricks)
 Experience with data transformation/orchestration tools such as dbt
 Strong communication skills and ability to explain complex analysis clearly
 Experience working in cross\-functional environments
 Nice to Have
 Experience analyzing large\-scale transaction or financial datasets (payments, trading, lending)
 Experience with ML libraries (Pandas, NumPy, scikit\-learn; PyTorch or TensorFlow a plus)
 Familiarity with spreads, slippage, liquidity dynamics in crypto markets
 Background in fintech, crypto analytics, or DeFi protocols
 Deep interest in Web3 infrastructure and onchain ecosystems</t>
        </is>
      </c>
    </row>
    <row r="56">
      <c r="A56" t="inlineStr">
        <is>
          <t>li-4381523448</t>
        </is>
      </c>
      <c r="B56" t="inlineStr">
        <is>
          <t>Data Scientist, Associate</t>
        </is>
      </c>
      <c r="C56" t="inlineStr">
        <is>
          <t>Wiraa</t>
        </is>
      </c>
      <c r="D56" t="inlineStr">
        <is>
          <t>linkedin</t>
        </is>
      </c>
      <c r="E56">
        <f>HYPERLINK("https://www.linkedin.com/jobs/view/4381523448", "https://www.linkedin.com/jobs/view/4381523448")</f>
        <v/>
      </c>
      <c r="F56">
        <f>HYPERLINK("https://www.wiraa.com/job-description/us63487AEED690111038BDB7D65E34DA24?source=Linkedin&amp;urlHash=MXuO", "https://www.wiraa.com/job-description/us63487AEED690111038BDB7D65E34DA24?source=Linkedin&amp;urlHash=MXuO")</f>
        <v/>
      </c>
      <c r="G56" t="inlineStr"/>
      <c r="H56" t="inlineStr"/>
      <c r="I56" t="inlineStr">
        <is>
          <t>**About The Company**
 The United States Olympic \&amp; Paralympic Committee (USOPC) is the National Olympic Committee responsible for supporting and developing Olympic and Paralympic athletes in the United States. Committed to fostering excellence, integrity, and innovation, the USOPC plays a vital role in preparing athletes for international competition and promoting the values of sportsmanship, teamwork, and perseverance. With a focus on high performance, community engagement, and athlete well\-being, the organization strives to elevate the Olympic and Paralympic movements within the country and inspire communities through sport. As a leading entity dedicated to excellence in sports, the USOPC offers a collaborative and dynamic environment for professionals passionate about advancing athletic achievement and making a meaningful impact on the lives of athletes and fans alike.
**About The Role**
 The Associate Performance Data Scientist supports the USOPC’s mission by developing and implementing advanced data strategies to enhance performance analytics across Olympic and Paralympic sports. Reporting to the Associate Director, Performance Data Science, this role involves creating scalable data solutions, ensuring data integrity, and delivering actionable insights that drive athlete development and team success. The ideal candidate will leverage expertise in data engineering, integration, and analytics to expand performance insights, particularly within Paralympic sport and high\-performance pathways. This position requires a detail\-oriented, innovative thinker capable of working independently and collaboratively to optimize data workflows, develop predictive models, and support the organization’s strategic objectives. By translating complex data into meaningful insights, the Associate Performance Data Scientist directly contributes to the USOPC’s goal of achieving excellence on the world stage.
**Qualifications**
* Bachelor’s degree in Computer Science, Data Science, Statistics, Analytics, Engineering, or a related field (Master’s degree preferred)
* 1\-3 years of experience in data engineering, analytics, or related roles
* Proficiency in SQL, Python, R, and data pipeline architecture
* Experience with ETL processes, data integration techniques, and database systems such as Snowflake and SQL
* Knowledge of web scraping, APIs, and PDF data extraction methods
* Understanding of cloud platforms including Azure, Snowflake, and AWS
* Experience with machine learning, feature engineering, and parallel computing
* Strong problem\-solving, communication, and documentation skills
* Ability to manage multiple projects, prioritize tasks, and work independently
* Knowledge of HIPAA and USOPC data privacy policies
* A passion for Olympic and Paralympic sports and the mission of Team USA
**Responsibilities**
* Support the Performance Analytics team by translating data requirements into scalable technical solutions
* Develop innovative performance insights and predictive models to expand the USOPC’s International Competitive Analysis program, including Paralympic sport
* Design, deploy, and monitor data solutions, ensuring data quality, completeness, and security
* Architect and optimize data pipelines to integrate new data sources and systems seamlessly
* Collaborate with Performance Data Analysts to incorporate athlete health, wellness, and performance data into analysis tools and platforms
* Identify and acquire new data sets to enhance analytics coverage, automating data collection through web scraping, APIs, and document extraction
* Develop documentation, version control, and best practices to ensure consistency and reproducibility of analytics solutions
* Monitor and improve existing data feeds for performance, scalability, and accuracy
* Assist in developing and validating algorithms, analysis tools, and predictive models
* Stay updated on emerging trends and technologies in sports analytics and data engineering
* Collaborate with IT teams to develop data models and ensure efficient storage and retrieval of analytics data
**Benefits**
* Competitive salary range of $66,000 \- $70,000 annually
* Eligibility for the USOPC Annual Incentive Award Program with a 10% target
* Comprehensive benefits package including health, dental, and vision insurance
* Paid time off and holidays
* Opportunities for professional development and training
* Flexible work arrangements, including remote or hybrid options at Colorado Springs headquarters
* Travel opportunities domestically and internationally for events and conferences
 Equal Opportunity
 The USOPC is an equal opportunity employer committed to fostering an inclusive environment. We celebrate diversity and are dedicated to creating a workplace where all individuals are valued and respected. We do not discriminate based on race, color, religion, gender, sexual orientation, gender identity, national origin, age, disability, or any other protected status. All qualified applicants are encouraged to apply and will receive consideration for employment without regard to any protected characteristic.</t>
        </is>
      </c>
    </row>
    <row r="57">
      <c r="A57" t="inlineStr">
        <is>
          <t>li-4222974134</t>
        </is>
      </c>
      <c r="B57" t="inlineStr">
        <is>
          <t>Data Scientist</t>
        </is>
      </c>
      <c r="C57" t="inlineStr">
        <is>
          <t>Versa Networks</t>
        </is>
      </c>
      <c r="D57" t="inlineStr">
        <is>
          <t>linkedin</t>
        </is>
      </c>
      <c r="E57">
        <f>HYPERLINK("https://www.linkedin.com/jobs/view/4222974134", "https://www.linkedin.com/jobs/view/4222974134")</f>
        <v/>
      </c>
      <c r="F57">
        <f>HYPERLINK("https://jobs.jobvite.com/versa-networks/job/obYcvfwA?__jvst=Job+Board&amp;__jvsd=LinkedIn&amp;urlHash=5jiN", "https://jobs.jobvite.com/versa-networks/job/obYcvfwA?__jvst=Job+Board&amp;__jvsd=LinkedIn&amp;urlHash=5jiN")</f>
        <v/>
      </c>
      <c r="G57" t="inlineStr">
        <is>
          <t>Santa Clara, CA</t>
        </is>
      </c>
      <c r="H57" t="inlineStr"/>
      <c r="I57" t="inlineStr">
        <is>
          <t>**Description**
 About Us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**Job Summary**
 We are seeking a talented and motivated Data Scientist to join our Machine Learning team. In this role, you will contribute to a wide range of data\-driven projects, from exploratory data analysis to building and deploying machine learning models for a variety of Networking, Security and Language use\-cases. You will work closely with cross\-functional teams to uncover insights, solve complex problems, and drive data\-informed decision\-making.
**Responsibilities**
* Data Analysis and Visualization: Conduct exploratory data analysis (EDA) to understand data characteristics and identify patterns. Utilize data visualization techniques to communicate insights effectively.
* Data Preparation and Engineering: Ingest, clean, preprocess, and transform data to prepare it for analysis and modeling. Handle missing values, outliers, and inconsistencies. Labeling datasets appropriately for classification problems.
* Machine Learning: Build, train, and evaluate machine learning models, including traditional algorithms like CNNs, XGBoost, Transformers, Various Graph ML algorithms, Time Series modelling, LLM etc.
* Model Deployment: Collaborate with engineering teams to deploy models into production, ensuring scalability and reliability. You need to be aware of and have experience in model quantization, model evaluation and various deployment formats like ONNX, GGUF etc
* Problem\-Solving: Apply critical thinking and problem\-solving skills to tackle complex data challenges.
* Collaboration: Work effectively with data engineers, analysts, and domain experts to understand business requirements and translate them into actionable data insights.
**Qualifications**
* Masters degree in Computer Science/Engineering.
* 8\+ years of experience in data science or a related field.
* Strong proficiency in Python programming language.
* Experience with data analysis and visualization tools (e.g., Pandas, NumPy, Matplotlib, Seaborn).
* Knowledge of machine learning algorithms and techniques.
* Familiarity with deep learning frameworks (e.g., TensorFlow, PyTorch).
* Experience with natural language processing (NLP) and large language models (LLMs) is a plus.
* Strong problem\-solving and analytical skills.
* Excellent communication and collaboration skills.
* Preferred Qualifications:
+ Experience with Go programming language.
+ Acceleration frameworks such as RAPIDS, Spark is preferable.
+ Knowledge of cloud platforms (e.g., AWS, GCP, Azure).
+ Experience with data version control and MLOps practices.
 Location: Santa Clara
* Applicants must be authorized to work in the US
 The pay range for this position at commencement of employment in California, Washington, or New York City is expected in the range of $225,000 \- $300,000\. A candidate’s specific pay within this range will depend on a variety of factors, including job\-related skills, training, location, experience, relevant education, certifications, and other business and organizational needs.
 Why Versa?
**Benefits**
 At Versa Networks, we believe in taking care of our people – both professionally and personally. We offer a comprehensive benefits package designed to support the well\-being, growth, and work\-life balance of our employees. When you join our team, you can expect:
* Competitive Salary \&amp; Incentives: We offer a competitive compensation package with and pre\-IPO equity to reward your hard work and dedication.
* Health \&amp; Wellness: Comprehensive medical, dental, and vision insurance plans to ensure you and your family stay healthy and covered.
* Paid Time Off (PTO): Enjoy a generous PTO policy that includes vacation days, sick leave, and paid holidays to recharge and take care of personal matters.
* Flexible Work Environment: We understand the importance of work\-life balance. Enjoy the flexibility of remote work, and hybrid option to create the work schedule that works best for you.
* Professional Development: We believe in continuous learning. Access to training, certifications, and educational resources to help you grow in your career and stay ahead of industry trends.
* Employee Recognition: We celebrate achievements both big and small, with regular recognition programs and awards that highlight your contributions to our collective success.
* Collaborative Culture: Be part of a dynamic, inclusive, and supportive team where innovation and collaboration are at the heart of everything we do.
* Parental Leave: Generous parental leave policies to support you during life's important moments.
 At Versa Networks, our benefits are designed to help you thrive both inside and outside the office. Join us and experience a rewarding, fulfilling career in a supportive environment that values your health, happiness, and success.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placement, promotion, termination, layoff, recall, transfer, leaves of absence, compensation, and training.</t>
        </is>
      </c>
    </row>
    <row r="58">
      <c r="A58" t="inlineStr">
        <is>
          <t>li-4382613450</t>
        </is>
      </c>
      <c r="B58" t="inlineStr">
        <is>
          <t>Data Scientist</t>
        </is>
      </c>
      <c r="C58" t="inlineStr">
        <is>
          <t>BGB Group</t>
        </is>
      </c>
      <c r="D58" t="inlineStr">
        <is>
          <t>linkedin</t>
        </is>
      </c>
      <c r="E58">
        <f>HYPERLINK("https://www.linkedin.com/jobs/view/4382613450", "https://www.linkedin.com/jobs/view/4382613450")</f>
        <v/>
      </c>
      <c r="F58" t="inlineStr"/>
      <c r="G58" t="inlineStr"/>
      <c r="H58" t="inlineStr"/>
      <c r="I58" t="inlineStr">
        <is>
          <t>**BGB Group**
**Data Scientist**
**Our Agency**
 BGB Group is a healthcare communications agency that offers a wide range of services, including traditional pharmaceutical advertising, promotional medical education, payer marketing, and consulting services. Known for excellence and professionalism, we’re hired as strategic and creative partners by our biopharmaceutical clients to drive category/brand awareness and growth.
**Position Overview**
 We're seeking a Data Scientist to deliver high\-impact analytics solutions and translate data into actionable business insights. You'll execute analytical projects, develop data visualizations, and conduct statistical analyses to support business decisions.
**A Day in the Life**
* Execute analytics projects and conduct exploratory data analysis to uncover business insights
* Extract insights from structured and unstructured datasets using advanced data modeling
* Develop advanced analytical solutions using SQL, cloud platforms, and analytics tools; ensure data quality
* Conduct statistical modeling, predictive analytics, and data\-driven investigations
* Create compelling data visualizations and dashboards using Tableau, Excel, and similar platforms
* Present findings and recommendations; communicate complex analyses into clear insights for stakeholders
* Work with provided requirements and deliver technical analyses with minimal oversight
**What You'll Need**
* Proficiency in SQL, Python, and a cloud platform (GCP BigQuery preferred)
* Strong data visualization and communication skills—translating technical findings for stakeholders
* Experience working independently and maintaining quality standards
* Problem\-solving mindset for complex data challenges
* Comfortable with using LLMs and Agents (experience with LangChain a plus)
**Preferred Qualifications**
* Experience with attribution modeling, cohort analysis, or predictive analytics (experience with structured and unstructured medical claims data strongly preferred)
* Proficiency in data pipeline development and automation
* Experience with experimentation design and statistical testing
* Experience working with healthcare data and knowledge of United States’ healthcare system
* Experience managing freelance or consulting engagements
* Some overlap with EST and GTM
**Salary range** 
 : $150,000\-$180,000
 The salary range provided represents what a potential hire may expect to earn in this role at BGB. Actual salary decisions will be influenced by several factors that we use to determine overall fit, including experience (both direct and indirect), education, training, demonstrated qualifications, and organizational need. Salary is only one component of the total rewards package offered at BGB Group.
*BGB Group is an equal opportunity employer. All applicants will be considered without regard to race, color, religion, sex, age, national origin, citizenship status, sexual orientation, disability, veteran status or any category or class of person protected by law.*</t>
        </is>
      </c>
    </row>
    <row r="59">
      <c r="A59" t="inlineStr">
        <is>
          <t>li-4332959084</t>
        </is>
      </c>
      <c r="B59" t="inlineStr">
        <is>
          <t>AI Engineer (Applied Scientist) III</t>
        </is>
      </c>
      <c r="C59" t="inlineStr">
        <is>
          <t>Cedar</t>
        </is>
      </c>
      <c r="D59" t="inlineStr">
        <is>
          <t>linkedin</t>
        </is>
      </c>
      <c r="E59">
        <f>HYPERLINK("https://www.linkedin.com/jobs/view/4332959084", "https://www.linkedin.com/jobs/view/4332959084")</f>
        <v/>
      </c>
      <c r="F59" t="inlineStr"/>
      <c r="G59" t="inlineStr"/>
      <c r="H59" t="inlineStr"/>
      <c r="I59"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seeking an
 **AI Engineer** 
**/Applied Scientist III** 
 to join our team and help build and optimize product features powered by generative AI
 . Our goal is to use AI to drive bill clarity for patients and streamline workflows for our customers, which are large healthcare systems across the US. 
 This role is for the Support/Kora squad, where you will work on Kora, an AI Voice Agent purpose\-built for patient billing, which is the central product for our Cedar Support offering. In this role, you will develop a deep understanding of Cedar’s data and workflows and utilize your skillset in rigorous data analysis combined with production\-level coding and rapid execution to design, build, and improve the AI workflows that solve problems for patients via the voice medium.  
**Responsibilities:** 
* Dive into unstructured data with finesse and rigor, combining quantitative and qualitative approaches to solve complex problems. This data can include call transcripts, patient account details, and more
* Design robust experiment plans that allow you to rapidly test hypotheses and solve problems that will lead to an improved patient experience (and execute these plans!)
* Build and enhance features for our AI Voice Agent, Kora – utilizing your skillset in production\-level coding as well as prompt and context engineering
* Measure and track the impact of the new features and enhancements that you build, displaying a strong ownership mentality as you continue to iterate on Kora based on your results and findings
* Partner closely with other scientists, engineers, designers, and product counterparts to solve problems as a team
* Work in a fast\-paced environment where we cheer each other on as we find small ways to make the patient experience a little bit better every day, while we work towards our ultimate goal to transform the healthcare financial experience
**Skills and Experience:** 
* 3 or more years of full\-time experience working in a structured product development environment on a product that had frequent releases (i.e., regular updates with enhancements, bug fixes, and new features)
* Experience collaborating with partners from different job functions, and the ability to translate business requirements into technical builds
* A strong understanding of both the scientific method and software engineering principles, with a proven ability to balance experimental rigor and rapid production deployment
* Experience with modern programming languages (in this role, you’ll use both Python and Typescript)
* Ability to thrive in an entrepreneurial environment, showing a tendency toward speed and action while achieving clarity from ambiguity
* A passion not only for AI, but also in the application of AI to solve real problems for real users.
 If you are a match for this role, you’ll feel comfortable diving deep into the data to figure out the best way to solve a particular user problem, presenting your findings, incorporating updates based on feedback, and implementing your solution in code. Ultimately doing all of this to make a
 tangible difference for users
* You are excited by the opportunity to use your combined skillset in data science and AI engineering to make a true impact on patient lives
**Compensation Range and Benefits** 
* Salary/Hourly Rate Range\*: $170,000 \- $200,000
* This role is equity eligible
* This role offers a competitive benefits and wellness package
 \*Subject to location, experience, and education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60">
      <c r="A60" t="inlineStr">
        <is>
          <t>li-4381515863</t>
        </is>
      </c>
      <c r="B60" t="inlineStr">
        <is>
          <t>Data Scientist, Early Career</t>
        </is>
      </c>
      <c r="C60" t="inlineStr">
        <is>
          <t>Jobright.ai</t>
        </is>
      </c>
      <c r="D60" t="inlineStr">
        <is>
          <t>linkedin</t>
        </is>
      </c>
      <c r="E60">
        <f>HYPERLINK("https://www.linkedin.com/jobs/view/4381515863", "https://www.linkedin.com/jobs/view/4381515863")</f>
        <v/>
      </c>
      <c r="F60" t="inlineStr"/>
      <c r="G60" t="inlineStr"/>
      <c r="H60" t="inlineStr"/>
      <c r="I60"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61">
      <c r="A61" t="inlineStr">
        <is>
          <t>li-4349721364</t>
        </is>
      </c>
      <c r="B61" t="inlineStr">
        <is>
          <t>Data Scientist AI</t>
        </is>
      </c>
      <c r="C61" t="inlineStr">
        <is>
          <t>Internet Brands</t>
        </is>
      </c>
      <c r="D61" t="inlineStr">
        <is>
          <t>linkedin</t>
        </is>
      </c>
      <c r="E61">
        <f>HYPERLINK("https://www.linkedin.com/jobs/view/4349721364", "https://www.linkedin.com/jobs/view/4349721364")</f>
        <v/>
      </c>
      <c r="F61">
        <f>HYPERLINK("https://jobs.jobvite.com/internetbrands/job/oKrTyfwm?__jvst=Job+Board&amp;__jvsd=LinkedIn&amp;urlHash=0CGh", "https://jobs.jobvite.com/internetbrands/job/oKrTyfwm?__jvst=Job+Board&amp;__jvsd=LinkedIn&amp;urlHash=0CGh")</f>
        <v/>
      </c>
      <c r="G61" t="inlineStr">
        <is>
          <t>El Segundo, CA</t>
        </is>
      </c>
      <c r="H61" t="inlineStr"/>
      <c r="I61" t="inlineStr">
        <is>
          <t>**Description**
**Data Scientist AI**
**Internet Brands and WebMD are looking for a Data Scientist to join our Los Angeles based headquarters, and work on exciting personalization initiatives! The position is 5 days a week in the office. The ideal candidate has a practical background in machine learning and deep learning, with recent hands\-on experience in natural language understanding, large language models (LLMs), generative AI applications, retrieval\-augmented generation (RAG), or agentic AI systems. You will be working on various efforts involving machine learning, product engineers and data scientists in building projects such as content recommendation, personalization, and business intelligence models to enhance our customer experience and business intelligence capabilities.**
 Responsibilities:
* Processing, cleansing, and verifying the integrity of data used for analysis
* Doing ad\-hoc analysis and presenting results in a clear manner.
* Experience with feature synthesis and selection techniques to build models
* Solid understanding of regression, classification algorithms framework
* Apply machine learning techniques at scale on massive data sets
* Working with large language models (LLMs) for applications such as content summarization, recommendation, and personalization. Apply RAG (Retrieval\-Augmented Generation) pipelines for knowledge retrieval.
* Experiment agentic AI framework to enhance personalization and automation.
* Prior work with model evaluation benchmarks and large\-scale LLM testing frameworks.
* Experience with prompt fine\-tuning techniques, LLMs optimization techniques(pre\-training, post\-training etc)
* Collaborate with cross\-functional agile teams of software engineers, domain experts, and others to build new product features for multiple business units.
* Collaborate with data scientists across a variety of businesses to prioritize and promote our machine learning efforts.
 Skills and Qualifications:
* 2\-4 years of data science experience with expertise in predictive analytics,
* B.S., M.S. or PhD in Data Science, Computer Science, Software Engineering, Information Science, Mathematics, Statistics, Electrical Engineering, Physics or related fields or equivalent experience.
* Strong understanding of transformer\-based architectures, embeddings, and tokenization techniques.
* Proficiency with LLM frameworks and APIs, such as LangChain, Hugging Face Transformers, OpenAI, Google Vertex AI (Gemini), or Anthropic Claude, coupled with expertise in evaluation and performance benchmarking
* Demonstrated ability to implement prompt engineering, fine\-tuning, and evaluation for LLMs.
* Strong understanding of personalization and recommendation algorithms, including collaborative filtering (CF), content\-based filtering, hybrid recommenders, sequence\-based or session\-based models, and graph\-based models.
* Proficiency in using query languages such as SQL.
* Web analytics experience (Google Analytics, Adobe)
* Experience with common data science toolkits, such as R, Scikit\-learn, NumPy, Tensorflow.
* This role is 5 days a week onsite at Internet Brands' headquarters in El Segundo, CA
 At Internet Brands, we carefully consider a wide range of factors when determining compensation, including your background and experience. These considerations can cause your compensation to vary. We expect the compensation for this role to be in the low 100s. We encourage all interested candidates to apply.
 In addition to our awesome culture, we offer a comprehensive benefits package designed to support the health and well\-being of you and your family. Our benefits include health insurance options such as medical, dental, and vision coverage, flexible spending accounts (FSA) for medical and dependent care, short\-term and long\-term disability insurance, and life and AD\&amp;D insurance. We also provide a 401(k) retirement savings plan with a company match, paid time off (PTO), paid holidays, commuter benefits as well as access to our Employee Assistance Program (EAP) and well\-being coaching services. In addition, employees can take advantage of voluntary benefits such as home, auto and pet insurance, and discounted legal and financial services. For more details, feel free to inquire during the interview process.
 Internet Brands®, headquartered in El Segundo, Calif, is a fully integrated online media and software services company focused on four high\-value vertical categories: Health, Automotive, Legal, and Home/Travel. The company's properties and platforms include the WebMD, Medscape, and Henry Schein ONE networks, which are the global leaders in their markets; Nolo, Avvo, and Martindale, which form the largest consumer information provider in the legal market; and CarsDirect, Fodor's Travel, and many others which are leaders in their key vertical markets. Internet Brands' award\-winning consumer websites lead their categories and serve more than 250 million monthly visitors, while a full range of web presence offerings has established deep, long\-term relationships with SMB and enterprise clients. The company's powerful, proprietary operating platform provides the flexibility and scalability to fuel the company's continued growth. Internet Brands is a portfolio company of KKR and Warburg Pincus.
 Internet Brands is an equal opportunity employer, and we welcome applicants from all backgrounds. We comply with all applicable laws and regulations, including the City of Los Angeles Fair Chance Initiative for Hiring Ordinance (FCIHO).
 Notice to California residents: you can find information about our privacy practices, on: https://www.internetbrands.com/work\-with\-us/cpra</t>
        </is>
      </c>
    </row>
    <row r="62">
      <c r="A62" t="inlineStr">
        <is>
          <t>li-4338427752</t>
        </is>
      </c>
      <c r="B62" t="inlineStr">
        <is>
          <t>Data Scientist</t>
        </is>
      </c>
      <c r="C62" t="inlineStr">
        <is>
          <t>RAPP</t>
        </is>
      </c>
      <c r="D62" t="inlineStr">
        <is>
          <t>linkedin</t>
        </is>
      </c>
      <c r="E62">
        <f>HYPERLINK("https://www.linkedin.com/jobs/view/4338427752", "https://www.linkedin.com/jobs/view/4338427752")</f>
        <v/>
      </c>
      <c r="F62">
        <f>HYPERLINK("https://app.greenhouse.io/embed/job_app?token=7415616&amp;gh_src=4b13b93a1us&amp;urlHash=L_ib", "https://app.greenhouse.io/embed/job_app?token=7415616&amp;gh_src=4b13b93a1us&amp;urlHash=L_ib")</f>
        <v/>
      </c>
      <c r="G62" t="inlineStr"/>
      <c r="H62" t="inlineStr"/>
      <c r="I62" t="inlineStr">
        <is>
          <t>RAPP Los Angeles is looking for a Data Scientist to join our award\-winning Marketing Sciences team.
**Who We Are**
 We are RAPP – world leaders in activating growth with precision and empathy at scale.
 As a global, next\-generation precision marketing agency we leverage data, creativity, technology, and empathy to foster client growth. We champion individuality in the marketing solutions we create, and in our workplace. We fight for solutions that adapt to the individual’s needs, beliefs, behaviors, and aspirations.
 We foster an inclusive workplace that emphasizes personal well\-being.
**How We Do It**
 At RAPP, our fearless superconnectors help to create value from personal brand experiences by focusing on three key areas: connected data, connected content and connected decisioning.
 Our data analysts identify who that person is, our strategists understand what they want, and our award\-winning technologists and creatives know how to deliver it – ensuring we’re able to activate authentic customer connections for our clients.
 Part of Omnicom’s Precision Marketing Group, RAPP is comprised of 2,000\+ creatives, technologists, strategists, and data and marketing scientists across 15\+ global markets.
**Your Role**
 We are seeking a highly skilled Data Scientist with deep expertise and understanding in statistical methods, machine learning models, Retrieval\-Augmented Generation (RAG) architectures and neural networks. The ideal candidate will play an important role in researching, developing, and deploying advanced AI/ML solutions that drive business impact. Under the direction of the Director, Data Science, the Data Scientist will work cross\-functionally to solve complex problems and deliver innovative, production\-grade models.
**Responsibilities**
* Analyzes large and small internal and external datasets to extract actionable insights
* Develop statistical/ machine learning models to drive targeting, messaging and strategic decision\-making, which may include and is not limited to:
* Marketing Mix (MMM) and Marketing Attribution (MTA) models
* Profile\-based, Behavioral, LTV and other customer segmentation models
* Response, look\-alike, loyalty, net lift and other sales models
* Survival Analysis, In\-market and other timing models
* Leads, sales and other KPI forecasting models
* Support iteration and feature enhancement of existing models
* Create new or challenger models with methods, data, and/or tools that are currently not in production.
* Aid in code standardization, review, and versioning to increase efficiency and streamline process
* Collaborate with other disciplines to explain insights around statistical output that helps describe the targeting group, consumer, or model tier to non\-technical audiences
**Requirements**
* Master’s degree in computer science, Data Science, , Statistics, Mathematics, Economics, or related discipline
* 1\-2 years’ experience applying statistical \-mathematical analysis and/or analytics\-based programming to model, forecast and/or answer tactical and strategic questions.
* Working knowledge of database marketing principles, and databases and structure
* Proficient in Python.
* Familiarity with AI/Neural Networks.
* Ideal candidate will have some experience with SparkML and/or other programming languages and API packages
* Strong written and verbal communication skills
**Our Hybrid Work Model**
 RAPP's current hybrid model is designed to enable in\-person connections and collaboration that is core to our culture, while also supporting flexibility for all employees. As such, we have the option to work from home two days per week, if we'd like.
**RAPP provides a competitive salary and comprehensive benefits plan. Benefits for this role include health/vision/dental insurance, 401(k), stock options, Healthcare \&amp; Dependent Flexible Spending Accounts, vacation, sick, and personal days and positive activism days, paid parental leave and disability benefits. For more information regarding Omnicom benefits, please visit www.omnicombenefits.com. A reasonable estimate of the salary for this role, at the time of posting, is $85,000 \- $93,500\. This range is specific to Los Angeles and multiple factors are considered in making compensation decisions including, but not limited to: skill set, experience and training, certifications; etc. This is an exempt position. If your requirements fall outside of this range, you are still welcome to apply.**
 “As an EEO/Affirmative Action Employer all qualified applicants will receive consideration for employment without regard to race, color, religion, sex, sexual orientation, gender identity, national origin, disability, veteran status.”
*NOTE: This job description is not intended to be all\-inclusive. Employee may perform other related duties as negotiated to meet the ongoing needs of the organization.*</t>
        </is>
      </c>
    </row>
    <row r="63">
      <c r="A63" t="inlineStr">
        <is>
          <t>li-4343467522</t>
        </is>
      </c>
      <c r="B63" t="inlineStr">
        <is>
          <t>Senior Data Scientist</t>
        </is>
      </c>
      <c r="C63" t="inlineStr">
        <is>
          <t>Intuit</t>
        </is>
      </c>
      <c r="D63" t="inlineStr">
        <is>
          <t>linkedin</t>
        </is>
      </c>
      <c r="E63">
        <f>HYPERLINK("https://www.linkedin.com/jobs/view/4343467522", "https://www.linkedin.com/jobs/view/4343467522")</f>
        <v/>
      </c>
      <c r="F63" t="inlineStr"/>
      <c r="G63" t="inlineStr">
        <is>
          <t>Mountain View, CA</t>
        </is>
      </c>
      <c r="H63" t="inlineStr"/>
      <c r="I63" t="inlineStr">
        <is>
          <t>**Overview**
 Come join the Mailchimp Paid Media Marketing Data Science team as a Senior Data Scientist. You will be joining a team that is responsible for driving marketing decisions through data\-backed insights, bringing in new customers via paid marketing channels. As a paid media marketing data scientist, you will drive a deeper understanding of marketing campaign performance, help identify areas of opportunity within marketing channels, and inform marketing strategy through advanced analytics and data science tools.
**Responsibilities**
* Build and execute marketing measurement and learning plans for Mailchimp paid media campaigns and growth initiatives
* Deploy measurement models to drive insights and business intelligence for the paid media and broader Mailchimp marketing teams
* Own E2E data exploration including ETL, hypothesis formation, analysis, and readout
* Leverage GenAI and dashboarding tools to create recurring views of paid media performance for marketing partners
* Execute and manage a portfolio of paid media experiments to drive channel innovation and customer acquisition
* Give guidance to business leaders by driving the POV around campaign performance relative to business objectives, marketing goals, and financial forecasts; clearly calling out drivers of strength and areas of opportunity
**Qualifications**
* 4\+ years of experience delivering data and analytics solutions and roadmaps for marketing organizations
* Fundamental understanding of SAAS\-based product marketing strategy, corporate strategy, corporate finance
* Domain knowledge of paid media channels, media data, and marketing technology stacks strongly preferred
* Experience with incremental marketing measurement models, experimentation, and causal inference with paid media applications
* Strong data storytelling and executive communication skills
* Advanced degree in a quantitative field or business/economics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$159,500 \- 215,500\.</t>
        </is>
      </c>
    </row>
    <row r="64">
      <c r="A64" t="inlineStr">
        <is>
          <t>li-4327090012</t>
        </is>
      </c>
      <c r="B64" t="inlineStr">
        <is>
          <t>Sr. Data Scientist, Recommendations</t>
        </is>
      </c>
      <c r="C64" t="inlineStr">
        <is>
          <t>Tinder</t>
        </is>
      </c>
      <c r="D64" t="inlineStr">
        <is>
          <t>linkedin</t>
        </is>
      </c>
      <c r="E64">
        <f>HYPERLINK("https://www.linkedin.com/jobs/view/4327090012", "https://www.linkedin.com/jobs/view/4327090012")</f>
        <v/>
      </c>
      <c r="F64">
        <f>HYPERLINK("https://jobs.lever.co/matchgroup/7503df39-49ec-4cda-90d5-9362d59949d6/apply?lever-source=LinkedIn&amp;lever-origin=applied&amp;lever-source%255B%255D=LinkedIn%2520FR&amp;lever-source=LinkedIn&amp;urlHash=wYYh", "https://jobs.lever.co/matchgroup/7503df39-49ec-4cda-90d5-9362d59949d6/apply?lever-source=LinkedIn&amp;lever-origin=applied&amp;lever-source%255B%255D=LinkedIn%2520FR&amp;lever-source=LinkedIn&amp;urlHash=wYYh")</f>
        <v/>
      </c>
      <c r="G64" t="inlineStr">
        <is>
          <t>Los Angeles, CA</t>
        </is>
      </c>
      <c r="H64" t="inlineStr"/>
      <c r="I6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Data Science \&amp; Analytics team thrives on data\-driven insights to make more informed decisions through our insights into our member’s behavior, preferences, and common trends. We take ownership over the integrity of our data and work to improve data literacy across Tinder.
 Recommendations (Recs) is core to Tinder’s experience—covering ranking, retrieval, signals, and model evaluation—to improve match quality, conversations, retention, and revenue through principled ML and experimentation.
 As a Senior Data Scientist on the Recommendations (Recs) team, you will partner closely with Product, Engineering, and Machine Learning (ML) to identify and size new opportunities, strengthen existing algorithms, and shape measurement and experimentation across a two\-sided marketplace. You’ll build the tooling and dashboards needed for crisp reads and health monitoring, communicate insights and tradeoffs with executive clarity, and serve as a trusted, respected partner to the Recs pod and a mentor for the broader Data Science team.
 This role will be given wide latitude but high expectations for the development of analyses, models, and plans that will be shared directly with the executive team and help shape the trajectory of our product roadmap.
**Where you’ll work:** 
 This is a hybrid role and requires in\-office collaboration three times per week in Los Angeles, Palo Alto or San Francisco.
**In this role, you will:** 
- Work closely with Product, Engineering, and ML to identify and evaluate new opportunities; frame hypotheses, define success metrics and guardrails, and translate findings into clear product recommendations
- Support the ML team in improving algorithms across retrieval, ranking, and personalization; strengthen offline/online evaluation and alignment
- Define and lead experimentation design and analysis tailored to a two‑sided marketplace; drive meta\-analyses and playbooks that uplevel reads and decision quality
- Build tools and dashboards to improve experiment reads and KPI monitoring; standardize templates and health checks for fast, reliable iteration
- Deliver executive\-ready presentations and docs that clarify options, tradeoffs, risks, and expected business impact
- Be a trusted and respected partner for the Recs pod, focused on delivering the best recommendations for our worldwide member base
- Mentor and inspire other data scientists; review analyses and elevate experimentation, causal inference, and model evaluation practices across the team
**You'll Need:** 
- Bachelor’s, Master’s, and/or Ph.D. degree in a quantitative field (e.g., Statistics, Mathematics, Computer Science, Economics, or related fields)
- 5\+ years of professional experience in data science/analytics, with meaningful time in recommender systems, ranking, search, or personalization at consumer scale (or equivalent impact/complexity)
- Fluency in SQL and Python (required)
- Deep understanding of statistics and causal inference; hands\-on experience designing and analyzing online experiments (A/B, variance reduction, sequential testing) and applying quasi\-experimental methods when appropriate
- Strong product sense and analytical rigor; ability to frame the right questions, choose fit\-for\-purpose methods, and land actionable recommendations with cross\-functional partners
- Familiarity with machine learning for recommendations, including offline/online metric design and model evaluation for ranking/personalization use cases
**Nice to have:** 
- Experience with modern Recs stacks (e.g., retrieval/two‑tower, learning‑to‑rank, embeddings/feature stores) and counterfactual evaluation approaches (IPS/DR, switchback tests)
- Working knowledge of Spark or similar large‑scale data tools and MLOps concepts (feature stores, evaluation pipelines, drift/monitoring)
- Two‑sided marketplace intuition and guardrail design to protect ecosystem health
- Track record of mentorship, thought leadership, and cross‑functional influence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65">
      <c r="A65" t="inlineStr">
        <is>
          <t>li-4311191542</t>
        </is>
      </c>
      <c r="B65" t="inlineStr">
        <is>
          <t>Sr Data Scientist, TLM</t>
        </is>
      </c>
      <c r="C65" t="inlineStr">
        <is>
          <t>Uber</t>
        </is>
      </c>
      <c r="D65" t="inlineStr">
        <is>
          <t>linkedin</t>
        </is>
      </c>
      <c r="E65">
        <f>HYPERLINK("https://www.linkedin.com/jobs/view/4311191542", "https://www.linkedin.com/jobs/view/4311191542")</f>
        <v/>
      </c>
      <c r="F65" t="inlineStr"/>
      <c r="G65" t="inlineStr">
        <is>
          <t>San Francisco, CA</t>
        </is>
      </c>
      <c r="H65" t="inlineStr"/>
      <c r="I65" t="inlineStr">
        <is>
          <t>**About The Role**
 As a Data Science, Tech Lead Manager (TLM), you will play an instrumental role in shaping how Uber tracks its financial data as well as understands and optimizes its financial performance across diverse business lines. You'll work on a wide range of initiatives from building scalable financial data products and developing predictive models to improving reporting workflows and uncovering insights that drive strategic decisions. And you will lead a small team of data scientists partnering closely with teams in Finance and FinTech. This is a hands\-on leadership role where you'll balance managing projects and people with diving deep into data yourself.
**What You Will Do**
* Lead a team of data scientists located in the US and India
* Actively participate and contribute to the technical solutioning and execution of the data science roadmap including helping develop robust forecasting models and impactful Gen AI applications
* Collaborate closely with teams in finance, engineering, product, business analysts, legal and data science teams across different lines of businesses, to design, prototype, and productionize end\-to\-end data science solutions.
* Develop the team with active coaching and mentoring. Help grow the talent in the team via effective hiring and performance management.
* Deliver strong presentations to stakeholders and senior leadership on the team's work, models, solutions, and data science findings.
**Basic Qualifications**
**Basic Qualifications**
* M.S. or Bachelor's degree in Data Science, Computer Science, Statistics, Economics, Mathematics, Finance, or other quantitative fields.
* Minimum 4 years of industry experience as a data scientist with demonstrated ability working with large data sets, mining actionable insights, statistical methods, and basic ML model development
* Domain experience in Finance, Accounting, Payments, FinTech, Tax
* Minimum 1 year of experience managing a small team of Data/Applied Scientists with strong leadership skills, growing and mentoring your team members
* Proficiency in SQL and at least one programming language used for data analysis (e.g., Python or R)
* Experience with data visualization tools (e.g., Tableau, Power BI, Looker or similar)
* Demonstrated ability to translate business problems into analytical solutions and communicate findings to both technical and non\-technical audiences
* Strong communication and organizational skills with the ability to manage multiple projects and stakeholders simultaneously.
* Bias to action and proven track record of getting things done.
**Preferred Qualifications**
* Degree or work experience in finance, augmented with work experience as a data scientist (or experience as a data scientist in finance or a related domain) with minimum 1 year of tech leading or managerial experience
* Experience developing forecasting or anomaly detection models, ideally in financial or operational domains
 For San Francisco, CA\-based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6">
      <c r="A66" t="inlineStr">
        <is>
          <t>li-4332992188</t>
        </is>
      </c>
      <c r="B66" t="inlineStr">
        <is>
          <t>Data Scientist (Hybrid/Remote)</t>
        </is>
      </c>
      <c r="C66" t="inlineStr">
        <is>
          <t>Selective Insurance</t>
        </is>
      </c>
      <c r="D66" t="inlineStr">
        <is>
          <t>linkedin</t>
        </is>
      </c>
      <c r="E66">
        <f>HYPERLINK("https://www.linkedin.com/jobs/view/4332992188", "https://www.linkedin.com/jobs/view/4332992188")</f>
        <v/>
      </c>
      <c r="F66">
        <f>HYPERLINK("https://jobs.selective.com/jobs/5024?lang=en-us&amp;iis=Job+Board&amp;iisn=LinkedIn&amp;urlHash=J1nw", "https://jobs.selective.com/jobs/5024?lang=en-us&amp;iis=Job+Board&amp;iisn=LinkedIn&amp;urlHash=J1nw")</f>
        <v/>
      </c>
      <c r="G66" t="inlineStr">
        <is>
          <t>Hartford, CT</t>
        </is>
      </c>
      <c r="H66" t="inlineStr"/>
      <c r="I66" t="inlineStr">
        <is>
          <t>**About Us**
*At Selective, we don't just insure uniquely, we employ uniqueness.*
 Selective is a midsized U.S. domestic property and casualty insurance company with a history of strong, consistent financial performance for nearly 100 years. Selective's unique position as both a leading insurance group and an employer of choice is recognized in a wide variety of awards and honors, including listing in Forbes Best Midsize Employers in 2025 and certification as a Great Place to Work® in 2025 for the sixth consecutive year.
 Employees are empowered and encouraged to Be Uniquely You by being their true, unique selves and contributing their diverse talents, experiences, and perspectives to our shared success. Together, we are a high\-performing team working to serve our customers responsibly by helping to mitigate loss, keep them safe, and restore their lives and businesses after an insured loss occurs.
***Applicants must be authorized to work for any employer in the United States. Selective will not sponsor or assume the sponsorship of an employment visa at this time* 
 .**
**Overview**
 Responsible for development and maintenance of analytical solutions through applications of Data Mining, Machine Learning, Predictive Modeling, Generative AI and other emerging technologies for current and future business needs. Lead the supervised and unsupervised model development efforts in partnership with business and Information Technology (IT) stakeholders from diverse functional areas. Proactively monitor outcome post installation and report actionable insights. All job duties and responsibilities must be carried out in compliance with applicable legal and regulatory requirements.
*Note: (For NJ candidates) This role will be located at our future headquarters in Short Hills, N.J. Until the new headquarters is operational, the successful candidate will be offered the ability to work in our Branchville, N.J. location during this interim period.*
**Responsibilities**
* Understand the competitive marketplace, business issues, and data challenges to deliver actionable insights, recommendations, and business processes.
* Manipulate high\-volume, high\-dimensionality data from varying sources to highlight patterns, anomalies, relationships, and trends.
* Perform descriptive and diagnostics analysis to provide actionable insights for a range of business customers via effective visualization.
* Perform prescriptive analysis seeking for statistical inference providing information that will drive strategic decision making related to marketing, claims and underwriting.
* Develop predictive models and machine learning solutions to investigate problems, detect patterns and recommend solutions. Work with Information Technology to integrate the model into production environment.
* Perform model maintenance and post installation monitoring, including performance tracking, model refit/refresh, documentation, and version control.
* Research and prototype advanced data science techniques like Text Mining, Natural Language Processing (NLP), Image Recognition, Generative AI and Robotic Process Automation (RPA).
* Research and recommend new data, tools, modeling techniques to enrich analytics solutions in alignment to policy lifecycle.
* Participate in the broader community to stay current with industry trends including cutting\-edge methodology, software, platform and recommend best practices.
**Qualifications**
**Knowledge and Requirements**
* Professional statistics/quantitative skills.
* Hands\-on experience of solving business problem with various multi variate statistical methods including generalized linear model, survival model, time series, mixed effects model etc.
* Familiar with the whole life cycle of predictive modeling, including data provision, model development, validation and testing, model deployment.
* Proficient with manipulating data with enterprise\-scale database systems (SQL, SAS).
* Proficient with at least one scripting language such as R, Python, or Java.
* Experience with BI tools such as Tableau, Spotfile etc. is preferred.
* Knowledge of HTML for web app development is preferred.
* Hands on experience with Big Data / Hadoop / Spark is preferred.
* Experience with version control workflow such as Git is plus.
**Education And Experience**
* PhD with 1 year of Predictive Modeling Experience, or Masters with 2\-3 years of Predictive Modeling Experience or Bachelors with 4\-5 Years of Data Science Experience and education in Statistics, Economics, Computer Science, Mathematics or related field preferred.
* Property \&amp; Casualty Insurance experience highly preferred.
**Total Rewards**
 Selective Insurance offers a total rewards package that includes a competitive base salary, incentive plan eligibility at all levels, and a wide array of benefits designed to help you and your family stay healthy, achieve your financial goals, and balance the demands of your work and personal life. These benefits include comprehensive health care plans, retirement savings plan with company match, discounted Employee Stock Purchase Program, tuition assistance and reimbursement programs, and 20 days of paid time off. Additional details about our total rewards package can be found by visiting our benefits page.
 The actual base salary is based on geographic location, and the range is representative of salaries for this role throughout Selective's footprint. Additional considerations include relevant education, qualifications, experience, skills, performance, and business needs.
**Pay Range**
 USD $97,000\.00 \- USD $146,000\.00 /Yr.
**Additional Information**
*Selective is an Equal Employment Opportunity employer. That means we respect and value every individual’s unique opinions, beliefs, abilities, and perspectives. We are committed to promoting a welcoming culture that celebrates diverse talent, individual identity, different points of view and experiences – and empowers employees to contribute new ideas that support our continued and growing success. Building a highly engaged team is one of our core strategic imperatives, which we believe is enhanced by diversity, equity, and inclusion. We expect and encourage all employees and all of our business partners to embrace, practice, and monitor the attitudes, values, and goals of acceptance; address biases; and foster diversity of viewpoints and opinions.
 For Massachusetts Applicants
 It is unlawful in Massachusetts to require or administer a lie detector test as a condition of employment or continued employment. An employer who violates this law shall be subject to criminal penalties and civil liability.*</t>
        </is>
      </c>
    </row>
    <row r="67">
      <c r="A67" t="inlineStr">
        <is>
          <t>li-4327303546</t>
        </is>
      </c>
      <c r="B67" t="inlineStr">
        <is>
          <t>Senior Data Scientist</t>
        </is>
      </c>
      <c r="C67" t="inlineStr">
        <is>
          <t>Harris Blitzer Sports &amp; Entertainment</t>
        </is>
      </c>
      <c r="D67" t="inlineStr">
        <is>
          <t>linkedin</t>
        </is>
      </c>
      <c r="E67">
        <f>HYPERLINK("https://www.linkedin.com/jobs/view/4327303546", "https://www.linkedin.com/jobs/view/4327303546")</f>
        <v/>
      </c>
      <c r="F67">
        <f>HYPERLINK("https://recruit.hirebridge.com/v3/careercenter/v2/details.aspx?jid=902462&amp;cid=8097&amp;locvalue=10111011&amp;bid=2&amp;source=LinkedIn&amp;urlHash=DUsr", "https://recruit.hirebridge.com/v3/careercenter/v2/details.aspx?jid=902462&amp;cid=8097&amp;locvalue=10111011&amp;bid=2&amp;source=LinkedIn&amp;urlHash=DUsr")</f>
        <v/>
      </c>
      <c r="G67" t="inlineStr">
        <is>
          <t>Camden, NJ</t>
        </is>
      </c>
      <c r="H67" t="inlineStr"/>
      <c r="I67" t="inlineStr">
        <is>
          <t>**WHO WE ARE:**
 Founded by Josh Harris and David Blitzer, Harris Blitzer Sports \&amp; Entertainment (HBSE) includes in its portfolio the Philadelphia 76ers, the New Jersey Devils, Prudential Center in Newark, N.J., the Delaware Blue Coats, the Utica Comets and a variety of other sports and entertainment properties. Led by some of the best and brightest minds in the industry, HBSE positions itself as a pioneering and innovative global sports and entertainment business enterprise. We also strive to positively impact the local communities in which we operate through the powerful platform of sports. HBSE offers an energetic work environment built on collaboration, growth and a quest to excel in everything we do.
 As part of its portfolio, Prudential Center in downtown Newark, N.J. annually hosts more than 200 games, concerts, family shows and special events and is a top\-5 ranked sports and entertainment venue in the U.S. by Pollstar and Billboard. It is home to the New Jersey Devils, a renowned NHL franchise with three Stanley Cup championships and a proud, passionate fan base. HBSE also owns the NBA’s Philadelphia 76ers, one of the most storied franchises in American sports, having won three championships led by some of the most iconic athletes in NBA history.
**OUR COMMITMENT TO INCLUSION:**
 At HBSE, we are dedicated to hiring the best talent from the communities where we live, work and play \- across all groups and levels; supporting and developing every employee to reach their potential; and creating an inclusive environment that allows team members to bring their true authentic selves to work.
**POSITION OVERVIEW:**
 The Philadelphia 76ers are seeking a
 **Senior Data Scientist** 
 to join the Basketball Research and Development team. This role supports decision\-making across all departments in Basketball Operations. The ideal candidate combines a strong foundation in machine learning, predictive modeling, and data engineering.
**RESPONSIBILITIES INCLUDE, BUT ARE NOT LIMITED, TO THE BELOW:**
* Lead the development, validation, and deployment of models that evaluate and forecast player and team performance
* Work with large, complex, and often noisy datasets (including player\-tracking and biomechanical data) to generate actionable insights on the court
* Collaborate with front office and coaching staff to translate analytical findings into decision support tools
* Continuously iterate on existing models and infrastructure to improve performance and usability
* Stay up to date with emerging techniques in data science, sports analytics, and related academic research
**QUALIFICATIONS:**
* 3\+ years of professional experience in a data science, research, or quantitative modeling role
* Expertise with modern machine learning techniques
* Proficiency in at least one programming language, Python and SQL experience preferred
* Familiarity with data engineering or cloud platforms (AWS, GCP, or Azure) is a plus
* Self\-motivated, proactive, and comfortable working on open\-ended or ambiguous problems
* Passion for basketball and for leveraging data to improve decision\-making
**WORKING CONDITIONS:**
* Travel Requirements: May be required to travel occasionally
 **,** 
 including between HBSE’s various offices; trips may require air travel and/or overnight stay.
* Work Environment: This position generally requires that work primarily be performed from the Penn Medicine/Philadelphia 76ers’ office in Camden, NJ, and may require attendance at events taking place at the Xfinity Mobile Arena in Philadelphia, PA.
**COMPENSATION AND BENEFITS:**
 The pay range for this position at commencement of employment is expected to be between $130,000 and $200,000/year. Base pay offered may vary depending on multiple individualized factors, including market location, job\-related knowledge, skills, and experience.
 The total compensation package for this position may also include other elements, including eligibility for bonus.
 This position may be governed by an employment agreement, on a form to be provided by the Company, with an expected initial term of two years, although all terms and conditions of any such employment agreement are subject to negotiation between the selected candidate and the Company. If, instead, this position is determined to be an “at will position”, the Company reserves the right to modify base pay (as well as any other discretionary payment or compensation program) at any time, including for reasons related to individual performance, Company or individual department/team performance, and market factors.
 The benefits package for the position may include the following, subject to the terms of the then\-in\-effect Company policies, plan documents and other eligibility criteria:
* Medical/Dental/Vision/Flexible Spending Accounts
* Pretax Transportation Benefit
* Generous Parental Leave policies
* 401K (with a company match after 1 year of service)
* Generous Paid Time Off policies
* 13 Paid Holidays
* ½ Day Summer Fridays
* Complimentary or Discounted Sports \&amp; Concert Tickets
* On Site Fitness Rooms
* Other League \&amp; Partner Discounts
 Details of participation in these benefit plans will be provided if a candidate receives an offer of employment.
 We are an equal opportunity employer and all qualified applicants will receive consideration for employment without regard to race, color, religion, national origin, sex, sexual orientation, age, disability, gender identity, marital or veteran status, or any other protected class.</t>
        </is>
      </c>
    </row>
    <row r="68">
      <c r="A68" t="inlineStr">
        <is>
          <t>li-4292579407</t>
        </is>
      </c>
      <c r="B68" t="inlineStr">
        <is>
          <t>Applied Scientist II, Prime Video Recommendation/Search Science</t>
        </is>
      </c>
      <c r="C68" t="inlineStr">
        <is>
          <t>Prime Video &amp; Amazon MGM Studios</t>
        </is>
      </c>
      <c r="D68" t="inlineStr">
        <is>
          <t>linkedin</t>
        </is>
      </c>
      <c r="E68">
        <f>HYPERLINK("https://www.linkedin.com/jobs/view/4292579407", "https://www.linkedin.com/jobs/view/4292579407")</f>
        <v/>
      </c>
      <c r="F68">
        <f>HYPERLINK("https://www.amazon.jobs/jobs/3068500/applied-scientist-ii-prime-video-recommendationsearch-science?cmpid=SPLICX0248M&amp;utm_source=linkedin.com&amp;utm_campaign=cxro&amp;utm_medium=social_media&amp;utm_content=job_posting&amp;ss=paid&amp;urlHash=hq0W", "https://www.amazon.jobs/jobs/3068500/applied-scientist-ii-prime-video-recommendationsearch-science?cmpid=SPLICX0248M&amp;utm_source=linkedin.com&amp;utm_campaign=cxro&amp;utm_medium=social_media&amp;utm_content=job_posting&amp;ss=paid&amp;urlHash=hq0W")</f>
        <v/>
      </c>
      <c r="G68" t="inlineStr">
        <is>
          <t>Seattle, WA</t>
        </is>
      </c>
      <c r="H68" t="inlineStr"/>
      <c r="I6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with Recommender System or Search Ranking or Ads Ranking experience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Recommendation/Search Science team owns science solution to power search experience on various devices, from sourcing, relevance, ranking, to name a few. We work closely with the engineering teams to launch our solutions in production.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A3068500</t>
        </is>
      </c>
    </row>
    <row r="69">
      <c r="A69" t="inlineStr">
        <is>
          <t>li-4337630245</t>
        </is>
      </c>
      <c r="B69" t="inlineStr">
        <is>
          <t>Staff Data Scientist - Loss Forecasting &amp; Portfolio Analytics</t>
        </is>
      </c>
      <c r="C69" t="inlineStr">
        <is>
          <t>SoFi</t>
        </is>
      </c>
      <c r="D69" t="inlineStr">
        <is>
          <t>linkedin</t>
        </is>
      </c>
      <c r="E69">
        <f>HYPERLINK("https://www.linkedin.com/jobs/view/4337630245", "https://www.linkedin.com/jobs/view/4337630245")</f>
        <v/>
      </c>
      <c r="F69" t="inlineStr"/>
      <c r="G69" t="inlineStr">
        <is>
          <t>Seattle, WA</t>
        </is>
      </c>
      <c r="H69" t="inlineStr"/>
      <c r="I6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0">
      <c r="A70" t="inlineStr">
        <is>
          <t>li-4332972429</t>
        </is>
      </c>
      <c r="B70" t="inlineStr">
        <is>
          <t>Senior Staff Data Scientist</t>
        </is>
      </c>
      <c r="C70" t="inlineStr">
        <is>
          <t>Intuit</t>
        </is>
      </c>
      <c r="D70" t="inlineStr">
        <is>
          <t>linkedin</t>
        </is>
      </c>
      <c r="E70">
        <f>HYPERLINK("https://www.linkedin.com/jobs/view/4332972429", "https://www.linkedin.com/jobs/view/4332972429")</f>
        <v/>
      </c>
      <c r="F70" t="inlineStr"/>
      <c r="G70" t="inlineStr">
        <is>
          <t>San Diego, CA</t>
        </is>
      </c>
      <c r="H70" t="inlineStr"/>
      <c r="I70" t="inlineStr">
        <is>
          <t>**Overview**
 Intuit’s Global Business Solutions Group (GBSG) is dedicated to creating tools and services that dramatically increases the ability of small\-medium businesses (SMBs) to manage cash flow. At the center of this mission, the QuickBooks Money team is developing innovative tools to help customers get paid faster and with confidence. Our expanding suite of offerings and new go\-to\-market strategies aim to further enhance SMBs' ability to accept payments seamlessly.
 The Money Data Science team on the GBSG Data \&amp; Analytics organization’s mission is to deliver delightful customer experiences and drive business impact by developing insights, models, and strategic thought partnership that helps small and mid\-market business customers on managing their money. We partner with Product Management, Commercial, Finance, Business Operations, Design and Engineering teams to foster data\-driven decisions through strategic thinking, data analysis, experimentation, and predictive analytics.
 As the founding Senior Staff Data Scientist working on an accelerating growth for a strategic priority within the company, you will dive deep into our data to uncover actionable insights and make recommendations that will fuel growth of this new product. The ideal candidate will have a strong background in quantitative analysis using large data sets, demonstrated growth hacking experience on mature and high growth products, and in driving influence and alignment with data.
**Responsibilities**
 As a Senior Staff Data Scientist on the Product Data Science team, you will dive deep into our data to uncover actionable insights and shape strategic decisions. Your contributions will directly impact our product development and GTM strategies of a brand new product and strategic bet. This role requires a strong background in quantitative analysis, data\-driven decision\-making, and expertise in working with large data sets.
* Conceptualize business problems or opportunities, formulate hypotheses and goals, dene key metrics and make actionable recommendations
* Drive strategic insights that shape the future of Money\-movement ecosystem products within Intuit, impacting millions of small businesses
* Develop predictive models, conduct experimentation beyond A/B testing, and generate actionable customer insights that inform product innovation
* Build and apply durable customer segmentation patterns to renew product targeting, positioning, and customer experience
* Partner closely with Product Management, Marketing, Engineering, Design, and Analytics leaders to deliver insights that drive product strategy and growth
* Translate complex data insights into actionable recommendations for technical and non\-technical stakeholders, and business leaders
**Qualifications**
 The ideal candidate is a curious, proactive data scientist with experience in building scalable solutions, a strong understanding of customer behavior, and a passion for fintech.
* BS or MS degree in Statistics, Mathematics, Operations Research, Computer Science, Econometrics or related field. Equivalent experience will be considered.
* 10\+ years of experience in data science or product analytics, preferably in fintech, with a strong foundation in predictive modeling, customer segmentation, and experimentation
* Ability to formulate data\-backed strategies that will drive step\-function growth for the business as well as increase customer benefit
* Ability to generate hypotheses grounded in customer behavior, industry trends, and external market factors. Experience in the fintech or SMB space is highly preferred.
* Experience in designing and interpreting complex experiments beyond traditional A/B testing methods
* Demonstrated experience in building reusable and scalable analytics solutions, with a focus on efficiency and avoiding duplication of work
* Outstanding communication skills with the ability to influence decision makers and build consensus with teams
* Quick learner, adaptable, with the ability to work independently or as part of a team in a fast\-paced environment
* Experience using statistics and machine learning techniques to solve complex business problems within go\-to\-market and marketing areas, e.g., propensity for feature adoption, customer health scoring to identify customers at risk to cancel, next best action models etc.
* Technical Skills:
+ Advanced SQL skills and proficiency in visualization tools such as Qlik, Tableau, Plotly Dash
+ Strong analytical and modeling skills using Python (for its rich suite of statistical and modeling libraries like numpy, pandas, scikit\-learn, etc.)
+ Familiarity with Linux/OS X command line, version control software (git), and general software development
**Preferred Additional Qualifications**
* Experience solving growth\-related problems at financial technology companies serving consumer or SMBs
* Familiarity with Generative AI and other evolving technologies to accelerate insights from multi\-modal data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$ 204,500\- 276,500
 Southern California: $ 197,500\- 267,500</t>
        </is>
      </c>
    </row>
    <row r="71">
      <c r="A71" t="inlineStr">
        <is>
          <t>li-4365639138</t>
        </is>
      </c>
      <c r="B71" t="inlineStr">
        <is>
          <t>Senior Marketing Data Scientist</t>
        </is>
      </c>
      <c r="C71" t="inlineStr">
        <is>
          <t>SoFi</t>
        </is>
      </c>
      <c r="D71" t="inlineStr">
        <is>
          <t>linkedin</t>
        </is>
      </c>
      <c r="E71">
        <f>HYPERLINK("https://www.linkedin.com/jobs/view/4365639138", "https://www.linkedin.com/jobs/view/4365639138")</f>
        <v/>
      </c>
      <c r="F71">
        <f>HYPERLINK("https://boards.greenhouse.io/sofi/jobs/7602832003?gh_src=7ed8869b3us&amp;urlHash=ADJ_", "https://boards.greenhouse.io/sofi/jobs/7602832003?gh_src=7ed8869b3us&amp;urlHash=ADJ_")</f>
        <v/>
      </c>
      <c r="G71" t="inlineStr">
        <is>
          <t>New York, NY</t>
        </is>
      </c>
      <c r="H71" t="inlineStr"/>
      <c r="I7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exciting new role will focus on supporting the development and execution of top\-tier marketing strategies specifically within the Direct Mail (DM) channel. The DM channel is a key driver of revenue and new account acquisition for SoFi, encompassing all lending products—including Personal Loans, Home Loans, Student Loan Refinance, In\-school Loans, and Credit Cards—as well as Checking \&amp; Savings, Small Medium Business Loans, and future products.
 This position is ideal for someone passionate about utilizing data for problem\-solving in a fast\-paced environment. It requires direct interface with marketing managers, channel owners, and third\-party partners to collaboratively identify opportunities for improvement and enhanced efficiency.
**What you’ll do:**
* Manage the end\-to\-end Direct Mail (DM) campaigns, including pre\-screened (PS) and invitation\-to\-apply (ITA) across products. This encompasses identifying the underwriting, marketing and suppression rules, clearly defining the data source and logic, executing the code, validating the result and file ingestion, managing the approval process and tracking the campaign performance.
* Ensure a clear understanding of campaign schedules and deliverables. Diligently manage the status of each step, noting any dependencies, delays, or challenges. Escalate issues to business partners or upper management as necessary and propose actions for resolution.
* Serve as the primary liaison between the onshore and offshore teams. This includes communicating onshore needs to the offshore team and collaborating on campaign execution, validation, performance readouts and analysis.
* Partner with channel owners and marketing managers to develop strategies for optimizing and expanding target audiences, improving conversion rates, and maximizing return on investment (ROI).
* Support ad\-hoc campaign execution or analytics requests outside of the BAU schedule, demonstrating flexibility to accommodate business needs, focusing on solutioning, and finding ways to optimize efficiency and cost.
* Work with Bureau and 3rd party partners to explore new data, models or ideas to drive business growth besides campaign execution.
* Proactively measure and analyze the effectiveness and ROI of marketing campaigns and strategies, providing data\-driven recommendations and driving informed actions.
* Translate complex business objectives into actionable, data\-driven tactics and campaigns that deliver immediate results and build a strong foundation for sustained growth.
* Convert complex data into clear, compelling narratives and concise presentations to inform and guide senior management decision\-making.
**What you’ll need:**
* Bachelor's degree in Computer Science, Math, Physics, Engineering, or a quantitative field required; Master's degree preferred.
* 5\+ years of relevant marketing experience in the financial services industry, with a focus on pre\-screened/pre\-approved campaigns.
* Proficiency in SQL, Python, and Tableau.
* Experience building data pipelines with Airflow, preferably in Snowflake.
* Demonstrated experience with experimentation and hypothesis testing.
* Knowledge of statistical modeling or machine learning is a plus.
* High intellectual curiosity and a quick learner of new technical skills.
* Ability to initiate and drive projects independently to completion, and ability to clearly communicate technical information to diverse audiences.
* Strong relationship\-building and collaborative skills.
* Ability to thrive in a dynamic, cross\-functional environment with keen attention to detail.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2">
      <c r="A72" t="inlineStr">
        <is>
          <t>li-4365633286</t>
        </is>
      </c>
      <c r="B72" t="inlineStr">
        <is>
          <t>Senior Marketing Data Scientist</t>
        </is>
      </c>
      <c r="C72" t="inlineStr">
        <is>
          <t>SoFi</t>
        </is>
      </c>
      <c r="D72" t="inlineStr">
        <is>
          <t>linkedin</t>
        </is>
      </c>
      <c r="E72">
        <f>HYPERLINK("https://www.linkedin.com/jobs/view/4365633286", "https://www.linkedin.com/jobs/view/4365633286")</f>
        <v/>
      </c>
      <c r="F72" t="inlineStr"/>
      <c r="G72" t="inlineStr">
        <is>
          <t>San Francisco, CA</t>
        </is>
      </c>
      <c r="H72" t="inlineStr"/>
      <c r="I7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3">
      <c r="A73" t="inlineStr">
        <is>
          <t>li-4303128393</t>
        </is>
      </c>
      <c r="B73" t="inlineStr">
        <is>
          <t>Senior Data Scientist (LLM) - Team Lead (Hybrid)</t>
        </is>
      </c>
      <c r="C73" t="inlineStr">
        <is>
          <t>AbbVie</t>
        </is>
      </c>
      <c r="D73" t="inlineStr">
        <is>
          <t>linkedin</t>
        </is>
      </c>
      <c r="E73">
        <f>HYPERLINK("https://www.linkedin.com/jobs/view/4303128393", "https://www.linkedin.com/jobs/view/4303128393")</f>
        <v/>
      </c>
      <c r="F73">
        <f>HYPERLINK("https://careers.abbvie.com/en/job/senior-data-scientist-llm-team-lead-hybrid-in-north-chicago-il-jid-20072?_atxsrc=LinkedIn&amp;utm_source=LinkedIn&amp;src=LinkedIn&amp;urlHash=dNXT", "https://careers.abbvie.com/en/job/senior-data-scientist-llm-team-lead-hybrid-in-north-chicago-il-jid-20072?_atxsrc=LinkedIn&amp;utm_source=LinkedIn&amp;src=LinkedIn&amp;urlHash=dNXT")</f>
        <v/>
      </c>
      <c r="G73" t="inlineStr">
        <is>
          <t>North Chicago, IL</t>
        </is>
      </c>
      <c r="H73" t="inlineStr"/>
      <c r="I73"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Conceive, design and implement new business technology solutions that solve significant scientific or business problems through the integration, visualization, and analysis of large and complex data. Generate new proposals and lead those efforts. Investigate, identify, develop, and optimize new methods, algorithms, and technologies to derive novel, competitive insights from disparate data sources or drive productivity and efficiency gains throughout multiple business areas. Act as a lead data scientist in his/her area of expertise and critically evaluate relevant scientific and technological advances and integrate this knowledge into new business technology solutions.
**This position will be onsite in Lake County 3 days a week.**
**Responsibilities**
* Conceive, design and implement new business technology solutions that solve significant scientific or business problems through the integration, visualization, and analysis of large and complex data.
* Demonstrate the ability to resolve key project hurdles and assumptions by effectively utilizing available information and technical expertise.
* Demonstrate high proficiency across a wide range of technologies related to the storage, transfer, integration, visualization, and analysis of large and complex data sets. Broad expertise in software development, data warehousing, statistics, and machine learning.
* Demonstrate deep knowledge of the pharmaceutical and healthcare business, and utilize this knowledge in the rapid advancement of agile, impactful, and cost\-effective solutions
* Highly autonomous and productive in performing activities, requiring only minimal direction from or interaction with supervisor.
* Seize opportunities to pursue relevant leads that are in line with the group’s strategy.
* Proactively seek out new information and technologies in the literature/public domain and incorporate into individual project(s) as well as the overall program
* May mentor/supervise a team of one or more and guide and evaluate the performance of those individuals; is accountable for the effective performance of the team/individuals.
* A primary author of publications and presentations.
* Understand and adhere to corporate standards regarding applicable Corporate and Divisional Policies, including code of conduct, safety, GxP compliance, and data security.
**Qualifications**
* Bachelor’s Degree with 7 years’ experience; Master’s Degree with 6 years’ experience’ PhD with 2 years’ experience. Background in life sciences or work experience in the pharmaceutical industry preferred.
* Must have experience with Large Language Models (LLM) and Agentic AI
* Experience with junior data scientist mentorship or management is preferred.
* Possess thorough theoretical and practical understanding of own discipline.
* Proven implementation of creative technology solutions that advanced the business.
* Excellent written and oral English communication skills.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74">
      <c r="A74" t="inlineStr">
        <is>
          <t>li-4365517640</t>
        </is>
      </c>
      <c r="B74" t="inlineStr">
        <is>
          <t>Staff Data Scientist</t>
        </is>
      </c>
      <c r="C74" t="inlineStr">
        <is>
          <t>Intuit</t>
        </is>
      </c>
      <c r="D74" t="inlineStr">
        <is>
          <t>linkedin</t>
        </is>
      </c>
      <c r="E74">
        <f>HYPERLINK("https://www.linkedin.com/jobs/view/4365517640", "https://www.linkedin.com/jobs/view/4365517640")</f>
        <v/>
      </c>
      <c r="F74" t="inlineStr"/>
      <c r="G74" t="inlineStr">
        <is>
          <t>San Diego, CA</t>
        </is>
      </c>
      <c r="H74" t="inlineStr"/>
      <c r="I74" t="inlineStr">
        <is>
          <t>**Overview**
 The Global Business Solutions (GBSG) Data Science org has an exciting opportunity to be part of the fast\-growing Mid\-market Data Science team that plays a critical role in driving growth in Mid\-market with a long\-term winning strategy. Disrupting the small business mid\-market is one of Intuit’s "Big Bets" initiatives.
 The Mid\-market Data Science team is responsible for (1\) providing valuable insights that supports the development of E2E strategy, operational plans and product roadmaps; (2\) providing data/tools/actionable insights/experimentation for the execution of multiple Mid\-market priorities across our function domains (Product, Marketing, Sales, Customer Success, Finance), developing/managing the success KPIs and reporting as the single source of the truth for how the mid\-market business is doing; (3\) Develop advanced Data Science capabilities such as product recommendation and lead scoring model.
 As a Staff Data Scientist, you will operate as a senior individual contributor, partnering closely with peers and leaders to identify, validate, and refine innovative growth strategies. Your expertise—especially in sales and marketing analytics,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Mid Market Sales \&amp; Marketing Team
* Cross\-Functional Influence \- serve as the strategic data science partner to leaders across Sales, Marketing, Product, and Finance to drive mid\-market account growth and expansion. Translate complex analytical findings into clear, compelling recommendations for executives and stakeholders.
* Insights at Scale \- conduct deep\-dive analyses on pipeline, win/loss, and customer lifetime value to inform strategic decisions. Create dashboards, visualizations, and self\-serve tools to democratize access to insights across cross\-functional teams and leadership.
* Improve Customer Retention \- own retention and churn analytics, including designing metrics, identifying risk signals, and recommending interventions
* Data Infrastructure \&amp; Governance \- partner with data engineering and platform teams to ensure reliable, scalable data pipelines and tracking instrumentation are in place. Champion data hygiene and integrity.
**Qualifications**
* 7\+ years of experience in data science, with a proven record of applying advanced analytical methods to drive sales growth ideally in SaaS or financial technology companies serving consumer or B2B segments
* Proven experience working with sales, marketing, or go\-to\-market teams; deep understanding of customer retention, churn analysis, and sales optimization strategies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Demonstrated proficiency in causal inference techniques, statistical modeling, machine learning, and experimental design
* Experience using statistics and machine learning techniques to solve complex business problems within product marketing, e.g., product funnel optimization, propensity for feature adoption, next best action models etc.
* M.S. or Ph.D. in a quantitative field (e.g., Statistics, Computer Science, Economics, Mathematics, Operations Research)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$186,500 \- $252,000</t>
        </is>
      </c>
    </row>
    <row r="75">
      <c r="A75" t="inlineStr">
        <is>
          <t>li-4365626474</t>
        </is>
      </c>
      <c r="B75" t="inlineStr">
        <is>
          <t>Applied Scientist II, Prime Video Personalization and Discovery Science</t>
        </is>
      </c>
      <c r="C75" t="inlineStr">
        <is>
          <t>Prime Video &amp; Amazon MGM Studios</t>
        </is>
      </c>
      <c r="D75" t="inlineStr">
        <is>
          <t>linkedin</t>
        </is>
      </c>
      <c r="E75">
        <f>HYPERLINK("https://www.linkedin.com/jobs/view/4365626474", "https://www.linkedin.com/jobs/view/4365626474")</f>
        <v/>
      </c>
      <c r="F75">
        <f>HYPERLINK("https://www.amazon.jobs/jobs/3165547/applied-scientist-ii-prime-video-personalization-and-discovery-science?cmpid=SPLICX0248M&amp;utm_source=linkedin.com&amp;utm_campaign=cxro&amp;utm_medium=social_media&amp;utm_content=job_posting&amp;ss=paid&amp;urlHash=2tv5", "https://www.amazon.jobs/jobs/3165547/applied-scientist-ii-prime-video-personalization-and-discovery-science?cmpid=SPLICX0248M&amp;utm_source=linkedin.com&amp;utm_campaign=cxro&amp;utm_medium=social_media&amp;utm_content=job_posting&amp;ss=paid&amp;urlHash=2tv5")</f>
        <v/>
      </c>
      <c r="G75" t="inlineStr">
        <is>
          <t>New York, United States</t>
        </is>
      </c>
      <c r="H75" t="inlineStr"/>
      <c r="I75"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A3165547</t>
        </is>
      </c>
    </row>
    <row r="76">
      <c r="A76" t="inlineStr">
        <is>
          <t>li-4343500149</t>
        </is>
      </c>
      <c r="B76" t="inlineStr">
        <is>
          <t>Sr. Applied Scientist, Frontier AI &amp; Robotics (FAR)</t>
        </is>
      </c>
      <c r="C76" t="inlineStr">
        <is>
          <t>Amazon</t>
        </is>
      </c>
      <c r="D76" t="inlineStr">
        <is>
          <t>linkedin</t>
        </is>
      </c>
      <c r="E76">
        <f>HYPERLINK("https://www.linkedin.com/jobs/view/4343500149", "https://www.linkedin.com/jobs/view/4343500149")</f>
        <v/>
      </c>
      <c r="F76">
        <f>HYPERLINK("https://www.amazon.jobs/jobs/3141237/sr-applied-scientist-frontier-ai\u002d\u002drobotics-far?cmpid=SPLICX0248M&amp;utm_source=linkedin.com&amp;utm_campaign=cxro&amp;utm_medium=social_media&amp;utm_content=job_posting&amp;ss=paid&amp;urlHash=TwpA", "https://www.amazon.jobs/jobs/3141237/sr-applied-scientist-frontier-ai\u002d\u002drobotics-far?cmpid=SPLICX0248M&amp;utm_source=linkedin.com&amp;utm_campaign=cxro&amp;utm_medium=social_media&amp;utm_content=job_posting&amp;ss=paid&amp;urlHash=TwpA")</f>
        <v/>
      </c>
      <c r="G76" t="inlineStr">
        <is>
          <t>San Francisco, CA</t>
        </is>
      </c>
      <c r="H76" t="inlineStr"/>
      <c r="I76" t="inlineStr">
        <is>
          <t>**Description**
 Join the next revolution in robotics at Amazon's Frontier AI \&amp; Robotics team. As a Senior Applied Scientist, you'll spearhead the development of breakthrough foundation models and full\-stack robotics systems that enable robots to perceive, understand, and interact with the world in unprecedented ways. You'll drive technical excellence in areas such as locomotion, manipulation, sim2real transfer, multi\-modal and multi\-task robot learning, designing novel frameworks that bridge the gap between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across the robotics stack, driving breakthrough approaches through hands\-on research and development in areas including robot co\-design, dexterous manipulation mechanisms, innovative actuation strategies, state estimation, low\-level control, system identification, reinforcement learning, and sim\-to\-real transfer, as well as foundation models for perception and manipulation
* Guide technical direction for full\-stack robotics projects from conceptualization through deployment, taking a system\-level approach that integrates hardware considerations with algorithmic development
* Develop and optimize control algorithms and sensing pipelines that enable robust performance in production environments
* Mentor fellow scientists while maintaining strong individual technical contributions
* Collaborate with platform and hardware teams to ensure seamless integration across the entire robotics stack
* Influence technical decisions and implementation strategies within your area of focus
 A day in the life
* Design and implement innovative systems and algorithms, working hands\-on with our extensive infrastructure to prototype and evaluate at scale
* Guide fellow scientists in solving complex technical challenges across the full robotics stack
* Lead focused technical initiatives from conception through deployment, ensuring successful integration with production systems
* Drive technical discussions within your team and with key stakeholders
* Conduct experiments and prototype new ideas using our massive compute cluster and extensive robotics infrastructure
* Mentor team members while maintaining significant hands\-on contribution to technical solutions
**About The Team**
 At Frontier AI \&amp; Robotics, we're not just advancing robotics – we're reimagining it from the ground up. Our team is building the future of intelligent robotics through innovative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3\+ years of industry or academic research experience in ME, EE, CS, CE, or related field
* Experience programming in Java, C\+\+, Python or related language
* Experience with hardware design, low\-level control, state estimation, system identification, or complex electrical systems
* Strong publication record at top\-tier conferences (RSS, CoRL, NeurIPS, ICML, ICLR, CVPR, ICCV, ICRA, IROS)
* Strong track record of leading technical projects
* Experience mentoring junior scientists/engineers
* Demonstrated expertise in deep learning and robotics system development
**Preferred Qualifications**
* History of impactful first\-author publications at major robotics and ML conferences
* Experience leading research initiatives in full\-stack robotics or foundation models
* Track record of successful production robotics deployments
* Experience with large\-scale distributed systems
* History of technical leadership and team mentorship
* Experience bridging research with practical engineering implementation in robotics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\- 192,200\.00 \- 260,000\.00 USD annually
**Company** 
 \- Amazon.com Services LLC
 Job ID: A3141237</t>
        </is>
      </c>
    </row>
    <row r="77">
      <c r="A77" t="inlineStr">
        <is>
          <t>li-4373232129</t>
        </is>
      </c>
      <c r="B77" t="inlineStr">
        <is>
          <t>Manager, Data Scientist - Model Risk Audit</t>
        </is>
      </c>
      <c r="C77" t="inlineStr">
        <is>
          <t>Capital One</t>
        </is>
      </c>
      <c r="D77" t="inlineStr">
        <is>
          <t>linkedin</t>
        </is>
      </c>
      <c r="E77">
        <f>HYPERLINK("https://www.linkedin.com/jobs/view/4373232129", "https://www.linkedin.com/jobs/view/4373232129")</f>
        <v/>
      </c>
      <c r="F77" t="inlineStr"/>
      <c r="G77" t="inlineStr">
        <is>
          <t>McLean, VA</t>
        </is>
      </c>
      <c r="H77" t="inlineStr"/>
      <c r="I7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As part of Capital One’s Model Audit team, you will have a unique vantage point to review models and model risk practices across the enterprise and the opportunity to connect the dots to raise the appropriate model risk issues and provide assurance to the Audit Committee. Successful candidates will partner cross\-functionally with business throughout the company to deliver breakthrough analytical solutions to support a winning strategy in a continually changing business environment. You will be the driving force to experiment, innovate, and create next\-generation features powered by the latest emerging NLP and Generative AI technologies. If you love a fast\-paced, highly rewarding environment, and you love being a builder and communicator, this is the place for you.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Mgr, Data Science
 Charlotte, NC: $179,400 \- $204,700 for Mgr, Data Science
 McLean, VA: $197,300 \- $225,100 for Mgr, Data Science
 New York, NY: $215,200 \- $245,600 for Mgr, Data Science
 Richmond, VA: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8">
      <c r="A78" t="inlineStr">
        <is>
          <t>li-4373224529</t>
        </is>
      </c>
      <c r="B78" t="inlineStr">
        <is>
          <t>Manager, Data Scientist - Model Risk Audit</t>
        </is>
      </c>
      <c r="C78" t="inlineStr">
        <is>
          <t>Capital One</t>
        </is>
      </c>
      <c r="D78" t="inlineStr">
        <is>
          <t>linkedin</t>
        </is>
      </c>
      <c r="E78">
        <f>HYPERLINK("https://www.linkedin.com/jobs/view/4373224529", "https://www.linkedin.com/jobs/view/4373224529")</f>
        <v/>
      </c>
      <c r="F78" t="inlineStr"/>
      <c r="G78" t="inlineStr">
        <is>
          <t>Richmond, VA</t>
        </is>
      </c>
      <c r="H78" t="inlineStr"/>
      <c r="I78"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As part of Capital One’s Model Audit team, you will have a unique vantage point to review models and model risk practices across the enterprise and the opportunity to connect the dots to raise the appropriate model risk issues and provide assurance to the Audit Committee. Successful candidates will partner cross\-functionally with business throughout the company to deliver breakthrough analytical solutions to support a winning strategy in a continually changing business environment. You will be the driving force to experiment, innovate, and create next\-generation features powered by the latest emerging NLP and Generative AI technologies. If you love a fast\-paced, highly rewarding environment, and you love being a builder and communicator, this is the place for you.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Mgr, Data Science
 Charlotte, NC: $179,400 \- $204,700 for Mgr, Data Science
 McLean, VA: $197,300 \- $225,100 for Mgr, Data Science
 New York, NY: $215,200 \- $245,600 for Mgr, Data Science
 Richmond, VA: $179,400 \- $204,700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2026-03-08T17:28:53Z</dcterms:created>
  <dcterms:modified xsi:type="dcterms:W3CDTF">2026-03-08T17:28:53Z</dcterms:modified>
</cp:coreProperties>
</file>