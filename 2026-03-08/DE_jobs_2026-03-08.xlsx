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in-7b5fb3d94270d161</t>
        </is>
      </c>
      <c r="B2" t="inlineStr">
        <is>
          <t>Principal Analytics Engineer</t>
        </is>
      </c>
      <c r="C2" t="inlineStr">
        <is>
          <t>LMI</t>
        </is>
      </c>
      <c r="D2" t="inlineStr">
        <is>
          <t>indeed</t>
        </is>
      </c>
      <c r="E2" t="inlineStr"/>
      <c r="F2" t="inlineStr"/>
      <c r="G2" t="inlineStr">
        <is>
          <t>Colorado Springs, CO, US</t>
        </is>
      </c>
      <c r="H2" s="1" t="n">
        <v>46087</v>
      </c>
      <c r="I2" t="inlineStr">
        <is>
          <t>Overview: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LMI is seeking a Principal Systems Engineer who can blend expertise in physics‑based modeling with a strong grasp of networked data systems—both in the space domain and across terrestrial and cyber environments. You will be LMI’s primary technical interface to an SES\-level customer and you will drive the design, simulation, and evaluation of end‑to‑end data‑flow architectures that span satellite constellations, ground‑segment infrastructures, and secure cyber‑networks, providing actionable insight for force‑design, resiliency, survivability, and strategic superiority.  
This position is perfect for an analytical thinker who thrives on applying rigorous theory to real\-world space challenges, using data\-driven simulations to guide high\-stakes decisions in defense and national security space sectors. This is an on\-site role in Colorado Springs, CO.  
Responsibilities:* Serve as primary technical advisor to our SES customer and interface with other senior government stakeholders and FFRDC, SETA, and developer contractors.
* Communicate complex subjects across a wide range of audiences.
* Lead technical team building physics‑based and network‑centric models that capture orbital dynamics, RF propagation, and data‑link performance for space‑data, ground‑data, and cyber networks.
* Oversee the performance of high\-fidelity scenario analysis by running Monte‑Carlo, sensitivity, and uncertainty‑quantification studies to assess performance under nominal, contested, and degraded‑environment conditions (e.g., debris fields, cyber‑attacks, spectrum congestion).
* Create vulnerability and trade\-study frameworks by developing analytical recommendations that quantify network survivability, cyber‑risk exposure, and data‑integrity across the full data path—from sensors in orbit to ground‑station processing and downstream enterprise networks.
* Translate simulation outputs into clear recommendations for architecture upgrades, resource allocation, and capability‑gap mitigation, feeding directly into force‑design and acquisition roadmaps.
* Partner with software engineers, data scientists, cyber‑security specialists, and mission planners to embed models into larger analytical pipelines and automated decision‑support systems.
* Process data to extract insights—produce visualizations that illustrate network health, latency heat‑maps, threat outcomes, etc.
* Assist in authoring technical reports, briefing decks, and strategic whitepapers; present findings to senior leadership and external stakeholders; contribute to conference submissions where appropriate.
* Guide junior systems and analytic engineers in best practices for integrated space‑cyber‑ground modeling and foster a culture of interdisciplinary learning.
Qualifications:
Required:* B.S. in Physics, Applied Physics, Aerospace Engineering, Operations Research, or a related field with a strong emphasis on theoretical modeling.
* At least 8\+ years of experience in space\-related modeling, simulation, and analysis (industry, national lab, government, or advanced research settings).
* Strong expertise in physics and/or theory relevant to space: orbital mechanics, astrodynamics, electromagnetics, radiation effects, satellite communications (ground and space\-based), position, navigation, and timing (PNT) systems, and systems engineering principles.
* Demonstrated ability to abstract theoretical concepts into practical models, simulations, and analytical frameworks that drive decision\-making.
* Experience with simulation tools such as STK (Systems Tool Kit), GMAT, FreeFlyer, AFSIM, or custom\-built propagators.
* Familiarity with force design concepts, mission analysis, or wargaming in space or multi\-domain operations.
* Strong problem\-solving skills and the ability work independently with limited, if any, technical definition of analytical problems.
* Excellent communication and teamwork abilities.
Nice to have:* Advanced degree (M.S. or Ph.D.) in Physics, Applied Physics, Aerospace Engineering, Operations Research, or a related field with a strong emphasis on theoretical modeling.
* Background in space domain infrastructure analysis, including constellation design, coverage modeling, or resilience assessments.
* Experience with advanced techniques like physics\-informed machine learning, agent\-based modeling, or game theory for strategic recommendations.
* Familiarity with high\-performance computing (HPC), parallel processing, or cloud\-based simulation environments (e.g., AWS, Azure).
Security Clearance Requirement:  
Candidate must possess an active TS/SCI or TS with SCI eligibility.  
Target salary range: $170,000 \- $255,000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3">
      <c r="A3" t="inlineStr">
        <is>
          <t>in-b18bbadec069d82b</t>
        </is>
      </c>
      <c r="B3" t="inlineStr">
        <is>
          <t>Data Engineer II, AWS Commerce Platform-ADC</t>
        </is>
      </c>
      <c r="C3" t="inlineStr">
        <is>
          <t>Amazon Web Services</t>
        </is>
      </c>
      <c r="D3" t="inlineStr">
        <is>
          <t>indeed</t>
        </is>
      </c>
      <c r="E3">
        <f>HYPERLINK("https://www.indeed.com/viewjob?jk=b18bbadec069d82b", "https://www.indeed.com/viewjob?jk=b18bbadec069d82b")</f>
        <v/>
      </c>
      <c r="F3">
        <f>HYPERLINK("https://www.amazon.jobs/jobs/3191228/data-engineer-ii-aws-commerce-platformadc?cmpid=DA_INAD200785B", "https://www.amazon.jobs/jobs/3191228/data-engineer-ii-aws-commerce-platformadc?cmpid=DA_INAD200785B")</f>
        <v/>
      </c>
      <c r="G3" t="inlineStr">
        <is>
          <t>Seattle, WA, US</t>
        </is>
      </c>
      <c r="H3" s="2" t="n">
        <v>46078</v>
      </c>
      <c r="I3" t="inlineStr">
        <is>
          <t>**DESCRIPTION**
---------------
Application deadline: Mar 14,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4">
      <c r="A4" t="inlineStr">
        <is>
          <t>in-bc84357eb5232409</t>
        </is>
      </c>
      <c r="B4" t="inlineStr">
        <is>
          <t>Data Engineer II, AWS Commerce Platform-ADC</t>
        </is>
      </c>
      <c r="C4" t="inlineStr">
        <is>
          <t>Amazon Web Services</t>
        </is>
      </c>
      <c r="D4" t="inlineStr">
        <is>
          <t>indeed</t>
        </is>
      </c>
      <c r="E4">
        <f>HYPERLINK("https://www.indeed.com/viewjob?jk=bc84357eb5232409", "https://www.indeed.com/viewjob?jk=bc84357eb5232409")</f>
        <v/>
      </c>
      <c r="F4">
        <f>HYPERLINK("https://www.amazon.jobs/jobs/3191228/data-engineer-ii-aws-commerce-platformadc?cmpid=DA_INAD200785B", "https://www.amazon.jobs/jobs/3191228/data-engineer-ii-aws-commerce-platformadc?cmpid=DA_INAD200785B")</f>
        <v/>
      </c>
      <c r="G4" t="inlineStr">
        <is>
          <t>Herndon, VA, US</t>
        </is>
      </c>
      <c r="H4" s="2" t="n">
        <v>46078</v>
      </c>
      <c r="I4" t="inlineStr">
        <is>
          <t>**DESCRIPTION**
---------------
Application deadline: Mar 14,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5">
      <c r="A5" t="inlineStr">
        <is>
          <t>in-8af232ac32fffbac</t>
        </is>
      </c>
      <c r="B5" t="inlineStr">
        <is>
          <t>Data Engineer II, AWS Commerce Platform-ADC</t>
        </is>
      </c>
      <c r="C5" t="inlineStr">
        <is>
          <t>Amazon Web Services</t>
        </is>
      </c>
      <c r="D5" t="inlineStr">
        <is>
          <t>indeed</t>
        </is>
      </c>
      <c r="E5">
        <f>HYPERLINK("https://www.indeed.com/viewjob?jk=8af232ac32fffbac", "https://www.indeed.com/viewjob?jk=8af232ac32fffbac")</f>
        <v/>
      </c>
      <c r="F5">
        <f>HYPERLINK("https://www.amazon.jobs/jobs/3191228/data-engineer-ii-aws-commerce-platformadc?cmpid=DA_INAD200785B", "https://www.amazon.jobs/jobs/3191228/data-engineer-ii-aws-commerce-platformadc?cmpid=DA_INAD200785B")</f>
        <v/>
      </c>
      <c r="G5" t="inlineStr">
        <is>
          <t>Denver, CO, US</t>
        </is>
      </c>
      <c r="H5" s="2" t="n">
        <v>46078</v>
      </c>
      <c r="I5" t="inlineStr">
        <is>
          <t>**DESCRIPTION**
---------------
Application deadline: Mar 14,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6">
      <c r="A6" t="inlineStr">
        <is>
          <t>in-da5071ed56e90555</t>
        </is>
      </c>
      <c r="B6" t="inlineStr">
        <is>
          <t>Data Engineer II, AWS Commerce Platform-ADC</t>
        </is>
      </c>
      <c r="C6" t="inlineStr">
        <is>
          <t>Amazon Web Services</t>
        </is>
      </c>
      <c r="D6" t="inlineStr">
        <is>
          <t>indeed</t>
        </is>
      </c>
      <c r="E6">
        <f>HYPERLINK("https://www.indeed.com/viewjob?jk=da5071ed56e90555", "https://www.indeed.com/viewjob?jk=da5071ed56e90555")</f>
        <v/>
      </c>
      <c r="F6">
        <f>HYPERLINK("https://www.amazon.jobs/jobs/3191228/data-engineer-ii-aws-commerce-platformadc?cmpid=DA_INAD200785B", "https://www.amazon.jobs/jobs/3191228/data-engineer-ii-aws-commerce-platformadc?cmpid=DA_INAD200785B")</f>
        <v/>
      </c>
      <c r="G6" t="inlineStr">
        <is>
          <t>Jessup, MD, US</t>
        </is>
      </c>
      <c r="H6" s="2" t="n">
        <v>46078</v>
      </c>
      <c r="I6" t="inlineStr">
        <is>
          <t>**DESCRIPTION**
---------------
Application deadline: Mar 14,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7">
      <c r="A7" t="inlineStr">
        <is>
          <t>in-c1fe00609bc6036d</t>
        </is>
      </c>
      <c r="B7" t="inlineStr">
        <is>
          <t>Data Engineer II, AWS Commerce Platform-ADC</t>
        </is>
      </c>
      <c r="C7" t="inlineStr">
        <is>
          <t>Amazon Web Services</t>
        </is>
      </c>
      <c r="D7" t="inlineStr">
        <is>
          <t>indeed</t>
        </is>
      </c>
      <c r="E7">
        <f>HYPERLINK("https://www.indeed.com/viewjob?jk=c1fe00609bc6036d", "https://www.indeed.com/viewjob?jk=c1fe00609bc6036d")</f>
        <v/>
      </c>
      <c r="F7">
        <f>HYPERLINK("https://www.amazon.jobs/jobs/3191228/data-engineer-ii-aws-commerce-platformadc?cmpid=DA_INAD200785B", "https://www.amazon.jobs/jobs/3191228/data-engineer-ii-aws-commerce-platformadc?cmpid=DA_INAD200785B")</f>
        <v/>
      </c>
      <c r="G7" t="inlineStr">
        <is>
          <t>Arlington, VA, US</t>
        </is>
      </c>
      <c r="H7" s="2" t="n">
        <v>46078</v>
      </c>
      <c r="I7" t="inlineStr">
        <is>
          <t>**DESCRIPTION**
---------------
Application deadline: Mar 14,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8">
      <c r="A8" t="inlineStr">
        <is>
          <t>in-af5e2dadba0460a9</t>
        </is>
      </c>
      <c r="B8" t="inlineStr">
        <is>
          <t>Data Engineer II , UTR PLanning Tech</t>
        </is>
      </c>
      <c r="C8" t="inlineStr">
        <is>
          <t>Amazon.com</t>
        </is>
      </c>
      <c r="D8" t="inlineStr">
        <is>
          <t>indeed</t>
        </is>
      </c>
      <c r="E8">
        <f>HYPERLINK("https://www.indeed.com/viewjob?jk=af5e2dadba0460a9", "https://www.indeed.com/viewjob?jk=af5e2dadba0460a9")</f>
        <v/>
      </c>
      <c r="F8">
        <f>HYPERLINK("https://www.amazon.jobs/jobs/3186425/data-engineer-ii--utr-planning-tech?cmpid=DA_INAD200785B", "https://www.amazon.jobs/jobs/3186425/data-engineer-ii--utr-planning-tech?cmpid=DA_INAD200785B")</f>
        <v/>
      </c>
      <c r="G8" t="inlineStr">
        <is>
          <t>Nashville, TN, US</t>
        </is>
      </c>
      <c r="H8" s="2" t="n">
        <v>46070</v>
      </c>
      <c r="I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
      <c r="A9" t="inlineStr">
        <is>
          <t>in-73517e2caa249c8e</t>
        </is>
      </c>
      <c r="B9" t="inlineStr">
        <is>
          <t>Data Engineer II , UTR PLanning Tech</t>
        </is>
      </c>
      <c r="C9" t="inlineStr">
        <is>
          <t>Amazon.com</t>
        </is>
      </c>
      <c r="D9" t="inlineStr">
        <is>
          <t>indeed</t>
        </is>
      </c>
      <c r="E9">
        <f>HYPERLINK("https://www.indeed.com/viewjob?jk=73517e2caa249c8e", "https://www.indeed.com/viewjob?jk=73517e2caa249c8e")</f>
        <v/>
      </c>
      <c r="F9">
        <f>HYPERLINK("https://www.amazon.jobs/jobs/3186425/data-engineer-ii--utr-planning-tech?cmpid=DA_INAD200785B", "https://www.amazon.jobs/jobs/3186425/data-engineer-ii--utr-planning-tech?cmpid=DA_INAD200785B")</f>
        <v/>
      </c>
      <c r="G9" t="inlineStr">
        <is>
          <t>Bellevue, WA, US</t>
        </is>
      </c>
      <c r="H9" s="2" t="n">
        <v>46070</v>
      </c>
      <c r="I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0">
      <c r="A10" t="inlineStr">
        <is>
          <t>in-21500b642991088b</t>
        </is>
      </c>
      <c r="B10" t="inlineStr">
        <is>
          <t>Data Engineer II , UTR PLanning Tech</t>
        </is>
      </c>
      <c r="C10" t="inlineStr">
        <is>
          <t>Amazon.com</t>
        </is>
      </c>
      <c r="D10" t="inlineStr">
        <is>
          <t>indeed</t>
        </is>
      </c>
      <c r="E10">
        <f>HYPERLINK("https://www.indeed.com/viewjob?jk=21500b642991088b", "https://www.indeed.com/viewjob?jk=21500b642991088b")</f>
        <v/>
      </c>
      <c r="F10">
        <f>HYPERLINK("https://www.amazon.jobs/jobs/3186425/data-engineer-ii--utr-planning-tech?cmpid=DA_INAD200785B", "https://www.amazon.jobs/jobs/3186425/data-engineer-ii--utr-planning-tech?cmpid=DA_INAD200785B")</f>
        <v/>
      </c>
      <c r="G10" t="inlineStr">
        <is>
          <t>Austin, TX, US</t>
        </is>
      </c>
      <c r="H10" s="2" t="n">
        <v>46070</v>
      </c>
      <c r="I1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1">
      <c r="A11" t="inlineStr">
        <is>
          <t>in-088aba0e8244ffa9</t>
        </is>
      </c>
      <c r="B11" t="inlineStr">
        <is>
          <t>Data Engineer II, UTR PLanning Tech</t>
        </is>
      </c>
      <c r="C11" t="inlineStr">
        <is>
          <t>Amazon.com</t>
        </is>
      </c>
      <c r="D11" t="inlineStr">
        <is>
          <t>indeed</t>
        </is>
      </c>
      <c r="E11">
        <f>HYPERLINK("https://www.indeed.com/viewjob?jk=088aba0e8244ffa9", "https://www.indeed.com/viewjob?jk=088aba0e8244ffa9")</f>
        <v/>
      </c>
      <c r="F11">
        <f>HYPERLINK("https://www.amazon.jobs/jobs/3190311/data-engineer-ii-utr-planning-tech?cmpid=DA_INAD200785B", "https://www.amazon.jobs/jobs/3190311/data-engineer-ii-utr-planning-tech?cmpid=DA_INAD200785B")</f>
        <v/>
      </c>
      <c r="G11" t="inlineStr">
        <is>
          <t>Bellevue, WA, US</t>
        </is>
      </c>
      <c r="H11" s="2" t="n">
        <v>46065</v>
      </c>
      <c r="I1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
      <c r="A12" t="inlineStr">
        <is>
          <t>in-11740b6950165c79</t>
        </is>
      </c>
      <c r="B12" t="inlineStr">
        <is>
          <t>Data Engineer II, UTR PLanning Tech</t>
        </is>
      </c>
      <c r="C12" t="inlineStr">
        <is>
          <t>Amazon.com</t>
        </is>
      </c>
      <c r="D12" t="inlineStr">
        <is>
          <t>indeed</t>
        </is>
      </c>
      <c r="E12">
        <f>HYPERLINK("https://www.indeed.com/viewjob?jk=11740b6950165c79", "https://www.indeed.com/viewjob?jk=11740b6950165c79")</f>
        <v/>
      </c>
      <c r="F12">
        <f>HYPERLINK("https://www.amazon.jobs/jobs/3190311/data-engineer-ii-utr-planning-tech?cmpid=DA_INAD200785B", "https://www.amazon.jobs/jobs/3190311/data-engineer-ii-utr-planning-tech?cmpid=DA_INAD200785B")</f>
        <v/>
      </c>
      <c r="G12" t="inlineStr">
        <is>
          <t>Nashville, TN, US</t>
        </is>
      </c>
      <c r="H12" s="2" t="n">
        <v>46065</v>
      </c>
      <c r="I1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3">
      <c r="A13" t="inlineStr">
        <is>
          <t>in-686dbdfc562fd62e</t>
        </is>
      </c>
      <c r="B13" t="inlineStr">
        <is>
          <t>Data Engineer II, UTR PLanning Tech</t>
        </is>
      </c>
      <c r="C13" t="inlineStr">
        <is>
          <t>Amazon.com</t>
        </is>
      </c>
      <c r="D13" t="inlineStr">
        <is>
          <t>indeed</t>
        </is>
      </c>
      <c r="E13">
        <f>HYPERLINK("https://www.indeed.com/viewjob?jk=686dbdfc562fd62e", "https://www.indeed.com/viewjob?jk=686dbdfc562fd62e")</f>
        <v/>
      </c>
      <c r="F13">
        <f>HYPERLINK("https://www.amazon.jobs/jobs/3190311/data-engineer-ii-utr-planning-tech?cmpid=DA_INAD200785B", "https://www.amazon.jobs/jobs/3190311/data-engineer-ii-utr-planning-tech?cmpid=DA_INAD200785B")</f>
        <v/>
      </c>
      <c r="G13" t="inlineStr">
        <is>
          <t>Austin, TX, US</t>
        </is>
      </c>
      <c r="H13" s="2" t="n">
        <v>46065</v>
      </c>
      <c r="I1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
      <c r="A14" t="inlineStr">
        <is>
          <t>in-018970ed781d7562</t>
        </is>
      </c>
      <c r="B14" t="inlineStr">
        <is>
          <t>Senior Big Data Engineer, IDEAS - D&amp;A - Revenue</t>
        </is>
      </c>
      <c r="C14" t="inlineStr">
        <is>
          <t>Amazon Web Services</t>
        </is>
      </c>
      <c r="D14" t="inlineStr">
        <is>
          <t>indeed</t>
        </is>
      </c>
      <c r="E14">
        <f>HYPERLINK("https://www.indeed.com/viewjob?jk=018970ed781d7562", "https://www.indeed.com/viewjob?jk=018970ed781d7562")</f>
        <v/>
      </c>
      <c r="F14">
        <f>HYPERLINK("https://www.amazon.jobs/jobs/3188105/senior-big-data-engineer-ideas--da--revenue?cmpid=DA_INAD200785B", "https://www.amazon.jobs/jobs/3188105/senior-big-data-engineer-ideas--da--revenue?cmpid=DA_INAD200785B")</f>
        <v/>
      </c>
      <c r="G14" t="inlineStr">
        <is>
          <t>Dallas, TX, US</t>
        </is>
      </c>
      <c r="H14" s="2" t="n">
        <v>46064</v>
      </c>
      <c r="I14"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15">
      <c r="A15" t="inlineStr">
        <is>
          <t>in-88a4af8c090288b1</t>
        </is>
      </c>
      <c r="B15" t="inlineStr">
        <is>
          <t>Senior Big Data Engineer, IDEAS - D&amp;A - Revenue</t>
        </is>
      </c>
      <c r="C15" t="inlineStr">
        <is>
          <t>Amazon Web Services</t>
        </is>
      </c>
      <c r="D15" t="inlineStr">
        <is>
          <t>indeed</t>
        </is>
      </c>
      <c r="E15">
        <f>HYPERLINK("https://www.indeed.com/viewjob?jk=88a4af8c090288b1", "https://www.indeed.com/viewjob?jk=88a4af8c090288b1")</f>
        <v/>
      </c>
      <c r="F15">
        <f>HYPERLINK("https://www.amazon.jobs/jobs/3188105/senior-big-data-engineer-ideas--da--revenue?cmpid=DA_INAD200785B", "https://www.amazon.jobs/jobs/3188105/senior-big-data-engineer-ideas--da--revenue?cmpid=DA_INAD200785B")</f>
        <v/>
      </c>
      <c r="G15" t="inlineStr">
        <is>
          <t>Seattle, WA, US</t>
        </is>
      </c>
      <c r="H15" s="2" t="n">
        <v>46064</v>
      </c>
      <c r="I15"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16">
      <c r="A16" t="inlineStr">
        <is>
          <t>in-11161d747d0ad10e</t>
        </is>
      </c>
      <c r="B16" t="inlineStr">
        <is>
          <t>Software Development Manager, Amazon Security Data Engineering</t>
        </is>
      </c>
      <c r="C16" t="inlineStr">
        <is>
          <t>Amazon.com</t>
        </is>
      </c>
      <c r="D16" t="inlineStr">
        <is>
          <t>indeed</t>
        </is>
      </c>
      <c r="E16">
        <f>HYPERLINK("https://www.indeed.com/viewjob?jk=11161d747d0ad10e", "https://www.indeed.com/viewjob?jk=11161d747d0ad10e")</f>
        <v/>
      </c>
      <c r="F16">
        <f>HYPERLINK("https://www.amazon.jobs/jobs/3188767/software-development-manager-amazon-security-data-engineering?cmpid=DA_INAD200785B", "https://www.amazon.jobs/jobs/3188767/software-development-manager-amazon-security-data-engineering?cmpid=DA_INAD200785B")</f>
        <v/>
      </c>
      <c r="G16" t="inlineStr">
        <is>
          <t>San Diego, CA, US</t>
        </is>
      </c>
      <c r="H16" s="2" t="n">
        <v>46063</v>
      </c>
      <c r="I16"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7">
      <c r="A17" t="inlineStr">
        <is>
          <t>in-cadf84c7e0c690f1</t>
        </is>
      </c>
      <c r="B17" t="inlineStr">
        <is>
          <t>Software Development Manager, Amazon Security Data Engineering</t>
        </is>
      </c>
      <c r="C17" t="inlineStr">
        <is>
          <t>Amazon.com</t>
        </is>
      </c>
      <c r="D17" t="inlineStr">
        <is>
          <t>indeed</t>
        </is>
      </c>
      <c r="E17">
        <f>HYPERLINK("https://www.indeed.com/viewjob?jk=cadf84c7e0c690f1", "https://www.indeed.com/viewjob?jk=cadf84c7e0c690f1")</f>
        <v/>
      </c>
      <c r="F17">
        <f>HYPERLINK("https://www.amazon.jobs/jobs/3188767/software-development-manager-amazon-security-data-engineering?cmpid=DA_INAD200785B", "https://www.amazon.jobs/jobs/3188767/software-development-manager-amazon-security-data-engineering?cmpid=DA_INAD200785B")</f>
        <v/>
      </c>
      <c r="G17" t="inlineStr">
        <is>
          <t>Herndon, VA, US</t>
        </is>
      </c>
      <c r="H17" s="2" t="n">
        <v>46063</v>
      </c>
      <c r="I17"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8">
      <c r="A18" t="inlineStr">
        <is>
          <t>in-e8f64b28b1f15e77</t>
        </is>
      </c>
      <c r="B18" t="inlineStr">
        <is>
          <t>Data Engineer, AMZL Orbit Data Engineering</t>
        </is>
      </c>
      <c r="C18" t="inlineStr">
        <is>
          <t>Amazon.com</t>
        </is>
      </c>
      <c r="D18" t="inlineStr">
        <is>
          <t>indeed</t>
        </is>
      </c>
      <c r="E18">
        <f>HYPERLINK("https://www.indeed.com/viewjob?jk=e8f64b28b1f15e77", "https://www.indeed.com/viewjob?jk=e8f64b28b1f15e77")</f>
        <v/>
      </c>
      <c r="F18">
        <f>HYPERLINK("https://www.amazon.jobs/jobs/3184381/data-engineer-amzl-orbit-data-engineering?cmpid=DA_INAD200785B", "https://www.amazon.jobs/jobs/3184381/data-engineer-amzl-orbit-data-engineering?cmpid=DA_INAD200785B")</f>
        <v/>
      </c>
      <c r="G18" t="inlineStr">
        <is>
          <t>Austin, TX, US</t>
        </is>
      </c>
      <c r="H18" s="2" t="n">
        <v>46054</v>
      </c>
      <c r="I1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9">
      <c r="A19" t="inlineStr">
        <is>
          <t>in-1a0cfc4ea54a0f0e</t>
        </is>
      </c>
      <c r="B19" t="inlineStr">
        <is>
          <t>Data Engineer, AMZL Orbit Data Engineering</t>
        </is>
      </c>
      <c r="C19" t="inlineStr">
        <is>
          <t>Amazon.com</t>
        </is>
      </c>
      <c r="D19" t="inlineStr">
        <is>
          <t>indeed</t>
        </is>
      </c>
      <c r="E19">
        <f>HYPERLINK("https://www.indeed.com/viewjob?jk=1a0cfc4ea54a0f0e", "https://www.indeed.com/viewjob?jk=1a0cfc4ea54a0f0e")</f>
        <v/>
      </c>
      <c r="F19">
        <f>HYPERLINK("https://www.amazon.jobs/jobs/3184381/data-engineer-amzl-orbit-data-engineering?cmpid=DA_INAD200785B", "https://www.amazon.jobs/jobs/3184381/data-engineer-amzl-orbit-data-engineering?cmpid=DA_INAD200785B")</f>
        <v/>
      </c>
      <c r="G19" t="inlineStr">
        <is>
          <t>Nashville, TN, US</t>
        </is>
      </c>
      <c r="H19" s="2" t="n">
        <v>46054</v>
      </c>
      <c r="I1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0">
      <c r="A20" t="inlineStr">
        <is>
          <t>in-28771af5d46310b5</t>
        </is>
      </c>
      <c r="B20" t="inlineStr">
        <is>
          <t>Data Engineer, AMZL Orbit Data Engineering</t>
        </is>
      </c>
      <c r="C20" t="inlineStr">
        <is>
          <t>Amazon.com</t>
        </is>
      </c>
      <c r="D20" t="inlineStr">
        <is>
          <t>indeed</t>
        </is>
      </c>
      <c r="E20">
        <f>HYPERLINK("https://www.indeed.com/viewjob?jk=28771af5d46310b5", "https://www.indeed.com/viewjob?jk=28771af5d46310b5")</f>
        <v/>
      </c>
      <c r="F20">
        <f>HYPERLINK("https://www.amazon.jobs/jobs/3184381/data-engineer-amzl-orbit-data-engineering?cmpid=DA_INAD200785B", "https://www.amazon.jobs/jobs/3184381/data-engineer-amzl-orbit-data-engineering?cmpid=DA_INAD200785B")</f>
        <v/>
      </c>
      <c r="G20" t="inlineStr">
        <is>
          <t>Bellevue, WA, US</t>
        </is>
      </c>
      <c r="H20" s="2" t="n">
        <v>46054</v>
      </c>
      <c r="I2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1">
      <c r="A21" t="inlineStr">
        <is>
          <t>in-5b774ada0028eac3</t>
        </is>
      </c>
      <c r="B21" t="inlineStr">
        <is>
          <t>Data Engineer, Denied Party Screening, AWS Compliance &amp; Security Assurance</t>
        </is>
      </c>
      <c r="C21" t="inlineStr">
        <is>
          <t>Amazon.com</t>
        </is>
      </c>
      <c r="D21" t="inlineStr">
        <is>
          <t>indeed</t>
        </is>
      </c>
      <c r="E21">
        <f>HYPERLINK("https://www.indeed.com/viewjob?jk=5b774ada0028eac3", "https://www.indeed.com/viewjob?jk=5b774ada0028eac3")</f>
        <v/>
      </c>
      <c r="F21">
        <f>HYPERLINK("https://www.amazon.jobs/jobs/3160403/data-engineer-denied-party-screening-aws-compliance--security-assurance?cmpid=DA_INAD200785B", "https://www.amazon.jobs/jobs/3160403/data-engineer-denied-party-screening-aws-compliance--security-assurance?cmpid=DA_INAD200785B")</f>
        <v/>
      </c>
      <c r="G21" t="inlineStr">
        <is>
          <t>Seattle, WA, US</t>
        </is>
      </c>
      <c r="H21" s="2" t="n">
        <v>46029</v>
      </c>
      <c r="I2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2">
      <c r="A22" t="inlineStr">
        <is>
          <t>in-c97c2451fe18b9c8</t>
        </is>
      </c>
      <c r="B22" t="inlineStr">
        <is>
          <t>Data Engineer, Denied Party Screening, AWS Compliance &amp; Security Assurance</t>
        </is>
      </c>
      <c r="C22" t="inlineStr">
        <is>
          <t>Amazon.com</t>
        </is>
      </c>
      <c r="D22" t="inlineStr">
        <is>
          <t>indeed</t>
        </is>
      </c>
      <c r="E22">
        <f>HYPERLINK("https://www.indeed.com/viewjob?jk=c97c2451fe18b9c8", "https://www.indeed.com/viewjob?jk=c97c2451fe18b9c8")</f>
        <v/>
      </c>
      <c r="F22">
        <f>HYPERLINK("https://www.amazon.jobs/jobs/3160403/data-engineer-denied-party-screening-aws-compliance--security-assurance?cmpid=DA_INAD200785B", "https://www.amazon.jobs/jobs/3160403/data-engineer-denied-party-screening-aws-compliance--security-assurance?cmpid=DA_INAD200785B")</f>
        <v/>
      </c>
      <c r="G22" t="inlineStr">
        <is>
          <t>Dallas, TX, US</t>
        </is>
      </c>
      <c r="H22" s="2" t="n">
        <v>46029</v>
      </c>
      <c r="I2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li-4264934170</t>
        </is>
      </c>
      <c r="B2" t="inlineStr">
        <is>
          <t>Senior Data Engineer</t>
        </is>
      </c>
      <c r="C2" t="inlineStr">
        <is>
          <t>StubHub</t>
        </is>
      </c>
      <c r="D2" t="inlineStr">
        <is>
          <t>linkedin</t>
        </is>
      </c>
      <c r="E2" t="inlineStr"/>
      <c r="F2" t="inlineStr"/>
      <c r="G2" t="inlineStr">
        <is>
          <t>New York, NY</t>
        </is>
      </c>
      <c r="H2" t="inlineStr"/>
      <c r="I2"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a talented Senior Data Engineer to join StubHub's Data team. In this role you will be responsible for designing and building the underlying systems and pipelines for centralizing StubHub’s internal plus third\-party data. Our team's goal is to empower organizations across the company to transform data for analysis and reporting, new product development, experimentation, and machine learning. This includes developing the core infrastructure for the data lake and data warehouse, creating foundational data models and data pipelines, and building shared tooling to ease the process of creating high\-quality, trustworthy data assets.
 As a Senior Data Engineer on the Data Platform team, you will contribute to core infrastructure, frameworks, and analytical data layers. You will also play a key role in defining the culture and expectations of what great data engineering looks like, and mentoring others on the team to reach that bar. We are looking for the right person that is passionate about the power of both data and software development fundamentals, and can use them in tandem to create a data ecosystem that is principled, maintainable, and extensible to the hypergrowth happening at StubHub.You will specialize in one or more business domains, building deep expertise and anticipating the needs of that business vertical.
*Location: Hybrid (3 days in office/2 days remote) – New York, NY or
 *Century City* 
 , CA*
**What You'll Do**
* Build and operate scalable data pipelines with robust QA, monitoring, and alerting
* Create shared tooling to improve data practitioner (data engineering, analytics engineering, data science) productivity and quality across the company
* Influence the direction for key infrastructure and framework choices for data pipelining and data management
* Contribute to core cross\-functional data models
* Launch data platform features that have immediate impact on the velocity of innovation and ultimately growth of the business
* Manage individual initiatives—Setting priorities, deadlines, and deliverables based on your technical expertise
* Foster a culture of inclusion, results\-oriented execution, open innovation, and limitless creativity in your team
* Specialize in one or more business domains, building deep expertise and anticipating the needs of that business vertical
**What You've Done** 
* 7\+ years of relevant development experience—in data platform or data engineering—in fast paced environments
* Very high SQL proficiency, with experience in both transactional RDBMS systems and distributed systems
* Strong programming and system design skills
* Experience designing and developing large\-scale, efficient batch and streaming data processing
* Ability to analyze and reason about large datasets to identify data quality issues and other contextual insights
* Experience mentoring, delegating to, and reviewing the work of junior team members
* Passion for great data end\-user experience and stewardship
* Experience with:
+ Data pipeline management and orchestration tools, such as Airflow
+ Cloud\-based data warehousing solutions, such as Snowflake, BigQuery, and Redshift
+ Batch processing systems, such as Spark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
      <c r="A3" t="inlineStr">
        <is>
          <t>li-4365686872</t>
        </is>
      </c>
      <c r="B3" t="inlineStr">
        <is>
          <t>Analytics Engineer</t>
        </is>
      </c>
      <c r="C3" t="inlineStr">
        <is>
          <t>Spreedly</t>
        </is>
      </c>
      <c r="D3" t="inlineStr">
        <is>
          <t>linkedin</t>
        </is>
      </c>
      <c r="E3" t="inlineStr"/>
      <c r="F3" t="inlineStr"/>
      <c r="G3" t="inlineStr"/>
      <c r="H3" t="inlineStr"/>
      <c r="I3" t="inlineStr">
        <is>
          <t>About Us:
 Spreedly is the world's leading Open Payments Platform, sitting at the center of a network processing more than $50b of GMV annually. Spreedly's Payments Orchestration platform enables and optimizes digital transactions with the world’s most complete payment services marketplace. Built on Spreedly’s PCI\-compliant architecture, our Advanced Vault solution combines a modern feature\-set with rule\-based configurations to optimize the vaulting experience for all stored payment methods. Global enterprises and hyper\-growth companies grow their digital business faster by relying on our payments platform. Hundreds of customers worldwide secure card data in our PCI\-compliant vault and use tokenized card data to enable and optimize over $45 billion of annual transaction volumes with any payment service.
 Our vision is that the world is better with a diversified, inclusive payment ecosystem. Our mission is to accelerate commerce with an open, secure, and flexible payment platform that welcomes all payment participants. Our employees help us execute our vision by building a culture focused on autonomy, transparency, and collaboration in a dynamic, high\-growth organization.
 Product Offering:
 Spreedly provides an open payments platform. The platform’s connectivity provides payments performance. Key products and services include:
**Payment Gateway Integration** 
 : Connects merchants, platforms, and marketplaces to multiple payment gateways and payment services.
**Tokenization** 
 : Securely stores and manages payment data with a universal tokenization service.
**Transaction Routing** 
 : Enables intelligent routing of transactions to optimize success rates and costs.
**Payment Vault** 
 : A secure storage solution for sensitive payment information.
**Fraud Tools Integration** 
 : Integrates with various fraud prevention tools to enhance transaction security.
**About the Role:**
 The Analytics Engineer will sit at the crossroads of Spreedly's business teams, Data Engineering, and Business Intelligence and be responsible for bringing robust, efficient, and integrated data models to life. A successful candidate for this role can speak the language of business teams and technical teams, and is able to translate data insights and analysis needs into models powered by Spreedly’s data pipeline and platform.
 This role will blend business acumen with technical expertise and transition between business strategy and data development, working alongside self\-starters interested in solving real\-world problems and in streamlining our internal capacity to simplify a complex environment with billions of data points.
**Responsibilities:**
* Collaborate and Advise: Partner with business teams and stakeholders to collect requirements, define analytics outcomes, and build foundational data models and dashboards. You'll serve as a data modeling and visualization expert, assisting all teams by delivering high\-impact dashboards built on scalable data models.
* Develop and Maintain Data Models: Design, develop, and maintain scalable dbt models to advance our data maturity. This includes ensuring a single source of truth, keeping data sources fresh as requirements evolve, and maintaining our data dictionary.
* Ensure Quality and Governance: Write SQL that meets internal standards for structure and quality. You'll maintain these standards through code reviews and peer\-reviewing database and data model schema changes.
* Empower Stakeholders: Encourage internal adoption and self\-sufficiency of stakeholders in Tableau through documentation, training, and dashboard organization.
**Requirements:**
* 3\+ years of proven experience in the data space as an analyst or analytics engineer.
* 3\+ years designing and implementing commercial enterprise dimensional models and working with large\-scale (1B\+ rows) cloud data warehouses.
* Hands\-on experience building, testing, and maintaining data models in dbt
* Expertise with SQL, including advanced techniques (ex. window functions, common table expressions, UDFs, etc.) for data investigation and analysis.
* Experience with data visualization in Tableau
* Solid project management skills, including planning work, managing details, and navigating ambiguity to deliver results with cross\-functional stakeholders.
* Enthusiasm for conducting reproducible analysis, including code reviews, version control, and robust documentation.
**Additional Skills We Value:**
* Familiarity with Snowflake
* Experience with Fivetran
* Background in a B2B SaaS or fintech environment
* Experience supporting RevOps or GTM analytics, including sales funnel and marketing performance reporting
**We Offer Our US\-Based Employees:**
* Competitive salary \+ Equity
* Outstanding Medical and Dental benefits, including 100% employer\-paid options
* Company\-paid Life and Disability insurance
* Optional vision and supplemental insurance options, and various Flexible Spending Accounts (FSA)
* Open Paid Time Off policy \+ 12 weeks of paid leave for new parents
* Matching 401(k) plan (5% up to $5,000 yearly)
* $1,000 annual professional development stipend
* Monthly home working/digital lifestyle stipend, new MacBook, and one\-time accessory reimbursement
* Access to company\-paid professional coaching service
* Visits to HQ in Durham, North Carolina for remote employees
 We champion the ethical, creative use of AI—if you’re someone who pairs human judgment with modern AI tools to work smarter and drive bigger impact, you’ll thrive here.
 \-\-
 Spreedly is an equal opportunity employer. We are committed to fostering, cultivating, and preserving a culture of diversity, equity, inclusion, and belonging. We actively work to drive out even unintentional discrimination in our hiring processes via practices like blindly graded work samples, structured interviews, and diversity awareness training.
 Due to the sensitive nature of what Spreedly does \- handling payment data \- finalist candidates must complete a successful background and reference check.
 At this time Spreedly is unable to provide sponsorship for employment, and we are not set up to support remote employees who reside in New York. In order to be considered for employment, applicants must be currently legally authorized to work in the job location country and not require future sponsorship in order to continue working in that country.
 We appreciate your interest in our company. Because of the high volume of resume flow, we may only respond to those candidates that we think will be a potential fit.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li-4382649955</t>
        </is>
      </c>
      <c r="B4" t="inlineStr">
        <is>
          <t>Data Engineer</t>
        </is>
      </c>
      <c r="C4" t="inlineStr">
        <is>
          <t>Calyptus</t>
        </is>
      </c>
      <c r="D4" t="inlineStr">
        <is>
          <t>linkedin</t>
        </is>
      </c>
      <c r="E4" t="inlineStr"/>
      <c r="F4" t="inlineStr"/>
      <c r="G4" t="inlineStr">
        <is>
          <t>New York, United States</t>
        </is>
      </c>
      <c r="H4" t="inlineStr"/>
      <c r="I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5">
      <c r="A5" t="inlineStr">
        <is>
          <t>li-4382658808</t>
        </is>
      </c>
      <c r="B5" t="inlineStr">
        <is>
          <t>Data Engineer</t>
        </is>
      </c>
      <c r="C5" t="inlineStr">
        <is>
          <t>Wiraa</t>
        </is>
      </c>
      <c r="D5" t="inlineStr">
        <is>
          <t>linkedin</t>
        </is>
      </c>
      <c r="E5" t="inlineStr"/>
      <c r="F5" t="inlineStr"/>
      <c r="G5" t="inlineStr"/>
      <c r="H5" t="inlineStr"/>
      <c r="I5" t="inlineStr">
        <is>
          <t>**About The Company**
 CVS Health is dedicated to building a world of health around every individual by providing a more connected, convenient, and compassionate health experience. With a strong commitment to innovation, safety, and quality, CVS Health fosters a collaborative environment where passionate colleagues work together to deliver industry\-leading health solutions. The company’s mission revolves around simplifying healthcare and improving the well\-being of individuals, families, and communities. As part of CVS Health, you will be joining a forward\-thinking organization that values diversity, accountability, and continuous improvement, making a meaningful impact on the healthcare landscape.
**About The Role**
 We are seeking a talented Data Engineer to join our dynamic analytics and engineering team. In this role, you will leverage your expertise to design, develop, and maintain scalable data pipelines that process complex healthcare data at terabyte to petabyte scale. Your work will support data\-driven decision\-making across various CVS lines of business, enabling innovative healthcare solutions. You will collaborate with cross\-functional teams to build robust data models, integrate external systems, and optimize data workflows within a cloud environment, primarily utilizing Google Cloud Platform (GCP). This position offers an exciting opportunity to work on large\-scale data projects that have a direct impact on improving healthcare services and outcomes.
**Qualifications**
* Minimum 1 year of experience with SQL and NoSQL databases
* Minimum 1 year of experience with Python or a comparable scripting language
* Experience with data warehouses, data modeling, and technical architecture
* Proficiency in ETL/ELT processes and building high\-volume data pipelines
* Experience with reporting and analytics tools
* Knowledge of query optimization, data structures, and workload management
* Hands\-on experience with big data and cloud architecture, particularly GCP
* Experience deploying and scaling applications in containerized environments such as Kubernetes or AKS
* Familiarity with real\-time and streaming technologies like Kafka and Spark Streaming
* Ability to gather complex requirements and manage stakeholder relationships effectively
**Responsibilities**
* Build and optimize analytical data models in BigQuery, utilizing partitioning, clustering, and materialized views for performance and cost efficiency
* Ensure data governance, access control, and IAM best practices are followed
* Develop integrations with external systems via APIs, flat files, and hybrid approaches using GCP\-native tools
* Create and maintain automated CI/CD pipelines using Cloud Build, GitHub Actions, or Jenkins for deploying data workflows
* Implement observability solutions with Cloud Monitoring, Logging, and Error Reporting to ensure pipeline reliability
* Collaborate with cross\-functional teams to develop innovative data solutions addressing complex business challenges
* Design and maintain scalable data pipelines that process structured and unstructured healthcare data
* Participate in agile development cycles, providing technical expertise and continuous improvement suggestions
* Ensure compliance with data security standards and healthcare regulations
**Benefits**
* Affordable medical plan options tailored to diverse needs
* 401(k) plan with company matching contributions
* Employee stock purchase plan
* No\-cost wellness programs including screenings, tobacco cessation, and weight management
* Confidential counseling and financial coaching services
* Paid time off, flexible work schedules, and family leave options
* Dependent care resources and colleague assistance programs
* Tuition assistance and retiree medical access
 Equal Opportunity
 CVS Health is an equal opportunity and affirmative action employer. We celebrate diversity and are committed to creating an inclusive environment for all colleagues, regardless of race, color, religion, sex, sexual orientation, gender identity, national origin, age, disability, or veteran status. We consider qualified applicants with arrest or conviction records in accordance with applicable laws. Our commitment to diversity ensures that every individual has the opportunity to thrive and contribute to our mission of improving healthcare for all.</t>
        </is>
      </c>
    </row>
    <row r="6">
      <c r="A6" t="inlineStr">
        <is>
          <t>li-4351048847</t>
        </is>
      </c>
      <c r="B6" t="inlineStr">
        <is>
          <t>Data Engineer</t>
        </is>
      </c>
      <c r="C6" t="inlineStr">
        <is>
          <t>CubeSmart</t>
        </is>
      </c>
      <c r="D6" t="inlineStr">
        <is>
          <t>linkedin</t>
        </is>
      </c>
      <c r="E6" t="inlineStr"/>
      <c r="F6" t="inlineStr"/>
      <c r="G6" t="inlineStr">
        <is>
          <t>Malvern, PA</t>
        </is>
      </c>
      <c r="H6" t="inlineStr"/>
      <c r="I6" t="inlineStr">
        <is>
          <t>**Overview:**
***This is a hybrid role \- 2 days remote and 3 days in the Malvern, PA office.***
 CubeSmart is currently seeking a Data Engineer to join the Information Technology team at our corporate office in Malvern, PA. The Data Engineer will be responsible for the implementation, development, and optimization of database, data objects, and database scripting with the core database platforms utilized by the core CubeSmart business applications.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This role will also be responsible for the development and maintenance of ETL processes that manage the consumption of data by CubeSmart’s core systems. The role will serve as a technical expert to analyze the needs of CubeSmart’s applications and business data requirements and produce an optimal solution according to their needs and specifications, and in alignment with CubeSmart’s data design standards. This individual will be part of the team building a data and analytics platform in the Microsoft Azure cloud to support the CubeSmart business. This will include designing and building the data ingestion and ETL pipelines to create the cloud Lakehouse environment. In addition, this person will be engaged to develop features in the legacy SQL Server Data Warehouse platform.
**Responsibilities**
* Collaborate with program manager(s), application development, and data consumers to develop data ingestion and ETL pipelines required to enable CubeSmart data consumers to onboard processes to the Data Lakehouse platform
* Create database designs, stored procedures, views and other associated database objects required to implement processes in support of application development efforts
* Design and development of data pipelines and ETL processes required to support system integration and application development needs in the legacy SQL data warehouse environment
* Identification and implementation of database performance tuning required to validate that all systems are performing to an optimal level
* Collaborate with 3rd party vendors to understand externally sourced data and incorporate into CubeSmart’s data environment, in adherence with CubeSmart’s data design standards
**Qualifications:**
 Knowledge, Skills, Abilities and Personal Characteristics
* Bachelor’s degree in Computer Science, Information Technology or a related discipline
* Strong skills in SQL, Python, and PySpark
* Experience with Microsoft Azure data services (Azure Data Factory, Azure Databricks, Azure SQL, and Databricks ML Flow) or equivalent is preferred
* Full understanding of the Software Development Life Cycle (SDLC) and experience with Agile software development processes
* Solid understanding of cloud DevOps capabilities, preferably Azure DevOps
* Experience with MongoDB (or similar non\-relational database platform) or PostgreSQL is a plus
* Experience supporting databases and data models for ERP or financial systems in a plus
* Service orientation towards business\-focused 24×7 support and service mentality
* Ability to work within a team environment, showing an openness to collaborate with technical and business peer, with the ability to step up and take on new challenges in response to changing business conditions
* Ability to learn quickly, adapt work processes to adhere with best practices
* Ability to clearly convey technical information to both technical and non\-technical audiences
* Collaborative individual who creates open channels of communications and encourages technical dialogue across the department.
* Well\-developed analytical and problem\-solving abilities
* Ability to work on multiple tasks and projects at once, with the ability to properly prioritize one’s own work and the work of others</t>
        </is>
      </c>
    </row>
    <row r="7">
      <c r="A7" t="inlineStr">
        <is>
          <t>li-4382654981</t>
        </is>
      </c>
      <c r="B7" t="inlineStr">
        <is>
          <t>Data Engineer (Real-Time)</t>
        </is>
      </c>
      <c r="C7" t="inlineStr">
        <is>
          <t>Wiraa</t>
        </is>
      </c>
      <c r="D7" t="inlineStr">
        <is>
          <t>linkedin</t>
        </is>
      </c>
      <c r="E7" t="inlineStr"/>
      <c r="F7" t="inlineStr"/>
      <c r="G7" t="inlineStr"/>
      <c r="H7" t="inlineStr"/>
      <c r="I7" t="inlineStr">
        <is>
          <t>**About The Company**
 Bright Vision Technologies is a forward\-thinking software development company dedicated to creating innovative solutions that enhance business automation and operational efficiency. Our organization specializes in leveraging advanced real\-time data processing technologies to develop scalable, low\-latency, and fault\-tolerant streaming platforms. With a focus on cutting\-edge solutions, we aim to transform how businesses manage and analyze their data, enabling them to make faster and more informed decisions. Our team is composed of passionate professionals committed to technological excellence and continuous innovation. We foster a collaborative environment that encourages growth, learning, and the pursuit of excellence, making us a respected leader in the industry.
**About The Role**
 We are seeking a skilled Real\-Time Data Engineer with expertise in Flink and Spark Streaming to join our dynamic team in Dallas, TX. This role offers the flexibility of remote work and involves working with state\-of\-the\-art technologies to develop and maintain real\-time data pipelines. The ideal candidate will have a strong background in stream processing, event\-driven architectures, and cloud platforms. You will be responsible for designing, implementing, and optimizing real\-time data solutions that support our clients' business needs. This position provides an excellent opportunity to work on innovative projects, contribute to the growth of our company, and advance your career in the field of real\-time data engineering.
**Qualifications**
* Bachelor's degree in Computer Science, Information Technology, or a related field.
* Minimum of 3 to 5 years of experience in real\-time data engineering or related roles.
* Proficiency in Apache Flink and Spark Streaming frameworks.
* Strong knowledge of Apache Kafka and event\-driven architecture.
* Experience with programming languages such as Java, Scala, or Python.
* Familiarity with windowing, state management, and stream processing semantics.
* Hands\-on experience with SQL and NoSQL databases.
* Knowledge of cloud platforms including AWS, Azure, or GCP.
* Experience with containerization tools like Docker and orchestration within Linux environments.
* Understanding of CI/CD pipelines and monitoring tools.
* Ability to pass a coding test demonstrating technical proficiency.
* Excellent problem\-solving skills and ability to work in a fast\-paced environment.
**Responsibilities**
* Design, develop, and maintain real\-time data pipelines using Apache Flink, Spark Streaming, and Kafka.
* Implement event\-driven architectures to support scalable streaming solutions.
* Optimize data processing workflows for low latency and fault tolerance.
* Collaborate with cross\-functional teams to gather requirements and translate them into technical solutions.
* Ensure data quality, integrity, and security across all streaming platforms.
* Monitor system performance and troubleshoot issues proactively.
* Participate in code reviews, testing, and documentation to maintain high\-quality standards.
* Stay updated with emerging technologies and industry best practices in streaming data processing.
* Contribute to the continuous improvement of development processes and tools.
**Benefits**
* Competitive salary package aligned with experience and skills.
* Flexible remote work environment.
* Opportunities for professional growth and career advancement.
* Collaborative and innovative work culture.
* Health and wellness benefits.
* Paid time off and holidays.
* Access to cutting\-edge technology and projects.
 Equal Opportunity
 Bright Vision Technologies is committed to providing equal employment opportunities and fostering an inclusive work environment. We encourage applications from all qualified individuals regardless of race, ethnicity, religion, gender identity, sexual orientation, age, disability, or any other protected status. We are dedicated to ensuring a workplace free from discrimination and harassment. If you require accommodations during the recruitment process, please inform us, and we will make every effort to assist you. Our organization values diversity and believes that a varied workforce enhances our ability to innovate and serve our clients effectively. Position offered by “No Fee agency.”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We expressly prohibit any form of workplace harassment or discrimination. Any improper interference with employees' ability to perform their job duties may result in disciplinary action, up to and including termination of employment.</t>
        </is>
      </c>
    </row>
    <row r="8">
      <c r="A8" t="inlineStr">
        <is>
          <t>li-4330645958</t>
        </is>
      </c>
      <c r="B8" t="inlineStr">
        <is>
          <t>Data Engineer (4466)</t>
        </is>
      </c>
      <c r="C8" t="inlineStr">
        <is>
          <t>HIRECLOUT</t>
        </is>
      </c>
      <c r="D8" t="inlineStr">
        <is>
          <t>linkedin</t>
        </is>
      </c>
      <c r="E8" t="inlineStr"/>
      <c r="F8" t="inlineStr"/>
      <c r="G8" t="inlineStr">
        <is>
          <t>Camarillo, CA</t>
        </is>
      </c>
      <c r="H8" t="inlineStr"/>
      <c r="I8" t="inlineStr">
        <is>
          <t>**Job Title: Data Engineer**
**Role Overview**
 Join a municipal IT department supporting a vibrant community of over 200,000 residents. This city is rich in cultural heritage and fueled by thriving industries, offering a unique opportunity to apply your technical expertise to impactful public services. As a Data Engineer, you will modernize data workflows, ensure data integrity across hundreds of applications, and empower stakeholders with actionable insights through advanced integrations and business intelligence solutions. This role is pivotal in enabling data\-driven decision\-making, optimizing systems, and fostering a more connected, efficient city government.
**Key Responsibilities**
* Design, build, and maintain ETL pipelines for legacy and modern systems using Python, Java, SQL, or similar languages
* Develop seamless integration solutions between internal systems and third\-party vendors
* Collaborate with database administrators to optimize database performance and accessibility
* Ensure data consistency, integrity, and compliance with regulations (e.g., CJIS)
* Use APIs, web services, and direct database connections for real\-time and batch data processing
* Analyze vendor integration requests to deliver curated and compliant data sets
* Partner with integration specialists to streamline connectivity and automate workflows
* Investigate and resolve data discrepancies, failures, and performance bottlenecks
* Work with system administrators to uphold data security and enforce best practices in access control
* Support BI initiatives by structuring data for dashboards and enabling self\-service insights
* Maintain clear documentation of workflows, integrations, and dependencies
* Develop migration strategies for modern infrastructure (cloud, hybrid, or upgraded databases)
* Perform data analysis to uncover trends and actionable insights
* Gather requirements and deliver BI solutions aligned with organizational goals
* Train and support end\-users in leveraging BI tools
* Evaluate and recommend new tools, platforms, and third\-party solutions
* Conduct unit/integration testing and code reviews to ensure quality and maintainability
* Contribute to process improvements and team productivity
**Education \&amp; Qualifications**
* Bachelor’s degree in Computer Science, IT, Business Administration, or a related field
* 5\+ years of hands\-on experience in Data Engineering, Integration Engineering, or Data Analysis
* Proficiency in SQL, Python, or other ETL scripting languages
* Strong knowledge of database systems (MS SQL Server, MySQL, etc.), design, and optimization
* Experience with BI tools (Power BI, Tableau, Qlik)
* Expertise in data modeling techniques (star/snowflake, dimensional)
* Hands\-on experience with ETL tools (SSIS, Talend, Airflow, or similar)
* Familiarity with APIs, SFTP, XML/JSON, and message queues
* Experience in data visualization, dashboards, and data warehousing
* Strong communication and problem\-solving skills, with the ability to support both technical and non\-technical stakeholders
* Familiarity with project management and requirements\-gathering methodologies
**Preferred Experience**
* Background in local government or public safety environments (e.g., police, fire)
* Knowledge of version control systems (Git, TFS) and collaborative workflows
* Hybrid experience spanning technical and business analysis roles
* Familiarity with cloud platforms (AWS, Azure)
**Why Us**
* Meaningful projects that directly support the local community
* Competitive annual salary: $130,000 – $135,000
* Collaborative, mission\-driven environment with opportunities for growth
* Access to modern tools and the chance to help shape the city’s data\-driven future
**Benefits And Perks**
* Medical, dental, and vision coverage
* Additional benefits to be discussed during the application process
 Applicants must be currently authorized to work in the United States on a full\-time basis now and in the future. This position does not offer sponsorship.</t>
        </is>
      </c>
    </row>
    <row r="9">
      <c r="A9" t="inlineStr">
        <is>
          <t>li-4382667388</t>
        </is>
      </c>
      <c r="B9" t="inlineStr">
        <is>
          <t>Data Engineer</t>
        </is>
      </c>
      <c r="C9" t="inlineStr">
        <is>
          <t>JCSI</t>
        </is>
      </c>
      <c r="D9" t="inlineStr">
        <is>
          <t>linkedin</t>
        </is>
      </c>
      <c r="E9" t="inlineStr"/>
      <c r="F9" t="inlineStr"/>
      <c r="G9" t="inlineStr">
        <is>
          <t>Independence, KS</t>
        </is>
      </c>
      <c r="H9" t="inlineStr"/>
      <c r="I9" t="inlineStr">
        <is>
          <t>**Data Engineer (Remote – U.S.)** 
**Location:** 
 Fully Remote
**Preferred Regions:** 
 Midwest U.S. (Indianapolis, IN or Chicago, IL area preferred)
**About the Opportunity**
 A fast\-growing technology company specializing in financial data automation and analytics is seeking a Data Engineer to help design and scale the data infrastructure powering its next\-generation platform.
 The company develops innovative software that transforms how complex financial and tax\-related investment data is extracted, validated, distributed, and analyzed. As the platform expands into advanced analytics, artificial intelligence (AI), and machine learning, data engineering plays a critical role in enabling scalable, high\-quality data systems.
 This is an excellent opportunity for a Data Engineer with strong cloud and pipeline development experience who wants to work on modern data architecture and help power data\-driven product innovation.
**Data Engineer Responsibilities**
* Design, build, and maintain scalable data pipelines and data architecture supporting operational systems, analytics, and machine learning workloads.
* Develop and manage ETL/ELT data pipelines for large\-scale data processing and ingestion.
* Support the evolution of a modern data lakehouse architecture, including implementation and optimization of Snowflake.
* Implement data quality checks, validation frameworks, and monitoring systems to ensure reliable and accurate datasets.
* Build clean, structured datasets that enable machine learning models, predictive analytics, and AI\-driven product features.
* Support business intelligence and reporting initiatives using Power BI and other analytics tools.
* Collaborate cross\-functionally with product managers, software engineers, data scientists, and AI teams to deliver scalable data solutions.
* Optimize cloud\-based data infrastructure to support performance, reliability, and long\-term scalability.
**Required Qualifications**
* 4–8\+ years of experience in Data Engineering, Backend Engineering, or a similar data\-focused role.
* Strong experience designing and maintaining data pipelines and ETL/ELT workflows.
* Advanced SQL skills and experience with relational data modeling.
* Experience working with cloud data platforms (Azure preferred).
* Knowledge of data reliability, observability, and data quality frameworks.
* Strong communication and collaboration skills in cross\-functional engineering environments.
**Preferred Experience**
* Experience with Snowflake, Azure, SQL Server, and Power BI.
* Familiarity with data lakehouse architecture and modern data platforms.
* Experience supporting machine learning pipelines or AI\-enabled applications.
* Ability to balance short\-term delivery with long\-term data architecture strategy.
**Ideal Candidate**
 The ideal candidate is a data\-focused engineer who enjoys building scalable, reliable data infrastructure that powers analytics, machine learning, and data\-driven products. You bring an engineering mindset to data platforms, and you are passionate about creating systems that enable smarter insights and automation.
**Benefits \&amp; Perks**
* Fully Remote Work Environment (U.S.)
* Unlimited PTO \+ Sick Time \+ Paid Holidays
* Paid Parental Leave
* Comprehensive Health, Dental, and Vision Insurance
* 401(k) Retirement Plan</t>
        </is>
      </c>
    </row>
    <row r="10">
      <c r="A10" t="inlineStr">
        <is>
          <t>li-4381250390</t>
        </is>
      </c>
      <c r="B10" t="inlineStr">
        <is>
          <t>Senior Data Engineer (VM)</t>
        </is>
      </c>
      <c r="C10" t="inlineStr">
        <is>
          <t>Blue Coding</t>
        </is>
      </c>
      <c r="D10" t="inlineStr">
        <is>
          <t>linkedin</t>
        </is>
      </c>
      <c r="E10" t="inlineStr"/>
      <c r="F10" t="inlineStr"/>
      <c r="G10" t="inlineStr"/>
      <c r="H10" t="inlineStr"/>
      <c r="I10"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**What are we looking for?**
 In this opportunity, we are looking for a Senior Data Engineer to work with one of our foreign clients, a market leader in the consultation, design, procurement, implementation, and ongoing managed services for technology services for mid to large global enterprises. As a Telecom Managed Service company, they partner with over 300 service providers globally to help customers with technology design and find the best solutions to meet their needs.
 Our client is building a modern, cost\-efficient data warehouse on Amazon Redshift, AWS Glue, and S3—replacing legacy ETL processes. We need a hands\-on Data Engineer who can design, build, and optimize our cloud data pipelines while guiding best practices for a small team. This role is critical in migrating from SQL Server to Redshift, implementing scalable ETL with AWS Glue, and enabling self\-service analytics. You’ll work closely with BI and business teams to turn raw data into reliable insights.
 If you are independent, a great communicator, a problem solver, and have a strong attention to detail, this is a great fit for you! Our jobs are fully remote – as long as you have the skills and can get the work done well, you can work anywhere in the listed countries you want.
**Here are some of the exciting day\-to\-day challenges you will face in this role:**
* Design \&amp; implement a modern data warehouse using Amazon Redshift, ensuring scalability and performance.
* Develop and maintain ETL pipelines using AWS Glue (Python/PySpark), moving data from SQL Server (RDS) and other sources.
* Structure our S3 data lake for efficient storage, partitioning, and integration with Redshift.
* Define data models (star schema, dimensional modeling) to support reporting and analytics.
* Establish data governance—documentation, quality checks, and monitoring for pipelines.
* Collaborate with BI teams to ensure the warehouse meets reporting needs (CRM, dashboards).
* Optimize costs by tuning Redshift clusters, managing Glue job efficiency, and automating workflows
* Troubleshoot data infrastructure issues and optimize performance across systems.
* Contribute to the long\-term vision for the data platform, including new tools, workflows, and process automation.
* Maintain documentation of data systems, flows, and integration strategies.
* Support project planning and estimation in coordination with business and technical teams
**You will shine if you have:**
* Bachelor's degree in Computer Science or a related field, or equivalent work experience
* 5\+ of related work experience in data engineering, data architecture or a similar role
* Strong SQL \&amp; Python skills (PySpark is a plus).
* Experience building ETL pipelines (preferably in AWS Glue, Airflow, or similar).
* Knowledge of data modeling (e.g., star schema, slowly changing dimensions).
* Ability to lead technical decisions without heavy oversight (small team environment).
* Budget\-conscious mindset—experience optimizing cloud costs (Redshift, Glue).
* Excellent problem\-solving and analytical skills
* Strong organizational skills and attention to detail
* Effective time management skills
**Here are some of the perks we offer you:**
* Salary in USD
* Long\-term
* Flexible schedule (within US Time zones)
* 100% Remote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li-4324732301</t>
        </is>
      </c>
      <c r="B11" t="inlineStr">
        <is>
          <t>Analytics Engineer 5 - Ads (Programmatic Signals)</t>
        </is>
      </c>
      <c r="C11" t="inlineStr">
        <is>
          <t>Netflix</t>
        </is>
      </c>
      <c r="D11" t="inlineStr">
        <is>
          <t>linkedin</t>
        </is>
      </c>
      <c r="E11" t="inlineStr"/>
      <c r="F11" t="inlineStr"/>
      <c r="G11" t="inlineStr"/>
      <c r="H11" t="inlineStr"/>
      <c r="I1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You’ll work closely with partner teams to build workflows, provide recommendations, and drive success on end\-to\-end analytics initiatives in this 0 \-1 space.
 We are seeking a Senior Analytics Engineer to lead the development and optimization of programmatic signals analytics for Netflix’s global Ads business. In this highly impactful role, you will build the foundational metrics, dashboards, and analysis frameworks that drive how we measure, understand, and enhance DSP adoption, audience targeting, and ROI across our programmatic ecosystem. You will collaborate closely with product, engineering, finance, and ad operations teams to inform business\-critical decisions around signal strategy, inventory quality, and fraud prevention. As a subject matter expert, you will play a pivotal role in shaping the analytics vision for programmatic advertising—empowering Netflix to optimize ad delivery, maximize revenue, and ensure transparency and trust with our partners and members worldwide. Your insights and technical leadership will directly influence the future of data\-driven advertising at Netflix.
**In This Role, You Will**
* Drive the analytics strategy for programmatic signals across Netflix Ads, designing and implementing frameworks to measure, optimize, and report on DSP adoption, audience targeting effectiveness, and the ROI of bidstream signals exchanged with demand\-side platforms.
* Build scalable, adaptable dashboards and data models to surface insights on DSP performance, targeting accuracy, informing both product optimization and monetization strategies for programmatic advertising.
* Partner deeply with cross\-functional teams—including Product, Engineering, Finance, Data Science, and Ad Operations—to align on business requirements, technical execution, and measurement standards for DSP integrations, signal taxonomy, and fraud prevention.
* Act as a subject matter expert on programmatic signals and DSP analytics, pioneering scalable approaches to targeting measurement, inventory quality assessment, and fraud detection—driving innovation, transparency, and long\-term business value for Netflix Ads.
**We Are Looking For**
* Extensive experience in programmatic adtech analytics, with a strong understanding of programmatic advertising and large\-scale streaming ecosystems.
* Communication superpower — the ability to communicate, influence, and connect the dots between insights and actions across a variety of stakeholders.
* Fluency in SQL, workflow orchestration tools like Apache Airflow, and at least one analytics and scripting language like Python.
* Mentors, brainstorms with, and enables others, especially within your functional area.
* Actively contributes and fosters technical communities internally (e.g., horizontal forums, seminars, and summits) and externally (e.g., conference participation).
* Exemplary stewardship of Netflix’s culture and values, particularly in terms of selflessness and ensuring open debate of ideas and encouraging inclusion of a variety of perspectives regardless of seniority.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2">
      <c r="A12" t="inlineStr">
        <is>
          <t>li-4381238920</t>
        </is>
      </c>
      <c r="B12" t="inlineStr">
        <is>
          <t>Senior Data Engineer (V)</t>
        </is>
      </c>
      <c r="C12" t="inlineStr">
        <is>
          <t>Blue Coding</t>
        </is>
      </c>
      <c r="D12" t="inlineStr">
        <is>
          <t>linkedin</t>
        </is>
      </c>
      <c r="E12" t="inlineStr"/>
      <c r="F12" t="inlineStr"/>
      <c r="G12" t="inlineStr"/>
      <c r="H12" t="inlineStr"/>
      <c r="I12"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This position is open exclusively to candidates based in LATAM countries.
**What are we looking for?**
 We are looking for a Senior Data Engineer to join an agile, geographically distributed engineering team responsible for building and evolving the data layer that supports critical analytics, data science, and business operations.
 This role is focused on leading and executing large\-scale data migration and modernization initiatives, including the migration of on\-premises SQL Server databases to cloud\-based infrastructure. You will work closely with data engineering peers, analytics, and technology stakeholders to ensure data integrity, performance optimization, and reliability across enterprise data platforms.
 This role operates within a flat, collaborative team structure with high individual ownership and a strong culture of trust. It offers a high degree of autonomy, minimal meetings, and close collaboration across teams. The work is primarily focused on building robust, scalable data pipelines and datastores, with continuous opportunities to improve and evolve the data platform.
 If you are fully fluent in English, proactive, communicate well, like to solve problems, and have strong attention to detail, this role might be a great fit for you! Our jobs are fully remote and you will be integrated directly into the client’s team, gaining valuable experience and forming meaningful connections.
**What's unique about this job?**
 This role offers the opportunity to be deeply involved in a large\-scale data transformation, supporting the migration and modernization of enterprise data systems while enabling advanced analytics and data\-driven decision making.
 You will have real ownership across the data engineering lifecycle, from designing and maintaining data pipelines and datastores, to optimizing performance, ensuring data quality, and supporting downstream analytics and data science use cases. Beyond execution, you will contribute to technical decision\-making, documentation, and mentoring, helping shape the long\-term evolution of the data platform.
**This is a term\-based contract role, initially planned through October, subject to project progress.**
**Here are some of the exciting day\-to\-day challenges you will face in this role:**
* Design, develop, and maintain data pipelines and datastores that support enterprise analytics, data science, and operational workloads
* Lead and support large\-scale database migration initiatives, including on\-premises to cloud migrations
* Monitor, analyze, and optimize the performance and stability of data layer services and platforms
* Ensure data integrity, quality, and compliance across pipelines and datasets
* Collaborate closely with peers across engineering, analytics, and technology teams
* Guide, coach, and mentor data engineers, BI developers, and analysts
* Design and implement enterprise\-scale data solutions with long\-term business impact
* Build and maintain data processing solutions using Python and/or Scala
* Work with a variety of data ingestion patterns, including SFTP, APIs, streaming, and batch processing
* Design and support database models optimized for analytical and reporting use cases
* Implement monitoring, alerting, and observability for data pipelines and infrastructure
* Maintain clear and comprehensive documentation of data architectures, pipelines, and processes
* Work within an Agile environment, collaborating through tools such as Jira and Git
**You will shine if you have:**
* 5\+ years of experience working in data engineering or data\-centric technical roles
* Strong experience designing and maintaining enterprise\-scale data pipelines and platforms
* Solid understanding of data warehousing concepts, modeling strategies, and analytical datasets
* Proven experience with SQL\-based data environments and database performance tuning
* Hands\-on experience with cloud\-based data platforms, particularly on AWS
* Experience working with cloud\-native data technologies such as S3, EMR/Spark, Lambda, Kinesis, Firehose, and Glue
* Strong programming skills in Python and/or Scala
* Experience with Infrastructure as Code concepts; Terraform experience is a strong plus
* Experience supporting analytics and data science consumers, including BI tools such as Tableau or PowerBI
* Strong communication skills and the ability to collaborate effectively across teams
* Ability to work autonomously with minimal direction while owning complex data initiatives end\-to\-end
**It doesn’t hurt if you also have:**
* Experience with Redshift or other analytical data stores
* Familiarity with NoSQL data models and unstructured data processing
* Experience with cloud monitoring and alerting frameworks
* Exposure to feature stores or advanced analytics platforms
* Prior experience mentoring or leading other data engineers
**Here are some of the perks we offer you:**
* Salary in USD
* Flexible schedule (within US Time zones)
* 100% Remote
* High\-impact role in a large\-scale data migration and modernization initiative
* Collaboration with senior data engineering, analytics, and technology teams
* Opportunities for technical growth, leadership, and increased ownership as the data platform evolves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
      <c r="A13" t="inlineStr">
        <is>
          <t>li-4363455869</t>
        </is>
      </c>
      <c r="B13" t="inlineStr">
        <is>
          <t>Senior Analytics Engineer</t>
        </is>
      </c>
      <c r="C13" t="inlineStr">
        <is>
          <t>Khan Academy</t>
        </is>
      </c>
      <c r="D13" t="inlineStr">
        <is>
          <t>linkedin</t>
        </is>
      </c>
      <c r="E13" t="inlineStr"/>
      <c r="F13" t="inlineStr"/>
      <c r="G13" t="inlineStr">
        <is>
          <t>Mountain View, CA</t>
        </is>
      </c>
      <c r="H13" t="inlineStr"/>
      <c r="I13" t="inlineStr">
        <is>
          <t>**Notice To Applicants**
*We have seen a rise in recruitment scams. Please note that outreach from Khan Academy recruiters will only come from the @khanacademy.org domain. Our team does not use Gmail or other personal accounts for contacting potential candidates. Khan Academy will never solicit money, equipment fees, or sensitive financial information at any stage of the hiring process. We also do not work with external recruiting agencies, so outreach from headhunters presenting opportunities on behalf of Khan Academy is illegitimate. Please always check the email domain and cross\-reference the position with the official Khan Academy Careers page to confirm an opening is valid.*
**About Khan Academy**
 Khan Academy is a nonprofit with the mission to deliver a free, world\-class education to anyone, anywhere. Our proven learning platform offers free, high\-quality supplemental learning content and practice that cover Pre\-K \- 12th grade and early college core academic subjects, focusing on math and science. We have over 181 million registered learners globally and are committed to improving learning outcomes for students worldwide, focusing on learners in historically under\-resourced communities.
**OUR COMMUNITY**
 Our students, teachers, and parents come from all walks of life, and so do we. Our team includes people from academia, traditional/non\-traditional education, big tech companies, and tiny startups. We hire great people from diverse backgrounds and experiences because it makes our company stronger. We value diversity, equity, inclusion, and belonging as necessary to achieve our mission and impact the communities we serve. We know that transforming education starts in\-house with learning about ourselves and our colleagues. We strive to be world\-class in investing in our people and commit to developing you as a professional.
**About The Role**
 We’re looking for a
 **Senior Analytics Engineer I** 
 to join Khan Academy’s
 **Analytics Engineering (AE)** 
 team. You’ll play a leading role in designing and building the datasets, pipelines, and semantic models that power insights across our organization.
 You’ll own key areas of our data modeling ecosystem, partner closely with Data Infrastructure (DI), Data Analysts, and Product/Program teams, and help ensure that our data warehouse (BigQuery) and BI layer (Looker) remain reliable, performant, and trusted.
 This role is ideal for someone who’s
 **deeply experienced in dbt and Looker** 
 , enjoys solving complex modeling challenges, and takes ownership of how data flows and scales across the organization.
**What You’ll Do**
* Design, implement, and optimize dbt models that transform raw event\- and entity\-level data into analytics\-ready datasets.
* Own and evolve data domains that support reporting across Khan Academy.
* Develop, document, and test semantic and reporting layers in Looker (LookML).
* Partner with Analysts to establish consistent metric definitions, reusable data patterns, and shared governance practices.
* Drive data modeling standards and champion best practices in naming, testing, and schema design.
* Diagnose and resolve complex data issues, coordinating across Data Infrastructure and Engineering when needed.
* Mentor Analytics Engineers and Analysts, providing feedback through code reviews and technical guidance.
* Collaborate with cross\-functional teams to identify opportunities to improve data accessibility and reliability.
**What We’re Looking For**
**Required Skills \&amp; Experience:**
* 5\+ years of deep, warehouse\-centric analytics engineering experience.
* Expert\-level SQL and dbt skills (macros, Jinja, incremental model strategies, schema testing).
* Deep experience building and maintaining Looker models (LookML, Explores, derived tables, and performance tuning).
* Proven ability to design scalable, maintainable data models (SCD2, star schemas, bridge tables, data marts).
* Familiarity with modern data stacks (e.g., BigQuery, Git, and CI/CD practices for testing and deploying data models).
* Experience orchestrating workflows using tools like Airflow.
* Strong cross\-functional communication skills and ability to influence data decisions across teams.
* Familiarity with version control and collaborative development (Git, pull requests, and code review).
**Preferred**
* Experience with BigQuery specifically.
* Background in education technology or mission\-driven organizations.
* Demonstrated contributions to data governance, metrics standardization, or semantic modeling initiatives.
**Our Tech Stack**
* Warehouse: BigQuery
* Transformation: dbt (open\-source)
* BI / Semantic Layer: Looker
* Orchestration: Airflow
* Version Control: GitHub
**Collaboration: Confluence, Jira, Slack**
**Perks And Benefits**
 We may be a non\-profit, but we reward our talented team extremely well! We offer:
* Competitive salaries
* Ample paid time off as needed – Your well\-being is a priority
* 8 pre\-scheduled Wellness Days in 2026 occurring on a Monday or a Friday for a 3\-day weekend boost
* Remote\-first culture \- that caters to your time zone, with open flexibility as needed, at times
* Generous parental leave
* An exceptional team that trusts you and gives you the freedom to do your best
* The chance to put your talents towards a deeply meaningful mission and the opportunity to work on high\-impact products that are already defining the future of education
* Opportunities to connect through affinity, ally, and social groups
* And we offer all those other typical benefits as well: 401(k) \+ 4% matching \&amp; comprehensive insurance, including medical, dental, vision, and life
 At Khan Academy we are committed to fair and equitable compensation practices, the well\-being of our employees, and our Khan community. This belief is why we have built out a robust Total Rewards package that includes competitive base salaries, and extensive benefits and perks to support physical, mental, and financial well\-being.
 The compensation band for this role is $137,871 \- $155,105 USD annually for candidates based in the United States and $186,306 \- $209,595 CAD annually for candidates based in Canada.
 The pay range for this position is a general guideline only. The salary offered will depend on internal pay equity and the candidate’s relevant skills, experience, qualifications, and job market data.
**More About Us**
* Sal’s TED talk from 2011
* Sal’s TED talk from 2015
* Sal's TED talk from 2023
* Our team: http://www.khanacademy.org/about/the\-team
**Our Company Values**
**Live \&amp; breathe learners**
 We deeply understand and empathize with our users. We leverage user insights, research, and experience to build content, products, services, and experiences that our users trust and love. Our success is defined by the success of our learners and educators.
**Take a stand**
 As a company, we have conviction in our aspirational point of view of how education will evolve. The work we do is in service to moving towards that point of view. However, we also listen, learn and flex in the face of new data, and commit to evolving this point of view as the industry and our users evolve.
**Embrace diverse perspectives**
 We are a diverse community. We seek out and embrace a diversity of voices, perspectives and life experiences leading to stronger, more inclusive teams and better outcomes. As individuals, we are committed to bringing up tough topics and leaning into different points of view with curiosity. We actively listen, learn and collaborate to gain a shared understanding. When a decision is made, we commit to moving forward as a united team.
**Work responsibly and sustainably**
 We understand that achieving our audacious mission is a marathon, so we set realistic timelines and we focus on delivery that also links to the bigger picture. As a non\-profit, we are supported by the generosity of donors as well as strategic partners, and understand our responsibility to our finite resources. We spend every dollar as though it were our own. We are responsible for the impact we have on the world and to each other. We ensure our team and company stay healthy and financially sustainable.
**Bring out the joy**
 We are committed to making learning a joyful process. This informs what we build for our users and the culture we co\-create with our teammates, partners and donors.
**Cultivate learning mindset**
 We believe in the power of growth for learners and for ourselves. We constantly learn and teach to improve our offerings, ourselves, and our organization. We learn from our mistakes and aren’t afraid to fail. We don't let past failures or successes stop us from taking future bold action and achieving our goals.
**Deliver wow**
 We insist on high standards and deliver delightful, effective end\-to\-end experiences that our users can rely on. We choose to focus on fewer things — each of which aligns to our ambitious vision — so we can deliver high\-quality experiences that accelerate positive measurable learning with our strategic partners.
*We are committed to equal employment opportunity regardless of race, color, ancestry, religion, sex, gender, gender identity or expression, national origin, sexual orientation, age, citizenship, marital status, disability, or Veteran status. We value diversity, equity, and inclusion, and we encourage candidates from historically underrepresented groups to apply.*
*As part of this commitment, Khan Academy will ensure that persons with disabilities are provided reasonable accommodations for the hiring process. If reasonable accommodation is needed, please contact* 
*careers@khanacademy.org*</t>
        </is>
      </c>
    </row>
    <row r="14">
      <c r="A14" t="inlineStr">
        <is>
          <t>li-4382673086</t>
        </is>
      </c>
      <c r="B14" t="inlineStr">
        <is>
          <t>AI Platform &amp; Data Engineer</t>
        </is>
      </c>
      <c r="C14" t="inlineStr">
        <is>
          <t>Wiraa</t>
        </is>
      </c>
      <c r="D14" t="inlineStr">
        <is>
          <t>linkedin</t>
        </is>
      </c>
      <c r="E14" t="inlineStr"/>
      <c r="F14" t="inlineStr"/>
      <c r="G14" t="inlineStr"/>
      <c r="H14" t="inlineStr"/>
      <c r="I14" t="inlineStr">
        <is>
          <t>**About The Company**
 Ad Hoc is a forward\-thinking technology company dedicated to empowering government organizations and public sector agencies through innovative digital solutions. Our mission is to create impactful, scalable products that enhance service delivery, improve user experiences, and transform government operations. Leveraging modern, agile methodologies, we develop solutions that meet the evolving needs of our clients, ranging from federal agencies to nonprofit organizations. Our commitment to excellence, inclusivity, and continuous improvement drives us to build a team of talented professionals who are passionate about making a difference in public service.
**About The Role**
 We are seeking a highly skilled Senior AI Platform \&amp; Data Engineer to join our dynamic team. In this role, you will serve as an experienced individual contributor responsible for designing, building, and maintaining scalable AI and machine learning infrastructure. You will play a vital role in supporting multi\-agent AI systems, developing foundational data services, and implementing model lifecycle management processes. This position offers an excellent opportunity to influence the long\-term data strategy of our programs, lead technical initiatives, and mentor junior engineers. You will collaborate closely with stakeholders, product teams, and clients to deliver innovative AI solutions that meet mission\-critical needs. The ideal candidate will have a strong background in data engineering, cloud technologies, and AI/ML workflows, with a passion for building robust, secure, and efficient systems.
**Qualifications**
* Bachelor’s degree in Computer Science, Data Science, or related field, or equivalent professional experience (7\+ years)
* Expert\-level knowledge of data ingestion systems, cloud database services, and visualization tools
* Proficiency in Python, SQL, Spark/Databricks, Kubernetes/ECS, and OpenAPI
* Experience with vector databases, feature stores, and large\-scale data processing
* Strong understanding of AI/ML workflows, model deployment, and observability
* Ability to design for data privacy and implement AI guardrails
* Excellent communication and influential skills to collaborate with stakeholders and team members
* Experience mentoring junior engineers and leading small project teams
**Responsibilities**
* Design, develop, and operationalize scalable AI/ML infrastructure to support multi\-agent systems
* Implement the Model Control Plane (MCP) for managing model lifecycle, registry, and lineage tracking
* Create reusable AI services and foundational data components such as vector databases and distributed caching systems
* Research and integrate AI agent frameworks like LangChain, ensuring safety and efficiency
* Develop and maintain shared foundational services, including RAG (Retrieval\-Augmented Generation) components
* Integrate Human\-in\-the\-Loop workflows to enhance safe agent operation and oversight
* Propose and evaluate multiple technical approaches, demonstrating strong problem\-solving skills
* Mentor team members to foster technical growth and best practices
* Present technical designs, system diagrams, and project updates to clients and stakeholders
* Diagnose and resolve system issues, leveraging incidents as learning opportunities for continuous improvement
* Contribute to the development of data architecture recommendations and implementation plans
* Participate in technical interviews to assist in hiring skilled engineers
**Benefits**
* Competitive salary and comprehensive health benefits
* Flexible remote work environment supporting work\-life balance
* Professional development opportunities and ongoing training
* Collaborative and inclusive team culture
* Opportunities to work on impactful projects that serve the public good
* Paid time off and holidays
 Equal Opportunity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protected by law.</t>
        </is>
      </c>
    </row>
    <row r="15">
      <c r="A15" t="inlineStr">
        <is>
          <t>li-4343505620</t>
        </is>
      </c>
      <c r="B15" t="inlineStr">
        <is>
          <t>Lead Data Engineer</t>
        </is>
      </c>
      <c r="C15" t="inlineStr">
        <is>
          <t>Nuna Inc.</t>
        </is>
      </c>
      <c r="D15" t="inlineStr">
        <is>
          <t>linkedin</t>
        </is>
      </c>
      <c r="E15" t="inlineStr"/>
      <c r="F15" t="inlineStr"/>
      <c r="G15" t="inlineStr">
        <is>
          <t>San Francisco, CA</t>
        </is>
      </c>
      <c r="H15" t="inlineStr"/>
      <c r="I15" t="inlineStr">
        <is>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has established its brand in the B2B space over the last decade by shifting the US healthcare system towards an incentive model that rewards healthcare providers for positive outcomes. Marshalling our collective backgrounds and insights, we are now crafting an innovative, consumer app \- a clinically driven healthcare companion experience that leverages AI, gamification and social support techniques to improve outcomes for people with chronic conditions.*
***As a sign of the impact Nuna has already made in this space, Nuna was recently selected to join the Centers for Medicare \&amp; Medicaid Services (CMS) Health Tech Ecosystem, a landmark public\-private initiative designed to transform healthcare for Americans.***
**YOUR TEAM**
 The Data org at Nuna is an interdisciplinary group spanning data science, machine learning, data analytics, actuarial science, and research.
 The Data Engineer team is a core part of the broader Data organization, which is an interdisciplinary group spanning data science, machine learning, data analytics, actuarial science, and research. The Data Engineer team acts as the technical backbone for data architecture, platform development, and data operations, empowering the organization to deliver impactful data\-driven solutions in healthcare.
**YOUR OPPORTUNITIES**
 We are looking for someone who is excited to use their creativity and engineering skills to make a difference in healthcare. You will have a foundational role on a team building a consumer product that incentivizes healthy behavior. You will be responsible for the data architecture and direction of the data platform that powers our data operations and data science initiatives.
* Own the architecture and evolution of the data platform, based on business needs and considering trade\-offs in timelines, cost, and resources
* Define and enforce standards for code development, contribution, and deployment for data engineering workflows.
* Oversee integrations with external services, including data ingestion, distribution, and service\-to\-service data flows.
* Contribute hands\-on to data transformations and optimizations
* Establish security, governance, and operational best practices for the data platform in collaboration with security and enterprise data engineering teams.
* Curate and develop datasets needed to support Data org project deliverables
* Collaborate with cross\-functional partners in engineering, design, and product to develop solutions
* Generate and prioritize new opportunities for improvements
* Provide build vs buy assessments and recommendations as the platform expands
**Qualifications**
**Required Qualifications**
* Deep hands\-on expertise in designing, coding, developing, and maintaining data platforms that support data analytics and data science use cases
* Proven ability to design, develop and implement robust data ingestion pipelines (ETL) from external sources into a data platform.
* Experience establishing standards for code development, deployment, and contributions in a data engineering environment.
* Ability to solicit and translate customer and business needs into requirements and an evaluation framework
* Interest in improving healthcare and working with interdisciplinary project teams
* Clear communication and presentation skills
* Experience with Databricks
* Expertise in data platform languages such as python, pyspark and SQL
* \+ 5\-10 years of industry experience with technical lead experience of running a data platform for business operations
**Preferred Qualifications**
* MS in quantitative field (e.g. Data Science, Economics, Statistics, Engineering)
* Experience building a data platform from zero to one
* Experience working with healthcare data
* Experience with SDLC and management of machine learning models (MLOps)
+ Bonus points if experience with MLOps on LLM/GenAi features (evals, context building, …)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$208,000 \- $260,000\. The actual offer will be at the company’s sole discretion and determined by relevant business considerations, including the final candidate’s qualifications, years of experience, and skillset.
 Nuna is an Equal Employment Opportunity employer. All qualified applicants will receive consideration for employment without regard to race, color, religion, sex, national origin, age, disability, genetics and/or veteran status.</t>
        </is>
      </c>
    </row>
    <row r="16">
      <c r="A16" t="inlineStr">
        <is>
          <t>li-4309293247</t>
        </is>
      </c>
      <c r="B16" t="inlineStr">
        <is>
          <t>eCom Data Engineer Specialist</t>
        </is>
      </c>
      <c r="C16" t="inlineStr">
        <is>
          <t>PepsiCo</t>
        </is>
      </c>
      <c r="D16" t="inlineStr">
        <is>
          <t>linkedin</t>
        </is>
      </c>
      <c r="E16" t="inlineStr"/>
      <c r="F16" t="inlineStr"/>
      <c r="G16" t="inlineStr">
        <is>
          <t>Purchase, NY</t>
        </is>
      </c>
      <c r="H16" t="inlineStr"/>
      <c r="I16" t="inlineStr">
        <is>
          <t>**Overview**
 PepsiCo operates in an environment undergoing immense and rapid change. Big data and digital technologies are driving business transformation that is unlocking new capabilities and business innovations in areas like eCommerce, mobile experiences, and IoT. The key to winning in these areas is leveraging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**Responsibilities**
 As a member of the data engineering team, you will be the key technical expert developing and overseeing PepsiCo's data product build \&amp; operations and driving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**Accountabilities:**
* Own data pipeline development end\-to\-end, spanning data modeling, testing, scalability, operability, and ongoing metrics.
* Ensure that we build high\-quality software by reviewing peer code check\-ins.
* Define best practices for product development, engineering, and coding as part of a world\-class engineering team.
* Collaborate in architecture discussions and architectural decision\-making that is part of continually improving and expanding these platforms.
* Lead feature development in collaboration with other engineers; validate requirements/stories, assess current system capabilities, and decompose feature requirements into engineering tasks.
* Focus on delivering high\-quality data pipelines and tools through careful analysis of system capabilities and feature requests, peer reviews, test automation, and collaboration with other engineers.
* Develop software in short iterations to quickly add business value.
* Introduce new tools/practices to improve data and code quality; this includes researching/sourcing 3rd party tools and libraries, as well as developing tools in\-house to improve workflow and quality for all data engineers.
* Support data pipelines developed by your team through good exception handling, monitoring, and, when needed by debugging production issues.
**Compensation and Benefits:**
* The expected compensation range for this position is between $64,900 \- $132,550\.
* Location, confirmed job\-related skills, experience, and education will be considered in setting actual starting salary. Your recruiter can share more about the specific salary range during the hiring process.
* A business development incentive equity may be awarded based on eligibility and performance.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4\+ years of overall technology experience that includes at least 3\+ years of hands\-on software development, data engineering, and systems architecture.
* 3\+ years of experience in SQL optimization and performance tuning.
* Experience with data modeling, data warehousing, and building high\-volume ETL/ELT pipelines.
* Experience building/operating highly available, distributed systems of data extraction, ingestion, and processing of large data sets.
* Experience with data profiling and data quality tools like Apache Griffin, Deequ, or Great Expectations.
**Current skills in the following technologies:**
* Python
* Orchestration platforms: Airflow, Luigi, Databricks, or similar.
* Relational databases: Postgres, MySQL, or equivalents.
* MPP data systems: Snowflake, Redshift, Synapse, or similar.
* Cloud platforms: AWS, Azure, or similar.
* Version control (e.g., GitHub) and familiarity with deployment, CI/CD tools.
* Fluent with Agile processes and tools such as Jira or Pivotal Tracker.
* Experience with running and scaling applications on the cloud infrastructure and containerized services like Kubernetes is a plus.
* Understanding of metadata management, data lineage, and data glossaries is a plus.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7">
      <c r="A17" t="inlineStr">
        <is>
          <t>li-4343307757</t>
        </is>
      </c>
      <c r="B17" t="inlineStr">
        <is>
          <t>Data Platform Engineer</t>
        </is>
      </c>
      <c r="C17" t="inlineStr">
        <is>
          <t>Mizuho</t>
        </is>
      </c>
      <c r="D17" t="inlineStr">
        <is>
          <t>linkedin</t>
        </is>
      </c>
      <c r="E17" t="inlineStr"/>
      <c r="F17" t="inlineStr"/>
      <c r="G17" t="inlineStr">
        <is>
          <t>New York, NY</t>
        </is>
      </c>
      <c r="H17" t="inlineStr"/>
      <c r="I17" t="inlineStr">
        <is>
          <t>Join Mizuho as a Data Platform Engineer!
 We are seeking a highly skilled Kafka Platform Engineer to design, build, and operate our enterprise event\-streaming platform using Red Hat AMQ Streams (Kafka on OpenShift). In this role, you will be responsible for ensuring a reliable, scalable, secure, and developer\-friendly streaming ecosystem. You will work closely with application teams to define and implement event\-driven integration patterns, and you will leverage GitLab and Argo CD to automate platform delivery and configuration.
 This position requires a strong blend of platform engineering, DevOps practices, Kafka cluster expertise, and architectural understanding of integration/streaming patterns.
**Key Responsibilities**
**Kafka \&amp; AMQ Streams Engineering**
* Design, deploy, and operate AMQ Streams (Kafka) clusters on Red Hat OpenShift.
* Configure and manage Kafka components including brokers, Kraft, MirrorMaker 2,
* Explore Kafka Connect, and Schema Registry concepts and implementations.
* Ensure performance, reliability, scalability, and high availability of the Kafka platform.
* Implement cluster monitoring, logging, and alerting using enterprise observability tools.
* Manage capacity planning, partition strategies, retention policies, and performance tuning.
**Integration Patterns \&amp; Architecture**
* Define and document standardized event\-driven integration patterns, including:
* Event sourcing
* CQRS
* Pub/sub messaging
* Change data capture
* Stream processing \&amp; enrichment
* Request\-reply over Kafka
* Guide application teams on using appropriate patterns that align with enterprise architecture.
* Establish best practices for schema design, topic governance, data contracts, and message lifecycle management.
**Security \&amp; Governance**
* Implement enterprise\-grade security for Kafka, including RBAC, TLS, ACLs, and authentication/authorization integration. (SSO and OAuth)
* Maintain governance for topic creation, schema evolution, retention policies, and naming standards.
* Ensure adherence to compliance, auditing, and data protection requirements (Encryption at Rest and flight).
**Collaboration \&amp; Support**
* Provide platform guidance and troubleshooting expertise to development and integration teams.
* Partner with architects, SREs, and developers to drive adoption of event\-driven architectures.
* Create documentation, runbooks, and internal knowledge\-sharing materials.
**CI/CD \&amp; GitOps Automation**
* Build and maintain GitOps workflows using Argo CD for declarative deployment of Kafka resources and platform configurations.
* Develop CI/CD pipelines in GitLab, enabling automated builds, infrastructure updates, and configuration promotion across environments.
* Maintain Infrastructure\-as\-Code (IaC) repositories and templates for Kafka resources.
**Qualifications**
* Bachelor’s degree in computer science, Engineering, or a related field.
* Proven experience with Kafka administration and management.
* Strong knowledge of OpenShift and container orchestration.
* Proficiency in scripting languages such as Python or Bash.
* Experience with monitoring and logging tools (e.g., Splunk, Prometheus, Grafana).
* Excellent problem\-solving skills and attention to detail.
* Strong communication and collaboration skills.
**Preferred Qualifications**
* Experience with Red Hat OpenShift administration.
* Knowledge of service mesh patterns (Istio, OpenShift Service Mesh).
* Familiarity with stream processing frameworks (Kafka Streams, ksqlDB, Flink).
* Experience using observability stacks (Prometheus, Grafana).
* Background working in regulated or enterprise\-scale environments.
* Knowledge of DevOps practices and tools (e.g., ArgoCD, Ansible, Terraform).
* Knowledge of SRE Monitoring and logging tools (e.g., Splunk, Prometheus, Grafana).
*The expected base salary ranges from $111k \-$150k.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t>
        </is>
      </c>
    </row>
    <row r="18">
      <c r="A18" t="inlineStr">
        <is>
          <t>li-4381526154</t>
        </is>
      </c>
      <c r="B18" t="inlineStr">
        <is>
          <t>Data Engineer</t>
        </is>
      </c>
      <c r="C18" t="inlineStr">
        <is>
          <t>Haystack</t>
        </is>
      </c>
      <c r="D18" t="inlineStr">
        <is>
          <t>linkedin</t>
        </is>
      </c>
      <c r="E18" t="inlineStr"/>
      <c r="F18" t="inlineStr"/>
      <c r="G18" t="inlineStr"/>
      <c r="H18" t="inlineStr"/>
      <c r="I18" t="inlineStr">
        <is>
          <t>**Analytics Developer \| Columbia, MD \| Hybrid \| $61,720 \- $108,334** 
 We're working with America's largest healthcare educator on this exciting opportunity to bridge the gap between complex data and student success. As an Analytics Developer, you will leverage Power BI, SQL, and cloud technologies to build enterprise\-grade intelligence solutions that empower over 97,000 students across five accredited institutions.
 This is a high\-impact role where you will transform raw data into actionable knowledge, optimizing everything from source data profiling to high\-end visualization within a collaborative, fast\-paced hybrid environment. If you are passionate about using data to solve real\-world problems in healthcare and education, this is the platform for your career to thrive.
**The Role** 
 • Design, develop, and maintain high\-performance Power BI dashboards and datasets, ensuring data integrity and user trust across the enterprise.
 • Lead the technical specification process by translating complex business requirements into scalable BI and reporting applications.
 • Architect and optimize expert\-level SQL queries and data models using Relational Database Management Systems (RDBMS) and Snowflake.
 • Perform deep\-dive source data analysis, including data profiling, logical modeling, and validation to ensure data suitability for executive reporting.
 • Drive innovation through the application of advanced DAX calculations, Power Query (M), and automated dataflows to streamline business intelligence pipelines.
**What You'll Need** 
 • 5\+ years of total experience in Business Intelligence (BI) with a minimum of 2 years specifically focused on Power BI development.
 • Advanced proficiency in SQL for relational databases and experience working with cloud data warehouses like Snowflake or AWS.
 • Strong technical foundation in data modeling patterns, entity relationship diagrams (ERDs), and Agile methodology.
 • Mastery of the Power BI ecosystem, including security settings, portal management, data connection configurations, and refresh frequency optimization.
 • Bachelor’s degree in Computer Science, Engineering, or Information Systems; Power BI Certification is highly preferred.
**What's On Offer** 
 • Competitive salary range ($61,720 \- $108,334\) with an annual performance\-based incentive program.
 • Comprehensive benefits package including health, dental, vision, life, and disability insurance.
 • Generous 401k retirement program with a 6% employer match to secure your financial future.
 • Flexible Time Off (FTO) policy plus 12 paid holidays, fostering a healthy work\-life balance within a high\-growth sector.
**Apply via Haystack today!**</t>
        </is>
      </c>
    </row>
    <row r="19">
      <c r="A19" t="inlineStr">
        <is>
          <t>li-4343504222</t>
        </is>
      </c>
      <c r="B19" t="inlineStr">
        <is>
          <t>Data Engineer III</t>
        </is>
      </c>
      <c r="C19" t="inlineStr">
        <is>
          <t>ICW Group</t>
        </is>
      </c>
      <c r="D19" t="inlineStr">
        <is>
          <t>linkedin</t>
        </is>
      </c>
      <c r="E19" t="inlineStr"/>
      <c r="F19" t="inlineStr"/>
      <c r="G19" t="inlineStr">
        <is>
          <t>San Diego, CA</t>
        </is>
      </c>
      <c r="H19" t="inlineStr"/>
      <c r="I19" t="inlineStr">
        <is>
          <t>Are you looking to make an impactful difference in your work, yourself, and your community? Why settle for just a job when you can land a career? At ICW Group, we are hiring team members who are ready to use their skills, curiosity, and drive to be part of our journey as we strive to transform the insurance carrier space. We're proud to be in business for over 50 years, and its change agents like yourself that will help us continue to deliver our mission to create the best insurance experience possible.
 Headquartered in San Diego with regional offices located throughout the United States, ICW Group has been named for ten consecutive years as a Top 50 performing P\&amp;C organization offering the stability of a large, profitable and growing company combined with a focus on all things people. It's our team members who make us an employer of choice and the vibrant company we are today. We strive to make both our internal and external communities better everyday! Learn more about why you want to be here!
**PURPOSE OF THE JOB**
 The Data Engineer III will design, develop, and implement data pipelines, data integration and data storage solutions such as data warehouses, data lakes, relational and non\-relational databases. The role will partner closely with IT Managers, Enterprise Business Intelligence, Data Governance and Data Science teams to solve business\-significant data problems and enable data\-driven decision\-making, automation, and optimization. In the process, the role will have the opportunity to act as a Data Advisory member for the Actuarial, Business Intelligence (BI), Data Science, and Data Engineering teams, as well as a collaborator and contributor to Enterprise Data Architecture. Data is central to ICW Group’s business strategy and digital evolution, and the Data Engineer ensures optimal data delivery architecture is consistent throughout all projects.
**Essential Duties And Responsibilities**
**Builds data solutions that ensure data integrity and information usability for enterprise\-wide digital solutions and decision making.**
* Leads the design and build of scalable data pipelines and solutions (batch and/or streaming) that make the best use of traditional and cloud platforms (AWS or similar) by understanding the business, technology, and data landscape including real time data processing.
* Provides analysis of complex data elements and systems, data flow and in development of conceptual, logical, and physical data models as well as verification and implementation of ETL/ELT mappings and transformation logic.
* Designs, supports and peer reviews the data models and schemas for new and existing data sources for the data warehouse.
* Conducts unit, integration, and system tests on our data sources to validate data against source systems, and continuously optimize performance to improve query speed and reduce cost.
* Builds the infrastructure required for optimal extraction, transformation, and loading of data from a wide variety of data sources using ‘big data’ technologies and tools.
* Leads data initiatives to ensure pipelines are reliable, efficient, testable, and maintainable.
* Maintains a strong understanding of the current landscape and proactively leads the analysis of the current environment to detect data deficiencies, gaps, and opportunities.
* Drives the improvement of engineering team processes via data architecture, engineering, test, and operational excellence best practices.
* Collaborates in implementing components of data strategy – Master Data Management (MDM), data virtualization etc.
**Partners with various teams in delivering overall data solutions.**
* Works closely with BI and Data Science teams in implementing various data streams.
* Partners with Enterprise Architecture, Technology, and Project teams to ensure consistency of solutions approach while maintaining data governance requirements.
* Contributes to data governance and data quality best practices including design reviews, unit testing, code reviews, and continuous integration and deployment.
* Collaborates with data architects to ensure the output of the physical models meet required needs— e.g., collaborates on data definition, data structure, data content and data usage.
* Evaluates and conducts POC on new technologies for fitment in next generation data platform ecosystem.
* Collaborates with the Enterprise Architecture team to drive tooling and standards to improve the productivity and quality of output for data engineers across the company.
**SUPERVISORY RESPONISBILITIES**
 This role does not have supervisory responsibilities but may mentor and/or train other team members. Acts as a resource for team members.
**Education And Experience**
 Bachelor's degree in Computer Science, Applied Mathematics, Engineering, or any other technology related field required, or equivalent combination of education and experience. Minimum 6 years of experience in a data integration (Cloud/Traditional) engineering related role required. Experience with data practices (security, data management and governance) preferred. Experience in operations research, machine learning or optimization a plus. Insurance experience a plus.
**CERTIFICATES, LICENSES, REGISTRATIONS**
* Data architecture or data engineering related certification strongly desired.
* AWS Cloud Practitioner or more advanced AWS certification preferred.
* DAMA certifications preferred.
**Knowledge And Skills**
* Expertise with database \&amp; data warehouse design, using MS\-SQL, PostgreSQL etc.
* Knowledge of Model and Design of DB schemas for read and write performance.
* Working knowledge of API or stream\-based data extraction processes.
* Experience performing root cause analysis on internal and external data and processes to answer specific business questions and identify opportunities for improvement.
* Background in data modeling and performance tuning in relational and no\-SQL databases.
* Experience with AWS technologies like Redshift, S3, EC2, Glue, EMR, Kinesis, Lambda, DynamoDB, etc.
* Experience with modern data architectures and modern data platforms like Snowflake, Databricks etc.
* Experience with data technologies: Hadoop, Spark, Kafka, Spark \&amp; Kafka Streaming, Python, Scala, Talend etc.
* Knowledge and experience with data movement tools – SSIS, Profisee, Alteryx, Informatica.
* Working knowledge of multiple data management domains such as data modeling, integration, warehousing, data quality, security, and governance.
* A self\-starter mentality that thrives in a rapidly changing, fast\-paced environment and tolerates ambiguity while demonstrating problem\-solving with limited supervision.
* Strong analytical and time management skills. Self\-motivated and able to handle tasks with minimal supervision.
* Must be organized, detail oriented, and able to multi\-task. Ability to work well under pressure and deliver results with tight deadlines and under changing priorities.
* Ability to cross collaborate with multiple teams and offer value\-added solutions to meet objectives.
* Ability to motivate and inspire team for maximum performance.
* Strong verbal and written communication skills.
**Physical Requirements**
 This job operates in a professional office environment. While performing the duties of this job, the employee is regularly required to talk or hear. The employee frequently will sit, stand, walk, and bend during working hours. Requires manual and finger dexterity and eye\-hand coordination. Required to lift and carry relatively light materials. Requires normal or corrected vision and hearing corrected to a normal range. Ability to work additional hours, as required.
**WORK ENVIRONMENT**
 This position operates in an office environment and requires the frequent use of a computer, telephone, copier and other standard office equipment.
**We are currently not offering employment sponsorship for this opportunity.**
 The current range for this position is
 $121,624\.81 \- $217,710\.99
 This range is exclusive of fringe benefits and potential bonuses. If hired at ICW Group, your final base salary compensation will be determined by factors unique to each candidate, including experience, education and the location of the role and considers employees performing substantially similar work.
**WHY JOIN ICW GROUP?**
* Challenging work and the ability to make a difference
* You will have a voice and feel a sense of belonging
* We offer a competitive benefits package, with generous medical, dental, and vision plans as well as 401K retirement plans and company match
* Bonus potential for all positions
* Paid Time Off
* Paid holidays throughout the calendar year
* Want to continue learning? We’ll support you 100%
*ICW Group is committed to creating a diverse environment and is proud to be an Equal Opportunity Employer. ICW Group will not discriminate against an applicant or employee on the basis of race, color, religion, national origin, ancestry, sex/gender, age, physical or mental disability, military or veteran status, genetic information, sexual orientation, gender identity, gender expression, marital status, or any other characteristic protected by applicable federal, state or local law.*
**At ICW Group we offer a work environment that encourages entrepreneurialism and celebrates success. Our team members are hands\-on contributors who are given the opportunity to make an impact. It's our people who make us an employer of choice and the vibrant company we are today.**
**Job Category:** 
**IT**
**Job Type:** 
**Full time**
**Req ID:** 
**JR101006**</t>
        </is>
      </c>
    </row>
    <row r="20">
      <c r="A20" t="inlineStr">
        <is>
          <t>li-4267542952</t>
        </is>
      </c>
      <c r="B20" t="inlineStr">
        <is>
          <t>Senior Market Data Engineer</t>
        </is>
      </c>
      <c r="C20" t="inlineStr">
        <is>
          <t>WorldQuant</t>
        </is>
      </c>
      <c r="D20" t="inlineStr">
        <is>
          <t>linkedin</t>
        </is>
      </c>
      <c r="E20" t="inlineStr"/>
      <c r="F20" t="inlineStr"/>
      <c r="G20" t="inlineStr">
        <is>
          <t>New York, United States</t>
        </is>
      </c>
      <c r="H20" t="inlineStr"/>
      <c r="I20"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Design and build real\-time market data processing systems covering global markets and multiple asset classes
* Architect and implement high\-performance software solutions for processing market data feeds at scale
* Drive technical innovation by leveraging emerging technologies to enhance system telemetry, monitoring, and operational efficiency
* Provide technical leadership and escalation support for production market data systems
* Analyze system performance and design data\-driven approaches to optimize market data processing workflows
* Lead the design of data governance systems for tracking availability, access patterns, and usage metrics
**What You Will Bring**
* Degree in a quantitative or technical discipline from top university and strong academic scores
* Expert\-level C\+\+ proficiency with demonstrated experience in other object\-oriented languages (Java, C\#)
* Experience with scripting languages such as Perl, Python, and shell scripting for automation and data processing
* Deep experience with tick\-by\-tick market data processing, including data normalization, feed handling, and real\-time analytic
* Excellent communication skills with ability to collaborate effectively across technical and business teams
* Have experience working under Linux environment
**Our Benefits**
* Core Benefits: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 three personal days, and
+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21">
      <c r="A21" t="inlineStr">
        <is>
          <t>li-4381515762</t>
        </is>
      </c>
      <c r="B21" t="inlineStr">
        <is>
          <t>Data Engineer</t>
        </is>
      </c>
      <c r="C21" t="inlineStr">
        <is>
          <t>Haystack</t>
        </is>
      </c>
      <c r="D21" t="inlineStr">
        <is>
          <t>linkedin</t>
        </is>
      </c>
      <c r="E21" t="inlineStr"/>
      <c r="F21" t="inlineStr"/>
      <c r="G21" t="inlineStr"/>
      <c r="H21" t="inlineStr"/>
      <c r="I21" t="inlineStr">
        <is>
          <t>**Sr. AI Platform Data Engineer \| Hawthorne, California \| Remote\-Friendly \| $139,100 \- $240,500** 
 We're working with a global leader in smart home security and neighboring technology on this exciting opportunity.
 Are you ready to build the future of agentic AI? We are looking for an AI Platform Builder to sit at the intersection of Data Engineering and Platform Engineering, leveraging an "AI\-first" development methodology to revolutionize how data is consumed. You will use Python, AWS, and Agentic frameworks to automate the automation, creating self\-improving systems that power a world\-class neighbor experience.
**The Role** 
 • Architect and implement AI\-powered self\-service platforms featuring natural language interfaces to make data accessible across the organization.
 • Design agentic AI solutions and AI\-native data pipelines using AWS services (S3, Redshift, Glue) and internal orchestration tools.
 • Build intelligent governance systems for automated data classification, PII detection, and lineage tracking to ensure high\-velocity, secure data delivery.
 • Lead AI\-assisted stakeholder engagement sessions across Subscriptions, Security, and Sales to define curated datasets for ML consumption.
 • Pioneer "prompt\-driven development" by using AI agents to write, optimize, and audit code within the production data stack.
**What You'll Need** 
 • Extensive experience in Data Engineering with a focus on building scalable AI/ML infrastructure and platform features.
 • Deep technical proficiency in Python and SQL, with a proven track record of using AI\-assisted development tools (e.g., GitHub Copilot, LLM\-based agents).
 • Strong experience with AWS ecosystem components and building large\-scale data pipelines for diverse ML use cases.
 • Demonstrated ability to mentor team members on engineering best practices, code reviews, and AI\-native development workflows.
 • A first\-principles approach to problem\-solving and the ability to act as a technical partner to Scientists and Business Stakeholders.
**What's On Offer** 
 • Highly competitive salary range ($139k \- $240k) with a comprehensive benefits package.
 • Opportunity to work at the cutting edge of Agentic AI and self\-service platform engineering within a high\-impact team.
 • Remote\-friendly flexibility based out of a state\-of\-the\-art facility in Hawthorne, CA.
 • The chance to fundamentally improve how a global organization makes decisions through AI\-augmented workshops and innovative data models.
**Apply via Haystack today!**</t>
        </is>
      </c>
    </row>
    <row r="22">
      <c r="A22" t="inlineStr">
        <is>
          <t>li-4312303570</t>
        </is>
      </c>
      <c r="B22" t="inlineStr">
        <is>
          <t>Senior Analytics Engineer</t>
        </is>
      </c>
      <c r="C22" t="inlineStr">
        <is>
          <t>Underdog</t>
        </is>
      </c>
      <c r="D22" t="inlineStr">
        <is>
          <t>linkedin</t>
        </is>
      </c>
      <c r="E22" t="inlineStr"/>
      <c r="F22" t="inlineStr"/>
      <c r="G22" t="inlineStr"/>
      <c r="H22" t="inlineStr"/>
      <c r="I22"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At Underdog, data is at the core of every decision we make — from scaling our products to delighting our users. As a
 **Senior Analytics Engineer** 
 , you’ll be a cornerstone of our data foundation. You won’t just be building pipelines; you’ll be architecting the models and metrics that power everything from executive dashboards to product experiments. This is a high\-impact role where your work will directly influence business strategy, growth, and product innovation.
**About The Role**
* Build and maintain core dbt data models that turn raw data into clean, trusted, analysis\-ready assets (e.g., User 360, Contest Fact, Marketing Attribution).
* Implement and manage a semantic layer (dbt MetricFlow, Omni, or equivalent) to standardize definitions of key metrics across the company.
* Own data quality and reliability, setting up automated testing, monitoring, and alerting frameworks.
* Collaborate with analysts and data scientists across Product, Marketing, Finance, and Ops to understand needs and deliver data models that scale.
* Contribute to self\-service analytics enablement by making models discoverable in tools like Omni, Hex, and Sigma, and building user\-friendly dashboards and explores.
* Champion software engineering best practices in analytics: Git workflows, code review, CI/CD for dbt, and reusable SQL patterns.
* Document business logic and metric definitions in a central data catalog, ensuring clarity and consistency.
**Who you are**
* SQL and data modeling expert, with 4\+ years in analytics engineering, BI, or related data roles.
* Skilled in dbt and modern cloud data warehouses (Snowflake, BigQuery, Databricks).
* Experienced with semantic layers and BI tools (Omni, Looker, Sigma, Hex) to drive metric consistency.
* Comfortable with orchestration tools (Airflow, Dagster, Prefect) and Git\-based workflows.
* Detail\-oriented with a passion for data quality and reliability.
* Strong communicator who can translate complex data models into clear, actionable insights for technical and non\-technical partners.
* Collaborative teammate with a bias for action, comfortable in a fast\-paced startup environment.
**Even better if you have**
* Experience in the sports, fantasy, or gaming industry.
* Background in real\-time or streaming analytics.
* Contributions to the dbt community or open\-source analytics projects.
* Familiarity with data observability platforms (Monte Carlo, Elementary).
*Our target starting base salary range for this position is between $160,000 and $190,000, plus target equity. The starting base salary will depend on a number of factors including the candidate’s skills and experience, among other things.*
**What we can offer you:**
* Unlimited PTO (we're extremely flexible with the exception of the first few weeks before \&amp; into the NFL season)
* 16 weeks of fully paid parental leave
* Home office stipend
* A connected virtual 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
***his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23">
      <c r="A23" t="inlineStr">
        <is>
          <t>li-4365622856</t>
        </is>
      </c>
      <c r="B23" t="inlineStr">
        <is>
          <t>Senior Data Engineer – Qlik, DBT, Snowflake</t>
        </is>
      </c>
      <c r="C23" t="inlineStr">
        <is>
          <t>First Citizens Bank</t>
        </is>
      </c>
      <c r="D23" t="inlineStr">
        <is>
          <t>linkedin</t>
        </is>
      </c>
      <c r="E23" t="inlineStr"/>
      <c r="F23" t="inlineStr"/>
      <c r="G23" t="inlineStr">
        <is>
          <t>Arizona, United States</t>
        </is>
      </c>
      <c r="H23" t="inlineStr"/>
      <c r="I23" t="inlineStr">
        <is>
          <t>**Overview**
 This is a remote position that can only be hired in NC, AZ, TX.
 This position is responsible for designing, implementing, and optimizing complex data solutions. This role leads the development of sophisticated data pipelines, warehouses, and analytics platforms in an agile environment while mentoring junior team members and collaborating with stakeholders to drive data\-driven decision\-making.
**Responsibilities**
*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 Write unit test cases, validate the data integrity \&amp; consistency requirements, build automated data pipelines using GitLab, Github, CICD tools.
* Code Deployment \&amp; Release Management \- Adopt release management processes to promote code deployment to various environments including production, disaster recovery, and support activities.
**Qualifications**
 Bachelor's Degree and 4 years of experience in Data engineering, big data technologies, cloud platforms OR High School Diploma or GED and 8 years of experience in Data engineering, big data technologies, cloud platforms
**Preferred Skills**
**Technical/Business Skills:**
*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
**Functional Skills**
* Team Player: Support peers, team, and department management.
* Communication: Excellent verbal, written, and interpersonal communication skills.
* Problem Solving: Excellent problem\-solving skills, incident management, root cause analysis, and proactive solutions to improve quality.
* Partnership and Collaboration: Develop and maintain partnership with business and IT stakeholders
* Attention to Detail: Ensure accuracy and thoroughness in all tasks.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24">
      <c r="A24" t="inlineStr">
        <is>
          <t>li-4349853306</t>
        </is>
      </c>
      <c r="B24" t="inlineStr">
        <is>
          <t>(USA) Senior, Software Engineer - Data Engineer</t>
        </is>
      </c>
      <c r="C24" t="inlineStr">
        <is>
          <t>Walmart</t>
        </is>
      </c>
      <c r="D24" t="inlineStr">
        <is>
          <t>linkedin</t>
        </is>
      </c>
      <c r="E24" t="inlineStr"/>
      <c r="F24" t="inlineStr"/>
      <c r="G24" t="inlineStr">
        <is>
          <t>Bentonville, AR</t>
        </is>
      </c>
      <c r="H24" t="inlineStr"/>
      <c r="I24" t="inlineStr">
        <is>
          <t>Position Summary...
 What you'll do...IMMIGRATION SPONSORSHIP IS NOT AVAILABLE FOR THIS POSITION Role summary:
 Walmart is seeking a Senior Software Engineer to design, develop, and maintain scalable software solutions that align with business objectives. This role involves analyzing requirements, creating detailed designs, coding, testing, and troubleshooting complex applications while ensuring high availability and security standards. The successful candidate will collaborate across teams to implement efficient DevOps practices and continuous integration processes. A strong foundation in software architecture, agile methodologies, and emerging technologies is essential to drive innovation and deliver reliable, maintainable software that supports Walmart’s evolving technical landscape.
 About the team:
 The Fusion\-Microspace team focuses on space planning, assortment, and data analytics to support business objectives. This group collaborates closely to design and implement scalable software solutions, leveraging skills in software development, data engineering, and API integration. The team emphasizes agile methodologies and continuous improvement to deliver high\-quality, maintainable applications. Members contribute to requirement analysis, solution design, coding, testing, and deployment, ensuring alignment with technical and business needs. The team fosters a professional environment that values expertise, innovation, and effective communication to achieve impactful results within the Walmart Group of Companies.
 What you'll do:
* Analyze and classify business and technical requirements, ensuring alignment with project objectives and risk mitigation.
* Design scalable software solutions, converting high\-level designs into detailed functional components.
* Develop, configure, and maintain clean, testable code adhering to coding standards and security policies.
* Build automation scripts to streamline continuous integration and delivery processes.
* Execute and support comprehensive testing strategies to identify and resolve defects.
* Monitor application performance, troubleshoot issues, and implement corrective maintenance.
* Collaborate with stakeholders to deliver solutions that meet business needs and technical specifications.
 What you'll bring:
* Proven expertise in software development with proficiency in Python, SQL, and API integration.
* Strong knowledge of Agile software development methodologies and DevOps practices.
* Experience designing scalable, distributed systems with attention to non\-functional requirements such as security, availability, and maintainability.
* Ability to analyze and translate business requirements into detailed technical designs and user stories.
* Skilled in debugging, integration testing, and defect management using modern tools and frameworks.
* Familiarity with cloud platforms including Microsoft Azure, Azure Data Factory, and Azure Databricks.
* Commitment to delivering high\-quality, testable, and maintainable code aligned with business objectives.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
      <c r="A25" t="inlineStr">
        <is>
          <t>li-4381512873</t>
        </is>
      </c>
      <c r="B25" t="inlineStr">
        <is>
          <t>Senior Data Engineer</t>
        </is>
      </c>
      <c r="C25" t="inlineStr">
        <is>
          <t>Haystack</t>
        </is>
      </c>
      <c r="D25" t="inlineStr">
        <is>
          <t>linkedin</t>
        </is>
      </c>
      <c r="E25" t="inlineStr"/>
      <c r="F25" t="inlineStr"/>
      <c r="G25" t="inlineStr"/>
      <c r="H25" t="inlineStr"/>
      <c r="I25" t="inlineStr">
        <is>
          <t>**Sr. AI Platform Data Engineer \| Hawthorne, California \| Remote\-Friendly \| $139,100 \- $240,500** 
 We're working with a global leader in smart home security and neighboring technology on this exciting opportunity.
 Are you ready to build the future of agentic AI? We are looking for an AI Platform Builder to sit at the intersection of Data Engineering and Platform Engineering, leveraging an "AI\-first" development methodology to revolutionize how data is consumed. You will use Python, AWS, and Agentic frameworks to automate the automation, creating self\-improving systems that power a world\-class neighbor experience.
**The Role** 
 • Architect and implement AI\-powered self\-service platforms featuring natural language interfaces to make data accessible across the organization.
 • Design agentic AI solutions and AI\-native data pipelines using AWS services (S3, Redshift, Glue) and internal orchestration tools.
 • Build intelligent governance systems for automated data classification, PII detection, and lineage tracking to ensure high\-velocity, secure data delivery.
 • Lead AI\-assisted stakeholder engagement sessions across Subscriptions, Security, and Sales to define curated datasets for ML consumption.
 • Pioneer "prompt\-driven development" by using AI agents to write, optimize, and audit code within the production data stack.
**What You'll Need** 
 • Extensive experience in Data Engineering with a focus on building scalable AI/ML infrastructure and platform features.
 • Deep technical proficiency in Python and SQL, with a proven track record of using AI\-assisted development tools (e.g., GitHub Copilot, LLM\-based agents).
 • Strong experience with AWS ecosystem components and building large\-scale data pipelines for diverse ML use cases.
 • Demonstrated ability to mentor team members on engineering best practices, code reviews, and AI\-native development workflows.
 • A first\-principles approach to problem\-solving and the ability to act as a technical partner to Scientists and Business Stakeholders.
**What's On Offer** 
 • Highly competitive salary range ($139k \- $240k) with a comprehensive benefits package.
 • Opportunity to work at the cutting edge of Agentic AI and self\-service platform engineering within a high\-impact team.
 • Remote\-friendly flexibility based out of a state\-of\-the\-art facility in Hawthorne, CA.
 • The chance to fundamentally improve how a global organization makes decisions through AI\-augmented workshops and innovative data models.
**Apply via Haystack today!**</t>
        </is>
      </c>
    </row>
    <row r="26">
      <c r="A26" t="inlineStr">
        <is>
          <t>li-4373207220</t>
        </is>
      </c>
      <c r="B26" t="inlineStr">
        <is>
          <t>Data Engineer</t>
        </is>
      </c>
      <c r="C26" t="inlineStr">
        <is>
          <t>Deloitte</t>
        </is>
      </c>
      <c r="D26" t="inlineStr">
        <is>
          <t>linkedin</t>
        </is>
      </c>
      <c r="E26" t="inlineStr"/>
      <c r="F26" t="inlineStr"/>
      <c r="G26" t="inlineStr">
        <is>
          <t>Cincinnati, OH</t>
        </is>
      </c>
      <c r="H26" t="inlineStr"/>
      <c r="I26" t="inlineStr">
        <is>
          <t>Are you an experienced, passionate pioneer in technology who wants to work in a collaborative environment? As an experienced
 **Data Engineer** 
 ,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Develop and maintain custom code for ordering applications supporting Assisted Ordering workflows within the In Stock platform
* Provide technical guidance to the team through design walkthroughs, implementation direction, and engineering best practices
* Apply architecture design patterns and core software design patterns to improve maintainability, scalability, and testability
* Perform and lead code inspections/reviews, ensuring adherence to standards, security, and quality expectations
* Design and evolve database schemas and data access patterns to support ordering use cases and performance needs
* Implement and enhance application observability (logs, metrics, alerts) to improve monitoring and reduce time\-to\-detect/resolve issues
* Troubleshoot complex functional and performance issues, driving root cause analysis and preventive remediation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Bachelor's degree, preferably in Computer Science, Information Technology, Computer Engineering, or related IT discipline; or equivalent experience
* 6\+ years of proven date engineering experience
* Experience developing and supporting custom enterprise applications, ideally in ordering, inventory, or retail operations domains
* Strong knowledge of architecture design patterns and software design patterns with practical implementation experience
* Demonstrated experience with code inspection/review techniques (peer review, static analysis, quality gates)
* Solid database design skills (relational modeling, indexing, query optimization, transactional considerations)
* Hands\-on experience with application observability (monitoring, logging, metrics, alerting; tracing a plus)
* Proven ability to provide technical guidance (mentoring, review leadership, and solution direction) within a delivery team
* Ability to provide technical guidance (mentoring, code reviews, solution direction) within a delivery team
* Demonstrated technical leadership across teams and stakeholders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t>
        </is>
      </c>
    </row>
    <row r="27">
      <c r="A27" t="inlineStr">
        <is>
          <t>li-4335700423</t>
        </is>
      </c>
      <c r="B27" t="inlineStr">
        <is>
          <t>Senior Associate - AI Data Engineer</t>
        </is>
      </c>
      <c r="C27" t="inlineStr">
        <is>
          <t>Andersen</t>
        </is>
      </c>
      <c r="D27" t="inlineStr">
        <is>
          <t>linkedin</t>
        </is>
      </c>
      <c r="E27" t="inlineStr"/>
      <c r="F27" t="inlineStr"/>
      <c r="G27" t="inlineStr">
        <is>
          <t>San Francisco, CA</t>
        </is>
      </c>
      <c r="H27" t="inlineStr"/>
      <c r="I27" t="inlineStr">
        <is>
          <t>Application Notice
 We encourage you to apply thoughtfully by selecting one position that best matches your qualifications and interests. You may submit up to two active applications at a time. Please consider your location choice carefully—we recommend applying where you envision building your future.
 The Firm
**A New Era of AI\-Driven, Multidimensional Consulting**
 Today’s businesses face complex global challenges that demand more than conventional consulting services. Andersen Consulting offers a seamless, multidimensional approach that combines expertise in business transformation, artificial intelligence, cybersecurity, sustainability, and digital strategy with Andersen Global’s established tax and legal capabilities. This integration of emerging technologies positions Andersen Consulting as the partner of choice in the $1 trillion consulting industry.
 The Role
 We're looking for a Data Engineer to build the data and feature engineering pipelines that power operational AI workloads on Palantir's Foundry and AIP platforms. Data Engineers at Andersen Consulting embed with client technical teams, engagement leaders, and product managers to understand client data landscapes and implement solutions. Your core responsibility is building modern data pipelines that solve real business problems and support production AI systems. This is an individual contributor role focused on technical delivery.
**In This Role, You Will**
* Build data pipelines and workflows to prepare data for machine learning and GenAI workloads on Palantir's Foundry and AIP platforms.
* Deploy modern tools to support machine learning and LLM operations for enterprise clients.
* Contribute meaningfully to client outcomes through hands\-on technical delivery.
 You'll work within the new Andersen Consulting Global AI practice, accountable for delivering measurable value to clients through operational AI. The team accomplishes this by using modern techniques, tooling, and pragmatic decision\-making to deliver value rapidly. Since the AI landscape evolves continuously, you'll learn new technologies quickly and accomplish a wide range of tasks all focused on delivering robust data and feature engineering pipelines with exceptional quality.
 You'll leverage your existing Foundry and AIP experience while deepening expertise across the platform. Andersen Consulting partners with Palantir to deploy solutions to enterprise clients. This means you'll work on client engagements while becoming expert in one of the most powerful AI platforms on the market. Longer term, you'll build bespoke data and feature engineering pipelines within client infrastructure including on\-premises software, cloud\-hosted platforms, and cloud\-native services.
**Responsibilities**
 We understand narrow, well\-defined job responsibilities work for some people. If you prefer highly structured roles, this position may not fit. We expect you to:
* Come ready to deliver your best work and influence your team to do the same
* Build data and feature engineering pipelines with exceptional quality and be held to that standard
* Embed with client technical teams to explore source data, gather requirements, and define required transformations
* Design ontology models and implement pipelines with complex transformations across 5\+ source systems
* Build applications that demonstrate capabilities and accelerate client decision\-making
* Implement security and permissions architecture to support enterprise governance requirements
* Set the standard for disciplined data engineering including automated testing, continuous integration and deployment, code reviews, and well\-documented code
 The Requirements
 To be successfully considered for this role, you will have:
* 6 years of technical experience delivering production data solutions
* 3 years of hands\-on experience building solutions on Palantir Foundry and AIP platforms
* Demonstrated track record designing and deploying large\-scale data engineering solutions that deliver tangible, ongoing value
* Strong coding experience writing production\-quality SQL and Python code with expert\-level knowledge of scientific computing libraries (PyTorch, NumPy, Polars, etc.)
* Professional experience with relational and non\-relational database technologies with expert\-level SQL knowledge
* Experience with full\-stack Foundry development including ontology modeling and design patterns
* Strong communication skills for client\-facing delivery, requirements gathering, and solution design
**It Would Also Be Beneficial If You Have**
* Experience building applications and leading technical demonstrations for clients
* Demonstrated ability to implement security and permissions architecture in enterprise environments
* Experience building applications and leading technical demonstrations for clients
* Demonstrated ability to implement security and permissions architecture in enterprise environments
* Industry domain expertise in finance, healthcare, or manufacturing
 We're looking for a passionate, team\-oriented, engineer who's self\-motivated and energized by technology. We expect you to deliver exceptional work and influence those around you to do the same. We value humility and intellectual honesty in our engineers. In return, you gain opportunity to build deep expertise working on large\-scale operational AI deployments that directly impact critical organizational missions.
**Compensation And Benefits**
 Our firm offers a competitive base salary and comprehensive benefits package designed to support the well\-being, growth, and long\-term success of our people. We are committed to recognizing individual contributions and providing resources that enable our employees to thrive both personally and professionally.
**Salary Range** 
 : For individuals hired to work in San Francisco, the expected salary range for this role is $142,200 to $202,700\. Actual compensation will be determined based on the candidate’s qualifications, experience, and skill set.
**Benefits** 
 : Employees (and their families) are eligible for medical, dental, vision, and basic life insurance coverage. Employees may enroll in the firm’s 401(k) plan upon hire. We offer 160 hours of paid time off annually, along with twelve paid holidays each calendar year. For a full listing of benefit offerings, please visit https://www.andersen.com/careers.
*Applicants must be currently authorized to work in the United States on a full\-time basis upon hire. Andersen will not consider candidates for this position who require sponsorship for employment visa status now or in the future (e.g., H\-1B status).*
*Andersen Tax is an equal opportunity employer committed to fostering an inclusive workplace. We evaluate all applicants and employees without regard to race, color, religion, national origin, ancestry, sex (including pregnancy, childbirth, and related medical conditions), sexual orientation, gender identity or expression, age, disability, genetic information, marital status, military or veteran status, or any other characteristic protected under applicable federal, state, or local law. All qualified applicants, including those with criminal histories, will be considered in a manner consistent with applicable law. We provide reasonable accommodations to qualified individuals with disabilities as required by law.*
**ANDERSEN TAX LLC NOTICE FOR JOB** 
 APPLICANTS</t>
        </is>
      </c>
    </row>
    <row r="28">
      <c r="A28" t="inlineStr">
        <is>
          <t>li-4349872344</t>
        </is>
      </c>
      <c r="B28" t="inlineStr">
        <is>
          <t>Senior Data Platform Engineer- Weights &amp; Biases</t>
        </is>
      </c>
      <c r="C28" t="inlineStr">
        <is>
          <t>Weights &amp; Biases</t>
        </is>
      </c>
      <c r="D28" t="inlineStr">
        <is>
          <t>linkedin</t>
        </is>
      </c>
      <c r="E28" t="inlineStr"/>
      <c r="F28" t="inlineStr"/>
      <c r="G28" t="inlineStr">
        <is>
          <t>Sunnyvale, CA</t>
        </is>
      </c>
      <c r="H28" t="inlineStr"/>
      <c r="I2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As a Senior Data Platform Engineer, you will:
* Partner with other Data Platform Engineers and Data Scientists to expand and maintain our data platform.
* Partner with core engineering to improve our product telemetry.
* Eventually, join our on\-call rotation for the data platform.
* Strategic goals for the team over the next 12 months:
+ Migrate data build tools to improve efficiency and performance
+ Build a robust internal data catalog and semantic layer to support self\-service analytics.
+ Build an internal AI agent for addressing common data workflows.
+ Lay the foundations for internal AI applications built on top of our operational data.
**Who You Are**
* Deep knowledge (practical and theoretical) of data engineering and the accompanying workflows.
* History of writing easy\-to\-follow code and effective documentation for your projects.
* Expert knowledge of data orchestration/data pipeline tools (dbt, dagster, airflow, etc).
* Experience working with large and high\-demand data warehouses/platforms, multi\-PB scale, and extreme business demand for the systems.
* Expert knowledge and understanding of web apps and best practices for logging and event instrumentation.
* Ability to clearly communicate your ideas to folks across a range of backgrounds and levels of technical knowledge.
**Preferred**
* If you work well in a self\-directed environment and proactively find ways to improve processes and collaborate with team members or engaged users, your initiative will really shine in this role.
* You'll love this role if you enjoy connecting with real users daily, helping them solve issues, and understanding good patterns for using our tools. You'll answer questions and requests with a kind, thoughtful tone that makes users feel appreciated and connected to our team.
* Theoretical or practical knowledge of machine learning workflows and terminology.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9">
      <c r="A29" t="inlineStr">
        <is>
          <t>li-4372989904</t>
        </is>
      </c>
      <c r="B29" t="inlineStr">
        <is>
          <t>AI Data Engineer, Manager - Tax Transformation</t>
        </is>
      </c>
      <c r="C29" t="inlineStr">
        <is>
          <t>Deloitte</t>
        </is>
      </c>
      <c r="D29" t="inlineStr">
        <is>
          <t>linkedin</t>
        </is>
      </c>
      <c r="E29" t="inlineStr"/>
      <c r="F29" t="inlineStr"/>
      <c r="G29" t="inlineStr">
        <is>
          <t>Los Angeles, CA</t>
        </is>
      </c>
      <c r="H29" t="inlineStr"/>
      <c r="I29"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0">
      <c r="A30" t="inlineStr">
        <is>
          <t>li-4372994797</t>
        </is>
      </c>
      <c r="B30" t="inlineStr">
        <is>
          <t>AI Data Engineer, Manager - Tax Transformation</t>
        </is>
      </c>
      <c r="C30" t="inlineStr">
        <is>
          <t>Deloitte</t>
        </is>
      </c>
      <c r="D30" t="inlineStr">
        <is>
          <t>linkedin</t>
        </is>
      </c>
      <c r="E30" t="inlineStr"/>
      <c r="F30" t="inlineStr"/>
      <c r="G30" t="inlineStr">
        <is>
          <t>Houston, TX</t>
        </is>
      </c>
      <c r="H30" t="inlineStr"/>
      <c r="I30"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1">
      <c r="A31" t="inlineStr">
        <is>
          <t>li-4373202544</t>
        </is>
      </c>
      <c r="B31" t="inlineStr">
        <is>
          <t>AI Data Engineer, Manager - Tax Transformation</t>
        </is>
      </c>
      <c r="C31" t="inlineStr">
        <is>
          <t>Deloitte</t>
        </is>
      </c>
      <c r="D31" t="inlineStr">
        <is>
          <t>linkedin</t>
        </is>
      </c>
      <c r="E31" t="inlineStr"/>
      <c r="F31" t="inlineStr"/>
      <c r="G31" t="inlineStr">
        <is>
          <t>Jersey City, NJ</t>
        </is>
      </c>
      <c r="H31" t="inlineStr"/>
      <c r="I31"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2">
      <c r="A32" t="inlineStr">
        <is>
          <t>li-4372987915</t>
        </is>
      </c>
      <c r="B32" t="inlineStr">
        <is>
          <t>AI Data Engineer, Manager - Tax Transformation</t>
        </is>
      </c>
      <c r="C32" t="inlineStr">
        <is>
          <t>Deloitte</t>
        </is>
      </c>
      <c r="D32" t="inlineStr">
        <is>
          <t>linkedin</t>
        </is>
      </c>
      <c r="E32" t="inlineStr"/>
      <c r="F32" t="inlineStr"/>
      <c r="G32" t="inlineStr">
        <is>
          <t>Austin, TX</t>
        </is>
      </c>
      <c r="H32" t="inlineStr"/>
      <c r="I32"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3">
      <c r="A33" t="inlineStr">
        <is>
          <t>li-4372992789</t>
        </is>
      </c>
      <c r="B33" t="inlineStr">
        <is>
          <t>AI Data Engineer, Manager - Tax Transformation</t>
        </is>
      </c>
      <c r="C33" t="inlineStr">
        <is>
          <t>Deloitte</t>
        </is>
      </c>
      <c r="D33" t="inlineStr">
        <is>
          <t>linkedin</t>
        </is>
      </c>
      <c r="E33" t="inlineStr"/>
      <c r="F33" t="inlineStr"/>
      <c r="G33" t="inlineStr">
        <is>
          <t>Seattle, WA</t>
        </is>
      </c>
      <c r="H33" t="inlineStr"/>
      <c r="I33"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4">
      <c r="A34" t="inlineStr">
        <is>
          <t>li-4373202529</t>
        </is>
      </c>
      <c r="B34" t="inlineStr">
        <is>
          <t>AI Data Engineer, Manager - Tax Transformation</t>
        </is>
      </c>
      <c r="C34" t="inlineStr">
        <is>
          <t>Deloitte</t>
        </is>
      </c>
      <c r="D34" t="inlineStr">
        <is>
          <t>linkedin</t>
        </is>
      </c>
      <c r="E34" t="inlineStr"/>
      <c r="F34" t="inlineStr"/>
      <c r="G34" t="inlineStr">
        <is>
          <t>Boston, MA</t>
        </is>
      </c>
      <c r="H34" t="inlineStr"/>
      <c r="I34"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5">
      <c r="A35" t="inlineStr">
        <is>
          <t>li-4365535454</t>
        </is>
      </c>
      <c r="B35" t="inlineStr">
        <is>
          <t>Senior Data Engineer (Intelligent Foundations and Experiences)</t>
        </is>
      </c>
      <c r="C35" t="inlineStr">
        <is>
          <t>Capital One</t>
        </is>
      </c>
      <c r="D35" t="inlineStr">
        <is>
          <t>linkedin</t>
        </is>
      </c>
      <c r="E35" t="inlineStr"/>
      <c r="F35" t="inlineStr"/>
      <c r="G35" t="inlineStr">
        <is>
          <t>Richmond, VA</t>
        </is>
      </c>
      <c r="H35" t="inlineStr"/>
      <c r="I3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6">
      <c r="A36" t="inlineStr">
        <is>
          <t>li-4373205362</t>
        </is>
      </c>
      <c r="B36" t="inlineStr">
        <is>
          <t>AI Data Engineer, Manager - Tax Transformation</t>
        </is>
      </c>
      <c r="C36" t="inlineStr">
        <is>
          <t>Deloitte</t>
        </is>
      </c>
      <c r="D36" t="inlineStr">
        <is>
          <t>linkedin</t>
        </is>
      </c>
      <c r="E36" t="inlineStr"/>
      <c r="F36" t="inlineStr"/>
      <c r="G36" t="inlineStr">
        <is>
          <t>Arlington, VA</t>
        </is>
      </c>
      <c r="H36" t="inlineStr"/>
      <c r="I36"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7">
      <c r="A37" t="inlineStr">
        <is>
          <t>li-4372994792</t>
        </is>
      </c>
      <c r="B37" t="inlineStr">
        <is>
          <t>AI Data Engineer, Manager - Tax Transformation</t>
        </is>
      </c>
      <c r="C37" t="inlineStr">
        <is>
          <t>Deloitte</t>
        </is>
      </c>
      <c r="D37" t="inlineStr">
        <is>
          <t>linkedin</t>
        </is>
      </c>
      <c r="E37" t="inlineStr"/>
      <c r="F37" t="inlineStr"/>
      <c r="G37" t="inlineStr">
        <is>
          <t>Pittsburgh, PA</t>
        </is>
      </c>
      <c r="H37" t="inlineStr"/>
      <c r="I37"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8">
      <c r="A38" t="inlineStr">
        <is>
          <t>li-4373200537</t>
        </is>
      </c>
      <c r="B38" t="inlineStr">
        <is>
          <t>AI Data Engineer, Manager - Tax Transformation</t>
        </is>
      </c>
      <c r="C38" t="inlineStr">
        <is>
          <t>Deloitte</t>
        </is>
      </c>
      <c r="D38" t="inlineStr">
        <is>
          <t>linkedin</t>
        </is>
      </c>
      <c r="E38" t="inlineStr"/>
      <c r="F38" t="inlineStr"/>
      <c r="G38" t="inlineStr">
        <is>
          <t>Denver, CO</t>
        </is>
      </c>
      <c r="H38" t="inlineStr"/>
      <c r="I38"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39">
      <c r="A39" t="inlineStr">
        <is>
          <t>li-4373204366</t>
        </is>
      </c>
      <c r="B39" t="inlineStr">
        <is>
          <t>AI Data Engineer, Manager - Tax Transformation</t>
        </is>
      </c>
      <c r="C39" t="inlineStr">
        <is>
          <t>Deloitte</t>
        </is>
      </c>
      <c r="D39" t="inlineStr">
        <is>
          <t>linkedin</t>
        </is>
      </c>
      <c r="E39" t="inlineStr"/>
      <c r="F39" t="inlineStr"/>
      <c r="G39" t="inlineStr">
        <is>
          <t>Tampa, FL</t>
        </is>
      </c>
      <c r="H39" t="inlineStr"/>
      <c r="I39" t="inlineStr">
        <is>
          <t>If you are a technology leader energized by transforming global tax through digital solutions, join the US Tax Transformation technology team. In this role, you will help drive Deloitte's shift from "doing digital" to "being digital" by reimagining how we build and scale GenAI\-enabled data products that power client delivery and internal operations. You will lead engineering efforts across enterprise\-grade platforms, working with cross\-functional teams to design, build, and run high\-performing data and AI solutions that create measurable value.
 Recruiting for this role ends on May 31, 2026\.
**Work you'll do**
 As an AI Data Engineer, Manager on the Tax Transformation technology team, you will be responsible for leading GenAI and data engineering initiatives that enable digital transformation across enterprise products. You will:
* Lead the design, build, deployment, and operations of analytics platforms that process terabytes of data at scale.
* Design and implement data ingestion, real\-time streaming, batch processing, and extract\-transform\-load (ETL) pipelines across multiple storage technologies.
* Tune complex Structured Query Language (SQL) queries and data flows for performance and reliability.
* Design and operationalize multi\-agent Generative AI workflows (planner/worker patterns, tool use, memory, retries/fallbacks) integrated with enterprise data and retrieval services.
* Build and maintain agent tool backends, including search/retrieval, document ingestion, SQL generation guardrails, and governance checks, with strong observability and quality evaluation.
* Own the vector retrieval layer, including embedding pipelines, indexing strategies, hybrid search patterns, and latency/throughput optimization for Retrieval\-Augmented Generation (RAG).
* Lead implementation of Zilliz Cloud/Milvus in production, including collection design, partitions, index selection/tuning, bulk ingest patterns, and retrieval performance tuning.
* Implement MongoDB\-based data services for GenAI workloads, including schema design, aggregation pipelines, change streams, and sharding/scale patterns.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designing, building, and operating production\-grade data platforms and pipelines using Python and Structured Query Language (SQL), distributed processing (Apache Spark), streaming (Apache Kafka), cloud data services (Microsoft Azure), and data storage across SQL and NoSQL systems.
* Proven track record of delivering Retrieval\-Augmented Generation (RAG) to production, including embedding generation, vector indexing, hybrid retrieval, and latency/throughput optimization evidenced by shipped features, runbooks, and performance metrics.
* Demonstrated experience delivering vector databases such as Milvus or Zilliz Cloud to production, including collection design, index tuning, and metadata filtering evidenced by deployed clusters, index configurations, and observed retrieval performance.
* Hands on experience in the design and operation of MongoDB\-based data services, including schema design, aggregation pipelines, indexing strategies, security configuration, and performance tuning.
* Ability to travel 20%,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Open Group Certified Architect (Open CA)
* IASA's Certified IT Architect (Level F or A)
* Certified SAFe DevOps Practioner
* ITIL Certification
* Certified Information Systems Security Professional (CISSP)
* Project Management Professional (PMP)
* Microsoft Azure
**Preferred:**
* Experience leading cross\-functional engineering teams delivering GenAI\-enabled data products.
* Leadership: Experience leading cross\-functional engineering teams delivering GenAI\-enabled data products.
* GenAI orchestration \&amp; safety: 2\+ years building multi\-agent systems (agent graphs, tool\-calling, structured outputs) with evaluation, safety guardrails, and observability (tracing, eval pipelines, quality metrics).
* ML/DS enablement \&amp; MLOps: Experience supporting data scientists at scale, including model monitoring, feature stores (e.g., Feast/Vertex AI Feature Store), and data/model version management.
* Data/ML pipelines \&amp; CI/CD: Hands\-on with LLM data pipelines (preprocessing), CI/CD for ML/data pipelines (e.g., Kubeflow, MLflow, Airflow, SageMaker Pipelines), and real\-time inference streaming (Kafka/Spark Structured Streaming).
* Data platform \&amp; analytics: Strong data warehousing design/optimization, advanced SQL/performance tuning for high\-volume flows, data quality automation/visualization, plus Power BI; cloud certification (Azure/AWS or similar) preferred.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0">
      <c r="A40" t="inlineStr">
        <is>
          <t>li-4365686872</t>
        </is>
      </c>
      <c r="B40" t="inlineStr">
        <is>
          <t>Analytics Engineer</t>
        </is>
      </c>
      <c r="C40" t="inlineStr">
        <is>
          <t>Spreedly</t>
        </is>
      </c>
      <c r="D40" t="inlineStr">
        <is>
          <t>linkedin</t>
        </is>
      </c>
      <c r="E40">
        <f>HYPERLINK("https://www.linkedin.com/jobs/view/4365686872", "https://www.linkedin.com/jobs/view/4365686872")</f>
        <v/>
      </c>
      <c r="F40">
        <f>HYPERLINK("https://jobs.lever.co/spreedly/18ffdf76-1d29-43f4-856d-8df03534422a/apply?source=LinkedIn&amp;urlHash=gOZ0", "https://jobs.lever.co/spreedly/18ffdf76-1d29-43f4-856d-8df03534422a/apply?source=LinkedIn&amp;urlHash=gOZ0")</f>
        <v/>
      </c>
      <c r="G40" t="inlineStr"/>
      <c r="H40" t="inlineStr"/>
      <c r="I40" t="inlineStr">
        <is>
          <t>About Us:
 Spreedly is the world's leading Open Payments Platform, sitting at the center of a network processing more than $50b of GMV annually. Spreedly's Payments Orchestration platform enables and optimizes digital transactions with the world’s most complete payment services marketplace. Built on Spreedly’s PCI\-compliant architecture, our Advanced Vault solution combines a modern feature\-set with rule\-based configurations to optimize the vaulting experience for all stored payment methods. Global enterprises and hyper\-growth companies grow their digital business faster by relying on our payments platform. Hundreds of customers worldwide secure card data in our PCI\-compliant vault and use tokenized card data to enable and optimize over $45 billion of annual transaction volumes with any payment service.
 Our vision is that the world is better with a diversified, inclusive payment ecosystem. Our mission is to accelerate commerce with an open, secure, and flexible payment platform that welcomes all payment participants. Our employees help us execute our vision by building a culture focused on autonomy, transparency, and collaboration in a dynamic, high\-growth organization.
 Product Offering:
 Spreedly provides an open payments platform. The platform’s connectivity provides payments performance. Key products and services include:
**Payment Gateway Integration** 
 : Connects merchants, platforms, and marketplaces to multiple payment gateways and payment services.
**Tokenization** 
 : Securely stores and manages payment data with a universal tokenization service.
**Transaction Routing** 
 : Enables intelligent routing of transactions to optimize success rates and costs.
**Payment Vault** 
 : A secure storage solution for sensitive payment information.
**Fraud Tools Integration** 
 : Integrates with various fraud prevention tools to enhance transaction security.
**About the Role:**
 The Analytics Engineer will sit at the crossroads of Spreedly's business teams, Data Engineering, and Business Intelligence and be responsible for bringing robust, efficient, and integrated data models to life. A successful candidate for this role can speak the language of business teams and technical teams, and is able to translate data insights and analysis needs into models powered by Spreedly’s data pipeline and platform.
 This role will blend business acumen with technical expertise and transition between business strategy and data development, working alongside self\-starters interested in solving real\-world problems and in streamlining our internal capacity to simplify a complex environment with billions of data points.
**Responsibilities:**
* Collaborate and Advise: Partner with business teams and stakeholders to collect requirements, define analytics outcomes, and build foundational data models and dashboards. You'll serve as a data modeling and visualization expert, assisting all teams by delivering high\-impact dashboards built on scalable data models.
* Develop and Maintain Data Models: Design, develop, and maintain scalable dbt models to advance our data maturity. This includes ensuring a single source of truth, keeping data sources fresh as requirements evolve, and maintaining our data dictionary.
* Ensure Quality and Governance: Write SQL that meets internal standards for structure and quality. You'll maintain these standards through code reviews and peer\-reviewing database and data model schema changes.
* Empower Stakeholders: Encourage internal adoption and self\-sufficiency of stakeholders in Tableau through documentation, training, and dashboard organization.
**Requirements:**
* 3\+ years of proven experience in the data space as an analyst or analytics engineer.
* 3\+ years designing and implementing commercial enterprise dimensional models and working with large\-scale (1B\+ rows) cloud data warehouses.
* Hands\-on experience building, testing, and maintaining data models in dbt
* Expertise with SQL, including advanced techniques (ex. window functions, common table expressions, UDFs, etc.) for data investigation and analysis.
* Experience with data visualization in Tableau
* Solid project management skills, including planning work, managing details, and navigating ambiguity to deliver results with cross\-functional stakeholders.
* Enthusiasm for conducting reproducible analysis, including code reviews, version control, and robust documentation.
**Additional Skills We Value:**
* Familiarity with Snowflake
* Experience with Fivetran
* Background in a B2B SaaS or fintech environment
* Experience supporting RevOps or GTM analytics, including sales funnel and marketing performance reporting
**We Offer Our US\-Based Employees:**
* Competitive salary \+ Equity
* Outstanding Medical and Dental benefits, including 100% employer\-paid options
* Company\-paid Life and Disability insurance
* Optional vision and supplemental insurance options, and various Flexible Spending Accounts (FSA)
* Open Paid Time Off policy \+ 12 weeks of paid leave for new parents
* Matching 401(k) plan (5% up to $5,000 yearly)
* $1,000 annual professional development stipend
* Monthly home working/digital lifestyle stipend, new MacBook, and one\-time accessory reimbursement
* Access to company\-paid professional coaching service
* Visits to HQ in Durham, North Carolina for remote employees
 We champion the ethical, creative use of AI—if you’re someone who pairs human judgment with modern AI tools to work smarter and drive bigger impact, you’ll thrive here.
 \-\-
 Spreedly is an equal opportunity employer. We are committed to fostering, cultivating, and preserving a culture of diversity, equity, inclusion, and belonging. We actively work to drive out even unintentional discrimination in our hiring processes via practices like blindly graded work samples, structured interviews, and diversity awareness training.
 Due to the sensitive nature of what Spreedly does \- handling payment data \- finalist candidates must complete a successful background and reference check.
 At this time Spreedly is unable to provide sponsorship for employment, and we are not set up to support remote employees who reside in New York. In order to be considered for employment, applicants must be currently legally authorized to work in the job location country and not require future sponsorship in order to continue working in that country.
 We appreciate your interest in our company. Because of the high volume of resume flow, we may only respond to those candidates that we think will be a potential fit.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1">
      <c r="A41" t="inlineStr">
        <is>
          <t>li-4351048847</t>
        </is>
      </c>
      <c r="B41" t="inlineStr">
        <is>
          <t>Data Engineer</t>
        </is>
      </c>
      <c r="C41" t="inlineStr">
        <is>
          <t>CubeSmart</t>
        </is>
      </c>
      <c r="D41" t="inlineStr">
        <is>
          <t>linkedin</t>
        </is>
      </c>
      <c r="E41">
        <f>HYPERLINK("https://www.linkedin.com/jobs/view/4351048847", "https://www.linkedin.com/jobs/view/4351048847")</f>
        <v/>
      </c>
      <c r="F41">
        <f>HYPERLINK("https://click.appcast.io/t/TuK_W97YvSC8I17qDzc1opJgMcunCmGhdZEp9xN5bQL-eASwZn4-nO8ap_9HsCFP?mode=apply&amp;iis=LinkedIn&amp;urlHash=foQf", "https://click.appcast.io/t/TuK_W97YvSC8I17qDzc1opJgMcunCmGhdZEp9xN5bQL-eASwZn4-nO8ap_9HsCFP?mode=apply&amp;iis=LinkedIn&amp;urlHash=foQf")</f>
        <v/>
      </c>
      <c r="G41" t="inlineStr">
        <is>
          <t>Malvern, PA</t>
        </is>
      </c>
      <c r="H41" t="inlineStr"/>
      <c r="I41" t="inlineStr">
        <is>
          <t>**Overview:**
***This is a hybrid role \- 2 days remote and 3 days in the Malvern, PA office.***
 CubeSmart is currently seeking a Data Engineer to join the Information Technology team at our corporate office in Malvern, PA. The Data Engineer will be responsible for the implementation, development, and optimization of database, data objects, and database scripting with the core database platforms utilized by the core CubeSmart business applications.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This role will also be responsible for the development and maintenance of ETL processes that manage the consumption of data by CubeSmart’s core systems. The role will serve as a technical expert to analyze the needs of CubeSmart’s applications and business data requirements and produce an optimal solution according to their needs and specifications, and in alignment with CubeSmart’s data design standards. This individual will be part of the team building a data and analytics platform in the Microsoft Azure cloud to support the CubeSmart business. This will include designing and building the data ingestion and ETL pipelines to create the cloud Lakehouse environment. In addition, this person will be engaged to develop features in the legacy SQL Server Data Warehouse platform.
**Responsibilities**
* Collaborate with program manager(s), application development, and data consumers to develop data ingestion and ETL pipelines required to enable CubeSmart data consumers to onboard processes to the Data Lakehouse platform
* Create database designs, stored procedures, views and other associated database objects required to implement processes in support of application development efforts
* Design and development of data pipelines and ETL processes required to support system integration and application development needs in the legacy SQL data warehouse environment
* Identification and implementation of database performance tuning required to validate that all systems are performing to an optimal level
* Collaborate with 3rd party vendors to understand externally sourced data and incorporate into CubeSmart’s data environment, in adherence with CubeSmart’s data design standards
**Qualifications:**
 Knowledge, Skills, Abilities and Personal Characteristics
* Bachelor’s degree in Computer Science, Information Technology or a related discipline
* Strong skills in SQL, Python, and PySpark
* Experience with Microsoft Azure data services (Azure Data Factory, Azure Databricks, Azure SQL, and Databricks ML Flow) or equivalent is preferred
* Full understanding of the Software Development Life Cycle (SDLC) and experience with Agile software development processes
* Solid understanding of cloud DevOps capabilities, preferably Azure DevOps
* Experience with MongoDB (or similar non\-relational database platform) or PostgreSQL is a plus
* Experience supporting databases and data models for ERP or financial systems in a plus
* Service orientation towards business\-focused 24×7 support and service mentality
* Ability to work within a team environment, showing an openness to collaborate with technical and business peer, with the ability to step up and take on new challenges in response to changing business conditions
* Ability to learn quickly, adapt work processes to adhere with best practices
* Ability to clearly convey technical information to both technical and non\-technical audiences
* Collaborative individual who creates open channels of communications and encourages technical dialogue across the department.
* Well\-developed analytical and problem\-solving abilities
* Ability to work on multiple tasks and projects at once, with the ability to properly prioritize one’s own work and the work of others</t>
        </is>
      </c>
    </row>
    <row r="42">
      <c r="A42" t="inlineStr">
        <is>
          <t>li-4382654981</t>
        </is>
      </c>
      <c r="B42" t="inlineStr">
        <is>
          <t>Data Engineer (Real-Time)</t>
        </is>
      </c>
      <c r="C42" t="inlineStr">
        <is>
          <t>Wiraa</t>
        </is>
      </c>
      <c r="D42" t="inlineStr">
        <is>
          <t>linkedin</t>
        </is>
      </c>
      <c r="E42">
        <f>HYPERLINK("https://www.linkedin.com/jobs/view/4382654981", "https://www.linkedin.com/jobs/view/4382654981")</f>
        <v/>
      </c>
      <c r="F42">
        <f>HYPERLINK("https://www.wiraa.com/job-description/us8C234799C8A82FBAF6899B74843D3C73?source=Linkedin&amp;urlHash=gFx6", "https://www.wiraa.com/job-description/us8C234799C8A82FBAF6899B74843D3C73?source=Linkedin&amp;urlHash=gFx6")</f>
        <v/>
      </c>
      <c r="G42" t="inlineStr"/>
      <c r="H42" t="inlineStr"/>
      <c r="I42" t="inlineStr">
        <is>
          <t>**About The Company**
 Bright Vision Technologies is a forward\-thinking software development company dedicated to creating innovative solutions that enhance business automation and operational efficiency. Our organization specializes in leveraging advanced real\-time data processing technologies to develop scalable, low\-latency, and fault\-tolerant streaming platforms. With a focus on cutting\-edge solutions, we aim to transform how businesses manage and analyze their data, enabling them to make faster and more informed decisions. Our team is composed of passionate professionals committed to technological excellence and continuous innovation. We foster a collaborative environment that encourages growth, learning, and the pursuit of excellence, making us a respected leader in the industry.
**About The Role**
 We are seeking a skilled Real\-Time Data Engineer with expertise in Flink and Spark Streaming to join our dynamic team in Dallas, TX. This role offers the flexibility of remote work and involves working with state\-of\-the\-art technologies to develop and maintain real\-time data pipelines. The ideal candidate will have a strong background in stream processing, event\-driven architectures, and cloud platforms. You will be responsible for designing, implementing, and optimizing real\-time data solutions that support our clients' business needs. This position provides an excellent opportunity to work on innovative projects, contribute to the growth of our company, and advance your career in the field of real\-time data engineering.
**Qualifications**
* Bachelor's degree in Computer Science, Information Technology, or a related field.
* Minimum of 3 to 5 years of experience in real\-time data engineering or related roles.
* Proficiency in Apache Flink and Spark Streaming frameworks.
* Strong knowledge of Apache Kafka and event\-driven architecture.
* Experience with programming languages such as Java, Scala, or Python.
* Familiarity with windowing, state management, and stream processing semantics.
* Hands\-on experience with SQL and NoSQL databases.
* Knowledge of cloud platforms including AWS, Azure, or GCP.
* Experience with containerization tools like Docker and orchestration within Linux environments.
* Understanding of CI/CD pipelines and monitoring tools.
* Ability to pass a coding test demonstrating technical proficiency.
* Excellent problem\-solving skills and ability to work in a fast\-paced environment.
**Responsibilities**
* Design, develop, and maintain real\-time data pipelines using Apache Flink, Spark Streaming, and Kafka.
* Implement event\-driven architectures to support scalable streaming solutions.
* Optimize data processing workflows for low latency and fault tolerance.
* Collaborate with cross\-functional teams to gather requirements and translate them into technical solutions.
* Ensure data quality, integrity, and security across all streaming platforms.
* Monitor system performance and troubleshoot issues proactively.
* Participate in code reviews, testing, and documentation to maintain high\-quality standards.
* Stay updated with emerging technologies and industry best practices in streaming data processing.
* Contribute to the continuous improvement of development processes and tools.
**Benefits**
* Competitive salary package aligned with experience and skills.
* Flexible remote work environment.
* Opportunities for professional growth and career advancement.
* Collaborative and innovative work culture.
* Health and wellness benefits.
* Paid time off and holidays.
* Access to cutting\-edge technology and projects.
 Equal Opportunity
 Bright Vision Technologies is committed to providing equal employment opportunities and fostering an inclusive work environment. We encourage applications from all qualified individuals regardless of race, ethnicity, religion, gender identity, sexual orientation, age, disability, or any other protected status. We are dedicated to ensuring a workplace free from discrimination and harassment. If you require accommodations during the recruitment process, please inform us, and we will make every effort to assist you. Our organization values diversity and believes that a varied workforce enhances our ability to innovate and serve our clients effectively. Position offered by “No Fee agency.”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We expressly prohibit any form of workplace harassment or discrimination. Any improper interference with employees' ability to perform their job duties may result in disciplinary action, up to and including termination of employment.</t>
        </is>
      </c>
    </row>
    <row r="43">
      <c r="A43" t="inlineStr">
        <is>
          <t>li-4381523438</t>
        </is>
      </c>
      <c r="B43" t="inlineStr">
        <is>
          <t>Data Engineer</t>
        </is>
      </c>
      <c r="C43" t="inlineStr">
        <is>
          <t>Wiraa</t>
        </is>
      </c>
      <c r="D43" t="inlineStr">
        <is>
          <t>linkedin</t>
        </is>
      </c>
      <c r="E43">
        <f>HYPERLINK("https://www.linkedin.com/jobs/view/4381523438", "https://www.linkedin.com/jobs/view/4381523438")</f>
        <v/>
      </c>
      <c r="F43">
        <f>HYPERLINK("https://www.wiraa.com/job-description/us5088652C10BEFC03EC108C6BCD399CC2?source=Linkedin&amp;urlHash=lUd3", "https://www.wiraa.com/job-description/us5088652C10BEFC03EC108C6BCD399CC2?source=Linkedin&amp;urlHash=lUd3")</f>
        <v/>
      </c>
      <c r="G43" t="inlineStr"/>
      <c r="H43" t="inlineStr"/>
      <c r="I43" t="inlineStr">
        <is>
          <t>**About The Company**
 Huntington is a leading financial services organization dedicated to providing innovative banking, investment, and mortgage solutions to its clients. Committed to fostering a diverse and inclusive work environment, Huntington leverages cutting\-edge technology and industry best practices to deliver exceptional value and service. With a focus on integrity, collaboration, and continuous improvement, the company strives to empower its employees and clients alike, ensuring sustainable growth and success in a competitive marketplace.
**About The Role**
 The Data Engineer Lead is a critical role responsible for designing, developing, and operationalizing data pipelines that support enterprise data and analytics initiatives. This position involves leading the creation and management of robust data infrastructure, ensuring data quality, and optimizing data workflows to meet the needs of business analysts, data scientists, and other data consumers. The ideal candidate will serve as a technical leader and mentor within the team, driving innovation and best practices across data engineering projects. Additionally, the role requires effective communication with both technical and non\-technical stakeholders to translate complex data insights into actionable business outcomes. The Data Engineer Lead will play a strategic role in transforming raw data into reliable, curated datasets that facilitate advanced analytics and decision\-making processes across the organization.
**Qualifications**
* Bachelor's Degree in computer science, statistics, or a related field
* 7\+ years of experience in data management disciplines including data integration, modeling, optimization, and data quality
* 7\+ years of experience with database programming languages and advanced analytics
* Proven expertise in designing, building, and managing data pipelines and architectures
* Hands\-on experience with data testing and validation processes
* Extensive knowledge of data engineering tools such as AWS Glue, Lambda, Athena, and related cloud services
* Proficiency with BI software tools and open\-source data science platforms
* Strong understanding of data governance, data management architectures, and processes
* Experience working with large, heterogeneous datasets to extract business value
* Knowledge of DevOps practices including version control, automated testing, and release management
* Excellent communication skills, capable of conveying complex technical results to diverse audiences
* Ability to lead cross\-functional teams and mentor junior staff
* Willingness to learn new technologies and adapt to changing project requirements
**Responsibilities**
* Architect, develop, and maintain scalable data pipelines to support enterprise analytics initiatives
* Collaborate with data science teams and business analysts to refine data requirements and ensure alignment with organizational goals
* Assist in modernizing the data management infrastructure to enhance automation and efficiency in data integration
* Train and mentor team members and organizational counterparts on data pipelining and preparation techniques
* Participate in data governance activities by vetting and promoting content to the curated data catalog for governed reuse
* Test and validate data quality to ensure data conforms to business rules, maintaining accuracy, completeness, and consistency
* Work closely with stakeholders to understand their data needs and deliver solutions that meet those requirements
* Stay informed of emerging technologies and assess their potential impact on existing data architecture
* Lead efforts in designing, building, and managing data pipelines for large\-scale datasets
* Implement DevOps practices to streamline deployment, testing, and release of data solutions
* Communicate complex technical concepts effectively to both technical and non\-technical audiences
* Provide leadership, coaching, and development opportunities to team members, fostering a culture of continuous improvement
* Perform other duties as assigned to support organizational objectives
**Benefits**
* Competitive salary and comprehensive benefits package
* Opportunities for professional development and career growth
* Flexible work arrangements, including hybrid and remote options
* Inclusive and collaborative work environment
* Health, dental, and vision insurance plans
* Retirement savings plans with company matching
* Paid time off and holidays
* Employee wellness programs and resources
 Equal Opportunity
 Huntington is an Equal Opportunity Employer committed to creating an inclusive environment for all employees. We celebrate diversity and do not discriminate based on race, color, religion, sex, national origin, age, disability, veteran status, or any other protected characteristic. We believe in providing equal employment opportunities and fostering a workplace where everyone can thrive and contribute to our shared success.</t>
        </is>
      </c>
    </row>
    <row r="44">
      <c r="A44" t="inlineStr">
        <is>
          <t>li-4381250390</t>
        </is>
      </c>
      <c r="B44" t="inlineStr">
        <is>
          <t>Senior Data Engineer (VM)</t>
        </is>
      </c>
      <c r="C44" t="inlineStr">
        <is>
          <t>Blue Coding</t>
        </is>
      </c>
      <c r="D44" t="inlineStr">
        <is>
          <t>linkedin</t>
        </is>
      </c>
      <c r="E44">
        <f>HYPERLINK("https://www.linkedin.com/jobs/view/4381250390", "https://www.linkedin.com/jobs/view/4381250390")</f>
        <v/>
      </c>
      <c r="F44" t="inlineStr"/>
      <c r="G44" t="inlineStr"/>
      <c r="H44" t="inlineStr"/>
      <c r="I44"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**What are we looking for?**
 In this opportunity, we are looking for a Senior Data Engineer to work with one of our foreign clients, a market leader in the consultation, design, procurement, implementation, and ongoing managed services for technology services for mid to large global enterprises. As a Telecom Managed Service company, they partner with over 300 service providers globally to help customers with technology design and find the best solutions to meet their needs.
 Our client is building a modern, cost\-efficient data warehouse on Amazon Redshift, AWS Glue, and S3—replacing legacy ETL processes. We need a hands\-on Data Engineer who can design, build, and optimize our cloud data pipelines while guiding best practices for a small team. This role is critical in migrating from SQL Server to Redshift, implementing scalable ETL with AWS Glue, and enabling self\-service analytics. You’ll work closely with BI and business teams to turn raw data into reliable insights.
 If you are independent, a great communicator, a problem solver, and have a strong attention to detail, this is a great fit for you! Our jobs are fully remote – as long as you have the skills and can get the work done well, you can work anywhere in the listed countries you want.
**Here are some of the exciting day\-to\-day challenges you will face in this role:**
* Design \&amp; implement a modern data warehouse using Amazon Redshift, ensuring scalability and performance.
* Develop and maintain ETL pipelines using AWS Glue (Python/PySpark), moving data from SQL Server (RDS) and other sources.
* Structure our S3 data lake for efficient storage, partitioning, and integration with Redshift.
* Define data models (star schema, dimensional modeling) to support reporting and analytics.
* Establish data governance—documentation, quality checks, and monitoring for pipelines.
* Collaborate with BI teams to ensure the warehouse meets reporting needs (CRM, dashboards).
* Optimize costs by tuning Redshift clusters, managing Glue job efficiency, and automating workflows
* Troubleshoot data infrastructure issues and optimize performance across systems.
* Contribute to the long\-term vision for the data platform, including new tools, workflows, and process automation.
* Maintain documentation of data systems, flows, and integration strategies.
* Support project planning and estimation in coordination with business and technical teams
**You will shine if you have:**
* Bachelor's degree in Computer Science or a related field, or equivalent work experience
* 5\+ of related work experience in data engineering, data architecture or a similar role
* Strong SQL \&amp; Python skills (PySpark is a plus).
* Experience building ETL pipelines (preferably in AWS Glue, Airflow, or similar).
* Knowledge of data modeling (e.g., star schema, slowly changing dimensions).
* Ability to lead technical decisions without heavy oversight (small team environment).
* Budget\-conscious mindset—experience optimizing cloud costs (Redshift, Glue).
* Excellent problem\-solving and analytical skills
* Strong organizational skills and attention to detail
* Effective time management skills
**Here are some of the perks we offer you:**
* Salary in USD
* Long\-term
* Flexible schedule (within US Time zones)
* 100% Remote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5">
      <c r="A45" t="inlineStr">
        <is>
          <t>li-4363455869</t>
        </is>
      </c>
      <c r="B45" t="inlineStr">
        <is>
          <t>Senior Analytics Engineer</t>
        </is>
      </c>
      <c r="C45" t="inlineStr">
        <is>
          <t>Khan Academy</t>
        </is>
      </c>
      <c r="D45" t="inlineStr">
        <is>
          <t>linkedin</t>
        </is>
      </c>
      <c r="E45">
        <f>HYPERLINK("https://www.linkedin.com/jobs/view/4363455869", "https://www.linkedin.com/jobs/view/4363455869")</f>
        <v/>
      </c>
      <c r="F45">
        <f>HYPERLINK("https://job-boards.greenhouse.io/khanacademy/jobs/7561420?gh_src=04c93a8a1us&amp;urlHash=sgYN", "https://job-boards.greenhouse.io/khanacademy/jobs/7561420?gh_src=04c93a8a1us&amp;urlHash=sgYN")</f>
        <v/>
      </c>
      <c r="G45" t="inlineStr">
        <is>
          <t>Mountain View, CA</t>
        </is>
      </c>
      <c r="H45" t="inlineStr"/>
      <c r="I45" t="inlineStr">
        <is>
          <t>**Notice To Applicants**
*We have seen a rise in recruitment scams. Please note that outreach from Khan Academy recruiters will only come from the @khanacademy.org domain. Our team does not use Gmail or other personal accounts for contacting potential candidates. Khan Academy will never solicit money, equipment fees, or sensitive financial information at any stage of the hiring process. We also do not work with external recruiting agencies, so outreach from headhunters presenting opportunities on behalf of Khan Academy is illegitimate. Please always check the email domain and cross\-reference the position with the official Khan Academy Careers page to confirm an opening is valid.*
**About Khan Academy**
 Khan Academy is a nonprofit with the mission to deliver a free, world\-class education to anyone, anywhere. Our proven learning platform offers free, high\-quality supplemental learning content and practice that cover Pre\-K \- 12th grade and early college core academic subjects, focusing on math and science. We have over 181 million registered learners globally and are committed to improving learning outcomes for students worldwide, focusing on learners in historically under\-resourced communities.
**OUR COMMUNITY**
 Our students, teachers, and parents come from all walks of life, and so do we. Our team includes people from academia, traditional/non\-traditional education, big tech companies, and tiny startups. We hire great people from diverse backgrounds and experiences because it makes our company stronger. We value diversity, equity, inclusion, and belonging as necessary to achieve our mission and impact the communities we serve. We know that transforming education starts in\-house with learning about ourselves and our colleagues. We strive to be world\-class in investing in our people and commit to developing you as a professional.
**About The Role**
 We’re looking for a
 **Senior Analytics Engineer I** 
 to join Khan Academy’s
 **Analytics Engineering (AE)** 
 team. You’ll play a leading role in designing and building the datasets, pipelines, and semantic models that power insights across our organization.
 You’ll own key areas of our data modeling ecosystem, partner closely with Data Infrastructure (DI), Data Analysts, and Product/Program teams, and help ensure that our data warehouse (BigQuery) and BI layer (Looker) remain reliable, performant, and trusted.
 This role is ideal for someone who’s
 **deeply experienced in dbt and Looker** 
 , enjoys solving complex modeling challenges, and takes ownership of how data flows and scales across the organization.
**What You’ll Do**
* Design, implement, and optimize dbt models that transform raw event\- and entity\-level data into analytics\-ready datasets.
* Own and evolve data domains that support reporting across Khan Academy.
* Develop, document, and test semantic and reporting layers in Looker (LookML).
* Partner with Analysts to establish consistent metric definitions, reusable data patterns, and shared governance practices.
* Drive data modeling standards and champion best practices in naming, testing, and schema design.
* Diagnose and resolve complex data issues, coordinating across Data Infrastructure and Engineering when needed.
* Mentor Analytics Engineers and Analysts, providing feedback through code reviews and technical guidance.
* Collaborate with cross\-functional teams to identify opportunities to improve data accessibility and reliability.
**What We’re Looking For**
**Required Skills \&amp; Experience:**
* 5\+ years of deep, warehouse\-centric analytics engineering experience.
* Expert\-level SQL and dbt skills (macros, Jinja, incremental model strategies, schema testing).
* Deep experience building and maintaining Looker models (LookML, Explores, derived tables, and performance tuning).
* Proven ability to design scalable, maintainable data models (SCD2, star schemas, bridge tables, data marts).
* Familiarity with modern data stacks (e.g., BigQuery, Git, and CI/CD practices for testing and deploying data models).
* Experience orchestrating workflows using tools like Airflow.
* Strong cross\-functional communication skills and ability to influence data decisions across teams.
* Familiarity with version control and collaborative development (Git, pull requests, and code review).
**Preferred**
* Experience with BigQuery specifically.
* Background in education technology or mission\-driven organizations.
* Demonstrated contributions to data governance, metrics standardization, or semantic modeling initiatives.
**Our Tech Stack**
* Warehouse: BigQuery
* Transformation: dbt (open\-source)
* BI / Semantic Layer: Looker
* Orchestration: Airflow
* Version Control: GitHub
**Collaboration: Confluence, Jira, Slack**
**Perks And Benefits**
 We may be a non\-profit, but we reward our talented team extremely well! We offer:
* Competitive salaries
* Ample paid time off as needed – Your well\-being is a priority
* 8 pre\-scheduled Wellness Days in 2026 occurring on a Monday or a Friday for a 3\-day weekend boost
* Remote\-first culture \- that caters to your time zone, with open flexibility as needed, at times
* Generous parental leave
* An exceptional team that trusts you and gives you the freedom to do your best
* The chance to put your talents towards a deeply meaningful mission and the opportunity to work on high\-impact products that are already defining the future of education
* Opportunities to connect through affinity, ally, and social groups
* And we offer all those other typical benefits as well: 401(k) \+ 4% matching \&amp; comprehensive insurance, including medical, dental, vision, and life
 At Khan Academy we are committed to fair and equitable compensation practices, the well\-being of our employees, and our Khan community. This belief is why we have built out a robust Total Rewards package that includes competitive base salaries, and extensive benefits and perks to support physical, mental, and financial well\-being.
 The compensation band for this role is $137,871 \- $155,105 USD annually for candidates based in the United States and $186,306 \- $209,595 CAD annually for candidates based in Canada.
 The pay range for this position is a general guideline only. The salary offered will depend on internal pay equity and the candidate’s relevant skills, experience, qualifications, and job market data.
**More About Us**
* Sal’s TED talk from 2011
* Sal’s TED talk from 2015
* Sal's TED talk from 2023
* Our team: http://www.khanacademy.org/about/the\-team
**Our Company Values**
**Live \&amp; breathe learners**
 We deeply understand and empathize with our users. We leverage user insights, research, and experience to build content, products, services, and experiences that our users trust and love. Our success is defined by the success of our learners and educators.
**Take a stand**
 As a company, we have conviction in our aspirational point of view of how education will evolve. The work we do is in service to moving towards that point of view. However, we also listen, learn and flex in the face of new data, and commit to evolving this point of view as the industry and our users evolve.
**Embrace diverse perspectives**
 We are a diverse community. We seek out and embrace a diversity of voices, perspectives and life experiences leading to stronger, more inclusive teams and better outcomes. As individuals, we are committed to bringing up tough topics and leaning into different points of view with curiosity. We actively listen, learn and collaborate to gain a shared understanding. When a decision is made, we commit to moving forward as a united team.
**Work responsibly and sustainably**
 We understand that achieving our audacious mission is a marathon, so we set realistic timelines and we focus on delivery that also links to the bigger picture. As a non\-profit, we are supported by the generosity of donors as well as strategic partners, and understand our responsibility to our finite resources. We spend every dollar as though it were our own. We are responsible for the impact we have on the world and to each other. We ensure our team and company stay healthy and financially sustainable.
**Bring out the joy**
 We are committed to making learning a joyful process. This informs what we build for our users and the culture we co\-create with our teammates, partners and donors.
**Cultivate learning mindset**
 We believe in the power of growth for learners and for ourselves. We constantly learn and teach to improve our offerings, ourselves, and our organization. We learn from our mistakes and aren’t afraid to fail. We don't let past failures or successes stop us from taking future bold action and achieving our goals.
**Deliver wow**
 We insist on high standards and deliver delightful, effective end\-to\-end experiences that our users can rely on. We choose to focus on fewer things — each of which aligns to our ambitious vision — so we can deliver high\-quality experiences that accelerate positive measurable learning with our strategic partners.
*We are committed to equal employment opportunity regardless of race, color, ancestry, religion, sex, gender, gender identity or expression, national origin, sexual orientation, age, citizenship, marital status, disability, or Veteran status. We value diversity, equity, and inclusion, and we encourage candidates from historically underrepresented groups to apply.*
*As part of this commitment, Khan Academy will ensure that persons with disabilities are provided reasonable accommodations for the hiring process. If reasonable accommodation is needed, please contact* 
*careers@khanacademy.org*</t>
        </is>
      </c>
    </row>
    <row r="46">
      <c r="A46" t="inlineStr">
        <is>
          <t>li-4309293247</t>
        </is>
      </c>
      <c r="B46" t="inlineStr">
        <is>
          <t>eCom Data Engineer Specialist</t>
        </is>
      </c>
      <c r="C46" t="inlineStr">
        <is>
          <t>PepsiCo</t>
        </is>
      </c>
      <c r="D46" t="inlineStr">
        <is>
          <t>linkedin</t>
        </is>
      </c>
      <c r="E46">
        <f>HYPERLINK("https://www.linkedin.com/jobs/view/4309293247", "https://www.linkedin.com/jobs/view/4309293247")</f>
        <v/>
      </c>
      <c r="F46">
        <f>HYPERLINK("https://www.pepsicojobs.com/jobs/411002?lang=en-us&amp;iisn=linkedin&amp;urlHash=9ADX", "https://www.pepsicojobs.com/jobs/411002?lang=en-us&amp;iisn=linkedin&amp;urlHash=9ADX")</f>
        <v/>
      </c>
      <c r="G46" t="inlineStr">
        <is>
          <t>Purchase, NY</t>
        </is>
      </c>
      <c r="H46" t="inlineStr"/>
      <c r="I46" t="inlineStr">
        <is>
          <t>**Overview**
 PepsiCo operates in an environment undergoing immense and rapid change. Big data and digital technologies are driving business transformation that is unlocking new capabilities and business innovations in areas like eCommerce, mobile experiences, and IoT. The key to winning in these areas is leveraging enterprise data foundations built on PepsiCo’s global business scale to enable business insights, advanced analytics, and new product development. PepsiCo’s Data Management and Operations team is tasked with the responsibility of developing quality data collection processes, maintaining the integrity of our data foundations, and enabling business leaders and data scientists across the company to have rapid access to the data they need for decision\-making and innovation.
**Responsibilities**
 As a member of the data engineering team, you will be the key technical expert developing and overseeing PepsiCo's data product build \&amp; operations and driving a strong vision for how data engineering can proactively create a positive impact on the business. You'll be an empowered member of a team of data engineers who build data pipelines into various source systems, rest data on the PepsiCo Data Lake, and enable exploration and access for analytics, visualization, machine learning, and product development efforts across the company. As a member of the data engineering team, you will help lead the development of very large and complex data applications into public cloud environments, directly impacting the design, architecture, and implementation of PepsiCo's flagship data products around topics like revenue management, supply chain, manufacturing, and logistics. You will work closely with process owners, product owners, and business users. You'll be working in a hybrid environment with in\-house, on\-premise data sources, as well as cloud and remote systems.
**Accountabilities:**
* Own data pipeline development end\-to\-end, spanning data modeling, testing, scalability, operability, and ongoing metrics.
* Ensure that we build high\-quality software by reviewing peer code check\-ins.
* Define best practices for product development, engineering, and coding as part of a world\-class engineering team.
* Collaborate in architecture discussions and architectural decision\-making that is part of continually improving and expanding these platforms.
* Lead feature development in collaboration with other engineers; validate requirements/stories, assess current system capabilities, and decompose feature requirements into engineering tasks.
* Focus on delivering high\-quality data pipelines and tools through careful analysis of system capabilities and feature requests, peer reviews, test automation, and collaboration with other engineers.
* Develop software in short iterations to quickly add business value.
* Introduce new tools/practices to improve data and code quality; this includes researching/sourcing 3rd party tools and libraries, as well as developing tools in\-house to improve workflow and quality for all data engineers.
* Support data pipelines developed by your team through good exception handling, monitoring, and, when needed by debugging production issues.
**Compensation and Benefits:**
* The expected compensation range for this position is between $64,900 \- $132,550\.
* Location, confirmed job\-related skills, experience, and education will be considered in setting actual starting salary. Your recruiter can share more about the specific salary range during the hiring process.
* A business development incentive equity may be awarded based on eligibility and performance.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4\+ years of overall technology experience that includes at least 3\+ years of hands\-on software development, data engineering, and systems architecture.
* 3\+ years of experience in SQL optimization and performance tuning.
* Experience with data modeling, data warehousing, and building high\-volume ETL/ELT pipelines.
* Experience building/operating highly available, distributed systems of data extraction, ingestion, and processing of large data sets.
* Experience with data profiling and data quality tools like Apache Griffin, Deequ, or Great Expectations.
**Current skills in the following technologies:**
* Python
* Orchestration platforms: Airflow, Luigi, Databricks, or similar.
* Relational databases: Postgres, MySQL, or equivalents.
* MPP data systems: Snowflake, Redshift, Synapse, or similar.
* Cloud platforms: AWS, Azure, or similar.
* Version control (e.g., GitHub) and familiarity with deployment, CI/CD tools.
* Fluent with Agile processes and tools such as Jira or Pivotal Tracker.
* Experience with running and scaling applications on the cloud infrastructure and containerized services like Kubernetes is a plus.
* Understanding of metadata management, data lineage, and data glossaries is a plus.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47">
      <c r="A47" t="inlineStr">
        <is>
          <t>li-4333400338</t>
        </is>
      </c>
      <c r="B47" t="inlineStr">
        <is>
          <t>Senior Data Engineer</t>
        </is>
      </c>
      <c r="C47" t="inlineStr">
        <is>
          <t>ICE</t>
        </is>
      </c>
      <c r="D47" t="inlineStr">
        <is>
          <t>linkedin</t>
        </is>
      </c>
      <c r="E47">
        <f>HYPERLINK("https://www.linkedin.com/jobs/view/4333400338", "https://www.linkedin.com/jobs/view/4333400338")</f>
        <v/>
      </c>
      <c r="F47">
        <f>HYPERLINK("https://careers.ice.com/jobs/11570?lang=en-us&amp;iis=LinkedIn&amp;iisn=Linkedin&amp;mode=apply&amp;urlHash=WnUS", "https://careers.ice.com/jobs/11570?lang=en-us&amp;iis=LinkedIn&amp;iisn=Linkedin&amp;mode=apply&amp;urlHash=WnUS")</f>
        <v/>
      </c>
      <c r="G47" t="inlineStr">
        <is>
          <t>Atlanta, GA</t>
        </is>
      </c>
      <c r="H47" t="inlineStr"/>
      <c r="I47" t="inlineStr">
        <is>
          <t>**Overview**
**Job Purpose**
 We're seeking a talented Senior Data Engineer to join our Enterprise Architecture team in a cross\-cutting role that will help define and implement our next\-generation data platform. In this pivotal position, you'll lead the design and implementation of scalable, self\-service data pipelines with a strong emphasis on data quality and governance. This is an opportunity to shape our data engineering practice from the ground up, working directly with key stakeholders to build mission\-critical ML and AI data workflows.
 We emphasize building systems that are maintainable, scalable, and focused on enabling self\-service data access while maintaining high standards for data quality and governance. The ideal candidate is a problem\-solver who enjoys working on complex data systems and is passionate about data quality. You thrive in collaborative environments but can also work independently to deliver solutions. You're comfortable working directly with technical and non\-technical stakeholders and can communicate complex technical concepts clearly. Most importantly, you're excited about creating systems that empower others to work with data efficiently and confidently.
**Responsibilities**
* Design, build, and maintain our on\-premises data orchestration platform using the best\-in\-breed open\-source tools
* Create self\-service capabilities that empower teams across the organization to build and deploy data pipelines without extensive engineering support
* Implement robust data quality testing frameworks that ensure data integrity throughout the entire data lifecycle
* Establish data engineering best practices, including version control, CI/CD for data pipelines, and automated testing
* Collaborate with ML/AI teams to build scalable feature engineering pipelines that support both batch and real\-time data processing
* Develop reusable patterns for common data integration scenarios that can be leveraged across the organization
* Work closely with infrastructure teams to optimize our Kubernetes\-based data platform for performance and reliability
* Mentor junior engineers and advocate for engineering excellence in data practices
**Knowledge And Experience**
* 5\+ years of professional experience in data engineering, with at least 2 years working on enterprise\-scale data platforms
* Demonstrated experience with orchestrating workflows, performance optimization, and operational management
* Strong understanding of data transformation techniques, including experience with testing frameworks and deployment strategies
* Experience with stream processing frameworks and technologies
* Proficiency with SQL and Python for data transformation and pipeline development
* Familiarity with containerized application deployment
* Experience implementing data quality frameworks and automated testing for data pipelines
* Ability to work cross\-functionally with data scientists, ML engineers, and business stakeholders
**Preferred Knowledge And Experience**
* Experience with self\-hosted data orchestration platforms (rather than managed services)
* Background in implementing data contracts or schema governance
* Knowledge of ML/AI data pipeline requirements and feature engineering
* Experience leveraging AI tools (e.g., GitHub Copilot, Cursor, Claude Code) to debug, develop unit tests and generate test cases from requirements documents
* Experience with real\-time data processing and streaming architectures
* Familiarity with data modeling and warehouse design principles
* Prior experience in a technical leadership role
 Intercontinental Exchange, Inc. is an Equal Opportunity Employer. All qualified applicants will receive consideration for employment without regard to legally protected characteristics.</t>
        </is>
      </c>
    </row>
    <row r="48">
      <c r="A48" t="inlineStr">
        <is>
          <t>li-4338437566</t>
        </is>
      </c>
      <c r="B48" t="inlineStr">
        <is>
          <t>Data Engineer - DataBricks</t>
        </is>
      </c>
      <c r="C48" t="inlineStr">
        <is>
          <t>SMBC Group</t>
        </is>
      </c>
      <c r="D48" t="inlineStr">
        <is>
          <t>linkedin</t>
        </is>
      </c>
      <c r="E48">
        <f>HYPERLINK("https://www.linkedin.com/jobs/view/4338437566", "https://www.linkedin.com/jobs/view/4338437566")</f>
        <v/>
      </c>
      <c r="F48" t="inlineStr"/>
      <c r="G48" t="inlineStr">
        <is>
          <t>Charlotte, NC</t>
        </is>
      </c>
      <c r="H48" t="inlineStr"/>
      <c r="I48"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Join SMBC’s Compliance Technology team as a Data Engineer specializing in Azure and Databricks. You will architect and build secure, scalable data pipelines and a cloud\-native data platform that powers real\-time compliance analytics and regulatory reporting across global markets. Work collaboratively as a team player on mission\-critical projects involving complex financial datasets, leveraging Azure Data Factory, Databricks, Delta Lake, and Python to transform raw data into trusted, governed insights. This is a high\-impact role where a motivated self\-starter owns, end\-to\-end data engineering initiatives, collaborates with governance teams, and influence the architecture of SMBC’s next\-generation compliance systems.
**Principal Duties \&amp; Responsibilities**
* Own the design and implementation of ETL workflows using Azure Data Factory and Databricks for compliance\-related data ingestion and transformation.
* Integrate and normalize data from multiple structured and unstructured sources, ensuring adherence to strict data quality governance framework.
* Develop secure, auditable, and optimized pipelines for performance and reliability across sensitive financial datasets.
* Automate ingestion and transformation processes to enable real\-time compliance analytics and reporting.
* Implement efficient storage formats and partitioning strategies for fast loading and retrieval.
* Utilize Databricks and Delta Lake for distributed processing and versioned data storage.
* Enforce data retention, archiving, and purging policies aligned with global regulatory requirements.
* Migrate legacy application logic into modern Azure Databricks/Data Lake and SQL environments.
* Maintain comprehensive data lineage, metadata, and audit trails using Azure Purview or custom frameworks.
* Collaborate with governance teams and compliance analysts to define requirements and manage access controls.
* Participate in Agile development cycles, sprint planning, and compliance reviews.
* Review code changes and support production deployments.
**Job Specifications**
* 3\+ years of experience in data engineering within financial services, preferably compliance/regulatory.
* Advanced proficiency in SQL, Python, and Azure Databricks.
* Hands\-on experience with Azure Data Factory, Databricks notebooks, and ADLS.
* Expertise in data wrangling, modeling, and analytics enablement for compliance use cases.
* Experience integrating Microsoft ADF and Databricks for complex ETL development.
* Familiarity with data governance, quality frameworks, and audit processes.
* Strong communication and collaboration skills.
* Experience with Git/GitLab and CI/CD tools such as Azure DevOps.
* Preferred: Certifications in Azure Data Engineering, Databricks, or Financial Compliance Technology.
* Preferred: Bachelor’s or Master’s in Computer Science, Data Engineering, or related field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49">
      <c r="A49" t="inlineStr">
        <is>
          <t>li-4343307757</t>
        </is>
      </c>
      <c r="B49" t="inlineStr">
        <is>
          <t>Data Platform Engineer</t>
        </is>
      </c>
      <c r="C49" t="inlineStr">
        <is>
          <t>Mizuho</t>
        </is>
      </c>
      <c r="D49" t="inlineStr">
        <is>
          <t>linkedin</t>
        </is>
      </c>
      <c r="E49">
        <f>HYPERLINK("https://www.linkedin.com/jobs/view/4343307757", "https://www.linkedin.com/jobs/view/4343307757")</f>
        <v/>
      </c>
      <c r="F49">
        <f>HYPERLINK("https://mizuho.wd1.myworkdayjobs.com/mizuhoamericas/job/NYC-1285/Data-Platform-Engineer_R6620-4&amp;urlHash=gHD1", "https://mizuho.wd1.myworkdayjobs.com/mizuhoamericas/job/NYC-1285/Data-Platform-Engineer_R6620-4&amp;urlHash=gHD1")</f>
        <v/>
      </c>
      <c r="G49" t="inlineStr">
        <is>
          <t>New York, NY</t>
        </is>
      </c>
      <c r="H49" t="inlineStr"/>
      <c r="I49" t="inlineStr">
        <is>
          <t>Join Mizuho as a Data Platform Engineer!
 We are seeking a highly skilled Kafka Platform Engineer to design, build, and operate our enterprise event\-streaming platform using Red Hat AMQ Streams (Kafka on OpenShift). In this role, you will be responsible for ensuring a reliable, scalable, secure, and developer\-friendly streaming ecosystem. You will work closely with application teams to define and implement event\-driven integration patterns, and you will leverage GitLab and Argo CD to automate platform delivery and configuration.
 This position requires a strong blend of platform engineering, DevOps practices, Kafka cluster expertise, and architectural understanding of integration/streaming patterns.
**Key Responsibilities**
**Kafka \&amp; AMQ Streams Engineering**
* Design, deploy, and operate AMQ Streams (Kafka) clusters on Red Hat OpenShift.
* Configure and manage Kafka components including brokers, Kraft, MirrorMaker 2,
* Explore Kafka Connect, and Schema Registry concepts and implementations.
* Ensure performance, reliability, scalability, and high availability of the Kafka platform.
* Implement cluster monitoring, logging, and alerting using enterprise observability tools.
* Manage capacity planning, partition strategies, retention policies, and performance tuning.
**Integration Patterns \&amp; Architecture**
* Define and document standardized event\-driven integration patterns, including:
* Event sourcing
* CQRS
* Pub/sub messaging
* Change data capture
* Stream processing \&amp; enrichment
* Request\-reply over Kafka
* Guide application teams on using appropriate patterns that align with enterprise architecture.
* Establish best practices for schema design, topic governance, data contracts, and message lifecycle management.
**Security \&amp; Governance**
* Implement enterprise\-grade security for Kafka, including RBAC, TLS, ACLs, and authentication/authorization integration. (SSO and OAuth)
* Maintain governance for topic creation, schema evolution, retention policies, and naming standards.
* Ensure adherence to compliance, auditing, and data protection requirements (Encryption at Rest and flight).
**Collaboration \&amp; Support**
* Provide platform guidance and troubleshooting expertise to development and integration teams.
* Partner with architects, SREs, and developers to drive adoption of event\-driven architectures.
* Create documentation, runbooks, and internal knowledge\-sharing materials.
**CI/CD \&amp; GitOps Automation**
* Build and maintain GitOps workflows using Argo CD for declarative deployment of Kafka resources and platform configurations.
* Develop CI/CD pipelines in GitLab, enabling automated builds, infrastructure updates, and configuration promotion across environments.
* Maintain Infrastructure\-as\-Code (IaC) repositories and templates for Kafka resources.
**Qualifications**
* Bachelor’s degree in computer science, Engineering, or a related field.
* Proven experience with Kafka administration and management.
* Strong knowledge of OpenShift and container orchestration.
* Proficiency in scripting languages such as Python or Bash.
* Experience with monitoring and logging tools (e.g., Splunk, Prometheus, Grafana).
* Excellent problem\-solving skills and attention to detail.
* Strong communication and collaboration skills.
**Preferred Qualifications**
* Experience with Red Hat OpenShift administration.
* Knowledge of service mesh patterns (Istio, OpenShift Service Mesh).
* Familiarity with stream processing frameworks (Kafka Streams, ksqlDB, Flink).
* Experience using observability stacks (Prometheus, Grafana).
* Background working in regulated or enterprise\-scale environments.
* Knowledge of DevOps practices and tools (e.g., ArgoCD, Ansible, Terraform).
* Knowledge of SRE Monitoring and logging tools (e.g., Splunk, Prometheus, Grafana).
*The expected base salary ranges from $111k \-$150k.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t>
        </is>
      </c>
    </row>
    <row r="50">
      <c r="A50" t="inlineStr">
        <is>
          <t>li-4381526154</t>
        </is>
      </c>
      <c r="B50" t="inlineStr">
        <is>
          <t>Data Engineer</t>
        </is>
      </c>
      <c r="C50" t="inlineStr">
        <is>
          <t>Haystack</t>
        </is>
      </c>
      <c r="D50" t="inlineStr">
        <is>
          <t>linkedin</t>
        </is>
      </c>
      <c r="E50">
        <f>HYPERLINK("https://www.linkedin.com/jobs/view/4381526154", "https://www.linkedin.com/jobs/view/4381526154")</f>
        <v/>
      </c>
      <c r="F50">
        <f>HYPERLINK("https://us.haystackapp.io/roles/69a44a1f18a3fcc077dfd242?src=job-alert&amp;urlHash=7dYE", "https://us.haystackapp.io/roles/69a44a1f18a3fcc077dfd242?src=job-alert&amp;urlHash=7dYE")</f>
        <v/>
      </c>
      <c r="G50" t="inlineStr"/>
      <c r="H50" t="inlineStr"/>
      <c r="I50" t="inlineStr">
        <is>
          <t>**Analytics Developer \| Columbia, MD \| Hybrid \| $61,720 \- $108,334** 
 We're working with America's largest healthcare educator on this exciting opportunity to bridge the gap between complex data and student success. As an Analytics Developer, you will leverage Power BI, SQL, and cloud technologies to build enterprise\-grade intelligence solutions that empower over 97,000 students across five accredited institutions.
 This is a high\-impact role where you will transform raw data into actionable knowledge, optimizing everything from source data profiling to high\-end visualization within a collaborative, fast\-paced hybrid environment. If you are passionate about using data to solve real\-world problems in healthcare and education, this is the platform for your career to thrive.
**The Role** 
 • Design, develop, and maintain high\-performance Power BI dashboards and datasets, ensuring data integrity and user trust across the enterprise.
 • Lead the technical specification process by translating complex business requirements into scalable BI and reporting applications.
 • Architect and optimize expert\-level SQL queries and data models using Relational Database Management Systems (RDBMS) and Snowflake.
 • Perform deep\-dive source data analysis, including data profiling, logical modeling, and validation to ensure data suitability for executive reporting.
 • Drive innovation through the application of advanced DAX calculations, Power Query (M), and automated dataflows to streamline business intelligence pipelines.
**What You'll Need** 
 • 5\+ years of total experience in Business Intelligence (BI) with a minimum of 2 years specifically focused on Power BI development.
 • Advanced proficiency in SQL for relational databases and experience working with cloud data warehouses like Snowflake or AWS.
 • Strong technical foundation in data modeling patterns, entity relationship diagrams (ERDs), and Agile methodology.
 • Mastery of the Power BI ecosystem, including security settings, portal management, data connection configurations, and refresh frequency optimization.
 • Bachelor’s degree in Computer Science, Engineering, or Information Systems; Power BI Certification is highly preferred.
**What's On Offer** 
 • Competitive salary range ($61,720 \- $108,334\) with an annual performance\-based incentive program.
 • Comprehensive benefits package including health, dental, vision, life, and disability insurance.
 • Generous 401k retirement program with a 6% employer match to secure your financial future.
 • Flexible Time Off (FTO) policy plus 12 paid holidays, fostering a healthy work\-life balance within a high\-growth sector.
**Apply via Haystack today!**</t>
        </is>
      </c>
    </row>
    <row r="51">
      <c r="A51" t="inlineStr">
        <is>
          <t>li-4343504222</t>
        </is>
      </c>
      <c r="B51" t="inlineStr">
        <is>
          <t>Data Engineer III</t>
        </is>
      </c>
      <c r="C51" t="inlineStr">
        <is>
          <t>ICW Group</t>
        </is>
      </c>
      <c r="D51" t="inlineStr">
        <is>
          <t>linkedin</t>
        </is>
      </c>
      <c r="E51">
        <f>HYPERLINK("https://www.linkedin.com/jobs/view/4343504222", "https://www.linkedin.com/jobs/view/4343504222")</f>
        <v/>
      </c>
      <c r="F51" t="inlineStr"/>
      <c r="G51" t="inlineStr">
        <is>
          <t>San Diego, CA</t>
        </is>
      </c>
      <c r="H51" t="inlineStr"/>
      <c r="I51" t="inlineStr">
        <is>
          <t>Are you looking to make an impactful difference in your work, yourself, and your community? Why settle for just a job when you can land a career? At ICW Group, we are hiring team members who are ready to use their skills, curiosity, and drive to be part of our journey as we strive to transform the insurance carrier space. We're proud to be in business for over 50 years, and its change agents like yourself that will help us continue to deliver our mission to create the best insurance experience possible.
 Headquartered in San Diego with regional offices located throughout the United States, ICW Group has been named for ten consecutive years as a Top 50 performing P\&amp;C organization offering the stability of a large, profitable and growing company combined with a focus on all things people. It's our team members who make us an employer of choice and the vibrant company we are today. We strive to make both our internal and external communities better everyday! Learn more about why you want to be here!
**PURPOSE OF THE JOB**
 The Data Engineer III will design, develop, and implement data pipelines, data integration and data storage solutions such as data warehouses, data lakes, relational and non\-relational databases. The role will partner closely with IT Managers, Enterprise Business Intelligence, Data Governance and Data Science teams to solve business\-significant data problems and enable data\-driven decision\-making, automation, and optimization. In the process, the role will have the opportunity to act as a Data Advisory member for the Actuarial, Business Intelligence (BI), Data Science, and Data Engineering teams, as well as a collaborator and contributor to Enterprise Data Architecture. Data is central to ICW Group’s business strategy and digital evolution, and the Data Engineer ensures optimal data delivery architecture is consistent throughout all projects.
**Essential Duties And Responsibilities**
**Builds data solutions that ensure data integrity and information usability for enterprise\-wide digital solutions and decision making.**
* Leads the design and build of scalable data pipelines and solutions (batch and/or streaming) that make the best use of traditional and cloud platforms (AWS or similar) by understanding the business, technology, and data landscape including real time data processing.
* Provides analysis of complex data elements and systems, data flow and in development of conceptual, logical, and physical data models as well as verification and implementation of ETL/ELT mappings and transformation logic.
* Designs, supports and peer reviews the data models and schemas for new and existing data sources for the data warehouse.
* Conducts unit, integration, and system tests on our data sources to validate data against source systems, and continuously optimize performance to improve query speed and reduce cost.
* Builds the infrastructure required for optimal extraction, transformation, and loading of data from a wide variety of data sources using ‘big data’ technologies and tools.
* Leads data initiatives to ensure pipelines are reliable, efficient, testable, and maintainable.
* Maintains a strong understanding of the current landscape and proactively leads the analysis of the current environment to detect data deficiencies, gaps, and opportunities.
* Drives the improvement of engineering team processes via data architecture, engineering, test, and operational excellence best practices.
* Collaborates in implementing components of data strategy – Master Data Management (MDM), data virtualization etc.
**Partners with various teams in delivering overall data solutions.**
* Works closely with BI and Data Science teams in implementing various data streams.
* Partners with Enterprise Architecture, Technology, and Project teams to ensure consistency of solutions approach while maintaining data governance requirements.
* Contributes to data governance and data quality best practices including design reviews, unit testing, code reviews, and continuous integration and deployment.
* Collaborates with data architects to ensure the output of the physical models meet required needs— e.g., collaborates on data definition, data structure, data content and data usage.
* Evaluates and conducts POC on new technologies for fitment in next generation data platform ecosystem.
* Collaborates with the Enterprise Architecture team to drive tooling and standards to improve the productivity and quality of output for data engineers across the company.
**SUPERVISORY RESPONISBILITIES**
 This role does not have supervisory responsibilities but may mentor and/or train other team members. Acts as a resource for team members.
**Education And Experience**
 Bachelor's degree in Computer Science, Applied Mathematics, Engineering, or any other technology related field required, or equivalent combination of education and experience. Minimum 6 years of experience in a data integration (Cloud/Traditional) engineering related role required. Experience with data practices (security, data management and governance) preferred. Experience in operations research, machine learning or optimization a plus. Insurance experience a plus.
**CERTIFICATES, LICENSES, REGISTRATIONS**
* Data architecture or data engineering related certification strongly desired.
* AWS Cloud Practitioner or more advanced AWS certification preferred.
* DAMA certifications preferred.
**Knowledge And Skills**
* Expertise with database \&amp; data warehouse design, using MS\-SQL, PostgreSQL etc.
* Knowledge of Model and Design of DB schemas for read and write performance.
* Working knowledge of API or stream\-based data extraction processes.
* Experience performing root cause analysis on internal and external data and processes to answer specific business questions and identify opportunities for improvement.
* Background in data modeling and performance tuning in relational and no\-SQL databases.
* Experience with AWS technologies like Redshift, S3, EC2, Glue, EMR, Kinesis, Lambda, DynamoDB, etc.
* Experience with modern data architectures and modern data platforms like Snowflake, Databricks etc.
* Experience with data technologies: Hadoop, Spark, Kafka, Spark \&amp; Kafka Streaming, Python, Scala, Talend etc.
* Knowledge and experience with data movement tools – SSIS, Profisee, Alteryx, Informatica.
* Working knowledge of multiple data management domains such as data modeling, integration, warehousing, data quality, security, and governance.
* A self\-starter mentality that thrives in a rapidly changing, fast\-paced environment and tolerates ambiguity while demonstrating problem\-solving with limited supervision.
* Strong analytical and time management skills. Self\-motivated and able to handle tasks with minimal supervision.
* Must be organized, detail oriented, and able to multi\-task. Ability to work well under pressure and deliver results with tight deadlines and under changing priorities.
* Ability to cross collaborate with multiple teams and offer value\-added solutions to meet objectives.
* Ability to motivate and inspire team for maximum performance.
* Strong verbal and written communication skills.
**Physical Requirements**
 This job operates in a professional office environment. While performing the duties of this job, the employee is regularly required to talk or hear. The employee frequently will sit, stand, walk, and bend during working hours. Requires manual and finger dexterity and eye\-hand coordination. Required to lift and carry relatively light materials. Requires normal or corrected vision and hearing corrected to a normal range. Ability to work additional hours, as required.
**WORK ENVIRONMENT**
 This position operates in an office environment and requires the frequent use of a computer, telephone, copier and other standard office equipment.
**We are currently not offering employment sponsorship for this opportunity.**
 The current range for this position is
 $121,624\.81 \- $217,710\.99
 This range is exclusive of fringe benefits and potential bonuses. If hired at ICW Group, your final base salary compensation will be determined by factors unique to each candidate, including experience, education and the location of the role and considers employees performing substantially similar work.
**WHY JOIN ICW GROUP?**
* Challenging work and the ability to make a difference
* You will have a voice and feel a sense of belonging
* We offer a competitive benefits package, with generous medical, dental, and vision plans as well as 401K retirement plans and company match
* Bonus potential for all positions
* Paid Time Off
* Paid holidays throughout the calendar year
* Want to continue learning? We’ll support you 100%
*ICW Group is committed to creating a diverse environment and is proud to be an Equal Opportunity Employer. ICW Group will not discriminate against an applicant or employee on the basis of race, color, religion, national origin, ancestry, sex/gender, age, physical or mental disability, military or veteran status, genetic information, sexual orientation, gender identity, gender expression, marital status, or any other characteristic protected by applicable federal, state or local law.*
**At ICW Group we offer a work environment that encourages entrepreneurialism and celebrates success. Our team members are hands\-on contributors who are given the opportunity to make an impact. It's our people who make us an employer of choice and the vibrant company we are today.**
**Job Category:** 
**IT**
**Job Type:** 
**Full time**
**Req ID:** 
**JR101006**</t>
        </is>
      </c>
    </row>
    <row r="52">
      <c r="A52" t="inlineStr">
        <is>
          <t>li-4267542952</t>
        </is>
      </c>
      <c r="B52" t="inlineStr">
        <is>
          <t>Senior Market Data Engineer</t>
        </is>
      </c>
      <c r="C52" t="inlineStr">
        <is>
          <t>WorldQuant</t>
        </is>
      </c>
      <c r="D52" t="inlineStr">
        <is>
          <t>linkedin</t>
        </is>
      </c>
      <c r="E52">
        <f>HYPERLINK("https://www.linkedin.com/jobs/view/4267542952", "https://www.linkedin.com/jobs/view/4267542952")</f>
        <v/>
      </c>
      <c r="F52">
        <f>HYPERLINK("https://www.worldquant.com/career-listing/?id=4585019006&amp;source=c8fd37dd6us&amp;urlHash=2HvS", "https://www.worldquant.com/career-listing/?id=4585019006&amp;source=c8fd37dd6us&amp;urlHash=2HvS")</f>
        <v/>
      </c>
      <c r="G52" t="inlineStr">
        <is>
          <t>New York, United States</t>
        </is>
      </c>
      <c r="H52" t="inlineStr"/>
      <c r="I52"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Design and build real\-time market data processing systems covering global markets and multiple asset classes
* Architect and implement high\-performance software solutions for processing market data feeds at scale
* Drive technical innovation by leveraging emerging technologies to enhance system telemetry, monitoring, and operational efficiency
* Provide technical leadership and escalation support for production market data systems
* Analyze system performance and design data\-driven approaches to optimize market data processing workflows
* Lead the design of data governance systems for tracking availability, access patterns, and usage metrics
**What You Will Bring**
* Degree in a quantitative or technical discipline from top university and strong academic scores
* Expert\-level C\+\+ proficiency with demonstrated experience in other object\-oriented languages (Java, C\#)
* Experience with scripting languages such as Perl, Python, and shell scripting for automation and data processing
* Deep experience with tick\-by\-tick market data processing, including data normalization, feed handling, and real\-time analytic
* Excellent communication skills with ability to collaborate effectively across technical and business teams
* Have experience working under Linux environment
**Our Benefits**
* Core Benefits: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 three personal days, and
+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53">
      <c r="A53" t="inlineStr">
        <is>
          <t>li-4381515762</t>
        </is>
      </c>
      <c r="B53" t="inlineStr">
        <is>
          <t>Data Engineer</t>
        </is>
      </c>
      <c r="C53" t="inlineStr">
        <is>
          <t>Haystack</t>
        </is>
      </c>
      <c r="D53" t="inlineStr">
        <is>
          <t>linkedin</t>
        </is>
      </c>
      <c r="E53">
        <f>HYPERLINK("https://www.linkedin.com/jobs/view/4381515762", "https://www.linkedin.com/jobs/view/4381515762")</f>
        <v/>
      </c>
      <c r="F53" t="inlineStr"/>
      <c r="G53" t="inlineStr"/>
      <c r="H53" t="inlineStr"/>
      <c r="I53" t="inlineStr">
        <is>
          <t>**Sr. AI Platform Data Engineer \| Hawthorne, California \| Remote\-Friendly \| $139,100 \- $240,500** 
 We're working with a global leader in smart home security and neighboring technology on this exciting opportunity.
 Are you ready to build the future of agentic AI? We are looking for an AI Platform Builder to sit at the intersection of Data Engineering and Platform Engineering, leveraging an "AI\-first" development methodology to revolutionize how data is consumed. You will use Python, AWS, and Agentic frameworks to automate the automation, creating self\-improving systems that power a world\-class neighbor experience.
**The Role** 
 • Architect and implement AI\-powered self\-service platforms featuring natural language interfaces to make data accessible across the organization.
 • Design agentic AI solutions and AI\-native data pipelines using AWS services (S3, Redshift, Glue) and internal orchestration tools.
 • Build intelligent governance systems for automated data classification, PII detection, and lineage tracking to ensure high\-velocity, secure data delivery.
 • Lead AI\-assisted stakeholder engagement sessions across Subscriptions, Security, and Sales to define curated datasets for ML consumption.
 • Pioneer "prompt\-driven development" by using AI agents to write, optimize, and audit code within the production data stack.
**What You'll Need** 
 • Extensive experience in Data Engineering with a focus on building scalable AI/ML infrastructure and platform features.
 • Deep technical proficiency in Python and SQL, with a proven track record of using AI\-assisted development tools (e.g., GitHub Copilot, LLM\-based agents).
 • Strong experience with AWS ecosystem components and building large\-scale data pipelines for diverse ML use cases.
 • Demonstrated ability to mentor team members on engineering best practices, code reviews, and AI\-native development workflows.
 • A first\-principles approach to problem\-solving and the ability to act as a technical partner to Scientists and Business Stakeholders.
**What's On Offer** 
 • Highly competitive salary range ($139k \- $240k) with a comprehensive benefits package.
 • Opportunity to work at the cutting edge of Agentic AI and self\-service platform engineering within a high\-impact team.
 • Remote\-friendly flexibility based out of a state\-of\-the\-art facility in Hawthorne, CA.
 • The chance to fundamentally improve how a global organization makes decisions through AI\-augmented workshops and innovative data models.
**Apply via Haystack today!**</t>
        </is>
      </c>
    </row>
    <row r="54">
      <c r="A54" t="inlineStr">
        <is>
          <t>li-4305080050</t>
        </is>
      </c>
      <c r="B54" t="inlineStr">
        <is>
          <t>Lead Data Engineer</t>
        </is>
      </c>
      <c r="C54" t="inlineStr">
        <is>
          <t>AirOps</t>
        </is>
      </c>
      <c r="D54" t="inlineStr">
        <is>
          <t>linkedin</t>
        </is>
      </c>
      <c r="E54">
        <f>HYPERLINK("https://www.linkedin.com/jobs/view/4305080050", "https://www.linkedin.com/jobs/view/4305080050")</f>
        <v/>
      </c>
      <c r="F54">
        <f>HYPERLINK("https://jobs.ashbyhq.com/airops/2aa7b5f0-ca88-4807-93a6-91e0e69e9e6c?utm_source=src%3DLinkedIn&amp;urlHash=3MyP", "https://jobs.ashbyhq.com/airops/2aa7b5f0-ca88-4807-93a6-91e0e69e9e6c?utm_source=src%3DLinkedIn&amp;urlHash=3MyP")</f>
        <v/>
      </c>
      <c r="G54" t="inlineStr"/>
      <c r="H54" t="inlineStr"/>
      <c r="I54" t="inlineStr">
        <is>
          <t>**About AirOps**
 AirOps is the first end\-to\-end content engineering platform built for the AI era. In a world where discovery is shifting from traditional search to AI\-driven platforms, we help brands get found—and stay found. We are currently in a phase of hyper\-growth, having 5x’d our revenue in the last year by helping marketing teams at Ramp, Chime, Carta, and Rippling turn content quality into a durable competitive advantage.
 Our platform equips marketers to navigate the new discovery landscape, prioritize high\-impact opportunities, and create accurate, on\-brand content that earns citations from AI and trust from humans. Backed by Greylock, Unusual Ventures, Wing VC, and Founder Collective, we are building the intelligent systems that will empower the next generation of marketing leaders. AirOps is headquartered in San Francisco, New York and Montevideo.
**About The Role**
 As Lead Data Engineer, you will own and scale the data platform that powers AirOps insights on AI search visibility and content performance. You will set technical direction, write production code, and build a small, high\-output team that turns raw web, content, and AI agent data into trustworthy datasets.
 Your work will drive customer\-facing analytics and product features while giving our content and growth teams a clear path from strategy to execution. You value extreme ownership, sweat the details on data quality, and love partnering across functions to ship fast without losing rigor.
 Key Responsibilities
* Data platform ownership: design, build, and operate batch and streaming pipelines that ingest data from crawlers, partner APIs, product analytics, and CRM.
* Core modeling: define and maintain company\-wide models for content entities, search queries, rankings, AI agent answers, engagement, and revenue attribution.
* Orchestration and CI: implement workflow management with Airflow or Prefect, dbt\-based transformations, version control, and automated testing.
* Data quality and observability: set SLAs, add tests and data contracts, monitor lineage and freshness, and lead root cause analysis.
* Warehouse and storage: run Snowflake or BigQuery and Postgres with strong performance, cost management, and partitioning strategies.
* Semantic layer and metrics: deliver clear, documented metrics datasets that power dashboards, experiments, and product activation.
* Product and customer impact: partner with Product and Customer teams to define tracking plans and measure content impact across on\-site and off\-site channels.
* Tooling and vendors: evaluate, select, and integrate the right tools for ingestion, enrichment, observability, and reverse ETL.
* Team leadership: hire, mentor, and level up data and analytics engineers; establish code standards, review practices, and runbooks.
**Qualifications**
* 5\+ years in data engineering with 2\+ years leading projects
* Expert SQL and Python with deep experience building production pipelines at scale
* Hands\-on with dbt and a workflow manager such as Airflow or Prefect
* Strong background in dimensional and event\-driven modeling and a company\-wide metrics layer
* Experience with Snowflake or BigQuery, plus Postgres for transactional use cases
* Track record building data products for analytics and customer reporting
* Cloud experience on AWS or GCP and infrastructure as code such as Terraform
* Domain experience in SEO, content analytics, or growth experimentation is a plus
* Clear communicator with a bias for action, curiosity, and a high bar for quality
**Our Guiding Principles**
* Extreme Ownership
* Quality
* Curiosity and Play
* Make Our Customers Heroes
* Respectful Candor
**Benefits**
* Equity in a fast\-growing startup
* Competitive benefits package tailored to your location
* Flexible time off policy
* Parental Leave
* A fun\-loving and (just a bit) nerdy team that loves to move fast!</t>
        </is>
      </c>
    </row>
    <row r="55">
      <c r="A55" t="inlineStr">
        <is>
          <t>li-4321342136</t>
        </is>
      </c>
      <c r="B55" t="inlineStr">
        <is>
          <t>Senior Data Engineer</t>
        </is>
      </c>
      <c r="C55" t="inlineStr">
        <is>
          <t>Healthmap Solutions</t>
        </is>
      </c>
      <c r="D55" t="inlineStr">
        <is>
          <t>linkedin</t>
        </is>
      </c>
      <c r="E55">
        <f>HYPERLINK("https://www.linkedin.com/jobs/view/4321342136", "https://www.linkedin.com/jobs/view/4321342136")</f>
        <v/>
      </c>
      <c r="F55" t="inlineStr"/>
      <c r="G55" t="inlineStr"/>
      <c r="H55" t="inlineStr"/>
      <c r="I55" t="inlineStr">
        <is>
          <t>**Description**
*Position at Healthmap Solutions*
**Company Background**
 Healthmap Solutions is the future of specialty health management that focuses on progressive diseases, with a particular expertise in kidney health populations. Healthmap Solutions uses clinical big data resources and high\-powered analytics to power complex specialty health management programs. Healthmap Solutions is a diverse, growing company committed to our clients and our employees. We are champions for better health, for those who need us most.
***Position Summary***
 The Senior Data Engineer drives the design, development, and operational excellence of our data platform built on Databricks and the Delta Lakehouse Architecture. This role requires deep expertise in scalable ETL/ELT, Spark optimization, and modern data governance using Unity Catalog. The Senior Data Engineer serves as a technical leader, establishing best practices for code quality, performance, and automated deployments across all environments.
**Responsibilities**
* Design and implement scalable data pipelines using Delta Lake and manage enterprise\-wide data access, security, and lineage using Unity Catalog
* Optimize large\-scale Spark jobs (PySpark/SQL) and cluster configurations (Photon) to meet stringent SLA and cost performance targets across all workflows
* Build resilient data scheduling via Databricks Workflows (Jobs) and establish automated CI/CD pipelines for reliable code promotion across Dev, Staging, and Prod workspaces
* Migrate data and models from relational databases to Databricks
* Ensure best practices for development using industry standard development patterns
* Monitor data pipelines performance
* Partner with Data Management and Full Stack development engineers to operationalize models with current applications and processes
* Support existing data pipelines to ensure business continuity
* Stay updated with the latest trends and technologies in data engineering and cloud computing
* Perform other related duties as assigned
**Requirements**
* Bachelor’s degree is required
* 5\+ years of experience in Data Engineering, with a significant focus on data warehousing, ETL/ELT development, and distributed systems
* 3\+ years of hands\-on experience developing enterprise solutions on the Databricks platform
* Expertise in PySpark and high\-performance SQL
* Deep understanding practical knowledge of Delta Lake architecture and optimal maintenance best practices
* Experience with cloud platforms (AWS preferred) and integrating Databricks with native cloud services (S3, Secret Manager, IAM)
* Solid experience implementing CI/CD for Databricks notebooks and associated libraries
* Healthcare experience is preferred
**Skills**
* Strong development experience with: Python, Spark, or similar technologies
* Excellent verbal, communication, negotiation, and presentation skills
* Strong analytical and problem\-solving skills
* Ability to work autonomously while collaborating across teams to deliver timely projects
* Ability to explain complex concepts in simple terms
* Dedicated, hardworking employee who achieves maximum efficiency and productivity
* Strong knowledge of domain\-based design, data modeling and data structures
* Strong knowledge of best practice in data management
 No Travel
**Americans with Disability Specifications**
 The physical demands described here are representative of those that must be met by an employee to successfully perform the essential functions of this job. Reasonable accommodations may be made to enable individuals with disabilities to perform the essential functions.
 As an Equal Opportunity Employer, we will not discriminate against any job candidate or employee due to age, race, religion, ethnicity, national origin, gender, gender identity/expression, sexual orientation, disability, familial status, veteran status, marital status, parental status, or pregnancy. In our innovative and inclusive workplace, we prohibit discrimination and harassment of any kind.</t>
        </is>
      </c>
    </row>
    <row r="56">
      <c r="A56" t="inlineStr">
        <is>
          <t>li-4292303550</t>
        </is>
      </c>
      <c r="B56" t="inlineStr">
        <is>
          <t>Director, Analytics Engineer</t>
        </is>
      </c>
      <c r="C56" t="inlineStr">
        <is>
          <t>Flex</t>
        </is>
      </c>
      <c r="D56" t="inlineStr">
        <is>
          <t>linkedin</t>
        </is>
      </c>
      <c r="E56">
        <f>HYPERLINK("https://www.linkedin.com/jobs/view/4292303550", "https://www.linkedin.com/jobs/view/4292303550")</f>
        <v/>
      </c>
      <c r="F56" t="inlineStr"/>
      <c r="G56" t="inlineStr">
        <is>
          <t>New York, NY</t>
        </is>
      </c>
      <c r="H56" t="inlineStr"/>
      <c r="I56" t="inlineStr">
        <is>
          <t>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**The Role**
 Analytics Engineering at Flex sits at the intersection of Data, Product, Engineering, and business objectives. As Director, Analytics Engineering you will run the team that enables stakeholders at Flex to easily find the data they need to make decisions. You’ll be responsible for developing a world\-class analytics platform that powers all data consumption at Flex, as well as managing and developing a team of high\-performing Analytics Engineers. You'll also be hands\-on, leveraging your technical skills to develop data models and build better data products and solutions. You'll partner with analysts, engineers, PMs and others to define the requirements while being accountable for delivering the end data product.
**You Will:**
* Develop and lead strategy for data modeling platform and team roadmap
* Manage and mentor a team of Analytics Engineers
* Collaborate with leaders across product \&amp; engineering teams to define data requirements and inform architecture/schema design decisions
* Lead the development of data models to consume, transform, and expose data to stakeholders and systems across the company
* Collect business requirements, define successful analytics outcomes, and design data solutions
* Set company\-wide standards for data regarding structure, quality, and expectations
* Contribute Flex’s data culture by influencing processes, systems, and tools that enable to make better decisions in a scalable way
**You Have:**
* 8\+ years as an analytics engineer or equivalent, with a track record of shipping high quality products and features at scale
* Expert knowledge of SQL, data warehouses (we use Snowflake), and how to write efficient SQL queries
* Familiarity with common BI tools (preferably Sigma Computing, Tableau, Mode, etc.)
* Expert proficiency with dbt, dbt Cloud, and Airflow
* Strong perspective on analytics engineering development cycle (data modeling, version control, documentation \+ testing, and best practices for codebase development and CI/CD)
* Proficiency with Python preferred
* Experience within the fintech space preferred
 Flex takes a market\-based approach to pay, ensuring compensation is commensurate with a candidate's experience and our internal leveling guidelines. For candidates located in our Tier 1 markets (NYC/ SF), the base salary pay range for this role is $240,000—$300,000 USD.
 For all other U.S. locations, Flex utilizes a geographic pay differential based on a cost of labor index. If you are located outside of the Tier 1 states listed above, your starting pay will be adjusted to align with the market conditions of your specific geographic zone. Please speak with your recruiter for additional information regarding the specific range for your location
 This is a hybrid position with on\-site expectations of 3 days per week in our New York Headquarters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57">
      <c r="A57" t="inlineStr">
        <is>
          <t>li-4355630091</t>
        </is>
      </c>
      <c r="B57" t="inlineStr">
        <is>
          <t>Staff Data Engineer</t>
        </is>
      </c>
      <c r="C57" t="inlineStr">
        <is>
          <t>The RealReal</t>
        </is>
      </c>
      <c r="D57" t="inlineStr">
        <is>
          <t>linkedin</t>
        </is>
      </c>
      <c r="E57">
        <f>HYPERLINK("https://www.linkedin.com/jobs/view/4355630091", "https://www.linkedin.com/jobs/view/4355630091")</f>
        <v/>
      </c>
      <c r="F57">
        <f>HYPERLINK("https://careers.therealreal.com/us/en/job/THYTRLUSR11914EXTERNALENUS/Staff-Data-Engineer?utm_source=linkedin&amp;utm_medium=phenom-feeds&amp;urlHash=rPV2", "https://careers.therealreal.com/us/en/job/THYTRLUSR11914EXTERNALENUS/Staff-Data-Engineer?utm_source=linkedin&amp;utm_medium=phenom-feeds&amp;urlHash=rPV2")</f>
        <v/>
      </c>
      <c r="G57" t="inlineStr">
        <is>
          <t>Bellflower, CA</t>
        </is>
      </c>
      <c r="H57" t="inlineStr"/>
      <c r="I57" t="inlineStr">
        <is>
          <t>**About The Role**
 This role is remote eligible\*
 As a Staff Data Engineer at The RealReal you'll lead automation, personalization, and data pipeline initiatives. You will be on a small, high impact team who both decides on the best architectural decisions and implements them. We are in the process of moving our ETL job from batch to streaming/event based and need thought leaders to help support the future of large realtime pipelines. These pipelines will make a big impact for the business through analytical insights, building machine learning products, and supporting realtime personalization through our website. You will own critical systems throughout the platform and be responsible for their development, adding new, valuable features, and ensuring that these systems perform correctly.
* States Not Eligible: AK, AR, DE, KS, MS, ND, SD, WY
**What You Get To Do Everyday**
* Design and build integrations between our data platform and internal and external services.
* Own end to end delivery of data infrastructure projects, from requirements gathering through production deployment and monitoring
* Build scalable data models and transformations using dbt, establishing data contracts and quality standards
* Architect systems that balance technical excellence with business needs, considering scalability, reliability and maintainability
* Collaborate with Engineering, Product and Business Analyst teams to solve complex data challenges
* Mentor engineers through code reviews, architectural guidance and knowledge sharing
* Operate primarily in AI\-assisted coding tools to accelerate development and deliver solutions faster
**What You Bring To The Role**
**Minimum Requirements:**
* 7\+ years of relevant data engineering experience
* Strong systems design skills with experience architecting data platforms from the ground up
* Proven experience building integrations with external services (REST APIs, webhooks, streaming platforms)
* Strong hands\-on experience with dbt data modeling, testing, incremental models and project organization
* Proficiency with cloud data platforms. GCP (preferred) or AWS or Azure
* Expert level command of git, code reviews and CI/CD workflows
* Active experience using AI coding tools (Cursor, Claude etc) to enhance productivity
* Excellent communication skills, able to translate technical concepts for non\-technical stakeholders
* Track record of owning projects end\-to\-end with minimal supervision
**Preferred Requirements:**
* Experience with data orchestration tools (Airflow)
* Familiarity with streaming platforms (Kafka, Pub/Sub)
* Python proficiency for scripting and automation
* Experience establishing data quality frameworks and monitoring systems
* Background working in fast\-paced, iterative environments
**Compensation, Benefits, \+ Perks**
* Employee Stock Purchase Plan
* 401K with Company Match
* Medical, Dental \&amp; Vision Insurance
* Paid Parental Leave
* Unlimited Discretionary Time Off (DTO)\* and 10 Paid Company Holidays
* \* Unlimited DTO with Manager approval
 The expected salary range for this role is $175,000\.00\-$200,000\.00\.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58">
      <c r="A58" t="inlineStr">
        <is>
          <t>li-4381508956</t>
        </is>
      </c>
      <c r="B58" t="inlineStr">
        <is>
          <t>Data Engineer</t>
        </is>
      </c>
      <c r="C58" t="inlineStr">
        <is>
          <t>FastTek Global</t>
        </is>
      </c>
      <c r="D58" t="inlineStr">
        <is>
          <t>linkedin</t>
        </is>
      </c>
      <c r="E58">
        <f>HYPERLINK("https://www.linkedin.com/jobs/view/4381508956", "https://www.linkedin.com/jobs/view/4381508956")</f>
        <v/>
      </c>
      <c r="F58" t="inlineStr"/>
      <c r="G58" t="inlineStr">
        <is>
          <t>Dearborn, MI</t>
        </is>
      </c>
      <c r="H58" t="inlineStr"/>
      <c r="I58" t="inlineStr">
        <is>
          <t>* Data Pipeline Architect \&amp; Builder: Spearhead the design, development, and maintenance of scalable data ingestion and curation pipelines from diverse sources. Ensure data is standardized, high\-quality, and optimized for analytical use. Leverage cutting\-edge tools and technologies, including Python, SQL, and DBT/Dataform, to build robust and efficient data pipelines.
* End\-to\-End Integration Expert: Utilize your full\-stack skills to contribute to seamless end\-to\-end development, ensuring smooth and reliable data flow from source to insight.
* GCP Data Solutions Leader: Leverage your deep expertise in GCP services (BigQuery, Dataflow, Pub/Sub, Cloud Functions, etc.) to build and manage data platforms that not only meet but exceed business needs and expectations.
* Data Governance \&amp; Security Champion: Implement and manage robust data governance policies, access controls, and security best practices, fully utilizing GCP's native security features to protect sensitive data.
* Data Workflow Orchestrator: Employ Astronomer and Terraform for efficient data workflow management and cloud infrastructure provisioning, championing best practices in Infrastructure as Code (IaC).
* Performance Optimization Driver: Continuously monitor and improve the performance, scalability, and efficiency of data pipelines and storage solutions, ensuring optimal resource utilization and cost\-effectiveness.
* Collaborative Innovator: Collaborate effectively with data architects, application architects, service owners, and cross\-functional teams to define and promote best practices, design patterns, and frameworks for cloud data engineering.
* Automation \&amp; Reliability Advocate: Proactively automate data platform processes to enhance reliability, improve data quality, minimize manual intervention, and drive operational efficiency.
* Effective Communicator: Clearly and transparently communicate complex technical decisions to both technical and non\-technical stakeholders, fostering understanding and alignment.
* Continuous Learner: Stay ahead of the curve by continuously learning about industry trends and emerging technologies, proactively identifying opportunities to improve our data platform and enhance our capabilities.
* Business Impact Translator: Translate complex business requirements into optimized data asset designs and efficient code, ensuring that our data solutions directly contribute to business goals.
* Documentation \&amp; Knowledge Sharer: Develop comprehensive documentation for data engineering processes, promoting knowledge sharing, facilitating collaboration, and ensuring long\-term system maintainability.
**Skills Required**
* GCP
* Cloud Architecture
* Python
**Experience Required**
* Bachelor's degree in Computer Science, Information Technology, Information Systems, Data Analytics, or a related field (or equivalent combination of education and experience).
* 5\-7 years of experience in Data Engineering or Software Engineering, with at least 2 years of hands\-on experience building and deploying cloud\-based data platforms (GCP preferred).
* Strong proficiency in SQL, Java, and Python, with practical experience in designing and deploying cloud\-based data pipelines using GCP services like BigQuery, Dataflow, and DataProc.
* Solid understanding of Service\-Oriented Architecture (SOA) and microservices, and their application within a cloud data platform.
* Experience with relational databases (e.g., PostgreSQL, MySQL), NoSQL databases, and columnar databases (e.g., BigQuery).
* Knowledge of data governance frameworks, data encryption, and data masking techniques in cloud environments.
* Familiarity with CI/CD pipelines, Infrastructure as Code (IaC) tools like Terraform and Tekton, and other automation frameworks.
* Excellent analytical and problem\-solving skills, with the ability to troubleshoot complex data platform and microservices issues.
* Experience in monitoring and optimizing cost and compute resources for processes in GCP technologies (e.g., BigQuery, Dataflow, Cloud Run, DataProc).
**Education Required**
* Bachelor's Degree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 Medical and Dental (FastTek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**AI \&amp; Hiring Disclosure**
 We use AI tools to support parts of our hiring process, such as reviewing applications and identifying potential matches. These tools are designed to promote efficiency, consistency, and fairness, and they are always used under human oversight.
 All personal data collected is used solely for recruitment purposes, and you have the right to know, access, or request deletion of your data at any time, subject to legal limits.
 If AI will be used in a video interview, you'll be informed in advance and asked for your consent, with the option to opt out.
 Our tools are regularly reviewed to detect potential bias and to ensure compliance with all applicable laws and our commitment to inclusive hiring.
 To learn more or exercise your rights, please contact us at info@fasttek.com.</t>
        </is>
      </c>
    </row>
    <row r="59">
      <c r="A59" t="inlineStr">
        <is>
          <t>li-4381526136</t>
        </is>
      </c>
      <c r="B59" t="inlineStr">
        <is>
          <t>Senior Data Engineer (Intelligent Foundations and Experiences)</t>
        </is>
      </c>
      <c r="C59" t="inlineStr">
        <is>
          <t>TalentAlly</t>
        </is>
      </c>
      <c r="D59" t="inlineStr">
        <is>
          <t>linkedin</t>
        </is>
      </c>
      <c r="E59">
        <f>HYPERLINK("https://www.linkedin.com/jobs/view/4381526136", "https://www.linkedin.com/jobs/view/4381526136")</f>
        <v/>
      </c>
      <c r="F59" t="inlineStr"/>
      <c r="G59" t="inlineStr">
        <is>
          <t>Plano, TX</t>
        </is>
      </c>
      <c r="H59" t="inlineStr"/>
      <c r="I5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PDN\-a13f69c8\-a70e\-43f0\-97ef\-689a1862e687</t>
        </is>
      </c>
    </row>
    <row r="60">
      <c r="A60" t="inlineStr">
        <is>
          <t>li-4381517689</t>
        </is>
      </c>
      <c r="B60" t="inlineStr">
        <is>
          <t>Senior Data Engineer (Intelligent Foundations and Experiences)</t>
        </is>
      </c>
      <c r="C60" t="inlineStr">
        <is>
          <t>TalentAlly</t>
        </is>
      </c>
      <c r="D60" t="inlineStr">
        <is>
          <t>linkedin</t>
        </is>
      </c>
      <c r="E60">
        <f>HYPERLINK("https://www.linkedin.com/jobs/view/4381517689", "https://www.linkedin.com/jobs/view/4381517689")</f>
        <v/>
      </c>
      <c r="F60" t="inlineStr"/>
      <c r="G60" t="inlineStr">
        <is>
          <t>Richmond, VA</t>
        </is>
      </c>
      <c r="H60" t="inlineStr"/>
      <c r="I6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PDN\-a13f69c8\-b734\-4e9d\-9529\-e2cb3eb9d157</t>
        </is>
      </c>
    </row>
    <row r="61">
      <c r="A61" t="inlineStr">
        <is>
          <t>li-4381515765</t>
        </is>
      </c>
      <c r="B61" t="inlineStr">
        <is>
          <t>Senior Data Engineer (Intelligent Foundations and Experiences)</t>
        </is>
      </c>
      <c r="C61" t="inlineStr">
        <is>
          <t>TalentAlly</t>
        </is>
      </c>
      <c r="D61" t="inlineStr">
        <is>
          <t>linkedin</t>
        </is>
      </c>
      <c r="E61">
        <f>HYPERLINK("https://www.linkedin.com/jobs/view/4381515765", "https://www.linkedin.com/jobs/view/4381515765")</f>
        <v/>
      </c>
      <c r="F61" t="inlineStr"/>
      <c r="G61" t="inlineStr">
        <is>
          <t>McLean, VA</t>
        </is>
      </c>
      <c r="H61" t="inlineStr"/>
      <c r="I6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PDN\-a13f69c8\-9879\-4e22\-bec7\-2867b005754b</t>
        </is>
      </c>
    </row>
    <row r="62">
      <c r="A62" t="inlineStr">
        <is>
          <t>li-4381522255</t>
        </is>
      </c>
      <c r="B62" t="inlineStr">
        <is>
          <t>Azure Data Engineer</t>
        </is>
      </c>
      <c r="C62" t="inlineStr">
        <is>
          <t>Jobs via Dice</t>
        </is>
      </c>
      <c r="D62" t="inlineStr">
        <is>
          <t>linkedin</t>
        </is>
      </c>
      <c r="E62">
        <f>HYPERLINK("https://www.linkedin.com/jobs/view/4381522255", "https://www.linkedin.com/jobs/view/4381522255")</f>
        <v/>
      </c>
      <c r="F62">
        <f>HYPERLINK("https://click.appcast.io/t/z-V8wbsBLiotO_wqlvSX2nLCeTQoB4t3bA70HfIr178=&amp;urlHash=nfUA", "https://click.appcast.io/t/z-V8wbsBLiotO_wqlvSX2nLCeTQoB4t3bA70HfIr178=&amp;urlHash=nfUA")</f>
        <v/>
      </c>
      <c r="G62" t="inlineStr">
        <is>
          <t>Plano, TX</t>
        </is>
      </c>
      <c r="H62" t="inlineStr"/>
      <c r="I62" t="inlineStr">
        <is>
          <t>Dice is the leading career destination for tech experts at every stage of their careers. Our client, Datasignify, is seeking the following. Apply via Dice today!
**Position: Azure Data Engineer**
**Location: Plano TX/ 4 days per week**
**Duration: contract to hire
 Strick W2 Role**
 The Data Engineer position involves designing, developing, automating, and maintaining data pipelines for Credit Risk, Bureau DataIntegrations, Insurance datasets, Application datasets, and Snowflake migrations. This role requires direct collaboration with the Credit Risk, Data Science, and Data Engineering teams with minimal supervision to ensure high\-quality data availability for analytics, reporting, and Decision Engine workflows.
 Key skills for this role include substantial experience with SQL Server, Python, Snowflake, and ETL pipelines, as well as expertise in credit\-bureau/JSON/XML parsing. Additionally, some packages are still in SSIS, so the ability to execute and debug SSIS packages is also necessary.</t>
        </is>
      </c>
    </row>
    <row r="63">
      <c r="A63" t="inlineStr">
        <is>
          <t>li-4381528094</t>
        </is>
      </c>
      <c r="B63" t="inlineStr">
        <is>
          <t>Senior Lead Data Engineer (Intelligent Foundations and Experiences)</t>
        </is>
      </c>
      <c r="C63" t="inlineStr">
        <is>
          <t>TalentAlly</t>
        </is>
      </c>
      <c r="D63" t="inlineStr">
        <is>
          <t>linkedin</t>
        </is>
      </c>
      <c r="E63">
        <f>HYPERLINK("https://www.linkedin.com/jobs/view/4381528094", "https://www.linkedin.com/jobs/view/4381528094")</f>
        <v/>
      </c>
      <c r="F63" t="inlineStr"/>
      <c r="G63" t="inlineStr">
        <is>
          <t>Richmond, VA</t>
        </is>
      </c>
      <c r="H63" t="inlineStr"/>
      <c r="I6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Plano, TX: $209,000 \- $238,500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PDN\-a13f69c8\-878d\-4450\-a588\-db4ec0309628</t>
        </is>
      </c>
    </row>
    <row r="64">
      <c r="A64" t="inlineStr">
        <is>
          <t>li-4381509988</t>
        </is>
      </c>
      <c r="B64" t="inlineStr">
        <is>
          <t>Senior Lead Data Engineer (Intelligent Foundations and Experiences)</t>
        </is>
      </c>
      <c r="C64" t="inlineStr">
        <is>
          <t>TalentAlly</t>
        </is>
      </c>
      <c r="D64" t="inlineStr">
        <is>
          <t>linkedin</t>
        </is>
      </c>
      <c r="E64">
        <f>HYPERLINK("https://www.linkedin.com/jobs/view/4381509988", "https://www.linkedin.com/jobs/view/4381509988")</f>
        <v/>
      </c>
      <c r="F64">
        <f>HYPERLINK("https://talentally.com/job/senior-lead-data-engineer-intelligent-foundations-and-experiences-4?utm_source=LinkedIn&amp;utm_medium=jobboard&amp;utm_campaign=LinkedIn&amp;urlHash=8d_I", "https://talentally.com/job/senior-lead-data-engineer-intelligent-foundations-and-experiences-4?utm_source=LinkedIn&amp;utm_medium=jobboard&amp;utm_campaign=LinkedIn&amp;urlHash=8d_I")</f>
        <v/>
      </c>
      <c r="G64" t="inlineStr">
        <is>
          <t>Plano, TX</t>
        </is>
      </c>
      <c r="H64" t="inlineStr"/>
      <c r="I6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Plano, TX: $209,000 \- $238,500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PDN\-a13f69c8\-7891\-4aa3\-99d1\-75d7ac1065ae</t>
        </is>
      </c>
    </row>
    <row r="65">
      <c r="A65" t="inlineStr">
        <is>
          <t>li-4373212848</t>
        </is>
      </c>
      <c r="B65" t="inlineStr">
        <is>
          <t>Senior Data Engineer (Bank Tech)</t>
        </is>
      </c>
      <c r="C65" t="inlineStr">
        <is>
          <t>Capital One</t>
        </is>
      </c>
      <c r="D65" t="inlineStr">
        <is>
          <t>linkedin</t>
        </is>
      </c>
      <c r="E65">
        <f>HYPERLINK("https://www.linkedin.com/jobs/view/4373212848", "https://www.linkedin.com/jobs/view/4373212848")</f>
        <v/>
      </c>
      <c r="F65">
        <f>HYPERLINK("https://dsp.prng.co/rXEhE8b&amp;urlHash=G8Co", "https://dsp.prng.co/rXEhE8b&amp;urlHash=G8Co")</f>
        <v/>
      </c>
      <c r="G65" t="inlineStr">
        <is>
          <t>McLean, VA</t>
        </is>
      </c>
      <c r="H65" t="inlineStr"/>
      <c r="I6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li-4381518813</t>
        </is>
      </c>
      <c r="B66" t="inlineStr">
        <is>
          <t>AI Engineer – Data Engineering &amp; Experimentation (Mid/Senior Level)</t>
        </is>
      </c>
      <c r="C66" t="inlineStr">
        <is>
          <t>Jobright.ai</t>
        </is>
      </c>
      <c r="D66" t="inlineStr">
        <is>
          <t>linkedin</t>
        </is>
      </c>
      <c r="E66">
        <f>HYPERLINK("https://www.linkedin.com/jobs/view/4381518813", "https://www.linkedin.com/jobs/view/4381518813")</f>
        <v/>
      </c>
      <c r="F66" t="inlineStr"/>
      <c r="G66" t="inlineStr"/>
      <c r="H66" t="inlineStr"/>
      <c r="I66"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TOKADREAM
 One\-liner: TokaDream is a technology\-driven company focused on leveraging artificial intelligence and machine learning to deliver cutting\-edge products and services.
 Salary: $5,000/mo \- $12,000/mo
 Why Join Us:
 Role Responsibilities
 • Build and maintain scalable, automated ETL pipelines to support LLM\-based systems and broader AI products
 • Design and implement A/B testing frameworks to evaluate model, feature, and agent performance
 • Collaborate with product managers, engineers, and data scientists in agile teams to define requirements and deliver features
 • Participate in agile ceremonies including daily standups, sprint planning, and retrospectives
 • Instrument production systems for performance monitoring, user behavior tracking, and system health
 • Partner with analytics teams to ensure data quality, consistency, and accessibility across the organization
 • Work closely with infrastructure teams to deploy and monitor model endpoints and workflows in production
 • Contribute to documentation, code reviews, and team knowledge sharing to drive engineering excellence
 Qualifications
 Required
 • Bachelor's or Master's degree in Computer Science, Engineering, Data Science, or a related field
 • 3\+ years of professional experience in software engineering, data engineering, or AI/ML\-focused roles
 • Experience designing and maintaining robust ETL processes using tools like Airflow, Spark, dbt, or custom data pipelines
 • Familiarity with A/B testing tools, statistical evaluation metrics, and experimentation platforms
 • Solid understanding of Agile principles and experience working in Scrum or Kanban development teams
 • Strong proficiency in Python and SQL; experience with unit testing, Git, and CI/CD workflows
 • Solid understanding of cloud platforms (AWS, GCP, or Azure) and experience with data lakes, warehousing, and storage systems
 Preferred
 • Background in building or integrating AI/LLM models into production applications
 • Experience working with modern ML infrastructure (e.g., MLFlow, SageMaker, Vertex AI)
 • Exposure to analytics tools (Looker, Tableau, or similar)
 • Knowledge of data privacy and compliance concerns related to AI and user data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2026-03-08T17:28:52Z</dcterms:created>
  <dcterms:modified xsi:type="dcterms:W3CDTF">2026-03-08T17:28:52Z</dcterms:modified>
</cp:coreProperties>
</file>