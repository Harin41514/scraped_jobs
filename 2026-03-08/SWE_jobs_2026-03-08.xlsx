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in-d8bc489ccb872bee</t>
        </is>
      </c>
      <c r="B2" t="inlineStr">
        <is>
          <t>Staff Software Engineer</t>
        </is>
      </c>
      <c r="C2" t="inlineStr">
        <is>
          <t>Intuit</t>
        </is>
      </c>
      <c r="D2" t="inlineStr">
        <is>
          <t>indeed</t>
        </is>
      </c>
      <c r="E2" t="inlineStr"/>
      <c r="F2" t="inlineStr"/>
      <c r="G2" t="inlineStr">
        <is>
          <t>Mountain View, CA, US</t>
        </is>
      </c>
      <c r="H2" s="1" t="n">
        <v>46088</v>
      </c>
      <c r="I2" t="inlineStr">
        <is>
          <t>**Overview**
------------
Come join the **Virtual Expert Platform Data Engineering Team** as a **Staff** **Software Engineer**. Intuit is the global leader in financial management software where we have pioneered the shift to Virtual Platforms, cloud computing for consumers, small businesses and those that serve them. Intuit moves as fast as a startup, and we are constantly disrupting ourselves as we identify major new technology and design trends that are needed to deliver our mission to power prosperity around the world. Our groups are fast\-paced teams focused on delivering innovative capabilities and having fun while doing it. **Responsibilities**
* Drive projects in the VEP Data Engineering by working cross\-functionally with Product Management, Project Management, Data Architects, Data Scientists, Data Analysts, Software Engineers, and other Data Engineers etc.
* Customer empathy and delight will be the main drivers for success
* 70\-85% hands\-on development in all phases of the software life cycle.
* Designing end to end data pipeline given business and ops requirements (ingestion, processing and storage). Conduct design and code reviews.
* Own the tech vision and strategy for multiple domains or capabilities
* Identify dependencies, estimate work, sequence tasks as inputs to building project plans
* Build GenAI based solutions to solve for customers/Experts benefit or internal productivity gains.
* Collaborates effectively with peer engineers and architects to solve complex engineering problems
* Influences and communicates effectively with non\-technical audiences including senior product managers and business stakeholders
* Focus on operational excellence through root cause analysis and continuous improvement.
* Ability to proactively follow issues through to resolution.
* Contribute to innovations that fuel the growth of Intuit as a whole
 **Qualifications**
* 10\+ years software development experience with work experience in developing DB schemas, creating ETLs, and familiarity with MPP/Hadoop systems.
* Advanced experience with scripting language – Python, Shell etc.
* Experience with Amazon web services: EC2, S3, and EMR (Elastic Map
* Reduce), Redshift or equivalent cloud computing approaches
* Hands on experience with Hadoop stack of technologies – mainly Hive, Hive on Spark
* Big Data: Designing, Building and maintaining highly scalable, robust \&amp; fault\-tolerant complex data processing pipelines from the ground up
* Experience working with large data volumes
* Experience creating and consuming JSON/REST web services and
* communicating with systems
* Strong knowledge of software development methodologies and practices
* Experience working in Agile development teams; working knowledge of Agile (Scrum) development methodologies
* Operational mindset with ability to do Problem, SLA and Incident Management
* Strong expertise in writing analytical SQLs, Data Marts, Data Warehousing and analytic architecture
* BS/MS in Computer Science or equivalent work experience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$ 197,000\- 266,500</t>
        </is>
      </c>
    </row>
    <row r="3">
      <c r="A3" t="inlineStr">
        <is>
          <t>in-3634931f3428728f</t>
        </is>
      </c>
      <c r="B3" t="inlineStr">
        <is>
          <t>Java Software Engineer</t>
        </is>
      </c>
      <c r="C3" t="inlineStr">
        <is>
          <t>Openkyber</t>
        </is>
      </c>
      <c r="D3" t="inlineStr">
        <is>
          <t>indeed</t>
        </is>
      </c>
      <c r="E3" t="inlineStr"/>
      <c r="F3" t="inlineStr"/>
      <c r="G3" t="inlineStr">
        <is>
          <t>Washington, DC, US</t>
        </is>
      </c>
      <c r="H3" s="1" t="n">
        <v>46087</v>
      </c>
      <c r="I3" t="inlineStr">
        <is>
          <t>Senior Quality Assurance Java Engineer Long term Washington, DC
Job Summary The Senior Quality Assurance Engineer will design, implement, and maintain comprehensive test strategies for This role supports a complex, workflow\-driven, distributed microservices ecosystem that manages equipment lifecycle, yard operations, scheduling, and operational events. The ideal candidate is comfortable testing state\-based systems, APIs, distributed integrations, and data\-intensive workflows in mission\-critical environments.
**Essential Responsibilities:**
* Design and execute end\-to\-end test strategies for workflow\-driven and state\-heavy systems.
* Develop and maintain automated test frameworks for UI and API testing (Playwright, Selenium, REST\-assured, Karate, or similar).
* Validate REST APIs, integration points, and distributed microservices.
* Perform database\-level validations to ensure data integrity, referential consistency, and correct state transitions.
* Validate event\-driven workflows and message\-based integrations (Kafka or similar technologies).
* Develop tests for resilience scenarios including retries, failure handling, and idempotency.
* Conduct performance and load testing to validate behavior under peak operational conditions.
* Integrate automation suites into CI/CD pipelines (Jenkins, GitHub, Bitbucket, or equivalent).
* Analyze logs and monitoring data (CloudWatch, AppDynamics, ELK/EFK or similar) to validate system behavior.
* Collaborate with product owners, developers, and architects to define test strategy and quality gates during design and implementation phases.
**Minimum Qualifications:**
* Bachelor's degree or 7\+ years relevant work experience.
* 5\+ years of experience in manual and automated testing of enterprise systems.
* Strong experience in UI and API automation.
* Proficiency in Java and TypeScript for automation scripting.
* Experience testing microservices\-based architectures.
* Strong SQL skills and experience validating relational and/or NoSQL databases.
* Experience working in Agile environments.
* Strong analytical and problem\-solving skills.
**Required Qualifications:**
* Experience testing complex workflow\-driven or operational systems (e.g., logistics, transportation, airline, financial transaction platforms).
* Experience with event\-driven or message\-based systems (Kafka preferred).
* Experience with performance testing tools (JMeter or similar).
* Familiarity with AWS or other cloud environments.
* Familiarity with legacy mainframe or green\-screen systems (e.g., 3270\), batch processing, and legacy\-to\-modern system integration validation.
**For applications and inquiries, contact:** hirings@openkyber.com</t>
        </is>
      </c>
    </row>
    <row r="4">
      <c r="A4" t="inlineStr">
        <is>
          <t>in-e2b589567681b841</t>
        </is>
      </c>
      <c r="B4" t="inlineStr">
        <is>
          <t>Java Software Engineer</t>
        </is>
      </c>
      <c r="C4" t="inlineStr">
        <is>
          <t>Openkyber</t>
        </is>
      </c>
      <c r="D4" t="inlineStr">
        <is>
          <t>indeed</t>
        </is>
      </c>
      <c r="E4" t="inlineStr"/>
      <c r="F4" t="inlineStr"/>
      <c r="G4" t="inlineStr">
        <is>
          <t>TX, US</t>
        </is>
      </c>
      <c r="H4" s="1" t="n">
        <v>46087</v>
      </c>
      <c r="I4" t="inlineStr">
        <is>
          <t>**VERY URGENT REQUIREMENT**
**Job Title:** Sr QA Automation Engineer (Selenium/Java/JavaScript)
**Location:** Dallas TX (ONSITE)
**Duration:** 12 months
**Key Responsibilities**
* Design, develop, and maintain automation frameworks using Selenium WebDriver with Java.
* Write and execute automated test scripts for functional, regression, and integration testing.
* Develop JavaScript\-based automation utilities for front\-end validation and dynamic web applications.
* Collaborate with developers, product managers, and QA teams to define test strategies and acceptance criteria.
* Integrate automated tests into CI/CD pipelines (Jenkins, GitLab, Azure DevOps, etc.).
* Perform API testing using tools/frameworks like RestAssured, Postman, or Karate.
* Debug and analyze test failures, reporting defects with clear documentation.
* Ensure cross\-browser and cross\-platform compatibility testing.
* Continuously improve automation coverage and optimize test execution speed.
**Required Skills \&amp; Qualifications**
* Overall 12\+ years of experience
* Strong proficiency in Selenium WebDriver with Java.
* Solid knowledge of JavaScript for automation and front\-end testing.
* Experience with test frameworks (TestNG, JUnit, Mocha, Jasmine).
* Hands\-on experience with CI/CD tools (Jenkins, GitLab, Azure DevOps).
* Familiarity with version control systems (Git, Bitbucket).
* Strong understanding of software QA methodologies, tools, and processes.
* Experience with API testing and automation.
* Bachelor's/Master's degree in Computer Science, Engineering, or related field.
**Thanks \&amp; Regards,**
**OpenKyber**
**For applications and inquiries, contact:** hirings@openkyber.com</t>
        </is>
      </c>
    </row>
    <row r="5">
      <c r="A5" t="inlineStr">
        <is>
          <t>in-6db4adb348e677f3</t>
        </is>
      </c>
      <c r="B5" t="inlineStr">
        <is>
          <t>Embedded Software Engineer, Annapurna ML Software</t>
        </is>
      </c>
      <c r="C5" t="inlineStr">
        <is>
          <t>Amazon Web Services</t>
        </is>
      </c>
      <c r="D5" t="inlineStr">
        <is>
          <t>indeed</t>
        </is>
      </c>
      <c r="E5" t="inlineStr"/>
      <c r="F5" t="inlineStr"/>
      <c r="G5" t="inlineStr">
        <is>
          <t>Cupertino, CA, US</t>
        </is>
      </c>
      <c r="H5" s="1" t="n">
        <v>46084</v>
      </c>
      <c r="I5"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6">
      <c r="A6" t="inlineStr">
        <is>
          <t>in-187a804e257ced12</t>
        </is>
      </c>
      <c r="B6" t="inlineStr">
        <is>
          <t>Embedded Software Engineer, Annapurna ML Software</t>
        </is>
      </c>
      <c r="C6" t="inlineStr">
        <is>
          <t>Amazon Web Services</t>
        </is>
      </c>
      <c r="D6" t="inlineStr">
        <is>
          <t>indeed</t>
        </is>
      </c>
      <c r="E6" t="inlineStr"/>
      <c r="F6" t="inlineStr"/>
      <c r="G6" t="inlineStr">
        <is>
          <t>Austin, TX, US</t>
        </is>
      </c>
      <c r="H6" s="1" t="n">
        <v>46084</v>
      </c>
      <c r="I6"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7">
      <c r="A7" t="inlineStr">
        <is>
          <t>in-2e4b11866713c7f9</t>
        </is>
      </c>
      <c r="B7" t="inlineStr">
        <is>
          <t>Sr Embedded Software Engineer, Annapurna ML Software</t>
        </is>
      </c>
      <c r="C7" t="inlineStr">
        <is>
          <t>Amazon Web Services</t>
        </is>
      </c>
      <c r="D7" t="inlineStr">
        <is>
          <t>indeed</t>
        </is>
      </c>
      <c r="E7" t="inlineStr"/>
      <c r="F7" t="inlineStr"/>
      <c r="G7" t="inlineStr">
        <is>
          <t>Cupertino, CA, US</t>
        </is>
      </c>
      <c r="H7" s="1" t="n">
        <v>46070</v>
      </c>
      <c r="I7"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8">
      <c r="A8" t="inlineStr">
        <is>
          <t>in-060c654252ff3399</t>
        </is>
      </c>
      <c r="B8" t="inlineStr">
        <is>
          <t>Sr Embedded Software Engineer, Annapurna ML Software</t>
        </is>
      </c>
      <c r="C8" t="inlineStr">
        <is>
          <t>Amazon Web Services</t>
        </is>
      </c>
      <c r="D8" t="inlineStr">
        <is>
          <t>indeed</t>
        </is>
      </c>
      <c r="E8" t="inlineStr"/>
      <c r="F8" t="inlineStr"/>
      <c r="G8" t="inlineStr">
        <is>
          <t>Austin, TX, US</t>
        </is>
      </c>
      <c r="H8" s="1" t="n">
        <v>46070</v>
      </c>
      <c r="I8"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9">
      <c r="A9" t="inlineStr">
        <is>
          <t>in-fba18123a5a6664a</t>
        </is>
      </c>
      <c r="B9" t="inlineStr">
        <is>
          <t>Software Engineer II, Android</t>
        </is>
      </c>
      <c r="C9" t="inlineStr">
        <is>
          <t>Amazon.com</t>
        </is>
      </c>
      <c r="D9" t="inlineStr">
        <is>
          <t>indeed</t>
        </is>
      </c>
      <c r="E9" t="inlineStr"/>
      <c r="F9" t="inlineStr"/>
      <c r="G9" t="inlineStr">
        <is>
          <t>San Francisco, CA, US</t>
        </is>
      </c>
      <c r="H9" s="1" t="n">
        <v>46044</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10">
      <c r="A10" t="inlineStr">
        <is>
          <t>in-3eb94f73f36635e6</t>
        </is>
      </c>
      <c r="B10" t="inlineStr">
        <is>
          <t>Software Engineer II, Android</t>
        </is>
      </c>
      <c r="C10" t="inlineStr">
        <is>
          <t>Amazon.com</t>
        </is>
      </c>
      <c r="D10" t="inlineStr">
        <is>
          <t>indeed</t>
        </is>
      </c>
      <c r="E10" t="inlineStr"/>
      <c r="F10" t="inlineStr"/>
      <c r="G10" t="inlineStr">
        <is>
          <t>Irvine, CA, US</t>
        </is>
      </c>
      <c r="H10" s="1" t="n">
        <v>46044</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11">
      <c r="A11" t="inlineStr">
        <is>
          <t>in-c2efdbabebc6927c</t>
        </is>
      </c>
      <c r="B11" t="inlineStr">
        <is>
          <t>Software Engineer II, Android</t>
        </is>
      </c>
      <c r="C11" t="inlineStr">
        <is>
          <t>Amazon.com</t>
        </is>
      </c>
      <c r="D11" t="inlineStr">
        <is>
          <t>indeed</t>
        </is>
      </c>
      <c r="E11" t="inlineStr"/>
      <c r="F11" t="inlineStr"/>
      <c r="G11" t="inlineStr">
        <is>
          <t>Seattle, WA, US</t>
        </is>
      </c>
      <c r="H11" s="1" t="n">
        <v>46044</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12">
      <c r="A12" t="inlineStr">
        <is>
          <t>in-6b9e1a289a6aeabd</t>
        </is>
      </c>
      <c r="B12" t="inlineStr">
        <is>
          <t>Software Engineer I</t>
        </is>
      </c>
      <c r="C12" t="inlineStr">
        <is>
          <t>Amazon.com</t>
        </is>
      </c>
      <c r="D12" t="inlineStr">
        <is>
          <t>indeed</t>
        </is>
      </c>
      <c r="E12" t="inlineStr"/>
      <c r="F12" t="inlineStr"/>
      <c r="G12" t="inlineStr">
        <is>
          <t>Seattle, WA, US</t>
        </is>
      </c>
      <c r="H12" s="1" t="n">
        <v>46029</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\- 127,100\.00 \- 185,000\.00 USD annually  
USA, WA, SEATTLE \- 110,500\.00 \- 160,000\.00 USD annually  
USA, WA, Seattle \- 110,500\.00 \- 160,000\.00 USD annually</t>
        </is>
      </c>
    </row>
    <row r="13">
      <c r="A13" t="inlineStr">
        <is>
          <t>in-107f14898dd17341</t>
        </is>
      </c>
      <c r="B13" t="inlineStr">
        <is>
          <t>Software Engineer I</t>
        </is>
      </c>
      <c r="C13" t="inlineStr">
        <is>
          <t>Amazon.com</t>
        </is>
      </c>
      <c r="D13" t="inlineStr">
        <is>
          <t>indeed</t>
        </is>
      </c>
      <c r="E13" t="inlineStr"/>
      <c r="F13" t="inlineStr"/>
      <c r="G13" t="inlineStr">
        <is>
          <t>San Francisco, CA, US</t>
        </is>
      </c>
      <c r="H13" s="1" t="n">
        <v>46029</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\- 127,100\.00 \- 185,000\.00 USD annually  
USA, WA, SEATTLE \- 110,500\.00 \- 160,000\.00 USD annually  
USA, WA, Seattle \- 110,500\.00 \- 160,000\.00 USD annually</t>
        </is>
      </c>
    </row>
    <row r="14">
      <c r="A14" t="inlineStr">
        <is>
          <t>in-a030347309becf37</t>
        </is>
      </c>
      <c r="B14" t="inlineStr">
        <is>
          <t>Software Engineer</t>
        </is>
      </c>
      <c r="C14" t="inlineStr">
        <is>
          <t>Amazon.com</t>
        </is>
      </c>
      <c r="D14" t="inlineStr">
        <is>
          <t>indeed</t>
        </is>
      </c>
      <c r="E14" t="inlineStr"/>
      <c r="F14" t="inlineStr"/>
      <c r="G14" t="inlineStr">
        <is>
          <t>San Francisco, CA, US</t>
        </is>
      </c>
      <c r="H14" s="1" t="n">
        <v>46008</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in-67c669ce04b392b9</t>
        </is>
      </c>
      <c r="B15" t="inlineStr">
        <is>
          <t>Software Engineer</t>
        </is>
      </c>
      <c r="C15" t="inlineStr">
        <is>
          <t>Amazon.com</t>
        </is>
      </c>
      <c r="D15" t="inlineStr">
        <is>
          <t>indeed</t>
        </is>
      </c>
      <c r="E15" t="inlineStr"/>
      <c r="F15" t="inlineStr"/>
      <c r="G15" t="inlineStr">
        <is>
          <t>Seattle, WA, US</t>
        </is>
      </c>
      <c r="H15" s="1" t="n">
        <v>46008</v>
      </c>
      <c r="I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in-fa2debc0bebdc19d</t>
        </is>
      </c>
      <c r="B16" t="inlineStr">
        <is>
          <t>Sr. Software Engineer, Manager</t>
        </is>
      </c>
      <c r="C16" t="inlineStr">
        <is>
          <t>Amazon.com</t>
        </is>
      </c>
      <c r="D16" t="inlineStr">
        <is>
          <t>indeed</t>
        </is>
      </c>
      <c r="E16" t="inlineStr"/>
      <c r="F16" t="inlineStr"/>
      <c r="G16" t="inlineStr">
        <is>
          <t>San Francisco, CA, US</t>
        </is>
      </c>
      <c r="H16" s="1" t="n">
        <v>46006</v>
      </c>
      <c r="I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7">
      <c r="A17" t="inlineStr">
        <is>
          <t>in-a37362c037b5db10</t>
        </is>
      </c>
      <c r="B17" t="inlineStr">
        <is>
          <t>Sr. Software Engineer, Manager</t>
        </is>
      </c>
      <c r="C17" t="inlineStr">
        <is>
          <t>Amazon.com</t>
        </is>
      </c>
      <c r="D17" t="inlineStr">
        <is>
          <t>indeed</t>
        </is>
      </c>
      <c r="E17" t="inlineStr"/>
      <c r="F17" t="inlineStr"/>
      <c r="G17" t="inlineStr">
        <is>
          <t>Seattle, WA, US</t>
        </is>
      </c>
      <c r="H17" s="1" t="n">
        <v>46006</v>
      </c>
      <c r="I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8">
      <c r="A18" t="inlineStr">
        <is>
          <t>in-2f2237d1834e19cb</t>
        </is>
      </c>
      <c r="B18" t="inlineStr">
        <is>
          <t>Sr. Software Engineer, Manager</t>
        </is>
      </c>
      <c r="C18" t="inlineStr">
        <is>
          <t>Amazon.com</t>
        </is>
      </c>
      <c r="D18" t="inlineStr">
        <is>
          <t>indeed</t>
        </is>
      </c>
      <c r="E18" t="inlineStr"/>
      <c r="F18" t="inlineStr"/>
      <c r="G18" t="inlineStr">
        <is>
          <t>Culver City, CA, US</t>
        </is>
      </c>
      <c r="H18" s="1" t="n">
        <v>46006</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9">
      <c r="A19" t="inlineStr">
        <is>
          <t>in-ef8535ce4571609d</t>
        </is>
      </c>
      <c r="B19" t="inlineStr">
        <is>
          <t>Sr. Software Engineer, Manager</t>
        </is>
      </c>
      <c r="C19" t="inlineStr">
        <is>
          <t>Amazon.com</t>
        </is>
      </c>
      <c r="D19" t="inlineStr">
        <is>
          <t>indeed</t>
        </is>
      </c>
      <c r="E19" t="inlineStr"/>
      <c r="F19" t="inlineStr"/>
      <c r="G19" t="inlineStr">
        <is>
          <t>Irvine, CA, US</t>
        </is>
      </c>
      <c r="H19" s="1" t="n">
        <v>46006</v>
      </c>
      <c r="I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0">
      <c r="A20" t="inlineStr">
        <is>
          <t>in-73a046d8557ee968</t>
        </is>
      </c>
      <c r="B20" t="inlineStr">
        <is>
          <t>Sr. Software Engineer, Manager</t>
        </is>
      </c>
      <c r="C20" t="inlineStr">
        <is>
          <t>Amazon.com</t>
        </is>
      </c>
      <c r="D20" t="inlineStr">
        <is>
          <t>indeed</t>
        </is>
      </c>
      <c r="E20" t="inlineStr"/>
      <c r="F20" t="inlineStr"/>
      <c r="G20" t="inlineStr">
        <is>
          <t>New York, NY, US</t>
        </is>
      </c>
      <c r="H20" s="1" t="n">
        <v>46006</v>
      </c>
      <c r="I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1">
      <c r="A21" t="inlineStr">
        <is>
          <t>in-58b4602af12b1e71</t>
        </is>
      </c>
      <c r="B21" t="inlineStr">
        <is>
          <t>Sr. Software Engineer - EC2 Windows OS Technologies team, EC2 Windows</t>
        </is>
      </c>
      <c r="C21" t="inlineStr">
        <is>
          <t>Amazon.com</t>
        </is>
      </c>
      <c r="D21" t="inlineStr">
        <is>
          <t>indeed</t>
        </is>
      </c>
      <c r="E21" t="inlineStr"/>
      <c r="F21" t="inlineStr"/>
      <c r="G21" t="inlineStr">
        <is>
          <t>Santa Clara, CA, US</t>
        </is>
      </c>
      <c r="H21" s="1" t="n">
        <v>46006</v>
      </c>
      <c r="I21" t="inlineStr">
        <is>
          <t>**DESCRIPTION**
---------------
Do you want to help shape the future of compute for the Amazon Web Services cloud?  
The EC2 Instance Platform organization is responsible for tackling challenging problems faced by enterprise customers via cloud\-based solutions. The team uses next\-gen technologies to develop large\-scale platforms to help customers optimally run their business.
We are hiring Senior Software Development Engineers to make Amazon Elastic Compute Cloud (EC2\) the best place to run enterprise class workloads. As part of our team you will help build next generation services that simplifies how our customers and partners configure and manage high performance computing workloads on the cloud. You will closely work with various pre\-release Amazon technologies and build services that handle large scale, highly available distributed systems.
We are looking for Software Development Engineers who are passionate about working on next\-gen technologies, who bring deep technical knowledge, and who have experience with distributed systems to drive technical design and implement end\-end solutions. If you’re into operating systems, how software interfaces with hardware, file systems, or just working on challenging software problems where performance and code size still matter, come and join us. The ideal candidate for this position is a software engineer excited to work in a cloud scale environment who has a strong track record of developing and delivering Windows user\- or kernel\-mode drivers in a system level programming language such as C/C\+\+.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conferences. Amazon’s culture of inclusion is reinforced within our 14 Leadership Principles, which remind team members to seek diverse perspectives, learn and be curious, and earn trust.  
Key job responsibilities  
This team and the role would be a good fit for you if you feel excited about the following  
* innovate and come up with a vision to bring the best system software to enterprise customers
* improve the CI/CD process across multiple services/pipelines to increase development velocity
* work collaboratively with team and other teams on solution development of both user and kernel space applications
* work with Principal / Sr. Principals and Product management team to define solution technical roadmap
* analyze business requirements and provide solution design with estimated work effort
* create architecture design with resilience, scalability, and performance
* assure the highest quality bar relentlessly with software development best practices
* participate design and code review and provide insightful suggestions across products and/or teams
* mentor junior team members and develop the best
* participate in Agile development process and influence the process refinery
A day in the life  
As a software development engineer, your daily tasks may include the following  
* Participate regularly in stand\-ups and team meetings
* Review design docs, code changes from team peers
* Design, implement, and deploy the new software solution assigned to you or owned by team
* Improve existing automation processes
* Go through backlogs related with products you or team own
* Participate in oncall rotation
* Have fun and learn new AWS services and Windows technologies.
About the team  
The EC2 Windows OST (OS Technologies) team owns the fundamental OS level software and services which enable the EC2 Windows offerings. We bring innovations to Windows OS so that Windows instances and enterprise workloads can perform best on AWS EC2 platforms. These innovations include but not limited to kernel drivers, user applications, and machine learning powered troubleshooting services. We also make efforts to provide fundamental support for other AWS teams to enable their services like Backup, High performance computing, Security and many others**BASIC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BS in CS/EE or related field with 10\+ years of experience
* MS/PhD in CS/EE or related field with 8\+ years of experience.
* Proficient in C/C\+\+
* Computer Science fundamentals in algorithms, data structures, system architecture, software engineering basics
* 5\+ years of experience in developing Windows user\-mode or kernel\-mode drivers
* Familiar with at least one Windows driver development model, such as MiniPort, NDIS, StorPort, WDM, WDF etc
* Deep understanding into OS level, familiar with either Windows or Linux kernels
* Prior experience with at least one full software development cycle from architect, design, code, review, verification, automation, debugging / system\-level troubleshooting, release / maintenance
* Good communication skills in both verbal and written forms
**PREFERRED QUALIFICATIONS**
----------------------------
* 5\+ years of full software development life cycle, including coding standards, code reviews, source control management, build processes, testing, and operations experience
* Bachelor's degree in computer science or equivalent
* Programming experience with other higher level languages, like PowerShell, Python, Rust, Golang etc
* Knowledge in storage stack, familiar with NVMe protocol, Windows file system, storage space, S2D.
* Knowledge about Virtualization technologies, Cloud\-computing concepts
* Knowledge about OS boot up sequences
* Knowledge about security concepts, like TLS, PKI, attestation, Signing, Encryption, Certificate, TPM, Secure Boot, TEE
* Knowledge about CPU technologies, like Intel SGX, Intel TDX, AMD SEV\-SNP, ARM CCA
* Experience with software performance, scale, or/and stress testing
* Knowledge or experience with software performance evaluation or benchmarking
* Comfortable in a fast\-paced, start\-up like environment
* Passion to work with mission critical services and deliver the best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in-a383a3752fdb7ba5</t>
        </is>
      </c>
      <c r="B22" t="inlineStr">
        <is>
          <t>Sr. Software Engineer - EC2 Windows OS Technologies team, EC2 Windows</t>
        </is>
      </c>
      <c r="C22" t="inlineStr">
        <is>
          <t>Amazon.com</t>
        </is>
      </c>
      <c r="D22" t="inlineStr">
        <is>
          <t>indeed</t>
        </is>
      </c>
      <c r="E22" t="inlineStr"/>
      <c r="F22" t="inlineStr"/>
      <c r="G22" t="inlineStr">
        <is>
          <t>Bellevue, WA, US</t>
        </is>
      </c>
      <c r="H22" s="1" t="n">
        <v>46006</v>
      </c>
      <c r="I22" t="inlineStr">
        <is>
          <t>**DESCRIPTION**
---------------
Do you want to help shape the future of compute for the Amazon Web Services cloud?  
The EC2 Instance Platform organization is responsible for tackling challenging problems faced by enterprise customers via cloud\-based solutions. The team uses next\-gen technologies to develop large\-scale platforms to help customers optimally run their business.
We are hiring Senior Software Development Engineers to make Amazon Elastic Compute Cloud (EC2\) the best place to run enterprise class workloads. As part of our team you will help build next generation services that simplifies how our customers and partners configure and manage high performance computing workloads on the cloud. You will closely work with various pre\-release Amazon technologies and build services that handle large scale, highly available distributed systems.
We are looking for Software Development Engineers who are passionate about working on next\-gen technologies, who bring deep technical knowledge, and who have experience with distributed systems to drive technical design and implement end\-end solutions. If you’re into operating systems, how software interfaces with hardware, file systems, or just working on challenging software problems where performance and code size still matter, come and join us. The ideal candidate for this position is a software engineer excited to work in a cloud scale environment who has a strong track record of developing and delivering Windows user\- or kernel\-mode drivers in a system level programming language such as C/C\+\+.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conferences. Amazon’s culture of inclusion is reinforced within our 14 Leadership Principles, which remind team members to seek diverse perspectives, learn and be curious, and earn trust.  
Key job responsibilities  
This team and the role would be a good fit for you if you feel excited about the following  
* innovate and come up with a vision to bring the best system software to enterprise customers
* improve the CI/CD process across multiple services/pipelines to increase development velocity
* work collaboratively with team and other teams on solution development of both user and kernel space applications
* work with Principal / Sr. Principals and Product management team to define solution technical roadmap
* analyze business requirements and provide solution design with estimated work effort
* create architecture design with resilience, scalability, and performance
* assure the highest quality bar relentlessly with software development best practices
* participate design and code review and provide insightful suggestions across products and/or teams
* mentor junior team members and develop the best
* participate in Agile development process and influence the process refinery
A day in the life  
As a software development engineer, your daily tasks may include the following  
* Participate regularly in stand\-ups and team meetings
* Review design docs, code changes from team peers
* Design, implement, and deploy the new software solution assigned to you or owned by team
* Improve existing automation processes
* Go through backlogs related with products you or team own
* Participate in oncall rotation
* Have fun and learn new AWS services and Windows technologies.
About the team  
The EC2 Windows OST (OS Technologies) team owns the fundamental OS level software and services which enable the EC2 Windows offerings. We bring innovations to Windows OS so that Windows instances and enterprise workloads can perform best on AWS EC2 platforms. These innovations include but not limited to kernel drivers, user applications, and machine learning powered troubleshooting services. We also make efforts to provide fundamental support for other AWS teams to enable their services like Backup, High performance computing, Security and many others**BASIC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BS in CS/EE or related field with 10\+ years of experience
* MS/PhD in CS/EE or related field with 8\+ years of experience.
* Proficient in C/C\+\+
* Computer Science fundamentals in algorithms, data structures, system architecture, software engineering basics
* 5\+ years of experience in developing Windows user\-mode or kernel\-mode drivers
* Familiar with at least one Windows driver development model, such as MiniPort, NDIS, StorPort, WDM, WDF etc
* Deep understanding into OS level, familiar with either Windows or Linux kernels
* Prior experience with at least one full software development cycle from architect, design, code, review, verification, automation, debugging / system\-level troubleshooting, release / maintenance
* Good communication skills in both verbal and written forms
**PREFERRED QUALIFICATIONS**
----------------------------
* 5\+ years of full software development life cycle, including coding standards, code reviews, source control management, build processes, testing, and operations experience
* Bachelor's degree in computer science or equivalent
* Programming experience with other higher level languages, like PowerShell, Python, Rust, Golang etc
* Knowledge in storage stack, familiar with NVMe protocol, Windows file system, storage space, S2D.
* Knowledge about Virtualization technologies, Cloud\-computing concepts
* Knowledge about OS boot up sequences
* Knowledge about security concepts, like TLS, PKI, attestation, Signing, Encryption, Certificate, TPM, Secure Boot, TEE
* Knowledge about CPU technologies, like Intel SGX, Intel TDX, AMD SEV\-SNP, ARM CCA
* Experience with software performance, scale, or/and stress testing
* Knowledge or experience with software performance evaluation or benchmarking
* Comfortable in a fast\-paced, start\-up like environment
* Passion to work with mission critical services and deliver the best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in-eb3459653f7441f0</t>
        </is>
      </c>
      <c r="B23" t="inlineStr">
        <is>
          <t>Software Engineer I</t>
        </is>
      </c>
      <c r="C23" t="inlineStr">
        <is>
          <t>Amazon.com</t>
        </is>
      </c>
      <c r="D23" t="inlineStr">
        <is>
          <t>indeed</t>
        </is>
      </c>
      <c r="E23" t="inlineStr"/>
      <c r="F23" t="inlineStr"/>
      <c r="G23" t="inlineStr">
        <is>
          <t>San Francisco, CA, US</t>
        </is>
      </c>
      <c r="H23" s="1" t="n">
        <v>46001</v>
      </c>
      <c r="I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in-1f60b31bed57c299</t>
        </is>
      </c>
      <c r="B24" t="inlineStr">
        <is>
          <t>Software Engineer I</t>
        </is>
      </c>
      <c r="C24" t="inlineStr">
        <is>
          <t>Amazon.com</t>
        </is>
      </c>
      <c r="D24" t="inlineStr">
        <is>
          <t>indeed</t>
        </is>
      </c>
      <c r="E24" t="inlineStr"/>
      <c r="F24" t="inlineStr"/>
      <c r="G24" t="inlineStr">
        <is>
          <t>Seattle, WA, US</t>
        </is>
      </c>
      <c r="H24" s="1" t="n">
        <v>46001</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in-dcae2e9f43dc582e</t>
        </is>
      </c>
      <c r="B25" t="inlineStr">
        <is>
          <t>Software Engineer II, Android</t>
        </is>
      </c>
      <c r="C25" t="inlineStr">
        <is>
          <t>Amazon.com</t>
        </is>
      </c>
      <c r="D25" t="inlineStr">
        <is>
          <t>indeed</t>
        </is>
      </c>
      <c r="E25" t="inlineStr"/>
      <c r="F25" t="inlineStr"/>
      <c r="G25" t="inlineStr">
        <is>
          <t>Irvine, CA, US</t>
        </is>
      </c>
      <c r="H25" s="1" t="n">
        <v>45995</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in-378b70f2653ecf4d</t>
        </is>
      </c>
      <c r="B26" t="inlineStr">
        <is>
          <t>Software Engineer II, Android</t>
        </is>
      </c>
      <c r="C26" t="inlineStr">
        <is>
          <t>Amazon.com</t>
        </is>
      </c>
      <c r="D26" t="inlineStr">
        <is>
          <t>indeed</t>
        </is>
      </c>
      <c r="E26" t="inlineStr"/>
      <c r="F26" t="inlineStr"/>
      <c r="G26" t="inlineStr">
        <is>
          <t>Seattle, WA, US</t>
        </is>
      </c>
      <c r="H26" s="1" t="n">
        <v>45995</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in-ba3b07e5d709ac66</t>
        </is>
      </c>
      <c r="B27" t="inlineStr">
        <is>
          <t>Software Engineer II, Android</t>
        </is>
      </c>
      <c r="C27" t="inlineStr">
        <is>
          <t>Amazon.com</t>
        </is>
      </c>
      <c r="D27" t="inlineStr">
        <is>
          <t>indeed</t>
        </is>
      </c>
      <c r="E27" t="inlineStr"/>
      <c r="F27" t="inlineStr"/>
      <c r="G27" t="inlineStr">
        <is>
          <t>San Francisco, CA, US</t>
        </is>
      </c>
      <c r="H27" s="1" t="n">
        <v>45995</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in-f91dba610c3bea8e</t>
        </is>
      </c>
      <c r="B28" t="inlineStr">
        <is>
          <t>Senior Embedded Software Engineer, Amazon Leo Digital RF Systems</t>
        </is>
      </c>
      <c r="C28" t="inlineStr">
        <is>
          <t>Amazon.com</t>
        </is>
      </c>
      <c r="D28" t="inlineStr">
        <is>
          <t>indeed</t>
        </is>
      </c>
      <c r="E28" t="inlineStr"/>
      <c r="F28" t="inlineStr"/>
      <c r="G28" t="inlineStr">
        <is>
          <t>Redmond, WA, US</t>
        </is>
      </c>
      <c r="H28" s="1" t="n">
        <v>45981</v>
      </c>
      <c r="I28"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29">
      <c r="A29" t="inlineStr">
        <is>
          <t>in-a09ab7fa00d37518</t>
        </is>
      </c>
      <c r="B29" t="inlineStr">
        <is>
          <t>Senior Embedded Software Engineer, Amazon Leo Digital RF Systems</t>
        </is>
      </c>
      <c r="C29" t="inlineStr">
        <is>
          <t>Amazon.com</t>
        </is>
      </c>
      <c r="D29" t="inlineStr">
        <is>
          <t>indeed</t>
        </is>
      </c>
      <c r="E29" t="inlineStr"/>
      <c r="F29" t="inlineStr"/>
      <c r="G29" t="inlineStr">
        <is>
          <t>San Diego, CA, US</t>
        </is>
      </c>
      <c r="H29" s="1" t="n">
        <v>45981</v>
      </c>
      <c r="I2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30">
      <c r="A30" t="inlineStr">
        <is>
          <t>in-f953b48099ee3c1f</t>
        </is>
      </c>
      <c r="B30" t="inlineStr">
        <is>
          <t>Software Engineer, Monetization ML</t>
        </is>
      </c>
      <c r="C30" t="inlineStr">
        <is>
          <t>Amazon.com</t>
        </is>
      </c>
      <c r="D30" t="inlineStr">
        <is>
          <t>indeed</t>
        </is>
      </c>
      <c r="E30" t="inlineStr"/>
      <c r="F30" t="inlineStr"/>
      <c r="G30" t="inlineStr">
        <is>
          <t>New York, NY, US</t>
        </is>
      </c>
      <c r="H30" s="1" t="n">
        <v>45944</v>
      </c>
      <c r="I3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31">
      <c r="A31" t="inlineStr">
        <is>
          <t>in-2bd2855901773eb5</t>
        </is>
      </c>
      <c r="B31" t="inlineStr">
        <is>
          <t>Software Engineer, Monetization ML</t>
        </is>
      </c>
      <c r="C31" t="inlineStr">
        <is>
          <t>Amazon.com</t>
        </is>
      </c>
      <c r="D31" t="inlineStr">
        <is>
          <t>indeed</t>
        </is>
      </c>
      <c r="E31" t="inlineStr"/>
      <c r="F31" t="inlineStr"/>
      <c r="G31" t="inlineStr">
        <is>
          <t>Seattle, WA, US</t>
        </is>
      </c>
      <c r="H31" s="1" t="n">
        <v>45944</v>
      </c>
      <c r="I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32">
      <c r="A32" t="inlineStr">
        <is>
          <t>in-387dd23f677e43fa</t>
        </is>
      </c>
      <c r="B32" t="inlineStr">
        <is>
          <t>Software Engineer II</t>
        </is>
      </c>
      <c r="C32" t="inlineStr">
        <is>
          <t>Amazon.com</t>
        </is>
      </c>
      <c r="D32" t="inlineStr">
        <is>
          <t>indeed</t>
        </is>
      </c>
      <c r="E32" t="inlineStr"/>
      <c r="F32" t="inlineStr"/>
      <c r="G32" t="inlineStr">
        <is>
          <t>San Francisco, CA, US</t>
        </is>
      </c>
      <c r="H32" s="1" t="n">
        <v>45938</v>
      </c>
      <c r="I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in-a1c836bcf60a99aa</t>
        </is>
      </c>
      <c r="B33" t="inlineStr">
        <is>
          <t>Software Engineer II</t>
        </is>
      </c>
      <c r="C33" t="inlineStr">
        <is>
          <t>Amazon.com</t>
        </is>
      </c>
      <c r="D33" t="inlineStr">
        <is>
          <t>indeed</t>
        </is>
      </c>
      <c r="E33" t="inlineStr"/>
      <c r="F33" t="inlineStr"/>
      <c r="G33" t="inlineStr">
        <is>
          <t>Culver City, CA, US</t>
        </is>
      </c>
      <c r="H33" s="1" t="n">
        <v>45938</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in-0540777e7baf8ca5</t>
        </is>
      </c>
      <c r="B34" t="inlineStr">
        <is>
          <t>Software Engineer II</t>
        </is>
      </c>
      <c r="C34" t="inlineStr">
        <is>
          <t>Amazon.com</t>
        </is>
      </c>
      <c r="D34" t="inlineStr">
        <is>
          <t>indeed</t>
        </is>
      </c>
      <c r="E34" t="inlineStr"/>
      <c r="F34" t="inlineStr"/>
      <c r="G34" t="inlineStr">
        <is>
          <t>Irvine, CA, US</t>
        </is>
      </c>
      <c r="H34" s="1" t="n">
        <v>45938</v>
      </c>
      <c r="I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in-3c442a9bf3c2dc10</t>
        </is>
      </c>
      <c r="B35" t="inlineStr">
        <is>
          <t>Software Engineer II</t>
        </is>
      </c>
      <c r="C35" t="inlineStr">
        <is>
          <t>Amazon.com</t>
        </is>
      </c>
      <c r="D35" t="inlineStr">
        <is>
          <t>indeed</t>
        </is>
      </c>
      <c r="E35" t="inlineStr"/>
      <c r="F35" t="inlineStr"/>
      <c r="G35" t="inlineStr">
        <is>
          <t>San Francisco, CA, US</t>
        </is>
      </c>
      <c r="H35" s="1" t="n">
        <v>45921</v>
      </c>
      <c r="I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in-88ea8b397db9ead0</t>
        </is>
      </c>
      <c r="B36" t="inlineStr">
        <is>
          <t>Software Engineer II</t>
        </is>
      </c>
      <c r="C36" t="inlineStr">
        <is>
          <t>Amazon.com</t>
        </is>
      </c>
      <c r="D36" t="inlineStr">
        <is>
          <t>indeed</t>
        </is>
      </c>
      <c r="E36" t="inlineStr"/>
      <c r="F36" t="inlineStr"/>
      <c r="G36" t="inlineStr">
        <is>
          <t>Irvine, CA, US</t>
        </is>
      </c>
      <c r="H36" s="1" t="n">
        <v>45921</v>
      </c>
      <c r="I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in-6df2cf4d40cba6b5</t>
        </is>
      </c>
      <c r="B37" t="inlineStr">
        <is>
          <t>Sr. Device Software Engineer, Amazon Leo Government</t>
        </is>
      </c>
      <c r="C37" t="inlineStr">
        <is>
          <t>Amazon.com</t>
        </is>
      </c>
      <c r="D37" t="inlineStr">
        <is>
          <t>indeed</t>
        </is>
      </c>
      <c r="E37" t="inlineStr"/>
      <c r="F37" t="inlineStr"/>
      <c r="G37" t="inlineStr">
        <is>
          <t>Arlington, VA, US</t>
        </is>
      </c>
      <c r="H37" s="1" t="n">
        <v>45911</v>
      </c>
      <c r="I37"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38">
      <c r="A38" t="inlineStr">
        <is>
          <t>in-e80281145216b25e</t>
        </is>
      </c>
      <c r="B38" t="inlineStr">
        <is>
          <t>Sr. Device Software Engineer, Amazon Leo Government</t>
        </is>
      </c>
      <c r="C38" t="inlineStr">
        <is>
          <t>Amazon.com</t>
        </is>
      </c>
      <c r="D38" t="inlineStr">
        <is>
          <t>indeed</t>
        </is>
      </c>
      <c r="E38" t="inlineStr"/>
      <c r="F38" t="inlineStr"/>
      <c r="G38" t="inlineStr">
        <is>
          <t>El Segundo, CA, US</t>
        </is>
      </c>
      <c r="H38" s="1" t="n">
        <v>45911</v>
      </c>
      <c r="I38"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39">
      <c r="A39" t="inlineStr">
        <is>
          <t>in-21450e89e228d37e</t>
        </is>
      </c>
      <c r="B39" t="inlineStr">
        <is>
          <t>Sr. Device Software Engineer, Amazon Leo Government</t>
        </is>
      </c>
      <c r="C39" t="inlineStr">
        <is>
          <t>Amazon.com</t>
        </is>
      </c>
      <c r="D39" t="inlineStr">
        <is>
          <t>indeed</t>
        </is>
      </c>
      <c r="E39" t="inlineStr"/>
      <c r="F39" t="inlineStr"/>
      <c r="G39" t="inlineStr">
        <is>
          <t>Redmond, WA, US</t>
        </is>
      </c>
      <c r="H39" s="1" t="n">
        <v>45911</v>
      </c>
      <c r="I39"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40">
      <c r="A40" t="inlineStr">
        <is>
          <t>in-2b40bdf9f2ad7518</t>
        </is>
      </c>
      <c r="B40" t="inlineStr">
        <is>
          <t>Sr. Device Software Engineer, Amazon Leo Government</t>
        </is>
      </c>
      <c r="C40" t="inlineStr">
        <is>
          <t>Amazon.com</t>
        </is>
      </c>
      <c r="D40" t="inlineStr">
        <is>
          <t>indeed</t>
        </is>
      </c>
      <c r="E40" t="inlineStr"/>
      <c r="F40" t="inlineStr"/>
      <c r="G40" t="inlineStr">
        <is>
          <t>Northridge, CA, US</t>
        </is>
      </c>
      <c r="H40" s="1" t="n">
        <v>45911</v>
      </c>
      <c r="I40"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41">
      <c r="A41" t="inlineStr">
        <is>
          <t>in-207f2598f569fa47</t>
        </is>
      </c>
      <c r="B41" t="inlineStr">
        <is>
          <t>Device Software Engineer, Amazon Leo Government</t>
        </is>
      </c>
      <c r="C41" t="inlineStr">
        <is>
          <t>Amazon.com</t>
        </is>
      </c>
      <c r="D41" t="inlineStr">
        <is>
          <t>indeed</t>
        </is>
      </c>
      <c r="E41" t="inlineStr"/>
      <c r="F41" t="inlineStr"/>
      <c r="G41" t="inlineStr">
        <is>
          <t>Northridge, CA, US</t>
        </is>
      </c>
      <c r="H41" s="1" t="n">
        <v>45910</v>
      </c>
      <c r="I41"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42">
      <c r="A42" t="inlineStr">
        <is>
          <t>in-a1d0aa7955cff6c6</t>
        </is>
      </c>
      <c r="B42" t="inlineStr">
        <is>
          <t>Device Software Engineer, Amazon Leo Government</t>
        </is>
      </c>
      <c r="C42" t="inlineStr">
        <is>
          <t>Amazon.com</t>
        </is>
      </c>
      <c r="D42" t="inlineStr">
        <is>
          <t>indeed</t>
        </is>
      </c>
      <c r="E42" t="inlineStr"/>
      <c r="F42" t="inlineStr"/>
      <c r="G42" t="inlineStr">
        <is>
          <t>Redmond, WA, US</t>
        </is>
      </c>
      <c r="H42" s="1" t="n">
        <v>45910</v>
      </c>
      <c r="I42"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43">
      <c r="A43" t="inlineStr">
        <is>
          <t>in-23ae7f92f862383e</t>
        </is>
      </c>
      <c r="B43" t="inlineStr">
        <is>
          <t>Device Software Engineer, Amazon Leo Government</t>
        </is>
      </c>
      <c r="C43" t="inlineStr">
        <is>
          <t>Amazon.com</t>
        </is>
      </c>
      <c r="D43" t="inlineStr">
        <is>
          <t>indeed</t>
        </is>
      </c>
      <c r="E43" t="inlineStr"/>
      <c r="F43" t="inlineStr"/>
      <c r="G43" t="inlineStr">
        <is>
          <t>Arlington, VA, US</t>
        </is>
      </c>
      <c r="H43" s="1" t="n">
        <v>45910</v>
      </c>
      <c r="I43"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44">
      <c r="A44" t="inlineStr">
        <is>
          <t>in-d64d8d7c04769e10</t>
        </is>
      </c>
      <c r="B44" t="inlineStr">
        <is>
          <t>Device Software Engineer, Amazon Leo Government</t>
        </is>
      </c>
      <c r="C44" t="inlineStr">
        <is>
          <t>Amazon.com</t>
        </is>
      </c>
      <c r="D44" t="inlineStr">
        <is>
          <t>indeed</t>
        </is>
      </c>
      <c r="E44" t="inlineStr"/>
      <c r="F44" t="inlineStr"/>
      <c r="G44" t="inlineStr">
        <is>
          <t>El Segundo, CA, US</t>
        </is>
      </c>
      <c r="H44" s="1" t="n">
        <v>45910</v>
      </c>
      <c r="I44"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45">
      <c r="A45" t="inlineStr">
        <is>
          <t>in-b9b23232ddd6b257</t>
        </is>
      </c>
      <c r="B45" t="inlineStr">
        <is>
          <t>Software Engineer I- Ad Demand</t>
        </is>
      </c>
      <c r="C45" t="inlineStr">
        <is>
          <t>Amazon.com</t>
        </is>
      </c>
      <c r="D45" t="inlineStr">
        <is>
          <t>indeed</t>
        </is>
      </c>
      <c r="E45" t="inlineStr"/>
      <c r="F45" t="inlineStr"/>
      <c r="G45" t="inlineStr">
        <is>
          <t>San Francisco, CA, US</t>
        </is>
      </c>
      <c r="H45" s="1" t="n">
        <v>45908</v>
      </c>
      <c r="I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in-537ef74fc9de2ed6</t>
        </is>
      </c>
      <c r="B46" t="inlineStr">
        <is>
          <t>Software Engineer I- Ad Demand</t>
        </is>
      </c>
      <c r="C46" t="inlineStr">
        <is>
          <t>Amazon.com</t>
        </is>
      </c>
      <c r="D46" t="inlineStr">
        <is>
          <t>indeed</t>
        </is>
      </c>
      <c r="E46" t="inlineStr"/>
      <c r="F46" t="inlineStr"/>
      <c r="G46" t="inlineStr">
        <is>
          <t>New York, NY, US</t>
        </is>
      </c>
      <c r="H46" s="1" t="n">
        <v>45908</v>
      </c>
      <c r="I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in-97b389d6ce4729f9</t>
        </is>
      </c>
      <c r="B47" t="inlineStr">
        <is>
          <t>Software Developer Engineer - iOS, Ring</t>
        </is>
      </c>
      <c r="C47" t="inlineStr">
        <is>
          <t>Amazon.com</t>
        </is>
      </c>
      <c r="D47" t="inlineStr">
        <is>
          <t>indeed</t>
        </is>
      </c>
      <c r="E47" t="inlineStr"/>
      <c r="F47" t="inlineStr"/>
      <c r="G47" t="inlineStr">
        <is>
          <t>Irvine, CA, US</t>
        </is>
      </c>
      <c r="H47" s="1" t="n">
        <v>45812</v>
      </c>
      <c r="I47"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in-72d24c9f8e9e127d</t>
        </is>
      </c>
      <c r="B48" t="inlineStr">
        <is>
          <t>Software Developer Engineer - iOS, Ring</t>
        </is>
      </c>
      <c r="C48" t="inlineStr">
        <is>
          <t>Amazon.com</t>
        </is>
      </c>
      <c r="D48" t="inlineStr">
        <is>
          <t>indeed</t>
        </is>
      </c>
      <c r="E48" t="inlineStr"/>
      <c r="F48" t="inlineStr"/>
      <c r="G48" t="inlineStr">
        <is>
          <t>Hawthorne, CA, US</t>
        </is>
      </c>
      <c r="H48" s="1" t="n">
        <v>45812</v>
      </c>
      <c r="I48"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in-d30ff4bc3ed819ae</t>
        </is>
      </c>
      <c r="B49" t="inlineStr">
        <is>
          <t>Software Developer Engineer - iOS, Ring</t>
        </is>
      </c>
      <c r="C49" t="inlineStr">
        <is>
          <t>Amazon.com</t>
        </is>
      </c>
      <c r="D49" t="inlineStr">
        <is>
          <t>indeed</t>
        </is>
      </c>
      <c r="E49" t="inlineStr"/>
      <c r="F49" t="inlineStr"/>
      <c r="G49" t="inlineStr">
        <is>
          <t>Austin, TX, US</t>
        </is>
      </c>
      <c r="H49" s="1" t="n">
        <v>45812</v>
      </c>
      <c r="I49"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in-2bd154e9cf89d68a</t>
        </is>
      </c>
      <c r="B50" t="inlineStr">
        <is>
          <t>Senior Software Engineer - Query Processing, Aurora DSQL</t>
        </is>
      </c>
      <c r="C50" t="inlineStr">
        <is>
          <t>Amazon Web Services</t>
        </is>
      </c>
      <c r="D50" t="inlineStr">
        <is>
          <t>indeed</t>
        </is>
      </c>
      <c r="E50" t="inlineStr"/>
      <c r="F50" t="inlineStr"/>
      <c r="G50" t="inlineStr">
        <is>
          <t>Seattle, WA, US</t>
        </is>
      </c>
      <c r="H50" s="1" t="n">
        <v>45796</v>
      </c>
      <c r="I50"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in-91b3ee09d356d25d</t>
        </is>
      </c>
      <c r="B51" t="inlineStr">
        <is>
          <t>Senior Software Engineer - Query Processing, Aurora DSQL</t>
        </is>
      </c>
      <c r="C51" t="inlineStr">
        <is>
          <t>Amazon Web Services</t>
        </is>
      </c>
      <c r="D51" t="inlineStr">
        <is>
          <t>indeed</t>
        </is>
      </c>
      <c r="E51" t="inlineStr"/>
      <c r="F51" t="inlineStr"/>
      <c r="G51" t="inlineStr">
        <is>
          <t>East Palo Alto, CA, US</t>
        </is>
      </c>
      <c r="H51" s="1" t="n">
        <v>45796</v>
      </c>
      <c r="I5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in-7e8a955034bc4868</t>
        </is>
      </c>
      <c r="B52" t="inlineStr">
        <is>
          <t>Java Fullstack Engineer with AI</t>
        </is>
      </c>
      <c r="C52" t="inlineStr">
        <is>
          <t>Openkyber</t>
        </is>
      </c>
      <c r="D52" t="inlineStr">
        <is>
          <t>indeed</t>
        </is>
      </c>
      <c r="E52">
        <f>HYPERLINK("https://www.indeed.com/viewjob?jk=7e8a955034bc4868", "https://www.indeed.com/viewjob?jk=7e8a955034bc4868")</f>
        <v/>
      </c>
      <c r="F52">
        <f>HYPERLINK("https://candidateportal.ceipal.com/job-details/1xFeBhkAbbQCTg5CTXiLBAOmwWG34zVLbLhVN6H7u7g#.job_boards.Indeed", "https://candidateportal.ceipal.com/job-details/1xFeBhkAbbQCTg5CTXiLBAOmwWG34zVLbLhVN6H7u7g#.job_boards.Indeed")</f>
        <v/>
      </c>
      <c r="G52" t="inlineStr">
        <is>
          <t>NY, US</t>
        </is>
      </c>
      <c r="H52" s="2" t="n">
        <v>46088</v>
      </c>
      <c r="I52" t="inlineStr">
        <is>
          <t>Job Title : Java FSD with AI Experience Job location : NYC, NY Job Type: Contract Interview Mode : Virtual \+ In person Key AI Skills: GitHub CoPilot and OpenAI LLM Models and Prompt Engineering.
Job Functions/Duties and Responsibilities:
* Work closely with Product Owners, Business analysts and other IT partners located globally on day\-to\-day basis to ensure smooth delivery of projects
* Understand, follow, and ensure that system architecture and integration design standards are in alignment with broader platform strategies and business goals.
* Provide stable technical solutions which are robust and scalable as per business needs.
* Estimate, prioritize, plan and coordinate requirements based on the project
* Provide hands\-on code development and test coverage based on the project delivery needs
* Actively contribute and participate in sprint grooming and planning discussions, daily stand\-ups, and Agile ceremonies
* Stay up to date with new development best practices/approaches, tools and test coverage strategies
**Skills Required:**
* Work experience primarily with building enterprise server\-side applications using J2EE Technologies
* Excellent Core Java, Spring and Hibernate programming skills
* Excellent Design skills (Design Patterns)
* Work experience with hands\-on experience Java/JEE, Spring, ORM / Hibernate, XML, XPath, XSLT, Web services \- RESTful, Webserver (Apache Tomcat preferred)
* Excellent analytical and problem\-solving skills
* Experience with Junit, J\-Profiler/J\-probe (any profiling tool)
* Proficiency in usage of SQL queries for databases (Sybase or DB2 preferred)
* Expertise in working with XML, XSLT and SOAP, and JSON formats
* Strong analytical and problem\-solving skills
* Excellent communication, organizational, and planning skills
* Working experience of Agile development methodologies and of DevOps integration
* Exposure to JIRA or other ALM tools to create a productive, high\-quality development
* Ability to work in a fast paced and dynamic environment
* Exposure or Working Experience using AI tools and models
**Skills Desired:**
* Good understanding / experience in the following technologies would be a plus
* Strong Foundation and/or working knowledge of UI Technologies (Angular, JS, React)
* Proficient in Test Driven Development
* Knowledge of Financial Market, Banking products, and Wealth Management
* Knowledge of Unix or Linux development
**Educational Qualification:** Minimum BS degree in Computer Science, Engineering, or a related field
**For applications and inquiries, contact:** hirings@openkyber.com</t>
        </is>
      </c>
    </row>
    <row r="53">
      <c r="A53" t="inlineStr">
        <is>
          <t>in-0674a73b128285df</t>
        </is>
      </c>
      <c r="B53" t="inlineStr">
        <is>
          <t>Java Fullstack Engineer with AI</t>
        </is>
      </c>
      <c r="C53" t="inlineStr">
        <is>
          <t>Openkyber</t>
        </is>
      </c>
      <c r="D53" t="inlineStr">
        <is>
          <t>indeed</t>
        </is>
      </c>
      <c r="E53">
        <f>HYPERLINK("https://www.indeed.com/viewjob?jk=0674a73b128285df", "https://www.indeed.com/viewjob?jk=0674a73b128285df")</f>
        <v/>
      </c>
      <c r="F53">
        <f>HYPERLINK("https://candidateportal.ceipal.com/job-details/UIIxNNXtQjJtGcOFdEZidy4qdKfgRi641T6Eglt8HRg#.job_boards.Indeed", "https://candidateportal.ceipal.com/job-details/UIIxNNXtQjJtGcOFdEZidy4qdKfgRi641T6Eglt8HRg#.job_boards.Indeed")</f>
        <v/>
      </c>
      <c r="G53" t="inlineStr">
        <is>
          <t>GA, US</t>
        </is>
      </c>
      <c r="H53" s="2" t="n">
        <v>46088</v>
      </c>
      <c r="I53" t="inlineStr">
        <is>
          <t>**Job Expectations:** Lead engineering teams through modern development practices including automation, AI?assisted development, and cloud\-native engineering Champion engineering excellence, code quality, and continuous improvement Promote proactive operational resiliency through automated monitoring, alerting, and self\-healing patterns Drive modernization of legacy systems, introducing automation, simplification, and cloud adoption strategies Support on\-call or production duties as required
\-
Lead complex, enterprise\-wide technology initiatives with broad technical impact Define and advocate engineering standards, patterns, and best practices Design, develop, test, and document full\-stack solutions using Java, Spring Boot, React and/or Angular Drive adoption of AI\-assisted engineering , including code generation, test automation, pipeline optimization, and documentation automation Implement and promote automation\-first practices across CI/CD pipelines, testing frameworks, and operational processes Architect and implement event\-driven and streaming solutions using Apache Kafka Evaluate opportunities to infuse GenAI capabilities into products and internal engineering workflows Analyze large\-scale systems, identify architectural improvements, and drive modernization Partner with cross\-functional teams including architecture, DevOps, platform engineering, cybersecurity, and business stakeholders Mentor engineers, foster engineering excellence, and lead technical design decisions Participate in code reviews, design reviews, and production support Ensure solutions meet enterprise security, compliance, and regulatory standards
**Desired Qualifications:** Advanced proficiency in Java, Spring Boot , microservices architecture Strong front\-end engineering experience in React and/or Angular Experience with event\-driven architectures and Apache Kafka Hands\-on experience with both RDBMS and NoSQL data systems Experience deploying applications on Oracle Cloud Platform (OCP) or equivalent enterprise cloud providers Demonstrated experience using Generative AI or AI\-assisted engineering tools , including: Code generation / code completion Automated test generation AI\-driven code reviews Automated documentation creation Integrating LLM\-based capabilities into applications Strong understanding of DevOps , CI/CD automation, and containerization (Docker/Kubernetes) Experience with infrastructure automation , build pipeline automation, and continuous testing Knowledge of secure coding, authentication, authorization, encryption, and data protection Strong communication skills and experience collaborating with architects, product owners, and senior stakeholders Experience working in Agile/Scrum environments Background in banking, financial services , or other regulated industries is a plus
Dexian stands at the forefront of Talent \+ Technology solutions with a presence spanning more than 70 locations worldwide and a team exceeding 10,000 professionals. As one of the largest technology and professional staffing companies and one of the largest minority\-owned staffing companies in the United States, OpenKyber combines over 30 years of industry expertise with cutting\-edge technologies to deliver comprehensive global services and support. OpenKyber connects the right talent and the right technology with the right organizations to deliver trajectory\-changing results that help everyone achieve their ambitions and goals. To learn more, please visit . OpenKyber is an Equal Opportunity Employer that recruits and hires qualified candidates without regard to race, religion, sex, sexual orientation, gender identity, age, national origin, ancestry, citizenship, disability, or veteran status.
**For applications and inquiries, contact:** hirings@openkyber.com</t>
        </is>
      </c>
    </row>
    <row r="54">
      <c r="A54" t="inlineStr">
        <is>
          <t>in-a030347309becf37</t>
        </is>
      </c>
      <c r="B54" t="inlineStr">
        <is>
          <t>Software Engineer</t>
        </is>
      </c>
      <c r="C54" t="inlineStr">
        <is>
          <t>Amazon.com</t>
        </is>
      </c>
      <c r="D54" t="inlineStr">
        <is>
          <t>indeed</t>
        </is>
      </c>
      <c r="E54">
        <f>HYPERLINK("https://www.indeed.com/viewjob?jk=a030347309becf37", "https://www.indeed.com/viewjob?jk=a030347309becf37")</f>
        <v/>
      </c>
      <c r="F54">
        <f>HYPERLINK("https://www.amazon.jobs/jobs/3145977/software-engineer?cmpid=DA_INAD200785B", "https://www.amazon.jobs/jobs/3145977/software-engineer?cmpid=DA_INAD200785B")</f>
        <v/>
      </c>
      <c r="G54" t="inlineStr">
        <is>
          <t>San Francisco, CA, US</t>
        </is>
      </c>
      <c r="H54" s="2" t="n">
        <v>46008</v>
      </c>
      <c r="I5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in-67c669ce04b392b9</t>
        </is>
      </c>
      <c r="B55" t="inlineStr">
        <is>
          <t>Software Engineer</t>
        </is>
      </c>
      <c r="C55" t="inlineStr">
        <is>
          <t>Amazon.com</t>
        </is>
      </c>
      <c r="D55" t="inlineStr">
        <is>
          <t>indeed</t>
        </is>
      </c>
      <c r="E55">
        <f>HYPERLINK("https://www.indeed.com/viewjob?jk=67c669ce04b392b9", "https://www.indeed.com/viewjob?jk=67c669ce04b392b9")</f>
        <v/>
      </c>
      <c r="F55">
        <f>HYPERLINK("https://www.amazon.jobs/jobs/3145977/software-engineer?cmpid=DA_INAD200785B", "https://www.amazon.jobs/jobs/3145977/software-engineer?cmpid=DA_INAD200785B")</f>
        <v/>
      </c>
      <c r="G55" t="inlineStr">
        <is>
          <t>Seattle, WA, US</t>
        </is>
      </c>
      <c r="H55" s="2" t="n">
        <v>46008</v>
      </c>
      <c r="I5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in-6de4b7a6453417ac</t>
        </is>
      </c>
      <c r="B56" t="inlineStr">
        <is>
          <t>Software Engineer II</t>
        </is>
      </c>
      <c r="C56" t="inlineStr">
        <is>
          <t>Amazon.com</t>
        </is>
      </c>
      <c r="D56" t="inlineStr">
        <is>
          <t>indeed</t>
        </is>
      </c>
      <c r="E56">
        <f>HYPERLINK("https://www.indeed.com/viewjob?jk=6de4b7a6453417ac", "https://www.indeed.com/viewjob?jk=6de4b7a6453417ac")</f>
        <v/>
      </c>
      <c r="F56">
        <f>HYPERLINK("https://www.amazon.jobs/jobs/3104730/software-engineer-ii?cmpid=DA_INAD200785B", "https://www.amazon.jobs/jobs/3104730/software-engineer-ii?cmpid=DA_INAD200785B")</f>
        <v/>
      </c>
      <c r="G56" t="inlineStr">
        <is>
          <t>San Francisco, CA, US</t>
        </is>
      </c>
      <c r="H56" s="2" t="n">
        <v>45938</v>
      </c>
      <c r="I5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in-c76ad77b10863ec6</t>
        </is>
      </c>
      <c r="B57" t="inlineStr">
        <is>
          <t>Software Engineer II</t>
        </is>
      </c>
      <c r="C57" t="inlineStr">
        <is>
          <t>Amazon.com</t>
        </is>
      </c>
      <c r="D57" t="inlineStr">
        <is>
          <t>indeed</t>
        </is>
      </c>
      <c r="E57">
        <f>HYPERLINK("https://www.indeed.com/viewjob?jk=c76ad77b10863ec6", "https://www.indeed.com/viewjob?jk=c76ad77b10863ec6")</f>
        <v/>
      </c>
      <c r="F57">
        <f>HYPERLINK("https://www.amazon.jobs/jobs/3104730/software-engineer-ii?cmpid=DA_INAD200785B", "https://www.amazon.jobs/jobs/3104730/software-engineer-ii?cmpid=DA_INAD200785B")</f>
        <v/>
      </c>
      <c r="G57" t="inlineStr">
        <is>
          <t>Irvine, CA, US</t>
        </is>
      </c>
      <c r="H57" s="2" t="n">
        <v>45938</v>
      </c>
      <c r="I5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in-387dd23f677e43fa</t>
        </is>
      </c>
      <c r="B58" t="inlineStr">
        <is>
          <t>Software Engineer II</t>
        </is>
      </c>
      <c r="C58" t="inlineStr">
        <is>
          <t>Amazon.com</t>
        </is>
      </c>
      <c r="D58" t="inlineStr">
        <is>
          <t>indeed</t>
        </is>
      </c>
      <c r="E58">
        <f>HYPERLINK("https://www.indeed.com/viewjob?jk=387dd23f677e43fa", "https://www.indeed.com/viewjob?jk=387dd23f677e43fa")</f>
        <v/>
      </c>
      <c r="F58">
        <f>HYPERLINK("https://www.amazon.jobs/jobs/3104734/software-engineer-ii?cmpid=DA_INAD200785B", "https://www.amazon.jobs/jobs/3104734/software-engineer-ii?cmpid=DA_INAD200785B")</f>
        <v/>
      </c>
      <c r="G58" t="inlineStr">
        <is>
          <t>San Francisco, CA, US</t>
        </is>
      </c>
      <c r="H58" s="2" t="n">
        <v>45938</v>
      </c>
      <c r="I5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in-a1c836bcf60a99aa</t>
        </is>
      </c>
      <c r="B59" t="inlineStr">
        <is>
          <t>Software Engineer II</t>
        </is>
      </c>
      <c r="C59" t="inlineStr">
        <is>
          <t>Amazon.com</t>
        </is>
      </c>
      <c r="D59" t="inlineStr">
        <is>
          <t>indeed</t>
        </is>
      </c>
      <c r="E59">
        <f>HYPERLINK("https://www.indeed.com/viewjob?jk=a1c836bcf60a99aa", "https://www.indeed.com/viewjob?jk=a1c836bcf60a99aa")</f>
        <v/>
      </c>
      <c r="F59">
        <f>HYPERLINK("https://www.amazon.jobs/jobs/3104734/software-engineer-ii?cmpid=DA_INAD200785B", "https://www.amazon.jobs/jobs/3104734/software-engineer-ii?cmpid=DA_INAD200785B")</f>
        <v/>
      </c>
      <c r="G59" t="inlineStr">
        <is>
          <t>Culver City, CA, US</t>
        </is>
      </c>
      <c r="H59" s="2" t="n">
        <v>45938</v>
      </c>
      <c r="I5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in-0540777e7baf8ca5</t>
        </is>
      </c>
      <c r="B60" t="inlineStr">
        <is>
          <t>Software Engineer II</t>
        </is>
      </c>
      <c r="C60" t="inlineStr">
        <is>
          <t>Amazon.com</t>
        </is>
      </c>
      <c r="D60" t="inlineStr">
        <is>
          <t>indeed</t>
        </is>
      </c>
      <c r="E60">
        <f>HYPERLINK("https://www.indeed.com/viewjob?jk=0540777e7baf8ca5", "https://www.indeed.com/viewjob?jk=0540777e7baf8ca5")</f>
        <v/>
      </c>
      <c r="F60">
        <f>HYPERLINK("https://www.amazon.jobs/jobs/3104734/software-engineer-ii?cmpid=DA_INAD200785B", "https://www.amazon.jobs/jobs/3104734/software-engineer-ii?cmpid=DA_INAD200785B")</f>
        <v/>
      </c>
      <c r="G60" t="inlineStr">
        <is>
          <t>Irvine, CA, US</t>
        </is>
      </c>
      <c r="H60" s="2" t="n">
        <v>45938</v>
      </c>
      <c r="I6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in-3c442a9bf3c2dc10</t>
        </is>
      </c>
      <c r="B61" t="inlineStr">
        <is>
          <t>Software Engineer II</t>
        </is>
      </c>
      <c r="C61" t="inlineStr">
        <is>
          <t>Amazon.com</t>
        </is>
      </c>
      <c r="D61" t="inlineStr">
        <is>
          <t>indeed</t>
        </is>
      </c>
      <c r="E61">
        <f>HYPERLINK("https://www.indeed.com/viewjob?jk=3c442a9bf3c2dc10", "https://www.indeed.com/viewjob?jk=3c442a9bf3c2dc10")</f>
        <v/>
      </c>
      <c r="F61">
        <f>HYPERLINK("https://www.amazon.jobs/jobs/3090680/software-engineer-ii?cmpid=DA_INAD200785B", "https://www.amazon.jobs/jobs/3090680/software-engineer-ii?cmpid=DA_INAD200785B")</f>
        <v/>
      </c>
      <c r="G61" t="inlineStr">
        <is>
          <t>San Francisco, CA, US</t>
        </is>
      </c>
      <c r="H61" s="2" t="n">
        <v>45921</v>
      </c>
      <c r="I6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in-88ea8b397db9ead0</t>
        </is>
      </c>
      <c r="B62" t="inlineStr">
        <is>
          <t>Software Engineer II</t>
        </is>
      </c>
      <c r="C62" t="inlineStr">
        <is>
          <t>Amazon.com</t>
        </is>
      </c>
      <c r="D62" t="inlineStr">
        <is>
          <t>indeed</t>
        </is>
      </c>
      <c r="E62">
        <f>HYPERLINK("https://www.indeed.com/viewjob?jk=88ea8b397db9ead0", "https://www.indeed.com/viewjob?jk=88ea8b397db9ead0")</f>
        <v/>
      </c>
      <c r="F62">
        <f>HYPERLINK("https://www.amazon.jobs/jobs/3090680/software-engineer-ii?cmpid=DA_INAD200785B", "https://www.amazon.jobs/jobs/3090680/software-engineer-ii?cmpid=DA_INAD200785B")</f>
        <v/>
      </c>
      <c r="G62" t="inlineStr">
        <is>
          <t>Irvine, CA, US</t>
        </is>
      </c>
      <c r="H62" s="2" t="n">
        <v>45921</v>
      </c>
      <c r="I6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in-b9b23232ddd6b257</t>
        </is>
      </c>
      <c r="B63" t="inlineStr">
        <is>
          <t>Software Engineer I- Ad Demand</t>
        </is>
      </c>
      <c r="C63" t="inlineStr">
        <is>
          <t>Amazon.com</t>
        </is>
      </c>
      <c r="D63" t="inlineStr">
        <is>
          <t>indeed</t>
        </is>
      </c>
      <c r="E63">
        <f>HYPERLINK("https://www.indeed.com/viewjob?jk=b9b23232ddd6b257", "https://www.indeed.com/viewjob?jk=b9b23232ddd6b257")</f>
        <v/>
      </c>
      <c r="F63">
        <f>HYPERLINK("https://www.amazon.jobs/jobs/3082168/software-engineer-i-ad-demand?cmpid=DA_INAD200785B", "https://www.amazon.jobs/jobs/3082168/software-engineer-i-ad-demand?cmpid=DA_INAD200785B")</f>
        <v/>
      </c>
      <c r="G63" t="inlineStr">
        <is>
          <t>San Francisco, CA, US</t>
        </is>
      </c>
      <c r="H63" s="2" t="n">
        <v>45908</v>
      </c>
      <c r="I6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in-537ef74fc9de2ed6</t>
        </is>
      </c>
      <c r="B64" t="inlineStr">
        <is>
          <t>Software Engineer I- Ad Demand</t>
        </is>
      </c>
      <c r="C64" t="inlineStr">
        <is>
          <t>Amazon.com</t>
        </is>
      </c>
      <c r="D64" t="inlineStr">
        <is>
          <t>indeed</t>
        </is>
      </c>
      <c r="E64">
        <f>HYPERLINK("https://www.indeed.com/viewjob?jk=537ef74fc9de2ed6", "https://www.indeed.com/viewjob?jk=537ef74fc9de2ed6")</f>
        <v/>
      </c>
      <c r="F64">
        <f>HYPERLINK("https://www.amazon.jobs/jobs/3082168/software-engineer-i-ad-demand?cmpid=DA_INAD200785B", "https://www.amazon.jobs/jobs/3082168/software-engineer-i-ad-demand?cmpid=DA_INAD200785B")</f>
        <v/>
      </c>
      <c r="G64" t="inlineStr">
        <is>
          <t>New York, NY, US</t>
        </is>
      </c>
      <c r="H64" s="2" t="n">
        <v>45908</v>
      </c>
      <c r="I6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in-e3c3155b0224fd46</t>
        </is>
      </c>
      <c r="B65" t="inlineStr">
        <is>
          <t>Java Fullstack Engineer with AI</t>
        </is>
      </c>
      <c r="C65" t="inlineStr">
        <is>
          <t>Openkyber</t>
        </is>
      </c>
      <c r="D65" t="inlineStr">
        <is>
          <t>indeed</t>
        </is>
      </c>
      <c r="E65">
        <f>HYPERLINK("https://www.indeed.com/viewjob?jk=e3c3155b0224fd46", "https://www.indeed.com/viewjob?jk=e3c3155b0224fd46")</f>
        <v/>
      </c>
      <c r="F65">
        <f>HYPERLINK("https://candidateportal.ceipal.com/job-details/eYoQxp4pn_yBOZoeCj43FWjER8wrOELbOD44CZlVq0c#.job_boards.Indeed", "https://candidateportal.ceipal.com/job-details/eYoQxp4pn_yBOZoeCj43FWjER8wrOELbOD44CZlVq0c#.job_boards.Indeed")</f>
        <v/>
      </c>
      <c r="G65" t="inlineStr">
        <is>
          <t>TX, US</t>
        </is>
      </c>
      <c r="H65" s="2" t="n">
        <v>46088</v>
      </c>
      <c r="I65" t="inlineStr">
        <is>
          <t>PySpark Data Engineer Plano, TX / Jersey City, NJ Dob \- 1994 or before only only locals In\-person Client interview required JD Skills:
* **Python** \- 1st priority
* **PySpark** \- 1st priority
* Java spark 2nd Priority
* data engineer with developing pipelines using Python, Pyspark, JavaSPark on AWS environment
* Should know how to create data pipelines, end to end process, monitoring, performance improvements, data analysis, strong SQL
* AWS Knowledge \- how data pipelines work / DPL Pyspark and DPL with Javaspark
* CICD, Jules Build, Promotion, Automated testing
* Database \- Snowflake, Teradata
* Good knowledge of data modeling
* AIML knowledge LLMSuite, Open AI. Copilot
**For applications and inquiries, contact:** hirings@openkyber.com</t>
        </is>
      </c>
    </row>
    <row r="66">
      <c r="A66" t="inlineStr">
        <is>
          <t>in-d8bc489ccb872bee</t>
        </is>
      </c>
      <c r="B66" t="inlineStr">
        <is>
          <t>Staff Software Engineer</t>
        </is>
      </c>
      <c r="C66" t="inlineStr">
        <is>
          <t>Intuit</t>
        </is>
      </c>
      <c r="D66" t="inlineStr">
        <is>
          <t>indeed</t>
        </is>
      </c>
      <c r="E66">
        <f>HYPERLINK("https://www.indeed.com/viewjob?jk=d8bc489ccb872bee", "https://www.indeed.com/viewjob?jk=d8bc489ccb872bee")</f>
        <v/>
      </c>
      <c r="F66">
        <f>HYPERLINK("https://dsp.prng.co/JaLnusb", "https://dsp.prng.co/JaLnusb")</f>
        <v/>
      </c>
      <c r="G66" t="inlineStr">
        <is>
          <t>Mountain View, CA, US</t>
        </is>
      </c>
      <c r="H66" s="2" t="n">
        <v>46088</v>
      </c>
      <c r="I66" t="inlineStr">
        <is>
          <t>**Overview**
------------
Come join the **Virtual Expert Platform Data Engineering Team** as a **Staff** **Software Engineer**. Intuit is the global leader in financial management software where we have pioneered the shift to Virtual Platforms, cloud computing for consumers, small businesses and those that serve them. Intuit moves as fast as a startup, and we are constantly disrupting ourselves as we identify major new technology and design trends that are needed to deliver our mission to power prosperity around the world. Our groups are fast\-paced teams focused on delivering innovative capabilities and having fun while doing it. **Responsibilities**
* Drive projects in the VEP Data Engineering by working cross\-functionally with Product Management, Project Management, Data Architects, Data Scientists, Data Analysts, Software Engineers, and other Data Engineers etc.
* Customer empathy and delight will be the main drivers for success
* 70\-85% hands\-on development in all phases of the software life cycle.
* Designing end to end data pipeline given business and ops requirements (ingestion, processing and storage). Conduct design and code reviews.
* Own the tech vision and strategy for multiple domains or capabilities
* Identify dependencies, estimate work, sequence tasks as inputs to building project plans
* Build GenAI based solutions to solve for customers/Experts benefit or internal productivity gains.
* Collaborates effectively with peer engineers and architects to solve complex engineering problems
* Influences and communicates effectively with non\-technical audiences including senior product managers and business stakeholders
* Focus on operational excellence through root cause analysis and continuous improvement.
* Ability to proactively follow issues through to resolution.
* Contribute to innovations that fuel the growth of Intuit as a whole
 **Qualifications**
* 10\+ years software development experience with work experience in developing DB schemas, creating ETLs, and familiarity with MPP/Hadoop systems.
* Advanced experience with scripting language – Python, Shell etc.
* Experience with Amazon web services: EC2, S3, and EMR (Elastic Map
* Reduce), Redshift or equivalent cloud computing approaches
* Hands on experience with Hadoop stack of technologies – mainly Hive, Hive on Spark
* Big Data: Designing, Building and maintaining highly scalable, robust \&amp; fault\-tolerant complex data processing pipelines from the ground up
* Experience working with large data volumes
* Experience creating and consuming JSON/REST web services and
* communicating with systems
* Strong knowledge of software development methodologies and practices
* Experience working in Agile development teams; working knowledge of Agile (Scrum) development methodologies
* Operational mindset with ability to do Problem, SLA and Incident Management
* Strong expertise in writing analytical SQLs, Data Marts, Data Warehousing and analytic architecture
* BS/MS in Computer Science or equivalent work experience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$ 197,000\- 266,500</t>
        </is>
      </c>
    </row>
    <row r="67">
      <c r="A67" t="inlineStr">
        <is>
          <t>in-c32e444cf6eaf716</t>
        </is>
      </c>
      <c r="B67" t="inlineStr">
        <is>
          <t>Senior Software Engineer, Twitch</t>
        </is>
      </c>
      <c r="C67" t="inlineStr">
        <is>
          <t>Amazon.com</t>
        </is>
      </c>
      <c r="D67" t="inlineStr">
        <is>
          <t>indeed</t>
        </is>
      </c>
      <c r="E67">
        <f>HYPERLINK("https://www.indeed.com/viewjob?jk=c32e444cf6eaf716", "https://www.indeed.com/viewjob?jk=c32e444cf6eaf716")</f>
        <v/>
      </c>
      <c r="F67">
        <f>HYPERLINK("https://www.amazon.jobs/jobs/3138042/senior-software-engineer-twitch?cmpid=DA_INAD200785B", "https://www.amazon.jobs/jobs/3138042/senior-software-engineer-twitch?cmpid=DA_INAD200785B")</f>
        <v/>
      </c>
      <c r="G67" t="inlineStr">
        <is>
          <t>San Francisco, CA, US</t>
        </is>
      </c>
      <c r="H67" s="2" t="n">
        <v>45995</v>
      </c>
      <c r="I6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in-d0ffa61f1b2ba954</t>
        </is>
      </c>
      <c r="B68" t="inlineStr">
        <is>
          <t>Senior Software Engineer, Twitch</t>
        </is>
      </c>
      <c r="C68" t="inlineStr">
        <is>
          <t>Amazon.com</t>
        </is>
      </c>
      <c r="D68" t="inlineStr">
        <is>
          <t>indeed</t>
        </is>
      </c>
      <c r="E68">
        <f>HYPERLINK("https://www.indeed.com/viewjob?jk=d0ffa61f1b2ba954", "https://www.indeed.com/viewjob?jk=d0ffa61f1b2ba954")</f>
        <v/>
      </c>
      <c r="F68">
        <f>HYPERLINK("https://www.amazon.jobs/jobs/3138042/senior-software-engineer-twitch?cmpid=DA_INAD200785B", "https://www.amazon.jobs/jobs/3138042/senior-software-engineer-twitch?cmpid=DA_INAD200785B")</f>
        <v/>
      </c>
      <c r="G68" t="inlineStr">
        <is>
          <t>Seattle, WA, US</t>
        </is>
      </c>
      <c r="H68" s="2" t="n">
        <v>45995</v>
      </c>
      <c r="I6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in-fa2debc0bebdc19d</t>
        </is>
      </c>
      <c r="B69" t="inlineStr">
        <is>
          <t>Sr. Software Engineer, Manager</t>
        </is>
      </c>
      <c r="C69" t="inlineStr">
        <is>
          <t>Amazon.com</t>
        </is>
      </c>
      <c r="D69" t="inlineStr">
        <is>
          <t>indeed</t>
        </is>
      </c>
      <c r="E69">
        <f>HYPERLINK("https://www.indeed.com/viewjob?jk=fa2debc0bebdc19d", "https://www.indeed.com/viewjob?jk=fa2debc0bebdc19d")</f>
        <v/>
      </c>
      <c r="F69">
        <f>HYPERLINK("https://www.amazon.jobs/jobs/3144309/sr-software-engineer-manager?cmpid=DA_INAD200785B", "https://www.amazon.jobs/jobs/3144309/sr-software-engineer-manager?cmpid=DA_INAD200785B")</f>
        <v/>
      </c>
      <c r="G69" t="inlineStr">
        <is>
          <t>San Francisco, CA, US</t>
        </is>
      </c>
      <c r="H69" s="2" t="n">
        <v>46006</v>
      </c>
      <c r="I6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70">
      <c r="A70" t="inlineStr">
        <is>
          <t>in-a37362c037b5db10</t>
        </is>
      </c>
      <c r="B70" t="inlineStr">
        <is>
          <t>Sr. Software Engineer, Manager</t>
        </is>
      </c>
      <c r="C70" t="inlineStr">
        <is>
          <t>Amazon.com</t>
        </is>
      </c>
      <c r="D70" t="inlineStr">
        <is>
          <t>indeed</t>
        </is>
      </c>
      <c r="E70">
        <f>HYPERLINK("https://www.indeed.com/viewjob?jk=a37362c037b5db10", "https://www.indeed.com/viewjob?jk=a37362c037b5db10")</f>
        <v/>
      </c>
      <c r="F70">
        <f>HYPERLINK("https://www.amazon.jobs/jobs/3144309/sr-software-engineer-manager?cmpid=DA_INAD200785B", "https://www.amazon.jobs/jobs/3144309/sr-software-engineer-manager?cmpid=DA_INAD200785B")</f>
        <v/>
      </c>
      <c r="G70" t="inlineStr">
        <is>
          <t>Seattle, WA, US</t>
        </is>
      </c>
      <c r="H70" s="2" t="n">
        <v>46006</v>
      </c>
      <c r="I7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71">
      <c r="A71" t="inlineStr">
        <is>
          <t>in-2f2237d1834e19cb</t>
        </is>
      </c>
      <c r="B71" t="inlineStr">
        <is>
          <t>Sr. Software Engineer, Manager</t>
        </is>
      </c>
      <c r="C71" t="inlineStr">
        <is>
          <t>Amazon.com</t>
        </is>
      </c>
      <c r="D71" t="inlineStr">
        <is>
          <t>indeed</t>
        </is>
      </c>
      <c r="E71">
        <f>HYPERLINK("https://www.indeed.com/viewjob?jk=2f2237d1834e19cb", "https://www.indeed.com/viewjob?jk=2f2237d1834e19cb")</f>
        <v/>
      </c>
      <c r="F71">
        <f>HYPERLINK("https://www.amazon.jobs/jobs/3144309/sr-software-engineer-manager?cmpid=DA_INAD200785B", "https://www.amazon.jobs/jobs/3144309/sr-software-engineer-manager?cmpid=DA_INAD200785B")</f>
        <v/>
      </c>
      <c r="G71" t="inlineStr">
        <is>
          <t>Culver City, CA, US</t>
        </is>
      </c>
      <c r="H71" s="2" t="n">
        <v>46006</v>
      </c>
      <c r="I7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72">
      <c r="A72" t="inlineStr">
        <is>
          <t>in-ef8535ce4571609d</t>
        </is>
      </c>
      <c r="B72" t="inlineStr">
        <is>
          <t>Sr. Software Engineer, Manager</t>
        </is>
      </c>
      <c r="C72" t="inlineStr">
        <is>
          <t>Amazon.com</t>
        </is>
      </c>
      <c r="D72" t="inlineStr">
        <is>
          <t>indeed</t>
        </is>
      </c>
      <c r="E72">
        <f>HYPERLINK("https://www.indeed.com/viewjob?jk=ef8535ce4571609d", "https://www.indeed.com/viewjob?jk=ef8535ce4571609d")</f>
        <v/>
      </c>
      <c r="F72">
        <f>HYPERLINK("https://www.amazon.jobs/jobs/3144309/sr-software-engineer-manager?cmpid=DA_INAD200785B", "https://www.amazon.jobs/jobs/3144309/sr-software-engineer-manager?cmpid=DA_INAD200785B")</f>
        <v/>
      </c>
      <c r="G72" t="inlineStr">
        <is>
          <t>Irvine, CA, US</t>
        </is>
      </c>
      <c r="H72" s="2" t="n">
        <v>46006</v>
      </c>
      <c r="I7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73">
      <c r="A73" t="inlineStr">
        <is>
          <t>in-73a046d8557ee968</t>
        </is>
      </c>
      <c r="B73" t="inlineStr">
        <is>
          <t>Sr. Software Engineer, Manager</t>
        </is>
      </c>
      <c r="C73" t="inlineStr">
        <is>
          <t>Amazon.com</t>
        </is>
      </c>
      <c r="D73" t="inlineStr">
        <is>
          <t>indeed</t>
        </is>
      </c>
      <c r="E73">
        <f>HYPERLINK("https://www.indeed.com/viewjob?jk=73a046d8557ee968", "https://www.indeed.com/viewjob?jk=73a046d8557ee968")</f>
        <v/>
      </c>
      <c r="F73">
        <f>HYPERLINK("https://www.amazon.jobs/jobs/3144309/sr-software-engineer-manager?cmpid=DA_INAD200785B", "https://www.amazon.jobs/jobs/3144309/sr-software-engineer-manager?cmpid=DA_INAD200785B")</f>
        <v/>
      </c>
      <c r="G73" t="inlineStr">
        <is>
          <t>New York, NY, US</t>
        </is>
      </c>
      <c r="H73" s="2" t="n">
        <v>46006</v>
      </c>
      <c r="I7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74">
      <c r="A74" t="inlineStr">
        <is>
          <t>in-f953b48099ee3c1f</t>
        </is>
      </c>
      <c r="B74" t="inlineStr">
        <is>
          <t>Software Engineer, Monetization ML</t>
        </is>
      </c>
      <c r="C74" t="inlineStr">
        <is>
          <t>Amazon.com</t>
        </is>
      </c>
      <c r="D74" t="inlineStr">
        <is>
          <t>indeed</t>
        </is>
      </c>
      <c r="E74">
        <f>HYPERLINK("https://www.indeed.com/viewjob?jk=f953b48099ee3c1f", "https://www.indeed.com/viewjob?jk=f953b48099ee3c1f")</f>
        <v/>
      </c>
      <c r="F74">
        <f>HYPERLINK("https://www.amazon.jobs/jobs/3113621/software-engineer-monetization-ml?cmpid=DA_INAD200785B", "https://www.amazon.jobs/jobs/3113621/software-engineer-monetization-ml?cmpid=DA_INAD200785B")</f>
        <v/>
      </c>
      <c r="G74" t="inlineStr">
        <is>
          <t>New York, NY, US</t>
        </is>
      </c>
      <c r="H74" s="2" t="n">
        <v>45944</v>
      </c>
      <c r="I7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75">
      <c r="A75" t="inlineStr">
        <is>
          <t>in-2bd2855901773eb5</t>
        </is>
      </c>
      <c r="B75" t="inlineStr">
        <is>
          <t>Software Engineer, Monetization ML</t>
        </is>
      </c>
      <c r="C75" t="inlineStr">
        <is>
          <t>Amazon.com</t>
        </is>
      </c>
      <c r="D75" t="inlineStr">
        <is>
          <t>indeed</t>
        </is>
      </c>
      <c r="E75">
        <f>HYPERLINK("https://www.indeed.com/viewjob?jk=2bd2855901773eb5", "https://www.indeed.com/viewjob?jk=2bd2855901773eb5")</f>
        <v/>
      </c>
      <c r="F75">
        <f>HYPERLINK("https://www.amazon.jobs/jobs/3113621/software-engineer-monetization-ml?cmpid=DA_INAD200785B", "https://www.amazon.jobs/jobs/3113621/software-engineer-monetization-ml?cmpid=DA_INAD200785B")</f>
        <v/>
      </c>
      <c r="G75" t="inlineStr">
        <is>
          <t>Seattle, WA, US</t>
        </is>
      </c>
      <c r="H75" s="2" t="n">
        <v>45944</v>
      </c>
      <c r="I7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76">
      <c r="A76" t="inlineStr">
        <is>
          <t>in-0873aa023b1fcde7</t>
        </is>
      </c>
      <c r="B76" t="inlineStr">
        <is>
          <t>Java Fullstack Engineer with AI</t>
        </is>
      </c>
      <c r="C76" t="inlineStr">
        <is>
          <t>Openkyber</t>
        </is>
      </c>
      <c r="D76" t="inlineStr">
        <is>
          <t>indeed</t>
        </is>
      </c>
      <c r="E76">
        <f>HYPERLINK("https://www.indeed.com/viewjob?jk=0873aa023b1fcde7", "https://www.indeed.com/viewjob?jk=0873aa023b1fcde7")</f>
        <v/>
      </c>
      <c r="F76">
        <f>HYPERLINK("https://candidateportal.ceipal.com/job-details/_TyY9-KC2H0Aiz6NkZa95c7we2_FGBd-2xdSxDwtihU#.job_boards.Indeed", "https://candidateportal.ceipal.com/job-details/_TyY9-KC2H0Aiz6NkZa95c7we2_FGBd-2xdSxDwtihU#.job_boards.Indeed")</f>
        <v/>
      </c>
      <c r="G76" t="inlineStr">
        <is>
          <t>GA, US</t>
        </is>
      </c>
      <c r="H76" s="2" t="n">
        <v>46088</v>
      </c>
      <c r="I76" t="inlineStr">
        <is>
          <t>Description: Remote Our client seeks a senior full stack engineer to accelerate AI adoption across the organization. The role blends full stack development, AI engineering, and internal consulting to design secure, scalable solutions and guide teams on effective AI use. You will operate in a fast, project\-based environment with Python and React while remaining language\-agnostic, emphasizing architecture, security, and cloud\-native design. We can facilitate w2 and corp\-to\-corp consultants. For our w2 consultants, we offer a great benefits package that includes Medical, Dental, and Vision benefits, 401k with company matching, and life insurance. Rate: $65\.00 to $70\.00/hr. w2 Responsibilities: Build and integrate agentic systems powered by modern LLM and GenAI technologies. Partner with AI engineers to convert AI capabilities into production\-ready enterprise solutions. Design, develop, and deploy agentic AI systems using contemporary AI frameworks. Integrate GenAI models into full\-stack applications and internal workflows. Collaborate on prompt engineering, fine\-tuning, and evaluation of generative outputs. Develop reusable components and services for multi\-agent orchestration and task automation. Optimize AI inference pipelines for scalability, latency, and cost efficiency. Contribute to architectural discussions and influence the technical roadmap. Design, build, and deploy full\-stack applications with Python and React while remaining language\-agnostic. Architect secure, scalable systems with emphasis on security, compliance, and best practices. Support existing AI\-enabled products and implement new AI\-driven solutions. Provide internal consulting to help teams adopt AI effectively. Evaluate AI developer tools such as GitHub Copilot, Cursor, and Claude, and guide teams on effective usage. Collaborate with cross\-functional teams to rapidly scope, prototype, and deliver solutions. Partner with business units to identify AI opportunities that improve efficiency, reduce risk, or enhance customer experience. Ensure solutions meet security, compliance, and regulatory expectations, including in financial services environments. Experience Requirements: 7\+ years of full stack development with modern languages such as Java, Python, or .NET/C\#. 2\+ years of hands\-on AI development, including integrating LLMs or using AI to accelerate delivery. Experience with Python and React. Strong foundation in system architecture, security and compliance, and cloud\-native design (AWS preferred). Experience guiding teams in AI coding tools such as Copilot, Cursor, and Claude. Experience with LLM frameworks such as LangChain and AWS Bedrock. Understanding of Git, CI/CD, DevOps, and production\-grade GenAI deployment practices. Hands\-on data processing and AI\-enabled workflows in Python, including LLMs, prompt engineering, RAG, and agentic AI. Deep understanding of LLMs, embeddings, and vector databases. Experience with Docker, Kubernetes, and cloud\-native deployment. Knowledge of AI observability, model monitoring, and cost optimization. Strong communication skills with ability to collaborate across technical and non\-technical stakeholders. Experience in financial services or other complex, regulated domains (preferred). Familiarity with modern AI development patterns, retrieval pipelines, and vector databases (preferred). Prior experience in consulting, internal enablement, or cross\-functional evangelism (preferred).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OpenKyber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OpenKyber takes measures to prevent bias or discrimination in connection with its hiring practices. By proceeding, you acknowledge, agree, and consent to OpenKyber's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OpenKyber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OpenKyber, please confirm that they have an OpenKyber.com email address and never provide personal or financial information to anyone who is not clearly associated with OpenKyber. If you have any indication of fraudulent activity, please contact . About OpenKyber: OpenKyber is a leading strategic consulting company for human\-powered solutions. For over 30 years, OpenKyber has helped thousands of companies reach further and achieve more with their technology solutions, financial, risk \&amp; compliance, and advisory solutions, and clinical solutions. With offices from coast to coast and throughout Europe, OpenKyber provides a local community presence, balanced with international reach. OpenKyber strives to positively impact the lives of their employees, clients, consultants, and the communities in which they operate. OpenKyber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
**For applications and inquiries, contact:** hirings@openkyber.com</t>
        </is>
      </c>
    </row>
    <row r="77">
      <c r="A77" t="inlineStr">
        <is>
          <t>in-6db4adb348e677f3</t>
        </is>
      </c>
      <c r="B77" t="inlineStr">
        <is>
          <t>Embedded Software Engineer, Annapurna ML Software</t>
        </is>
      </c>
      <c r="C77" t="inlineStr">
        <is>
          <t>Amazon Web Services</t>
        </is>
      </c>
      <c r="D77" t="inlineStr">
        <is>
          <t>indeed</t>
        </is>
      </c>
      <c r="E77">
        <f>HYPERLINK("https://www.indeed.com/viewjob?jk=6db4adb348e677f3", "https://www.indeed.com/viewjob?jk=6db4adb348e677f3")</f>
        <v/>
      </c>
      <c r="F77">
        <f>HYPERLINK("https://www.amazon.jobs/jobs/3196274/embedded-software-engineer-annapurna-ml-software?cmpid=DA_INAD200785B", "https://www.amazon.jobs/jobs/3196274/embedded-software-engineer-annapurna-ml-software?cmpid=DA_INAD200785B")</f>
        <v/>
      </c>
      <c r="G77" t="inlineStr">
        <is>
          <t>Cupertino, CA, US</t>
        </is>
      </c>
      <c r="H77" s="2" t="n">
        <v>46084</v>
      </c>
      <c r="I77"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78">
      <c r="A78" t="inlineStr">
        <is>
          <t>in-187a804e257ced12</t>
        </is>
      </c>
      <c r="B78" t="inlineStr">
        <is>
          <t>Embedded Software Engineer, Annapurna ML Software</t>
        </is>
      </c>
      <c r="C78" t="inlineStr">
        <is>
          <t>Amazon Web Services</t>
        </is>
      </c>
      <c r="D78" t="inlineStr">
        <is>
          <t>indeed</t>
        </is>
      </c>
      <c r="E78">
        <f>HYPERLINK("https://www.indeed.com/viewjob?jk=187a804e257ced12", "https://www.indeed.com/viewjob?jk=187a804e257ced12")</f>
        <v/>
      </c>
      <c r="F78">
        <f>HYPERLINK("https://www.amazon.jobs/jobs/3196274/embedded-software-engineer-annapurna-ml-software?cmpid=DA_INAD200785B", "https://www.amazon.jobs/jobs/3196274/embedded-software-engineer-annapurna-ml-software?cmpid=DA_INAD200785B")</f>
        <v/>
      </c>
      <c r="G78" t="inlineStr">
        <is>
          <t>Austin, TX, US</t>
        </is>
      </c>
      <c r="H78" s="2" t="n">
        <v>46084</v>
      </c>
      <c r="I78"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79">
      <c r="A79" t="inlineStr">
        <is>
          <t>in-2e4b11866713c7f9</t>
        </is>
      </c>
      <c r="B79" t="inlineStr">
        <is>
          <t>Sr Embedded Software Engineer, Annapurna ML Software</t>
        </is>
      </c>
      <c r="C79" t="inlineStr">
        <is>
          <t>Amazon Web Services</t>
        </is>
      </c>
      <c r="D79" t="inlineStr">
        <is>
          <t>indeed</t>
        </is>
      </c>
      <c r="E79">
        <f>HYPERLINK("https://www.indeed.com/viewjob?jk=2e4b11866713c7f9", "https://www.indeed.com/viewjob?jk=2e4b11866713c7f9")</f>
        <v/>
      </c>
      <c r="F79">
        <f>HYPERLINK("https://www.amazon.jobs/jobs/3190880/sr-embedded-software-engineer-annapurna-ml-software?cmpid=DA_INAD200785B", "https://www.amazon.jobs/jobs/3190880/sr-embedded-software-engineer-annapurna-ml-software?cmpid=DA_INAD200785B")</f>
        <v/>
      </c>
      <c r="G79" t="inlineStr">
        <is>
          <t>Cupertino, CA, US</t>
        </is>
      </c>
      <c r="H79" s="2" t="n">
        <v>46070</v>
      </c>
      <c r="I79"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80">
      <c r="A80" t="inlineStr">
        <is>
          <t>in-060c654252ff3399</t>
        </is>
      </c>
      <c r="B80" t="inlineStr">
        <is>
          <t>Sr Embedded Software Engineer, Annapurna ML Software</t>
        </is>
      </c>
      <c r="C80" t="inlineStr">
        <is>
          <t>Amazon Web Services</t>
        </is>
      </c>
      <c r="D80" t="inlineStr">
        <is>
          <t>indeed</t>
        </is>
      </c>
      <c r="E80">
        <f>HYPERLINK("https://www.indeed.com/viewjob?jk=060c654252ff3399", "https://www.indeed.com/viewjob?jk=060c654252ff3399")</f>
        <v/>
      </c>
      <c r="F80">
        <f>HYPERLINK("https://www.amazon.jobs/jobs/3190880/sr-embedded-software-engineer-annapurna-ml-software?cmpid=DA_INAD200785B", "https://www.amazon.jobs/jobs/3190880/sr-embedded-software-engineer-annapurna-ml-software?cmpid=DA_INAD200785B")</f>
        <v/>
      </c>
      <c r="G80" t="inlineStr">
        <is>
          <t>Austin, TX, US</t>
        </is>
      </c>
      <c r="H80" s="2" t="n">
        <v>46070</v>
      </c>
      <c r="I80"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81">
      <c r="A81" t="inlineStr">
        <is>
          <t>in-5b9d06f8397ee2b5</t>
        </is>
      </c>
      <c r="B81" t="inlineStr">
        <is>
          <t>Java Fullstack Engineer with AI</t>
        </is>
      </c>
      <c r="C81" t="inlineStr">
        <is>
          <t>Openkyber</t>
        </is>
      </c>
      <c r="D81" t="inlineStr">
        <is>
          <t>indeed</t>
        </is>
      </c>
      <c r="E81">
        <f>HYPERLINK("https://www.indeed.com/viewjob?jk=5b9d06f8397ee2b5", "https://www.indeed.com/viewjob?jk=5b9d06f8397ee2b5")</f>
        <v/>
      </c>
      <c r="F81">
        <f>HYPERLINK("https://candidateportal.ceipal.com/job-details/cyYs9IKaSMs5SChcVUxgy43DosfZ8jIXT_5PiGGDtbg#.job_boards.Indeed", "https://candidateportal.ceipal.com/job-details/cyYs9IKaSMs5SChcVUxgy43DosfZ8jIXT_5PiGGDtbg#.job_boards.Indeed")</f>
        <v/>
      </c>
      <c r="G81" t="inlineStr">
        <is>
          <t>TX, US</t>
        </is>
      </c>
      <c r="H81" s="2" t="n">
        <v>46088</v>
      </c>
      <c r="I81" t="inlineStr">
        <is>
          <t>Applicants must be authorized to work in the United States without the need for current or future visa sponsorship. This position does not offer visa sponsorship.
Description: A large financial services firm located in San Antonio, TX is looking for a Solutions Engineer to join their team. You will be part of a team dedicated to supporting the Risk Management and Compliance business group. This role requires 3 days per week onsite in San Antonio, TX.
Desired Skills and Experience:
* Experience with full\-stack development using Java (Spring Boot) and frontend frameworks such as React or Angular, including unit testing, integration testing, and QA support to ensure high\-quality releases.
* Experience managing CI/CD pipelines using Harness, and provisioning and optimizing cloud infrastructure on AWS using Terraform to ensure automated, secure, and reliable deployments across environments.
* Experience with environment management, monitoring, and release strategies to support scalable and resilient applications across all stages of the software development lifecycle.
* Experience managing business systems analysis functions, including preparation of product roadmaps, integration plans, and development and test case specifications to convert business requirements into technical epics and user stories.
* Experience working through all phases of the software development lifecycle.
8\+ years of exp
All qualified applicants will receive consideration for employment without regard to race, color, national origin, age, ancestry, religion, sex, sexual orientation, gender identity, gender expression, marital status, disability, medical condition, genetic information, pregnancy, or military or veteran status. We consider all qualified applicants, including those with criminal histories, in a manner consistent with state and local laws, including the California Fair Chance Act, City of Los Angeles' Fair Chance Initiative for Hiring Ordinance, and Los Angeles County Fair Chance Ordinance.
**For applications and inquiries, contact:** hirings@openkyber.com</t>
        </is>
      </c>
    </row>
    <row r="82">
      <c r="A82" t="inlineStr">
        <is>
          <t>in-1f2179456d9a2059</t>
        </is>
      </c>
      <c r="B82" t="inlineStr">
        <is>
          <t>Java Fullstack Engineer with AI</t>
        </is>
      </c>
      <c r="C82" t="inlineStr">
        <is>
          <t>Openkyber</t>
        </is>
      </c>
      <c r="D82" t="inlineStr">
        <is>
          <t>indeed</t>
        </is>
      </c>
      <c r="E82">
        <f>HYPERLINK("https://www.indeed.com/viewjob?jk=1f2179456d9a2059", "https://www.indeed.com/viewjob?jk=1f2179456d9a2059")</f>
        <v/>
      </c>
      <c r="F82">
        <f>HYPERLINK("https://candidateportal.ceipal.com/job-details/Pzpk_zA7Z2IJa9BUcKO-RDsq6Uerse2tM5xhhgXyzw0#.job_boards.Indeed", "https://candidateportal.ceipal.com/job-details/Pzpk_zA7Z2IJa9BUcKO-RDsq6Uerse2tM5xhhgXyzw0#.job_boards.Indeed")</f>
        <v/>
      </c>
      <c r="G82" t="inlineStr">
        <is>
          <t>NJ, US</t>
        </is>
      </c>
      <c r="H82" s="2" t="n">
        <v>46088</v>
      </c>
      <c r="I82" t="inlineStr">
        <is>
          <t>**Title:** Fullstack developer  
**Location:** Middletown, NJ\-100% Onsite  
**Type:** Longterm contract  
Fullstack developer Ideally, this candidate will be working on backend microservices built with Springboot, Java, and Python. Candidate should also be comfortable working with Angular UI
**For applications and inquiries, contact:** hirings@openkyber.com</t>
        </is>
      </c>
    </row>
    <row r="83">
      <c r="A83" t="inlineStr">
        <is>
          <t>in-da1f97aaa8ca01ef</t>
        </is>
      </c>
      <c r="B83" t="inlineStr">
        <is>
          <t>Java Fullstack Engineer with AI</t>
        </is>
      </c>
      <c r="C83" t="inlineStr">
        <is>
          <t>Openkyber</t>
        </is>
      </c>
      <c r="D83" t="inlineStr">
        <is>
          <t>indeed</t>
        </is>
      </c>
      <c r="E83">
        <f>HYPERLINK("https://www.indeed.com/viewjob?jk=da1f97aaa8ca01ef", "https://www.indeed.com/viewjob?jk=da1f97aaa8ca01ef")</f>
        <v/>
      </c>
      <c r="F83">
        <f>HYPERLINK("https://candidateportal.ceipal.com/job-details/mMuZx8dcg6kObAXBTLW6wS3hvt41ulLuIbgNkNAUp_k#.job_boards.Indeed", "https://candidateportal.ceipal.com/job-details/mMuZx8dcg6kObAXBTLW6wS3hvt41ulLuIbgNkNAUp_k#.job_boards.Indeed")</f>
        <v/>
      </c>
      <c r="G83" t="inlineStr">
        <is>
          <t>IN, US</t>
        </is>
      </c>
      <c r="H83" s="2" t="n">
        <v>46088</v>
      </c>
      <c r="I83" t="inlineStr">
        <is>
          <t>**Title:** Sr. Java Full Stack Developer \- Hybrid
**Location:** Lansing, MI
**Length :**Long term
**Restriction:** w2 or c2c
**Description:**
**\*\*\*Web Cam Interview \*\*\* Very long term project; initial PO for 1 year and usually the project goes for 3\-5 years with this customer \*\*\* Hybrid; 2 days per week onsite\*\*\***
**Position Justification**
The position is responsible for providing ongoing maintenance and support of complex Java applications and developing enhancements to OBRA and other vital records MDHHS applications supported within our Client. OBRA is a critical system that is used to screen and evaluate individuals' needs in order to develop a treatment plan. Changes are being made to enhance the stability and functionality of the system. The resource is integral to developing and maintaining MDHHS' OBRA automated processes, streamlining critical business processes, data integrity, SEM/SUITE compliance, and securing the applications. The resource also performs as a technical lead and provides technical guidance to the other developers in the department. As a technical lead, the resource participates in a variety of analytical assignments that provide for the enhancement, integration, maintenance, and implementation of projects. The resource also provides technical oversight to developers in the team that support other critical applications. Not having a resource on staff will lead to MDHSS manually documenting and developing screen plans that can lead to errors causing data integrity issues and can eventually lead to incorrect information being processed and reporting of patient information.
**Position Summary**
* Write well\-designed, testable code using spring MVC, Hibernate framework for entity object mapping, jQuery/HTML5, JavaScript, HTML, XML, Angular
* Develop business application components using Object Oriented java/JEE technologies, design principles.
* Design and develop RESTful Web Services using Spring Web MVC framework.
* Design, Develop and maintain applications using Apache Struts framework.
* Ability to implement design patterns like Intercepting Filter, Front Controller, Session Fa ade, DAO, Singleton, and Service Locator
* Proficient in building and maintaining unit test framework with Junit and Spring Boot.
* Execute full software development life cycle (SDLC) including experience in gathering requirements and writing functional/technical specifications for complex projects.
* Knowledge in designing both logical and physical database models.
* Develop database objects including stored procedures, functions, Troubleshoot issues using SQL, PL/SQL scripts.
* Hands\-on experience Integrating software components into a fully functional software system.
* Experience with source control tools such as GIT
* Experience on Build Frameworks like Maven, maintain source code using source control, and baseline software versions and building war files for deployments
* Experience developing with application servers Apache Tomcat, JBOSS, Web Sphere, and OpenShift Container.
* Develop software design documents and work with stakeholders for review and approval.
* Experience developing, prototypes, mockup for users review and approval.
* Experience creating flowcharts, screen layouts and documentation to ensure logical flow of the system requirements.
* Experience with React.js and modern JavaScript (ES6\+).
* Strong understanding of Redux, React Router, and component lifecycle
* Experience working on large agile projects.
* Experience with Java 17\+, SOAP Web\-Services and Java Messaging Service (JMS) API.
* Experience with Spring Boot Projects, Spring Data, Spring Batch, Spring Security frameworks.
* Good to have knowledge of Apache Kafka, Apache Spark and ActiveMQ broker.
* Experience in Database Design in Oracle and SQL server.
* Experience or Knowledge on creating CI/CD pipelines using Azure DevOps \- Nice to have
* Skills Descriptions 10\+ years of developing complex computer systems using Java.
* 10\+ years of developing complex computer systems using java IDEs such as Eclipse and STS.
* 8\+ years programming using Java JEE Struts Framework.
* 10\+ years programming in SQL and/or PL/SQL.
* 8\+ years programming using Java JEE Spring/SpringBoot Framework 3\.0\.
* 8\+ years of development using Hibernate/JPA framework.
* 5\+ years in projects development using Angular/React JS, JavaScript framework.
* 5\+ years programming in the JBOSS Enterprise SOA environment including JBOSS Workflow.
* 5\+ years using CMM/CMMI Level 3 methods and practices.
* 5\+ years implemented agile development processes including test driven development.
* 3\+ years of experience or knowledge on creating CI/CD pipelines using Azure DevOps \- Nice to have
* 2\+ years of experience with React.js and modern JavaScript (ES6\+).
* Strong understanding of Redux, React Router, and component lifecycle.
* Exposure to DevOps practices and cloud platforms (AWS, Azure).
* Hands\-on experience using AI to accelerate daily coding tasks, including code generation, refactoring and documentation.
* Proven ability to integrate AI into development workflows to enhance productivity, code quality, and team collaboration.
**For applications and inquiries, contact:** hirings@openkyber.com</t>
        </is>
      </c>
    </row>
    <row r="84">
      <c r="A84" t="inlineStr">
        <is>
          <t>in-dbdc8b6880f3d477</t>
        </is>
      </c>
      <c r="B84" t="inlineStr">
        <is>
          <t>Java Fullstack Engineer with AI</t>
        </is>
      </c>
      <c r="C84" t="inlineStr">
        <is>
          <t>Openkyber</t>
        </is>
      </c>
      <c r="D84" t="inlineStr">
        <is>
          <t>indeed</t>
        </is>
      </c>
      <c r="E84">
        <f>HYPERLINK("https://www.indeed.com/viewjob?jk=dbdc8b6880f3d477", "https://www.indeed.com/viewjob?jk=dbdc8b6880f3d477")</f>
        <v/>
      </c>
      <c r="F84">
        <f>HYPERLINK("https://candidateportal.ceipal.com/job-details/em5RaoQT6jZsNlXane39NQ9vVQIqtwJvjjvcubEAjm0#.job_boards.Indeed", "https://candidateportal.ceipal.com/job-details/em5RaoQT6jZsNlXane39NQ9vVQIqtwJvjjvcubEAjm0#.job_boards.Indeed")</f>
        <v/>
      </c>
      <c r="G84" t="inlineStr">
        <is>
          <t>GA, US</t>
        </is>
      </c>
      <c r="H84" s="2" t="n">
        <v>46088</v>
      </c>
      <c r="I84" t="inlineStr">
        <is>
          <t>**Title:** Java FUll Stack Developer Remote Contract/FUlltime  
**Summary:**
The POD is envisioned to build a Java and Angular based APP along with an AI model which will work towards data de\-identification mechanism for all internal data processing, enabling auditors (End users) to operate without any geographical restrictions.
This AI model will be used to be built in to the AI eco system.
Candidate should have strong experience in solutioning, designing and work with teams during their morning times.
Candidate should be an architect\-level experience.
**For applications and inquiries, contact:** hirings@openkyber.com</t>
        </is>
      </c>
    </row>
    <row r="85">
      <c r="A85" t="inlineStr">
        <is>
          <t>in-c68a49f1e53ee7b9</t>
        </is>
      </c>
      <c r="B85" t="inlineStr">
        <is>
          <t>Java Fullstack Engineer with AI</t>
        </is>
      </c>
      <c r="C85" t="inlineStr">
        <is>
          <t>Openkyber</t>
        </is>
      </c>
      <c r="D85" t="inlineStr">
        <is>
          <t>indeed</t>
        </is>
      </c>
      <c r="E85">
        <f>HYPERLINK("https://www.indeed.com/viewjob?jk=c68a49f1e53ee7b9", "https://www.indeed.com/viewjob?jk=c68a49f1e53ee7b9")</f>
        <v/>
      </c>
      <c r="F85">
        <f>HYPERLINK("https://candidateportal.ceipal.com/job-details/r0VPDZooBGfOlXj2YUyoOWNO170TCWoPb7g_Abv88FA#.job_boards.Indeed", "https://candidateportal.ceipal.com/job-details/r0VPDZooBGfOlXj2YUyoOWNO170TCWoPb7g_Abv88FA#.job_boards.Indeed")</f>
        <v/>
      </c>
      <c r="G85" t="inlineStr">
        <is>
          <t>IL, US</t>
        </is>
      </c>
      <c r="H85" s="2" t="n">
        <v>46088</v>
      </c>
      <c r="I85" t="inlineStr">
        <is>
          <t>**Lake Forest IL Job Description:**
* Lead the design, implementation, and management of Privileged Access Management (PAM) ecosystem
* Eliminate standing privileges and secure critical credentials using the Delinea suite
* Act as Subject Matter Expert for Secret Server and Privilege Manager
**Requirements:**
* 5 years of dedicated experience in Identity and Access Management (IAM)
* 3 years specifically focused on Delinea (formerly Thycotic)
* Strong experience with Azure PIM, Conditional Access, and Managed Identities
* Strong understanding of Windows Server administration, Active Directory, GPOs, and LinuxUnix environments
* Proficiency in PowerShell or Python to automate API calls to Delinea and bulk\-import secrets
**For applications and inquiries, contact:** hirings@openkyber.com</t>
        </is>
      </c>
    </row>
    <row r="86">
      <c r="A86" t="inlineStr">
        <is>
          <t>in-38f5e0d6ff9ff370</t>
        </is>
      </c>
      <c r="B86" t="inlineStr">
        <is>
          <t>Java Fullstack Engineer with AI</t>
        </is>
      </c>
      <c r="C86" t="inlineStr">
        <is>
          <t>Openkyber</t>
        </is>
      </c>
      <c r="D86" t="inlineStr">
        <is>
          <t>indeed</t>
        </is>
      </c>
      <c r="E86">
        <f>HYPERLINK("https://www.indeed.com/viewjob?jk=38f5e0d6ff9ff370", "https://www.indeed.com/viewjob?jk=38f5e0d6ff9ff370")</f>
        <v/>
      </c>
      <c r="F86">
        <f>HYPERLINK("https://candidateportal.ceipal.com/job-details/A9uPR2Cf5tCC432sosedf4e3bV4gzLC3bl9XjyysitI#.job_boards.Indeed", "https://candidateportal.ceipal.com/job-details/A9uPR2Cf5tCC432sosedf4e3bV4gzLC3bl9XjyysitI#.job_boards.Indeed")</f>
        <v/>
      </c>
      <c r="G86" t="inlineStr">
        <is>
          <t>GA, US</t>
        </is>
      </c>
      <c r="H86" s="2" t="n">
        <v>46088</v>
      </c>
      <c r="I86" t="inlineStr">
        <is>
          <t>We are seeking a highly skilled Backend Developer with strong expertise in Java/Python and hands\-on experience integrating AI/ML models into production systems. The ideal candidate will have a proven background in healthcare platforms (claims, payor/provider, FHIR/HL7\) and HIPAA\-compliant data processing . Must be proficient in cloud\-native architecture (AWS, Azure, Google Cloud Platform) , microservices , Docker/Kubernetes , and SQL/NoSQL databases . Preferred experience includes MLOps tools (MLflow, Kubeflow, SageMaker, Vertex AI) and event\-driven systems (Kafka, Pub/Sub) . Strong communication and problem\-solving skills are essential.
**For applications and inquiries, contact:** hirings@openkyber.com</t>
        </is>
      </c>
    </row>
    <row r="87">
      <c r="A87" t="inlineStr">
        <is>
          <t>in-00775d00c521ac42</t>
        </is>
      </c>
      <c r="B87" t="inlineStr">
        <is>
          <t>Java Fullstack Engineer with AI</t>
        </is>
      </c>
      <c r="C87" t="inlineStr">
        <is>
          <t>Openkyber</t>
        </is>
      </c>
      <c r="D87" t="inlineStr">
        <is>
          <t>indeed</t>
        </is>
      </c>
      <c r="E87">
        <f>HYPERLINK("https://www.indeed.com/viewjob?jk=00775d00c521ac42", "https://www.indeed.com/viewjob?jk=00775d00c521ac42")</f>
        <v/>
      </c>
      <c r="F87">
        <f>HYPERLINK("https://candidateportal.ceipal.com/job-details/2fTks7uXWOGtbudToDSbIl-UZSMI7vkvpwodKowbyAc#.job_boards.Indeed", "https://candidateportal.ceipal.com/job-details/2fTks7uXWOGtbudToDSbIl-UZSMI7vkvpwodKowbyAc#.job_boards.Indeed")</f>
        <v/>
      </c>
      <c r="G87" t="inlineStr">
        <is>
          <t>OH, US</t>
        </is>
      </c>
      <c r="H87" s="2" t="n">
        <v>46088</v>
      </c>
      <c r="I87" t="inlineStr">
        <is>
          <t>**Role:** Senior Full Stack Developer
**Location:** Pittsburgh, PA Hybrid
**Duration:** 6\+ months
**Notes:** Looking for a Full Stack Java Developer with Angular and Vibe Coding (Windsurf, Q Developer, Copilot, etc ). Azure is preferred (May accept AWS in place of Azure)
**Job Description:**
* Core Skillset \+ Must Haves
* Extreme preference for local to Pittsburgh candidates.
* Wants to be able to convert a good amount so looking for a mix of US Is open to some options being remote/must be the right type of candidate, along with visa candidates (must be working on US Soil though).
* For those non\-local and/or on Visas, this work will end in 6 months
* Only wants to talk to people with AI experience \- personal or professional \- using/building/working with agentic coding solutions
* They are set on Windsurf \- cloud sonnet 4\-5 is the latest LLM
* Working with some sort of AI (even not Windsurf) must be present in these people could be Microsoft Copilot, Amazon Q Developer, etc
* Full stack java/angular devs more app specs below
**Application Definition**
* New application in Azure (AKS), small oracle DB, Angular front\-end. No more than 10 users \- analytics reporting
* High volume data processing w/Fault Tolerance
* No more than 10 minute RPO, 1 hour RTO
* Multi\-region in Azure.
* Caching
* Very reliable input delivery \- persistent object stores.
* Orchestrating service calls between a Client and partner organization.
* Business logic is not terribly complex \- just a ledger/recordkeeping, confidential data set.
* Java/SpringBoot/Angular
* Caching in Azure Blob, moving to Kafka / Redis.
**For applications and inquiries, contact:** hirings@openkyber.com</t>
        </is>
      </c>
    </row>
    <row r="88">
      <c r="A88" t="inlineStr">
        <is>
          <t>in-966813cc928cb963</t>
        </is>
      </c>
      <c r="B88" t="inlineStr">
        <is>
          <t>Java Fullstack Engineer with AI</t>
        </is>
      </c>
      <c r="C88" t="inlineStr">
        <is>
          <t>Openkyber</t>
        </is>
      </c>
      <c r="D88" t="inlineStr">
        <is>
          <t>indeed</t>
        </is>
      </c>
      <c r="E88">
        <f>HYPERLINK("https://www.indeed.com/viewjob?jk=966813cc928cb963", "https://www.indeed.com/viewjob?jk=966813cc928cb963")</f>
        <v/>
      </c>
      <c r="F88">
        <f>HYPERLINK("https://candidateportal.ceipal.com/job-details/IVDjWVqxrh4gnN0ZJnxQF2Hhk9rb1KDJ4A4P5pfB4Jo#.job_boards.Indeed", "https://candidateportal.ceipal.com/job-details/IVDjWVqxrh4gnN0ZJnxQF2Hhk9rb1KDJ4A4P5pfB4Jo#.job_boards.Indeed")</f>
        <v/>
      </c>
      <c r="G88" t="inlineStr">
        <is>
          <t>GA, US</t>
        </is>
      </c>
      <c r="H88" s="2" t="n">
        <v>46088</v>
      </c>
      <c r="I88" t="inlineStr">
        <is>
          <t>**Skills Descriptions:**
* 10\+ years of developing complex computer systems using Java.
* 10\+ years of developing complex computer systems using java IDEs such as Eclipse and STS.
* 8\+ years programming using Java JEE Struts Framework.
* 10\+ years programming in SQL and/or PL/SQL.
* 8\+ years programming using Java JEE Spring/Spring Boot Framework 3\.0\.
* 8\+ years of development using Hibernate/JPA framework.
* 5\+ years in projects development using Angular/React JS, JavaScript framework.
* 5\+ years programming in the JBOSS Enterprise SOA environment including JBOSS Workflow.
* 5\+ years using CMM/CMMI Level 3 methods and practices.
* 5\+ years implemented agile development processes including test driven development.
* 3\+ years of experience or knowledge on creating CI/CD pipelines using Azure DevOps \- Nice to have
* 2\+ years of experience with React.js and modern JavaScript (ES6\+).
* Strong understanding of Redux, React Router, and component lifecycle.
* Exposure to DevOps practices and cloud platforms (AWS, Azure).
* Hands\-on experience using AI to accelerate daily coding tasks, including code generation, refactoring and documentation.
* Proven ability to integrate AI into development workflows to enhance productivity, code quality, and team collaboration.
**For applications and inquiries, contact:** hirings@openkyber.com</t>
        </is>
      </c>
    </row>
    <row r="89">
      <c r="A89" t="inlineStr">
        <is>
          <t>in-a6f81a4e9d405ca6</t>
        </is>
      </c>
      <c r="B89" t="inlineStr">
        <is>
          <t>Java Fullstack Engineer with AI</t>
        </is>
      </c>
      <c r="C89" t="inlineStr">
        <is>
          <t>Openkyber</t>
        </is>
      </c>
      <c r="D89" t="inlineStr">
        <is>
          <t>indeed</t>
        </is>
      </c>
      <c r="E89">
        <f>HYPERLINK("https://www.indeed.com/viewjob?jk=a6f81a4e9d405ca6", "https://www.indeed.com/viewjob?jk=a6f81a4e9d405ca6")</f>
        <v/>
      </c>
      <c r="F89">
        <f>HYPERLINK("https://candidateportal.ceipal.com/job-details/Kegxg7H35HkGkuAmyduU7etlTZa_6xlt8szTjUSWifM#.job_boards.Indeed", "https://candidateportal.ceipal.com/job-details/Kegxg7H35HkGkuAmyduU7etlTZa_6xlt8szTjUSWifM#.job_boards.Indeed")</f>
        <v/>
      </c>
      <c r="G89" t="inlineStr">
        <is>
          <t>NC, US</t>
        </is>
      </c>
      <c r="H89" s="2" t="n">
        <v>46088</v>
      </c>
      <c r="I89" t="inlineStr">
        <is>
          <t>Our Fortune 500 client is looking for a Senior Full Stack AI/Java Developer for their project based in Raleigh, NC.
**Job Title:** Senior Full Stack AI/Java Developer  
**Location:** Raleigh, NC\-Hybrid  
**Duration:** 12\+ months
**Job Description:**
* Experience with Backend (Java 8\+ or higher, Spring Framework, Spring Boot, Spring Data JPA/Hibernate/REST)
* Experience in AI prompt engineering and writing AI specifications for development automation and intelligent workflows
* Experience applying AI in software development processes(code generation, automated testing, security scanning, optimization)
* Experienced in implementing AI Security \&amp; Governance, AI security best practices, understanding and applying security safeguard when using agentic AI
* Experience with AI\-assisted development tools (GitHub Copilot, OpenAI, Gemini, Windsurf or similar)
* Experience with Frontend (JavaScript, HTML5, CSS, Bootstrap or similar technologies)
* Experience with Databases development (DB2, Oracle, PostgreSQL or other databases, Writing SQL, Stored Procs)
* Experience with React, Angular and similar UI framework
* Experience with Mainframe System Modernization
Stellar IT Solutions is a Global IT Solution provider headquartered in Rockville, MD, with operations in the US and India. Stellar IT Solutions has over 15 years of IT and consulting experience to give cost\-effective solutions to many Fortune 500 companies.
**For applications and inquiries, contact:** hirings@openkyber.com</t>
        </is>
      </c>
    </row>
    <row r="90">
      <c r="A90" t="inlineStr">
        <is>
          <t>in-ccb0adc32712625e</t>
        </is>
      </c>
      <c r="B90" t="inlineStr">
        <is>
          <t>Lead Software Engineer - Full Stack Java/React</t>
        </is>
      </c>
      <c r="C90" t="inlineStr">
        <is>
          <t>JPMorganChase</t>
        </is>
      </c>
      <c r="D90" t="inlineStr">
        <is>
          <t>indeed</t>
        </is>
      </c>
      <c r="E90">
        <f>HYPERLINK("https://www.indeed.com/viewjob?jk=ccb0adc32712625e", "https://www.indeed.com/viewjob?jk=ccb0adc32712625e")</f>
        <v/>
      </c>
      <c r="F90">
        <f>HYPERLINK("https://JPMorganChase.contacthr.com/151356717", "https://JPMorganChase.contacthr.com/151356717")</f>
        <v/>
      </c>
      <c r="G90" t="inlineStr">
        <is>
          <t>Jersey City, NJ, US</t>
        </is>
      </c>
      <c r="H90" s="2" t="n">
        <v>46088</v>
      </c>
      <c r="I90" t="inlineStr">
        <is>
          <t>**JOB DESCRIPTION**  
We have an opportunity to impact your career and provide an adventure where you can push the limits of what's possible.
As a Lead Software Engineer at JPMorganChase within the Asset \&amp; Wealth Management Marketing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Architect, build, and maintain backend services and APIs using Java (preferably Java 17\+) and Spring Boot.
* Executes creative software solutions, design, development, and technical troubleshooting with ability to think beyond routine or conventional approaches to build solutions or break down technical problems
* Design RESTful and/or GraphQL interfaces; ensure robust authentication, authorization, and input validation.
* Own system performance, reliability, observability (metrics, logging, tracing), and security best practices.
* Write comprehensive automated tests (unit, integration, end\-to\-end) and drive CI/CD excellence.
* Lead code reviews, mentor engineers, and promote engineering standards and clean architecture.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10\+ Years of Experience
* Hands\-on practical experience delivering system design, application development, testing, and operational stability
* Advanced in one or more programming language(s)
* Proficiency in automation and continuous delivery methods
* Experience with relational databases (PostgreSQL, MySQL) and at least one NoSQL store (e.g., MongoDB).
* Knowledge of messaging/streaming (Kafka, RabbitMQ) and asynchronous processing.
* Solid testing practices: JUnit, Mockito, Spring Test; front\-end testing with Jest, React Testing Library, Cypress/Playwright.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Develop high\-quality, reusable React components (React 18\+, TypeScript) and front\-end features
* Hands\-on with AWS services: ECS/EKS or Lambda, API Gateway, S3, CloudFront, RDS/Aurora, DynamoDB, SNS/SQS, CloudWatch.
* Infrastructure\-as\-Code (Terraform or CloudFormation).
* Experience with Kubernetes and service mesh (Istio/Linkerd) a plus.
* Observability tooling: OpenTelemetry, Grafana, Prometheus.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91">
      <c r="A91" t="inlineStr">
        <is>
          <t>in-fba18123a5a6664a</t>
        </is>
      </c>
      <c r="B91" t="inlineStr">
        <is>
          <t>Software Engineer II, Android</t>
        </is>
      </c>
      <c r="C91" t="inlineStr">
        <is>
          <t>Amazon.com</t>
        </is>
      </c>
      <c r="D91" t="inlineStr">
        <is>
          <t>indeed</t>
        </is>
      </c>
      <c r="E91">
        <f>HYPERLINK("https://www.indeed.com/viewjob?jk=fba18123a5a6664a", "https://www.indeed.com/viewjob?jk=fba18123a5a6664a")</f>
        <v/>
      </c>
      <c r="F91">
        <f>HYPERLINK("https://www.amazon.jobs/jobs/3166054/software-engineer-ii-android?cmpid=DA_INAD200785B", "https://www.amazon.jobs/jobs/3166054/software-engineer-ii-android?cmpid=DA_INAD200785B")</f>
        <v/>
      </c>
      <c r="G91" t="inlineStr">
        <is>
          <t>San Francisco, CA, US</t>
        </is>
      </c>
      <c r="H91" s="2" t="n">
        <v>46044</v>
      </c>
      <c r="I9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92">
      <c r="A92" t="inlineStr">
        <is>
          <t>in-3eb94f73f36635e6</t>
        </is>
      </c>
      <c r="B92" t="inlineStr">
        <is>
          <t>Software Engineer II, Android</t>
        </is>
      </c>
      <c r="C92" t="inlineStr">
        <is>
          <t>Amazon.com</t>
        </is>
      </c>
      <c r="D92" t="inlineStr">
        <is>
          <t>indeed</t>
        </is>
      </c>
      <c r="E92">
        <f>HYPERLINK("https://www.indeed.com/viewjob?jk=3eb94f73f36635e6", "https://www.indeed.com/viewjob?jk=3eb94f73f36635e6")</f>
        <v/>
      </c>
      <c r="F92">
        <f>HYPERLINK("https://www.amazon.jobs/jobs/3166054/software-engineer-ii-android?cmpid=DA_INAD200785B", "https://www.amazon.jobs/jobs/3166054/software-engineer-ii-android?cmpid=DA_INAD200785B")</f>
        <v/>
      </c>
      <c r="G92" t="inlineStr">
        <is>
          <t>Irvine, CA, US</t>
        </is>
      </c>
      <c r="H92" s="2" t="n">
        <v>46044</v>
      </c>
      <c r="I9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93">
      <c r="A93" t="inlineStr">
        <is>
          <t>in-c2efdbabebc6927c</t>
        </is>
      </c>
      <c r="B93" t="inlineStr">
        <is>
          <t>Software Engineer II, Android</t>
        </is>
      </c>
      <c r="C93" t="inlineStr">
        <is>
          <t>Amazon.com</t>
        </is>
      </c>
      <c r="D93" t="inlineStr">
        <is>
          <t>indeed</t>
        </is>
      </c>
      <c r="E93">
        <f>HYPERLINK("https://www.indeed.com/viewjob?jk=c2efdbabebc6927c", "https://www.indeed.com/viewjob?jk=c2efdbabebc6927c")</f>
        <v/>
      </c>
      <c r="F93">
        <f>HYPERLINK("https://www.amazon.jobs/jobs/3166054/software-engineer-ii-android?cmpid=DA_INAD200785B", "https://www.amazon.jobs/jobs/3166054/software-engineer-ii-android?cmpid=DA_INAD200785B")</f>
        <v/>
      </c>
      <c r="G93" t="inlineStr">
        <is>
          <t>Seattle, WA, US</t>
        </is>
      </c>
      <c r="H93" s="2" t="n">
        <v>46044</v>
      </c>
      <c r="I9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94">
      <c r="A94" t="inlineStr">
        <is>
          <t>in-6b9e1a289a6aeabd</t>
        </is>
      </c>
      <c r="B94" t="inlineStr">
        <is>
          <t>Software Engineer I</t>
        </is>
      </c>
      <c r="C94" t="inlineStr">
        <is>
          <t>Amazon.com</t>
        </is>
      </c>
      <c r="D94" t="inlineStr">
        <is>
          <t>indeed</t>
        </is>
      </c>
      <c r="E94">
        <f>HYPERLINK("https://www.indeed.com/viewjob?jk=6b9e1a289a6aeabd", "https://www.indeed.com/viewjob?jk=6b9e1a289a6aeabd")</f>
        <v/>
      </c>
      <c r="F94">
        <f>HYPERLINK("https://www.amazon.jobs/jobs/3155750/software-engineer-i?cmpid=DA_INAD200785B", "https://www.amazon.jobs/jobs/3155750/software-engineer-i?cmpid=DA_INAD200785B")</f>
        <v/>
      </c>
      <c r="G94" t="inlineStr">
        <is>
          <t>Seattle, WA, US</t>
        </is>
      </c>
      <c r="H94" s="2" t="n">
        <v>46029</v>
      </c>
      <c r="I9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\- 127,100\.00 \- 185,000\.00 USD annually  
USA, WA, SEATTLE \- 110,500\.00 \- 160,000\.00 USD annually  
USA, WA, Seattle \- 110,500\.00 \- 160,000\.00 USD annually</t>
        </is>
      </c>
    </row>
    <row r="95">
      <c r="A95" t="inlineStr">
        <is>
          <t>in-107f14898dd17341</t>
        </is>
      </c>
      <c r="B95" t="inlineStr">
        <is>
          <t>Software Engineer I</t>
        </is>
      </c>
      <c r="C95" t="inlineStr">
        <is>
          <t>Amazon.com</t>
        </is>
      </c>
      <c r="D95" t="inlineStr">
        <is>
          <t>indeed</t>
        </is>
      </c>
      <c r="E95">
        <f>HYPERLINK("https://www.indeed.com/viewjob?jk=107f14898dd17341", "https://www.indeed.com/viewjob?jk=107f14898dd17341")</f>
        <v/>
      </c>
      <c r="F95">
        <f>HYPERLINK("https://www.amazon.jobs/jobs/3155750/software-engineer-i?cmpid=DA_INAD200785B", "https://www.amazon.jobs/jobs/3155750/software-engineer-i?cmpid=DA_INAD200785B")</f>
        <v/>
      </c>
      <c r="G95" t="inlineStr">
        <is>
          <t>San Francisco, CA, US</t>
        </is>
      </c>
      <c r="H95" s="2" t="n">
        <v>46029</v>
      </c>
      <c r="I9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\- 127,100\.00 \- 185,000\.00 USD annually  
USA, WA, SEATTLE \- 110,500\.00 \- 160,000\.00 USD annually  
USA, WA, Seattle \- 110,500\.00 \- 160,000\.00 USD annually</t>
        </is>
      </c>
    </row>
    <row r="96">
      <c r="A96" t="inlineStr">
        <is>
          <t>in-eb3459653f7441f0</t>
        </is>
      </c>
      <c r="B96" t="inlineStr">
        <is>
          <t>Software Engineer I</t>
        </is>
      </c>
      <c r="C96" t="inlineStr">
        <is>
          <t>Amazon.com</t>
        </is>
      </c>
      <c r="D96" t="inlineStr">
        <is>
          <t>indeed</t>
        </is>
      </c>
      <c r="E96">
        <f>HYPERLINK("https://www.indeed.com/viewjob?jk=eb3459653f7441f0", "https://www.indeed.com/viewjob?jk=eb3459653f7441f0")</f>
        <v/>
      </c>
      <c r="F96">
        <f>HYPERLINK("https://www.amazon.jobs/jobs/3141336/software-engineer-i?cmpid=DA_INAD200785B", "https://www.amazon.jobs/jobs/3141336/software-engineer-i?cmpid=DA_INAD200785B")</f>
        <v/>
      </c>
      <c r="G96" t="inlineStr">
        <is>
          <t>San Francisco, CA, US</t>
        </is>
      </c>
      <c r="H96" s="2" t="n">
        <v>46001</v>
      </c>
      <c r="I9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in-1f60b31bed57c299</t>
        </is>
      </c>
      <c r="B97" t="inlineStr">
        <is>
          <t>Software Engineer I</t>
        </is>
      </c>
      <c r="C97" t="inlineStr">
        <is>
          <t>Amazon.com</t>
        </is>
      </c>
      <c r="D97" t="inlineStr">
        <is>
          <t>indeed</t>
        </is>
      </c>
      <c r="E97">
        <f>HYPERLINK("https://www.indeed.com/viewjob?jk=1f60b31bed57c299", "https://www.indeed.com/viewjob?jk=1f60b31bed57c299")</f>
        <v/>
      </c>
      <c r="F97">
        <f>HYPERLINK("https://www.amazon.jobs/jobs/3141336/software-engineer-i?cmpid=DA_INAD200785B", "https://www.amazon.jobs/jobs/3141336/software-engineer-i?cmpid=DA_INAD200785B")</f>
        <v/>
      </c>
      <c r="G97" t="inlineStr">
        <is>
          <t>Seattle, WA, US</t>
        </is>
      </c>
      <c r="H97" s="2" t="n">
        <v>46001</v>
      </c>
      <c r="I9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in-dcae2e9f43dc582e</t>
        </is>
      </c>
      <c r="B98" t="inlineStr">
        <is>
          <t>Software Engineer II, Android</t>
        </is>
      </c>
      <c r="C98" t="inlineStr">
        <is>
          <t>Amazon.com</t>
        </is>
      </c>
      <c r="D98" t="inlineStr">
        <is>
          <t>indeed</t>
        </is>
      </c>
      <c r="E98">
        <f>HYPERLINK("https://www.indeed.com/viewjob?jk=dcae2e9f43dc582e", "https://www.indeed.com/viewjob?jk=dcae2e9f43dc582e")</f>
        <v/>
      </c>
      <c r="F98">
        <f>HYPERLINK("https://www.amazon.jobs/jobs/3138330/software-engineer-ii-android?cmpid=DA_INAD200785B", "https://www.amazon.jobs/jobs/3138330/software-engineer-ii-android?cmpid=DA_INAD200785B")</f>
        <v/>
      </c>
      <c r="G98" t="inlineStr">
        <is>
          <t>Irvine, CA, US</t>
        </is>
      </c>
      <c r="H98" s="2" t="n">
        <v>45995</v>
      </c>
      <c r="I9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in-378b70f2653ecf4d</t>
        </is>
      </c>
      <c r="B99" t="inlineStr">
        <is>
          <t>Software Engineer II, Android</t>
        </is>
      </c>
      <c r="C99" t="inlineStr">
        <is>
          <t>Amazon.com</t>
        </is>
      </c>
      <c r="D99" t="inlineStr">
        <is>
          <t>indeed</t>
        </is>
      </c>
      <c r="E99">
        <f>HYPERLINK("https://www.indeed.com/viewjob?jk=378b70f2653ecf4d", "https://www.indeed.com/viewjob?jk=378b70f2653ecf4d")</f>
        <v/>
      </c>
      <c r="F99">
        <f>HYPERLINK("https://www.amazon.jobs/jobs/3138330/software-engineer-ii-android?cmpid=DA_INAD200785B", "https://www.amazon.jobs/jobs/3138330/software-engineer-ii-android?cmpid=DA_INAD200785B")</f>
        <v/>
      </c>
      <c r="G99" t="inlineStr">
        <is>
          <t>Seattle, WA, US</t>
        </is>
      </c>
      <c r="H99" s="2" t="n">
        <v>45995</v>
      </c>
      <c r="I9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in-ba3b07e5d709ac66</t>
        </is>
      </c>
      <c r="B100" t="inlineStr">
        <is>
          <t>Software Engineer II, Android</t>
        </is>
      </c>
      <c r="C100" t="inlineStr">
        <is>
          <t>Amazon.com</t>
        </is>
      </c>
      <c r="D100" t="inlineStr">
        <is>
          <t>indeed</t>
        </is>
      </c>
      <c r="E100">
        <f>HYPERLINK("https://www.indeed.com/viewjob?jk=ba3b07e5d709ac66", "https://www.indeed.com/viewjob?jk=ba3b07e5d709ac66")</f>
        <v/>
      </c>
      <c r="F100">
        <f>HYPERLINK("https://www.amazon.jobs/jobs/3138330/software-engineer-ii-android?cmpid=DA_INAD200785B", "https://www.amazon.jobs/jobs/3138330/software-engineer-ii-android?cmpid=DA_INAD200785B")</f>
        <v/>
      </c>
      <c r="G100" t="inlineStr">
        <is>
          <t>San Francisco, CA, US</t>
        </is>
      </c>
      <c r="H100" s="2" t="n">
        <v>45995</v>
      </c>
      <c r="I10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in-f91dba610c3bea8e</t>
        </is>
      </c>
      <c r="B101" t="inlineStr">
        <is>
          <t>Senior Embedded Software Engineer, Amazon Leo Digital RF Systems</t>
        </is>
      </c>
      <c r="C101" t="inlineStr">
        <is>
          <t>Amazon.com</t>
        </is>
      </c>
      <c r="D101" t="inlineStr">
        <is>
          <t>indeed</t>
        </is>
      </c>
      <c r="E101">
        <f>HYPERLINK("https://www.indeed.com/viewjob?jk=f91dba610c3bea8e", "https://www.indeed.com/viewjob?jk=f91dba610c3bea8e")</f>
        <v/>
      </c>
      <c r="F101">
        <f>HYPERLINK("https://www.amazon.jobs/jobs/3130773/senior-embedded-software-engineer-amazon-leo-digital-rf-systems?cmpid=DA_INAD200785B", "https://www.amazon.jobs/jobs/3130773/senior-embedded-software-engineer-amazon-leo-digital-rf-systems?cmpid=DA_INAD200785B")</f>
        <v/>
      </c>
      <c r="G101" t="inlineStr">
        <is>
          <t>Redmond, WA, US</t>
        </is>
      </c>
      <c r="H101" s="2" t="n">
        <v>45981</v>
      </c>
      <c r="I101"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102">
      <c r="A102" t="inlineStr">
        <is>
          <t>in-a09ab7fa00d37518</t>
        </is>
      </c>
      <c r="B102" t="inlineStr">
        <is>
          <t>Senior Embedded Software Engineer, Amazon Leo Digital RF Systems</t>
        </is>
      </c>
      <c r="C102" t="inlineStr">
        <is>
          <t>Amazon.com</t>
        </is>
      </c>
      <c r="D102" t="inlineStr">
        <is>
          <t>indeed</t>
        </is>
      </c>
      <c r="E102">
        <f>HYPERLINK("https://www.indeed.com/viewjob?jk=a09ab7fa00d37518", "https://www.indeed.com/viewjob?jk=a09ab7fa00d37518")</f>
        <v/>
      </c>
      <c r="F102">
        <f>HYPERLINK("https://www.amazon.jobs/jobs/3130773/senior-embedded-software-engineer-amazon-leo-digital-rf-systems?cmpid=DA_INAD200785B", "https://www.amazon.jobs/jobs/3130773/senior-embedded-software-engineer-amazon-leo-digital-rf-systems?cmpid=DA_INAD200785B")</f>
        <v/>
      </c>
      <c r="G102" t="inlineStr">
        <is>
          <t>San Diego, CA, US</t>
        </is>
      </c>
      <c r="H102" s="2" t="n">
        <v>45981</v>
      </c>
      <c r="I102"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103">
      <c r="A103" t="inlineStr">
        <is>
          <t>in-6df2cf4d40cba6b5</t>
        </is>
      </c>
      <c r="B103" t="inlineStr">
        <is>
          <t>Sr. Device Software Engineer, Amazon Leo Government</t>
        </is>
      </c>
      <c r="C103" t="inlineStr">
        <is>
          <t>Amazon.com</t>
        </is>
      </c>
      <c r="D103" t="inlineStr">
        <is>
          <t>indeed</t>
        </is>
      </c>
      <c r="E103">
        <f>HYPERLINK("https://www.indeed.com/viewjob?jk=6df2cf4d40cba6b5", "https://www.indeed.com/viewjob?jk=6df2cf4d40cba6b5")</f>
        <v/>
      </c>
      <c r="F103">
        <f>HYPERLINK("https://www.amazon.jobs/jobs/3082545/sr-device-software-engineer-amazon-leo-government-?cmpid=DA_INAD200785B", "https://www.amazon.jobs/jobs/3082545/sr-device-software-engineer-amazon-leo-government-?cmpid=DA_INAD200785B")</f>
        <v/>
      </c>
      <c r="G103" t="inlineStr">
        <is>
          <t>Arlington, VA, US</t>
        </is>
      </c>
      <c r="H103" s="2" t="n">
        <v>45911</v>
      </c>
      <c r="I103"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104">
      <c r="A104" t="inlineStr">
        <is>
          <t>in-e80281145216b25e</t>
        </is>
      </c>
      <c r="B104" t="inlineStr">
        <is>
          <t>Sr. Device Software Engineer, Amazon Leo Government</t>
        </is>
      </c>
      <c r="C104" t="inlineStr">
        <is>
          <t>Amazon.com</t>
        </is>
      </c>
      <c r="D104" t="inlineStr">
        <is>
          <t>indeed</t>
        </is>
      </c>
      <c r="E104">
        <f>HYPERLINK("https://www.indeed.com/viewjob?jk=e80281145216b25e", "https://www.indeed.com/viewjob?jk=e80281145216b25e")</f>
        <v/>
      </c>
      <c r="F104">
        <f>HYPERLINK("https://www.amazon.jobs/jobs/3082545/sr-device-software-engineer-amazon-leo-government-?cmpid=DA_INAD200785B", "https://www.amazon.jobs/jobs/3082545/sr-device-software-engineer-amazon-leo-government-?cmpid=DA_INAD200785B")</f>
        <v/>
      </c>
      <c r="G104" t="inlineStr">
        <is>
          <t>El Segundo, CA, US</t>
        </is>
      </c>
      <c r="H104" s="2" t="n">
        <v>45911</v>
      </c>
      <c r="I104"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105">
      <c r="A105" t="inlineStr">
        <is>
          <t>in-21450e89e228d37e</t>
        </is>
      </c>
      <c r="B105" t="inlineStr">
        <is>
          <t>Sr. Device Software Engineer, Amazon Leo Government</t>
        </is>
      </c>
      <c r="C105" t="inlineStr">
        <is>
          <t>Amazon.com</t>
        </is>
      </c>
      <c r="D105" t="inlineStr">
        <is>
          <t>indeed</t>
        </is>
      </c>
      <c r="E105">
        <f>HYPERLINK("https://www.indeed.com/viewjob?jk=21450e89e228d37e", "https://www.indeed.com/viewjob?jk=21450e89e228d37e")</f>
        <v/>
      </c>
      <c r="F105">
        <f>HYPERLINK("https://www.amazon.jobs/jobs/3082545/sr-device-software-engineer-amazon-leo-government-?cmpid=DA_INAD200785B", "https://www.amazon.jobs/jobs/3082545/sr-device-software-engineer-amazon-leo-government-?cmpid=DA_INAD200785B")</f>
        <v/>
      </c>
      <c r="G105" t="inlineStr">
        <is>
          <t>Redmond, WA, US</t>
        </is>
      </c>
      <c r="H105" s="2" t="n">
        <v>45911</v>
      </c>
      <c r="I105"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106">
      <c r="A106" t="inlineStr">
        <is>
          <t>in-2b40bdf9f2ad7518</t>
        </is>
      </c>
      <c r="B106" t="inlineStr">
        <is>
          <t>Sr. Device Software Engineer, Amazon Leo Government</t>
        </is>
      </c>
      <c r="C106" t="inlineStr">
        <is>
          <t>Amazon.com</t>
        </is>
      </c>
      <c r="D106" t="inlineStr">
        <is>
          <t>indeed</t>
        </is>
      </c>
      <c r="E106">
        <f>HYPERLINK("https://www.indeed.com/viewjob?jk=2b40bdf9f2ad7518", "https://www.indeed.com/viewjob?jk=2b40bdf9f2ad7518")</f>
        <v/>
      </c>
      <c r="F106">
        <f>HYPERLINK("https://www.amazon.jobs/jobs/3082545/sr-device-software-engineer-amazon-leo-government-?cmpid=DA_INAD200785B", "https://www.amazon.jobs/jobs/3082545/sr-device-software-engineer-amazon-leo-government-?cmpid=DA_INAD200785B")</f>
        <v/>
      </c>
      <c r="G106" t="inlineStr">
        <is>
          <t>Northridge, CA, US</t>
        </is>
      </c>
      <c r="H106" s="2" t="n">
        <v>45911</v>
      </c>
      <c r="I106"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107">
      <c r="A107" t="inlineStr">
        <is>
          <t>in-207f2598f569fa47</t>
        </is>
      </c>
      <c r="B107" t="inlineStr">
        <is>
          <t>Device Software Engineer, Amazon Leo Government</t>
        </is>
      </c>
      <c r="C107" t="inlineStr">
        <is>
          <t>Amazon.com</t>
        </is>
      </c>
      <c r="D107" t="inlineStr">
        <is>
          <t>indeed</t>
        </is>
      </c>
      <c r="E107">
        <f>HYPERLINK("https://www.indeed.com/viewjob?jk=207f2598f569fa47", "https://www.indeed.com/viewjob?jk=207f2598f569fa47")</f>
        <v/>
      </c>
      <c r="F107">
        <f>HYPERLINK("https://www.amazon.jobs/jobs/3083623/device-software-engineer-amazon-leo-government-?cmpid=DA_INAD200785B", "https://www.amazon.jobs/jobs/3083623/device-software-engineer-amazon-leo-government-?cmpid=DA_INAD200785B")</f>
        <v/>
      </c>
      <c r="G107" t="inlineStr">
        <is>
          <t>Northridge, CA, US</t>
        </is>
      </c>
      <c r="H107" s="2" t="n">
        <v>45910</v>
      </c>
      <c r="I107"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108">
      <c r="A108" t="inlineStr">
        <is>
          <t>in-a1d0aa7955cff6c6</t>
        </is>
      </c>
      <c r="B108" t="inlineStr">
        <is>
          <t>Device Software Engineer, Amazon Leo Government</t>
        </is>
      </c>
      <c r="C108" t="inlineStr">
        <is>
          <t>Amazon.com</t>
        </is>
      </c>
      <c r="D108" t="inlineStr">
        <is>
          <t>indeed</t>
        </is>
      </c>
      <c r="E108">
        <f>HYPERLINK("https://www.indeed.com/viewjob?jk=a1d0aa7955cff6c6", "https://www.indeed.com/viewjob?jk=a1d0aa7955cff6c6")</f>
        <v/>
      </c>
      <c r="F108">
        <f>HYPERLINK("https://www.amazon.jobs/jobs/3083623/device-software-engineer-amazon-leo-government-?cmpid=DA_INAD200785B", "https://www.amazon.jobs/jobs/3083623/device-software-engineer-amazon-leo-government-?cmpid=DA_INAD200785B")</f>
        <v/>
      </c>
      <c r="G108" t="inlineStr">
        <is>
          <t>Redmond, WA, US</t>
        </is>
      </c>
      <c r="H108" s="2" t="n">
        <v>45910</v>
      </c>
      <c r="I108"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109">
      <c r="A109" t="inlineStr">
        <is>
          <t>in-23ae7f92f862383e</t>
        </is>
      </c>
      <c r="B109" t="inlineStr">
        <is>
          <t>Device Software Engineer, Amazon Leo Government</t>
        </is>
      </c>
      <c r="C109" t="inlineStr">
        <is>
          <t>Amazon.com</t>
        </is>
      </c>
      <c r="D109" t="inlineStr">
        <is>
          <t>indeed</t>
        </is>
      </c>
      <c r="E109">
        <f>HYPERLINK("https://www.indeed.com/viewjob?jk=23ae7f92f862383e", "https://www.indeed.com/viewjob?jk=23ae7f92f862383e")</f>
        <v/>
      </c>
      <c r="F109">
        <f>HYPERLINK("https://www.amazon.jobs/jobs/3083623/device-software-engineer-amazon-leo-government-?cmpid=DA_INAD200785B", "https://www.amazon.jobs/jobs/3083623/device-software-engineer-amazon-leo-government-?cmpid=DA_INAD200785B")</f>
        <v/>
      </c>
      <c r="G109" t="inlineStr">
        <is>
          <t>Arlington, VA, US</t>
        </is>
      </c>
      <c r="H109" s="2" t="n">
        <v>45910</v>
      </c>
      <c r="I109"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110">
      <c r="A110" t="inlineStr">
        <is>
          <t>in-d64d8d7c04769e10</t>
        </is>
      </c>
      <c r="B110" t="inlineStr">
        <is>
          <t>Device Software Engineer, Amazon Leo Government</t>
        </is>
      </c>
      <c r="C110" t="inlineStr">
        <is>
          <t>Amazon.com</t>
        </is>
      </c>
      <c r="D110" t="inlineStr">
        <is>
          <t>indeed</t>
        </is>
      </c>
      <c r="E110">
        <f>HYPERLINK("https://www.indeed.com/viewjob?jk=d64d8d7c04769e10", "https://www.indeed.com/viewjob?jk=d64d8d7c04769e10")</f>
        <v/>
      </c>
      <c r="F110">
        <f>HYPERLINK("https://www.amazon.jobs/jobs/3083623/device-software-engineer-amazon-leo-government-?cmpid=DA_INAD200785B", "https://www.amazon.jobs/jobs/3083623/device-software-engineer-amazon-leo-government-?cmpid=DA_INAD200785B")</f>
        <v/>
      </c>
      <c r="G110" t="inlineStr">
        <is>
          <t>El Segundo, CA, US</t>
        </is>
      </c>
      <c r="H110" s="2" t="n">
        <v>45910</v>
      </c>
      <c r="I110"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111">
      <c r="A111" t="inlineStr">
        <is>
          <t>in-97b389d6ce4729f9</t>
        </is>
      </c>
      <c r="B111" t="inlineStr">
        <is>
          <t>Software Developer Engineer - iOS, Ring</t>
        </is>
      </c>
      <c r="C111" t="inlineStr">
        <is>
          <t>Amazon.com</t>
        </is>
      </c>
      <c r="D111" t="inlineStr">
        <is>
          <t>indeed</t>
        </is>
      </c>
      <c r="E111">
        <f>HYPERLINK("https://www.indeed.com/viewjob?jk=97b389d6ce4729f9", "https://www.indeed.com/viewjob?jk=97b389d6ce4729f9")</f>
        <v/>
      </c>
      <c r="F111">
        <f>HYPERLINK("https://www.amazon.jobs/jobs/3011028/software-developer-engineer--ios-ring?cmpid=DA_INAD200785B", "https://www.amazon.jobs/jobs/3011028/software-developer-engineer--ios-ring?cmpid=DA_INAD200785B")</f>
        <v/>
      </c>
      <c r="G111" t="inlineStr">
        <is>
          <t>Irvine, CA, US</t>
        </is>
      </c>
      <c r="H111" s="2" t="n">
        <v>45812</v>
      </c>
      <c r="I111"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in-72d24c9f8e9e127d</t>
        </is>
      </c>
      <c r="B112" t="inlineStr">
        <is>
          <t>Software Developer Engineer - iOS, Ring</t>
        </is>
      </c>
      <c r="C112" t="inlineStr">
        <is>
          <t>Amazon.com</t>
        </is>
      </c>
      <c r="D112" t="inlineStr">
        <is>
          <t>indeed</t>
        </is>
      </c>
      <c r="E112">
        <f>HYPERLINK("https://www.indeed.com/viewjob?jk=72d24c9f8e9e127d", "https://www.indeed.com/viewjob?jk=72d24c9f8e9e127d")</f>
        <v/>
      </c>
      <c r="F112">
        <f>HYPERLINK("https://www.amazon.jobs/jobs/3011028/software-developer-engineer--ios-ring?cmpid=DA_INAD200785B", "https://www.amazon.jobs/jobs/3011028/software-developer-engineer--ios-ring?cmpid=DA_INAD200785B")</f>
        <v/>
      </c>
      <c r="G112" t="inlineStr">
        <is>
          <t>Hawthorne, CA, US</t>
        </is>
      </c>
      <c r="H112" s="2" t="n">
        <v>45812</v>
      </c>
      <c r="I112"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in-d30ff4bc3ed819ae</t>
        </is>
      </c>
      <c r="B113" t="inlineStr">
        <is>
          <t>Software Developer Engineer - iOS, Ring</t>
        </is>
      </c>
      <c r="C113" t="inlineStr">
        <is>
          <t>Amazon.com</t>
        </is>
      </c>
      <c r="D113" t="inlineStr">
        <is>
          <t>indeed</t>
        </is>
      </c>
      <c r="E113">
        <f>HYPERLINK("https://www.indeed.com/viewjob?jk=d30ff4bc3ed819ae", "https://www.indeed.com/viewjob?jk=d30ff4bc3ed819ae")</f>
        <v/>
      </c>
      <c r="F113">
        <f>HYPERLINK("https://www.amazon.jobs/jobs/3011028/software-developer-engineer--ios-ring?cmpid=DA_INAD200785B", "https://www.amazon.jobs/jobs/3011028/software-developer-engineer--ios-ring?cmpid=DA_INAD200785B")</f>
        <v/>
      </c>
      <c r="G113" t="inlineStr">
        <is>
          <t>Austin, TX, US</t>
        </is>
      </c>
      <c r="H113" s="2" t="n">
        <v>45812</v>
      </c>
      <c r="I113"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in-2bd154e9cf89d68a</t>
        </is>
      </c>
      <c r="B114" t="inlineStr">
        <is>
          <t>Senior Software Engineer - Query Processing, Aurora DSQL</t>
        </is>
      </c>
      <c r="C114" t="inlineStr">
        <is>
          <t>Amazon Web Services</t>
        </is>
      </c>
      <c r="D114" t="inlineStr">
        <is>
          <t>indeed</t>
        </is>
      </c>
      <c r="E114">
        <f>HYPERLINK("https://www.indeed.com/viewjob?jk=2bd154e9cf89d68a", "https://www.indeed.com/viewjob?jk=2bd154e9cf89d68a")</f>
        <v/>
      </c>
      <c r="F114">
        <f>HYPERLINK("https://www.amazon.jobs/jobs/2987643/senior-software-engineer--query-processing-aurora-dsql?cmpid=DA_INAD200785B", "https://www.amazon.jobs/jobs/2987643/senior-software-engineer--query-processing-aurora-dsql?cmpid=DA_INAD200785B")</f>
        <v/>
      </c>
      <c r="G114" t="inlineStr">
        <is>
          <t>Seattle, WA, US</t>
        </is>
      </c>
      <c r="H114" s="2" t="n">
        <v>45796</v>
      </c>
      <c r="I11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in-91b3ee09d356d25d</t>
        </is>
      </c>
      <c r="B115" t="inlineStr">
        <is>
          <t>Senior Software Engineer - Query Processing, Aurora DSQL</t>
        </is>
      </c>
      <c r="C115" t="inlineStr">
        <is>
          <t>Amazon Web Services</t>
        </is>
      </c>
      <c r="D115" t="inlineStr">
        <is>
          <t>indeed</t>
        </is>
      </c>
      <c r="E115">
        <f>HYPERLINK("https://www.indeed.com/viewjob?jk=91b3ee09d356d25d", "https://www.indeed.com/viewjob?jk=91b3ee09d356d25d")</f>
        <v/>
      </c>
      <c r="F115">
        <f>HYPERLINK("https://www.amazon.jobs/jobs/2987643/senior-software-engineer--query-processing-aurora-dsql?cmpid=DA_INAD200785B", "https://www.amazon.jobs/jobs/2987643/senior-software-engineer--query-processing-aurora-dsql?cmpid=DA_INAD200785B")</f>
        <v/>
      </c>
      <c r="G115" t="inlineStr">
        <is>
          <t>East Palo Alto, CA, US</t>
        </is>
      </c>
      <c r="H115" s="2" t="n">
        <v>45796</v>
      </c>
      <c r="I11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6"/>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li-4343328958</t>
        </is>
      </c>
      <c r="B2" t="inlineStr">
        <is>
          <t>Lead Software Engineer Product Owner</t>
        </is>
      </c>
      <c r="C2" t="inlineStr">
        <is>
          <t>SAIC</t>
        </is>
      </c>
      <c r="D2" t="inlineStr">
        <is>
          <t>linkedin</t>
        </is>
      </c>
      <c r="E2" t="inlineStr"/>
      <c r="F2" t="inlineStr"/>
      <c r="G2" t="inlineStr">
        <is>
          <t>Broomfield, CO</t>
        </is>
      </c>
      <c r="H2" t="inlineStr"/>
      <c r="I2" t="inlineStr">
        <is>
          <t>Job ID 2512339
**Location** 
 BROOMFIELD, CO, US
**Date Posted** 
 2025\-12\-12
**Category** 
 Software
**Subcategory** 
 SW Engineer
**Schedule** 
 Full\-time
**Shift** 
 Day Job
**Travel** 
 Yes, 10 % of the Time
**Minimum Clearance Required TS/SCI**
**Clearance Level Must Be Able to Obtain** 
 None
**Potential for Remote Work** 
 Yes
**Description**
**Job Description** 
 We are seeking a highly skilled and motivated Software Product Owner/Lead Software Engineer to lead our software development initiatives and manage product lifecycles. The successful candidate will combine technical expertise with product management skills to deliver innovative software solutions that meet our business objectives and exceed customer expectations.
**Program Overview** 
 The Resilient Missile Warning and Missile Tracking (RMWT) Ground Management and Integration (GMI) program will support the management and integration of ground system capabilities for missile tracking satellites. This includes the development of a primary MEO Satellite Operations Center (MSOC) and Ground Entry Points (GEPs) to facilitate the operations of missile tracking satellites.
**Key Responsibilities**
* Act as the primary point of contact for product stakeholders, gathering and prioritizing requirements to ensure alignment with business goals.
* Develop and maintain a clear product vision and roadmap, translating strategic objectives into actionable tasks for the development team.
* Lead a team of software engineers, providing technical direction, mentorship, and support throughout the development lifecycle.
* Collaborate with other departments (e.g., marketing, sales, customer support) to ensure seamless integration of product features and alignment with broader business strategies.
* Oversee the design, implementation, and deployment of high\-quality software solutions, ensuring adherence to best practices and industry standards.
* Conduct regular backlog grooming sessions, sprint planning, and retrospectives to ensure continuous improvement and timely delivery of product features.
* Monitor and analyze key performance indicators (KPIs) to assess product performance and identify opportunities for enhancement.
* Engage with customers and end\-users to gather feedback and insights, incorporating their needs and preferences into the product development process.
* Stay updated on emerging technologies, market trends, and competitive landscape to inform product strategy and innovation.
* Ensure effective communication and collaboration within the development team, fostering a culture of transparency, accountability, and continuous learning.
**Qualifications**
* Active TS/SCI clearance.
* Bachelor’s degree in computer science, Software Engineering, or a related field. Advanced degree preferred.
* Minimum of 9 years of experience in software development, with at least 3 years in a product owner or lead engineering role.
* Proven experience managing software products through their entire lifecycle, from concept to launch and ongoing support.
* Strong technical background with proficiency in modern programming languages and frameworks (e.g., Java, Python, JavaScript, .NET).
* Excellent understanding of Agile methodologies and software development lifecycle (SDLC) best practices.
* Exceptional leadership, communication, and interpersonal skills.
* Ability to work collaboratively with cross\-functional teams and stakeholders at all levels of the organization.
* Strong analytical and problem\-solving abilities.
* Relevant certifications such as CSPO, CSM, or equivalent are highly desirable.
**Preferred Skills**
* Experience with cloud\-based platforms and services (e.g., AWS, Azure, Google Cloud).
* Familiarity with DevOps practices and tools (e.g., CI/CD, Jenkins, Docker).
* Knowledge of UI/UX design principles and practices.
* Experience in a customer\-facing role, with a strong focus on user experience and satisfaction.
 Target salary range $120,001 \- $160,000\. The estimate displayed represents the typical salary range for this position based on experience and other factors.</t>
        </is>
      </c>
    </row>
    <row r="3">
      <c r="A3" t="inlineStr">
        <is>
          <t>li-4372059741</t>
        </is>
      </c>
      <c r="B3" t="inlineStr">
        <is>
          <t>Sr. Software Engineer, Data, Autonomy</t>
        </is>
      </c>
      <c r="C3" t="inlineStr">
        <is>
          <t>Rivian</t>
        </is>
      </c>
      <c r="D3" t="inlineStr">
        <is>
          <t>linkedin</t>
        </is>
      </c>
      <c r="E3" t="inlineStr"/>
      <c r="F3" t="inlineStr"/>
      <c r="G3" t="inlineStr">
        <is>
          <t>Palo Alto, CA</t>
        </is>
      </c>
      <c r="H3" t="inlineStr"/>
      <c r="I3"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The Autonomy organization at Rivian is seeking a highly skilled and hands\-on Senior Data Engineer to join our Cloud and Data team. This role is ideal for an experienced engineer who thrives at the intersection of data architecture, distributed systems, and scalable engineering. You will design, build, and maintain critical data infrastructure to support the next generation of autonomous vehicle development. You will contribute to the implementation of scalable, reliable, and secure data pipelines, remaining deeply involved in hands\-on development and operational excellence. The ideal candidate is a self\-starter who can work independently on well\-scoped problems, take ownership of complex components, and deliver projects end\-to\-end with
 guidance when needed. You will collaborate closely with engineering and product teams, contribute to technical design discussions, review code, and help improve data platform reliability, performance, and scalability over time
**Responsibilities**
* Design, build, and optimize scalable, high\-throughput data pipelines to process vehicle telemetry, sensor logs, and simulation outputs using Spark, Databricks, and AWS services.
* Contribute to the design and evolution of distributed data architectures across batch, streaming, and hybrid processing frameworks to support both real\-time and offline autonomy use cases.
* Own the development and delivery of complex data engineering components and well\-scoped projects, from implementation through deployment and operational support.
* Collaborate closely with cross\-functional teams including Perception, Simulation, QA, and Safety to deliver reliable and performant data infrastructure aligned with autonomy requirements.
* Apply engineering best practices for CI/CD, testing, monitoring, and observability to improve the quality and reliability of data workflows.
* Participate in code reviews, design discussions, and technical knowledge sharing to help raise the bar on system design and implementation quality across the team.
* Implement data processing frameworks that support privacy\-aware data handling, geospatial enrichment, and high\-volume data ingestion and transformation.
* Evaluate and adopt new tools, libraries, or platform features to improve pipeline performance, scalability, and cost efficiency.
* Tackle moderately ambiguous technical problems by collaborating with stakeholders, proposing solutions, and iterating toward scalable implementations.
* Stay current with data engineering trends and apply best practices thoughtfully to real\-world autonomy data challenges
**Qualifications**
* Bachelor’s or Master’s degree in Computer Science, Engineering, or a related technical field.
* 5\+ years of experience in data engineering, software engineering, or distributed systems.
* Proven experience designing and operating large\-scale data systems using Spark, Databricks, or equivalent tools.
* Strong knowledge of AWS services (e.g., S3, Lambda, EKS, DynamoDB, IAM) and data lake architecture.
* Hands\-on experience with Kubernetes and container orchestration for managing scalable, resilient workloads.
* Proficiency in Python, Go and SQL, with a focus on writing modular, testable, production\-grade code.
* Deep understanding of streaming and batch data processing paradigms, including data ingestion from edge devices.
* Demonstrated ability to work independently, self\-direct, and lead projects without close supervision.
* Familiarity with data governance and access control frameworks such as Unity Catalog or AWS Lake Formation.
* Strong communication skills and the ability to influence through clear technical reasoning and collaboration.
* Experience working with geospatial data, vehicle telemetry, or IoT\-scale pipelines is a plus.
**Pay Disclosure**
 Salary Range for California Based Applicants: $162,800\.00 \- $203,500\.00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4">
      <c r="A4" t="inlineStr">
        <is>
          <t>li-4349853306</t>
        </is>
      </c>
      <c r="B4" t="inlineStr">
        <is>
          <t>(USA) Senior, Software Engineer - Data Engineer</t>
        </is>
      </c>
      <c r="C4" t="inlineStr">
        <is>
          <t>Walmart</t>
        </is>
      </c>
      <c r="D4" t="inlineStr">
        <is>
          <t>linkedin</t>
        </is>
      </c>
      <c r="E4" t="inlineStr"/>
      <c r="F4" t="inlineStr"/>
      <c r="G4" t="inlineStr">
        <is>
          <t>Bentonville, AR</t>
        </is>
      </c>
      <c r="H4" t="inlineStr"/>
      <c r="I4" t="inlineStr">
        <is>
          <t>Position Summary...
 What you'll do...IMMIGRATION SPONSORSHIP IS NOT AVAILABLE FOR THIS POSITION Role summary:
 Walmart is seeking a Senior Software Engineer to design, develop, and maintain scalable software solutions that align with business objectives. This role involves analyzing requirements, creating detailed designs, coding, testing, and troubleshooting complex applications while ensuring high availability and security standards. The successful candidate will collaborate across teams to implement efficient DevOps practices and continuous integration processes. A strong foundation in software architecture, agile methodologies, and emerging technologies is essential to drive innovation and deliver reliable, maintainable software that supports Walmart’s evolving technical landscape.
 About the team:
 The Fusion\-Microspace team focuses on space planning, assortment, and data analytics to support business objectives. This group collaborates closely to design and implement scalable software solutions, leveraging skills in software development, data engineering, and API integration. The team emphasizes agile methodologies and continuous improvement to deliver high\-quality, maintainable applications. Members contribute to requirement analysis, solution design, coding, testing, and deployment, ensuring alignment with technical and business needs. The team fosters a professional environment that values expertise, innovation, and effective communication to achieve impactful results within the Walmart Group of Companies.
 What you'll do:
* Analyze and classify business and technical requirements, ensuring alignment with project objectives and risk mitigation.
* Design scalable software solutions, converting high\-level designs into detailed functional components.
* Develop, configure, and maintain clean, testable code adhering to coding standards and security policies.
* Build automation scripts to streamline continuous integration and delivery processes.
* Execute and support comprehensive testing strategies to identify and resolve defects.
* Monitor application performance, troubleshoot issues, and implement corrective maintenance.
* Collaborate with stakeholders to deliver solutions that meet business needs and technical specifications.
 What you'll bring:
* Proven expertise in software development with proficiency in Python, SQL, and API integration.
* Strong knowledge of Agile software development methodologies and DevOps practices.
* Experience designing scalable, distributed systems with attention to non\-functional requirements such as security, availability, and maintainability.
* Ability to analyze and translate business requirements into detailed technical designs and user stories.
* Skilled in debugging, integration testing, and defect management using modern tools and frameworks.
* Familiarity with cloud platforms including Microsoft Azure, Azure Data Factory, and Azure Databricks.
* Commitment to delivering high\-quality, testable, and maintainable code aligned with business objectives.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2501 Se J St, Ste A, Bentonville, AR 72716\-3724,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5">
      <c r="A5" t="inlineStr">
        <is>
          <t>li-4365588470</t>
        </is>
      </c>
      <c r="B5" t="inlineStr">
        <is>
          <t>Software Engineer, Mail</t>
        </is>
      </c>
      <c r="C5" t="inlineStr">
        <is>
          <t>Notion</t>
        </is>
      </c>
      <c r="D5" t="inlineStr">
        <is>
          <t>linkedin</t>
        </is>
      </c>
      <c r="E5" t="inlineStr"/>
      <c r="F5" t="inlineStr"/>
      <c r="G5" t="inlineStr">
        <is>
          <t>New York, NY</t>
        </is>
      </c>
      <c r="H5" t="inlineStr"/>
      <c r="I5"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Tuesdays, and Thursdays, our designated Anchor Days. Certain teams or positions may require additional in\-office workdays.
**About The Role**
 We’re building Notion Mail to rethink how email fits into the bigger picture of your work. Over time, it reduces context switching, connects email to the rest of Notion, and uses AI to help people move faster from “inbox” to “done.” We’re looking for a backend engineer to help build and evolve the systems behind Notion Mail, including the infrastructure, data models, and asynchronous workflows that make high\-quality syncing and AI\-powered experiences possible.
 On the backend, you’ll work on services that power inbox intelligence, such as auto\-triage and auto\-drafting workflows, and the reliability and observability that these experiences depend on. You’ll collaborate closely with product, design, and other engineering teams, and you’ll have meaningful ownership in a product that’s early enough for your work to shape the foundation and direction.
**What You'll Achieve**
* Own systems and infrastructure that power AI\-assisted email communication workflows at scale.
* Build and evolve reliable data flows and models that keep email state accurate and up to date.
* Design asynchronous processing systems that support high\-volume, low\-latency product experiences.
* Partner cross\-functionally with engineering, product, and design to deliver end\-to\-end features from backend foundations to customer facing experiences.
* Help keep production systems healthy by strengthening observability, improving performance, and increasing operational reliability over time.
**Skills You'll Need To Bring**
* Systems design \&amp; production infrastructure experience: You’ve designed systems with clear tradeoffs, and you have hands on experience with infrastructure topics like Kubernetes, observability/telemetry (e.g., Honeycomb), and operating reliable production systems.
* Strong data modeling skills: You can design durable data models and APIs that are correct, evolvable, and performant as product requirements grow.
* Ownership and initiative: You thrive in a fast\-moving, unstructured environment and are comfortable taking ownership of ambiguous problems. You act with a bias toward action and focus on results.
* Pragmatic problem\-solver: You prioritize business impact and understand the balance between craft, speed, and long\-term maintainability. You’re opinionated but not ideological, and you learn new technologies as you go.
* Collaborative and empathetic: You work well across teams, offer guidance to unblock others, and communicate clearly when aligning on technical direction.
* You don’t need to be an AI expert, but you’re curious and willing to adopt AI tools to work smarter and deliver better results
**Nice To Haves**
* Past full stack experience, or interest in doing some full stack work over time
* Experience building high\-volume asynchronous job execution and orchestration systems
* Hands\-on experience with AWS infrastructure and a background in distributed systems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$176,000 \- $207,000 per year.
 By clicking “Submit Application”, I understand and agree that Notion and its affiliates and subsidiaries will collect and process my information in accordance with Notion’s Global Recruiting Privacy Policy and NYLL 144\.</t>
        </is>
      </c>
    </row>
    <row r="6">
      <c r="A6" t="inlineStr">
        <is>
          <t>li-4349578900</t>
        </is>
      </c>
      <c r="B6" t="inlineStr">
        <is>
          <t>Backend Software Engineer - B2B Applications</t>
        </is>
      </c>
      <c r="C6" t="inlineStr">
        <is>
          <t>OpenAI</t>
        </is>
      </c>
      <c r="D6" t="inlineStr">
        <is>
          <t>linkedin</t>
        </is>
      </c>
      <c r="E6" t="inlineStr"/>
      <c r="F6" t="inlineStr"/>
      <c r="G6" t="inlineStr">
        <is>
          <t>San Francisco, CA</t>
        </is>
      </c>
      <c r="H6" t="inlineStr"/>
      <c r="I6" t="inlineStr">
        <is>
          <t>**About The Team**
 OpenAI’s mission is to make AGI beneficial for all of humanity and our mission is successful only if AGI drives
 *real* 
*benefits* 
 across all industries in the world. Our goal in B2B applications is to enable this mission by helping businesses, enterprises \&amp; governments redefine how they operate to empower people and accelerate economic growth.
 We build and operate the products that bring our cutting\-edge research to millions of companies and developers worldwide. We power the OpenAI API and the Enterprise products that empower people around the world to do their jobs better and more efficiently. Our teams span product engineering, backend infrastructure, and safety, working together to ensure that OpenAI’s technology is delivered with reliability, security, and a world\-class user experience.
**About The Role**
 We’re looking for backend engineers to design and scale the systems that drive our developer and enterprise\-facing products. In this role, you’ll architect and maintain the services and infrastructure that power OpenAI applications—from large\-scale distributed systems and databases to APIs and data pipelines. You’ll collaborate closely with product, research, and infrastructure teams to bring new AI capabilities to production while ensuring performance, safety, and compliance at global scale.
**In This Role, You Will**
* Own the end\-to\-end development lifecycle for new platform capabilities and integrations with other systems
* Collaborate closely with product, design and external customers to understand problems and implement effective solutions
* Work with the research team to improve our next generation of models
**Your Background Might Look Something Like**
* 2\+ years of professional engineering experience (excluding internships) in relevant roles at tech and product\-driven companies
* Former founder, or early engineer at a startup who has built a product from scratch is a plus
* Are proficient in one or more backend languages (e.g., Python, Go, Rust, Typescript or similar) and distributed systems concepts.
* Enjoy building infrastructure that supports billions of requests and petabytes of data.
* Care deeply about reliability, safety, and performance in production environments.
* Interest in AI/ML (direct experience not required)
* Proven ability to thrive in fast\-growing, product\-driven companies by effectively navigating loosely defined tasks and managing competing priorities or deadlines.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7">
      <c r="A7" t="inlineStr">
        <is>
          <t>li-4233871803</t>
        </is>
      </c>
      <c r="B7" t="inlineStr">
        <is>
          <t>Software Engineer, Backend</t>
        </is>
      </c>
      <c r="C7" t="inlineStr">
        <is>
          <t>Siro</t>
        </is>
      </c>
      <c r="D7" t="inlineStr">
        <is>
          <t>linkedin</t>
        </is>
      </c>
      <c r="E7" t="inlineStr"/>
      <c r="F7" t="inlineStr"/>
      <c r="G7" t="inlineStr">
        <is>
          <t>New York, United States</t>
        </is>
      </c>
      <c r="H7" t="inlineStr"/>
      <c r="I7" t="inlineStr">
        <is>
          <t>Field sales powers the economy — but most teams are struggling. Reps are buried in admin work, managers are stretched thin, and leaders can’t see what’s really happening in the field.
 Siro is redefining how field sales teams learn, perform, and win.
 We started as an AI\-powered coaching platform that helped reps improve their outcomes in the field.
 Today, we’re something much bigger — an intelligent companion that automates sales reps’ tedious admin work, gives managers real\-time visibility, and helps executives see around corners.
 Our platform integrates with systems like Salesforce, analyzing thousands of in\-person sales conversations to surface insights, automate workflows, and drive better outcomes across the org. Think
 *Iron Man’s* 
 Jarvis for sales — proactive, personalized, and built directly into the tools teams already use.
 Siro has raised $75M and is backed by world\-class investors like Index, Fika, CRV, and SignalFire. We are trusted by leading home\-improvement, retail, hospitality, and automotive brands, and powered by a lean team from Meta, McKinsey, Doordash, and Uber.
 We’re building the future of human\-AI collaboration in sales — and we’re just getting started.
 Key Responsibilities
* Build platform and backend systems at Siro, across recording, integrations, AI agents, and more!
* Own the end\-to\-end development of key features, from architectural decisions through implementation, deployment, and support
* Design and build scalable backend services that handle real\-time processing of sales conversations
* Drive technical excellence through thoughtful code reviews, documentation, and engineering best practices
* Partner closely with product and design teams to transform customer needs into elegant technical solutions
* Own the health of our systems and products, and make data\-driven decisions
* Help evolve our development practices and tooling to enable sustainable scaling while maintaining velocity
**Requirements**
* We expect 3\+ years of professional software engineering experience.
* You are excited to work in our NYC office 3\+ days a week with the rest of the team.
* You have strong proficiency in modern programming languages, databases, API frameworks, and cloud platforms (like GCP)
* You are a strong problem solver, with the ability to think critically and approach challenges with a first\-principles mindset.
* You have strong communication skills, able to articulate complex technical concepts to both technical and non\-technical stakeholders.
 Our Tech Stack
 In case you’re curious, we use the following technologies (and more), but proficiency in any specific technology is not required.
* Frontend: React Native, Svelte, TypeScript
* Mobile: Swift, Kotlin
* Backend: Node.js, Typescript, serverless functions
* Cloud: Google Cloud Platform (GCP)
* Other tools: Git, Datadog, Figma
 Why Join Siro?
* Growth: Join a rapidly scaling Series B startup with proven product\-market fit
* Technology: Work with cutting\-edge AI technologies and a modern tech stack
* Team: Collaborate with an experienced CEO (previously built a successful sales tool used by 100,000\+ reps) and top\-tier team
* Ownership: Take end\-to\-end ownership of features that directly impact our users
* Learning: Work across the full stack and grow your technical breadth
* Impact: Help democratize sales success and create opportunities for millions of sales professionals
 What Sets You Apart
* You're a collaborative team player with a "we before me" mindset, always ready to support and elevate your colleagues.
* You have high standards for excellence and aren't afraid to voice your opinion to push for quality.
* You think strategically beyond code, considering business and design implications in your work.
* You actively leverage AI coding tools to assist you during development.
* You thrive in an agile environment with low management overhead.
* You're creative and can think outside the box to solve complex problems in innovative ways.
* You continuously look to grow your skills and your impact.
*At Siro, we are committed to creating a diverse and inclusive environment where all people feel that they are equally respected and valued, whether they are applying for an open position or working at the company. We provide equal employment opportunities to all applicants without regard to race, religion, color, national origin, gender, sexual orientation, age, marital status, veteran status, or disability status.*</t>
        </is>
      </c>
    </row>
    <row r="8">
      <c r="A8" t="inlineStr">
        <is>
          <t>li-4355393875</t>
        </is>
      </c>
      <c r="B8" t="inlineStr">
        <is>
          <t>Software Engineer, Platform Systems</t>
        </is>
      </c>
      <c r="C8" t="inlineStr">
        <is>
          <t>OpenAI</t>
        </is>
      </c>
      <c r="D8" t="inlineStr">
        <is>
          <t>linkedin</t>
        </is>
      </c>
      <c r="E8" t="inlineStr"/>
      <c r="F8" t="inlineStr"/>
      <c r="G8" t="inlineStr">
        <is>
          <t>San Francisco, CA</t>
        </is>
      </c>
      <c r="H8" t="inlineStr"/>
      <c r="I8" t="inlineStr">
        <is>
          <t>**About The Team**
 The Platform Systems team at OpenAI operates at the intersection of cutting\-edge AI and large\-scale distributed systems. We build the engineering and research infrastructure required to train OpenAI’s flagship models on some of the world’s largest, custom\-built supercomputers.
 Our team develops core model training software and works deep in the stack \- spanning collective communication, compute efficiency, parallelism strategies, fault tolerance, failure detection, and observability. The systems we build are foundational to OpenAI’s research velocity, enabling reliable, efficient training at frontier scale.
 We collaborate closely with researchers across the organization, continuously incorporating learnings from across OpenAI into the evolution of our training platform.
**About The Role**
 As a Software Engineer, Platform Systems, you will design and build distributed systems that provide visibility into large\-scale training workloads and help operate them reliably at scale.
 You’ll work on failure detection, tracing, and observability systems that identify slow or faulty nodes, surface performance bottlenecks, and help engineers understand and optimize massive distributed training jobs. This infrastructure is critical to operating OpenAI’s training stack and is actively evolving to support new use cases and increasingly complex workloads.
 This role sits at the core of our training infrastructure, blending systems engineering, performance analysis, and large\-scale debugging.
**In This Role, You Will**
* Design and build distributed failure detection, tracing, and profiling systems for large\-scale AI training jobs
* Develop tooling to identify slow, faulty, or misbehaving nodes and provide actionable visibility into system behavior
* Improve observability, reliability, and performance across OpenAI’s training platform
* Debug and resolve issues in complex, high\-throughput distributed systems
* Collaborate with systems, infrastructure, and research teams to evolve platform capabilities
* Extend and adapt failure detection systems or tracing systems to support new training paradigms and workloads
**You Might Thrive in This Role If You**
* Care deeply about performance, stability, and observability in distributed systems
* Enjoy finding and fixing issues in large\-scale systems and automating operational workflows
* Have experience writing low\-level software where system details matter
* Understand hardware, operating systems, networking, concurrency, and distributed systems
* Have a background in high\-performance computing or low\-level systems engineering
* Are excited to work on critical infrastructure that powers frontier AI research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9">
      <c r="A9" t="inlineStr">
        <is>
          <t>li-4332740363</t>
        </is>
      </c>
      <c r="B9" t="inlineStr">
        <is>
          <t>Software Engineer, Gen AI</t>
        </is>
      </c>
      <c r="C9" t="inlineStr">
        <is>
          <t>Scale AI</t>
        </is>
      </c>
      <c r="D9" t="inlineStr">
        <is>
          <t>linkedin</t>
        </is>
      </c>
      <c r="E9" t="inlineStr"/>
      <c r="F9" t="inlineStr"/>
      <c r="G9" t="inlineStr"/>
      <c r="H9" t="inlineStr"/>
      <c r="I9" t="inlineStr">
        <is>
          <t>**About Scale**
 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Intelligence (AGI), and building upon our prior model evaluation work with enterprise customers and governments, to deepen our capabilities and offerings for both public and private evaluations.
**About Data Engine**
 Our Generative AI Data Engine powers the world’s most advanced LLMs and generative models through world\-class RLHF (Reinforcement Learning with Human Feedback), human data generation, model evaluation, safety, and alignment. The data we are producing is some of the most important work for how humanity will interact with AI.
**Our Approach**
 As part of the interview process, you’ll be considered for opportunities across several teams within the GenAI Engineering organization, based on your interests, expertise, and business needs. Potential team placements include Allocation, Growth, Frontier Data, Trust \&amp; Safety, Pay, Operator, or Tasking Experience. Together, these teams power Scale’s AI data operations \- from building high\-impact datasets that push the boundaries of LLM capabilities, to optimizing contributor onboarding and incentives, to safeguarding data integrity through advanced trust, safety, and security measures. They work at the intersection of ML, operations, and analytics to ensure we deliver the highest\-quality data at scale.
**Responsibilities:**
* Design and implement features end\-to\-end across front\-end, back\-end, and infrastructure
* Build features end\-to\-end using technologies like TypeScript, MongoDB, and Elasticsearch, and contribute to our compute orchestration layer powered by Temporal
* Own high\-impact technical systems that are critical to Scale’s revenue delivery
* Build and iterate on complex systems that scale to millions of tasks per week
* Collaborate with model teams, Forward Deployed Engineers, and cross\-functional stakeholders
* Help shape the engineering culture, values, and best practices of a fast\-growing team
**Requirements:**
* 3\+ years of relevant software engineering experience
* Track record of building and shipping products at scale
* Ability to thrive in a fast\-paced, high\-ownership environment
* Strong product intuition and problem\-solving skills
* Experience across the stack: React, Typescript, Node, Python, etc.
* Excited to join a hybrid team based in San Francisco or New York City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$124,000—$155,000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10">
      <c r="A10" t="inlineStr">
        <is>
          <t>li-4268919673</t>
        </is>
      </c>
      <c r="B10" t="inlineStr">
        <is>
          <t>Software Engineer, Full Stack (People Innovation)</t>
        </is>
      </c>
      <c r="C10" t="inlineStr">
        <is>
          <t>OpenAI</t>
        </is>
      </c>
      <c r="D10" t="inlineStr">
        <is>
          <t>linkedin</t>
        </is>
      </c>
      <c r="E10" t="inlineStr"/>
      <c r="F10" t="inlineStr"/>
      <c r="G10" t="inlineStr">
        <is>
          <t>San Francisco, CA</t>
        </is>
      </c>
      <c r="H10" t="inlineStr"/>
      <c r="I10" t="inlineStr">
        <is>
          <t>**About The Team**
 At OpenAI, we’re building the connective tissue between our mission and our people. People Innovation Labs is a fast\-moving engineering team embedded in the People organization, focused on rethinking how we find and retain the best talent and empower everyone to do their best work. From recruiting to culture, we’re designing systems that give our People Team a significant edge by infusing OpenAI’s models and first\-principles thinking into every aspect of our work. Our projects range from greenfield 0\-1 products like OpenHouse (our internal knowledge hub) to AI\-powered automations and scalable recruiting tools. We’re defining the future of work at OpenAI, creating a blueprint for how AI can supercharge productivity, culture, and innovation.
**About The Role**
 We are looking for a self\-starter engineer who loves building new products in an iterative and fast\-moving environment. This team is for full stack product engineers who are deeply curious about culture, recruiting and people development, and want to know everything from the business strategy and metrics down through the code that gets us there. In this role, you will work with members of the People Team and leaders across the company to build software focused on HR, culture and recruiting from the ground up. You’ll also innovate on how we apply LLMs in these domains.
**In This Role, You Will**
* Own the full product development lifecycle for new people products end\-to\-end
* Talk to internal stakeholders to understand their problems and design solutions to address them
* Work with the research team to share relevant feedback and iterate on applying their latest models
* Collaborate with a cross\-functional team of engineers, HRBPs, recruiters, researchers, product managers, designers, and people in operations to create cutting\-edge products
**Your Background Might Look Something Like**
* 4\+ years of professional engineering experience (excluding internships) in relevant roles at tech and product\-driven companies
* Former founder, or early engineer at a startup who built a product from scratch is a plus
* Interest in building company culture and/or recruiting the world’s most talented people
* Proficiency with JavaScript, React, and other web technologies
* Proficiency with a backend language (we use Python)
* Some experience with relational databases like Postgres/MySQL
* Interest in AI/ML (direct experience not required)
* Ability to move quickly in an environment with loosely defined tasks and competing priorities or deadlines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11">
      <c r="A11" t="inlineStr">
        <is>
          <t>li-4317479274</t>
        </is>
      </c>
      <c r="B11" t="inlineStr">
        <is>
          <t>Software Engineer: Frontend</t>
        </is>
      </c>
      <c r="C11" t="inlineStr">
        <is>
          <t>Observe, Inc.</t>
        </is>
      </c>
      <c r="D11" t="inlineStr">
        <is>
          <t>linkedin</t>
        </is>
      </c>
      <c r="E11" t="inlineStr"/>
      <c r="F11" t="inlineStr"/>
      <c r="G11" t="inlineStr">
        <is>
          <t>San Mateo, CA</t>
        </is>
      </c>
      <c r="H11" t="inlineStr"/>
      <c r="I11" t="inlineStr">
        <is>
          <t>Observe is a SaaS Observability tool that enables Engineering and DevOps teams to troubleshoot modern distributed applications 10x faster. Observe ingests machine\-generated data and turns it into a graph of things that are understandable by humans. We enable engineers to spend more time coding features and less time investigating incidents. Because of Observe’s unique elastic architecture, our product is priced based on usage, making it cost 10x less than incumbents. Watch this video to learn more about our mission.
 Observe was founded by top enterprise VC Sutter Hill Ventures and has a founding team from leading Enterprise SaaS companies Snowflake, Splunk, and Wavefront. We’re excited to grow our front\-end engineering team. You will be spending your time working and learning from some of the best as we deliver a delightful UI that is both simple to use and powerful enough for experts to troubleshoot complex applications. View our demo.
**As a Frontend Engineer, You Will**
* Develop an interactive, data\-rich user interface using React, Typescript, D3, SASS/SCSS, etc.
* Own the end\-to\-end delivery of substantial product features.
* Work closely with product managers, UX designers, backend engineers to develop new features
* Be a strong contributor to the product vision and team planning
* Be a part of a rapidly growing startup with a strong VC backing
**What We Are Looking For**
* Experience building/maintaining complex enterprise applications
* Day\-to\-day knowledge of modern web technologies like React, Javascript, Typescript, D3, etc.
* A sophisticated understanding of how to use interfaces and design patterns to create simple and reusable components for a complex, technical UI
* Confidently can make the right trade\-offs between functionality and delivery speed so that we deliver both value and wow\-factor to customers
* Passion for front\-end development, and the impacts it has on overall customer experience.
* Growth mindset, willingness to using every opportunity to learn, discover and grow
* Open to all levels!
**What We Like**
* We aren’t interested in asking about computer science fundamentals you learned in college years ago, we care more about finding people who can apply their practical experience to get things done
* Experience with commercial dashboarding and analytics products (e.g. Splunk, Datadog, Looker, Power BI) is preferable
* Knowledge of the core building blocks in web browsers, like the DOM, CSS, Canvas, XHR, etc.
* Startup or growth\-stage experience is also preferable
**About Us**
 Observe's mission is to turn business data into information. Our SaaS Observability product ingests anything with a timestamp \- logs, metrics, traces \- and then curates and relates that data to provide unique insights into a customer’s data universe. If a customer has a problem on the application layer, engineering teams can seamlessly find the root cause of the issue whether that’s a new release pushed to production from Jenkins, or an underlying database or memory issue. We enable engineers to spend more time coding features and less time investigating incidents. We reduce outages and issues with customer experience. And we leverage an elastic cloud architecture so that customers only pay for what they use. To learn more about Observe, visit www.observeinc.com or join the conversation on Twitter @Observe\_Inc.
 Observe Inc. is a diversity\-friendly zone. We seek to assemble a heterogeneous team where employees from all backgrounds can feel valued, appreciated, and celebrated, and where individual development does not come second to our collective goals.</t>
        </is>
      </c>
    </row>
    <row r="12">
      <c r="A12" t="inlineStr">
        <is>
          <t>li-4291500677</t>
        </is>
      </c>
      <c r="B12" t="inlineStr">
        <is>
          <t>Software Engineer, Product Backend (2-8 YOE)</t>
        </is>
      </c>
      <c r="C12" t="inlineStr">
        <is>
          <t>Airtable</t>
        </is>
      </c>
      <c r="D12" t="inlineStr">
        <is>
          <t>linkedin</t>
        </is>
      </c>
      <c r="E12" t="inlineStr"/>
      <c r="F12" t="inlineStr"/>
      <c r="G12" t="inlineStr">
        <is>
          <t>San Francisco, CA</t>
        </is>
      </c>
      <c r="H12" t="inlineStr"/>
      <c r="I12" t="inlineStr">
        <is>
          <t>Airtable is the no\-code app platform that empowers people closest to the work to accelerate their most critical business processes. More than 500,000 organizations, including 80% of the Fortune 100, rely on Airtable to transform how work gets done.
 Airtable’s mission is to bring the power of computing and software development to everyone. We are developing a powerful and extensible toolkit that our customers can leverage to solve a variety of different problems and workflows. We’ve seen our most sophisticated customers use the product to run global processes across thousands of employees, coordinate precision manufacturing pipelines, and consolidate previously siloed mission\-critical data into a single source of truth. The complexity of these use cases requires us to be extremely thoughtful about how we design and implement new functionality in the product and make sure it’s both easy to use and comprehend for our customers and maintainable for us.
 As a
 **Full\-Stack, Backend** 
 engineer at Airtable, you will have the opportunity to work with customers to deeply understand their needs and workflows. You will collaborate with cross\-functional partners across product management, design, research and data science to create innovative new features that enable our customers to do their best work. You will be responsible for owning and executing the end\-to\-end implementation of these new features that will contribute to making our toolkit even more powerful and successful.
**We Currently Have Openings On**
* The Platform Interoperability Team (Full\-Stack/BE) focuses holistically on the customer problem of using Airtable at scale. Operating at very high scale requires changes to many different product surfaces, which makes this pod somewhat unique: we focus on the business problem across the whole of the Airtable product. The business impact of this pod is aimed at unblocking high\-scale Airtable implementations that are in pipeline, and preventing churn by improving the user experience of Airtable at scale.
* The Admin \&amp; Governance Team (Full\-Stack/BE) ensures Airtable is secure, compliant, and enterprise\-ready. It owns key admin capabilities like the Admin Panel, SSO, and audit systems, as well as foundational features like User Groups. This team's mission is to accelerate organizational value for the largest customers with enterprise\-first governance and controls.
***Please note:* 
*while we employ a hybrid working model at Airtable (flexible in working from the office or elsewhere), we are only hiring in the following locations at this time:***
* Based in the San Francisco Bay Area and are open to coming into our office (Embarcadero) at least \~2\-3 times/week for team collaboration
* Based in New York City and are open to coming into our office (Soho) at least \~2\-3 times/week for team collaboration
* Based remotely in the greater Seattle area
**What You'll Do**
* Spec and build product features that are beautiful, consistent, and fast, that encourage exploration, and that earn the trust of our customers through predictable, reliable, and thoughtful interactions.
* Work at all levels of the stack, from AWS, Node.js, and SQL to React, HTML. and CSS to build and maintain end to end products on Airtable, with a primary focus on backend development.
* Partner with product managers, designers, and data scientists to understand the needs of potential users and build a product that unlocks their potential.
* Work alongside and learn from a talented group of engineers with a diverse range of experiences and backgrounds.
**Who You Are**
* You have 2\+ years of industry experience with modern full\-stack web development, with particular emphasis on backend feature development.
* You are fluent in one or more backend technologies, and are interested in programming in JavaScript and React.
* You are excited by a product\-oriented backend role.
* You have a good understanding of web technologies and large\-scale web application architecture.
* You have a background in computer science or a related field.
* You believe the best product is the one that helps users accomplish their goals while growing the business.
* You take a thoughtful approach to decision making; knowing when to move fast and when to do things right.
* You have strong convictions, weakly held and assume validation and iteration are a given to produce the best results.
* You show strong ownership instincts and sweat the details.
* You are currently based and/or will be based in the San Francisco Bay Area, New York City, or work remotely in Seattle.
 Airtable is an equal opportunity employer. We embrace diversity and strive to create a workplace where everyone has an equal opportunity to thrive. We welcome people of different backgrounds, experiences, abilities, and perspectives. All qualified applicants will receive consideration for employment without regard to race, color, religion, sex, sexual orientation, gender identity, national origin, disability, protected veteran status or any characteristic protected by applicable federal and state laws, regulations and ordinances. Learn more about your EEO rights as an applicant
 **.**
 VEVRAA\-Federal Contractor
 If you have a medical condition, disability, or religious belief/practice which inhibits your ability to participate in any part of the application or interview process, please complete our Accommodations Request Form and let us know how we may assist you. Airtable is committed to participating in the interactive process and providing reasonable accommodations to qualified applicants.
 Compensation awarded to successful candidates will vary based on their work location, relevant skills, and experience.
 Our total compensation package also includes the opportunity to receive benefits, restricted stock units, and may include incentive compensation. To learn more about our comprehensive benefit offerings, please check out Life at Airtable.
 For work locations in the San Francisco Bay Area, Seattle, New York City, and Los Angeles, the base salary range for this role is:
 $170,000 \- $277,600 USD
 Please see our Privacy Notice for details regarding Airtable’s collection and use of personal information relating to the application and recruitment process by clicking here.
 🔒
 **Stay Safe from Job Scams**
 All official Airtable communication will come from an
 **@airtable.com** 
 email address. We will never ask you to share sensitive information or purchase equipment during the hiring process. If in doubt, contact us at hr@airtable.com. Learn more about avoiding job scams here.</t>
        </is>
      </c>
    </row>
    <row r="13">
      <c r="A13" t="inlineStr">
        <is>
          <t>li-4323336681</t>
        </is>
      </c>
      <c r="B13" t="inlineStr">
        <is>
          <t>Senior Software Engineer</t>
        </is>
      </c>
      <c r="C13" t="inlineStr">
        <is>
          <t>The Walt Disney Company</t>
        </is>
      </c>
      <c r="D13" t="inlineStr">
        <is>
          <t>linkedin</t>
        </is>
      </c>
      <c r="E13" t="inlineStr"/>
      <c r="F13" t="inlineStr"/>
      <c r="G13" t="inlineStr">
        <is>
          <t>Glendale, CA</t>
        </is>
      </c>
      <c r="H13" t="inlineStr"/>
      <c r="I13" t="inlineStr">
        <is>
          <t>**Disney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Content Platforms \&amp; Operations is responsible for the development and ongoing advancement of the technical and operational functions driving the worldwide distribution and monetization of Disney’s linear networks and theatrical content. This includes Disney’s media supply chain and storage, network and theatrical distribution operations, media localization, network transmission and origination, and more. The global team also plays a critical role as the primary collaboration point for Product \&amp; Technology with Disney’s EMEA, APAC, and LATAM regional business teams.
**Job Summary**
 The Content Product \&amp; Operations team is looking for a Senior Software Engineer that will drive the design and implementation of our next generation temporal and descriptive metadata tagging platform.
 As a Senior Software Engineer, you will be expected to develop backend solutions in a dynamic, rapidly changing environment using your technical skill sets, working with product managers and team leads to deliver high quality products that are scalable and robust. You will be expected to work closely on solutions with peers in a cross\-functional environment to ensure we are delivering high quality products that align to the larger business initiatives within the digital media supply chain that support Disney’s TV, broadcast, theatrical, and direct –to\-consumer lines of business.
**Responsibilities**
* Develop, test, \&amp; deploy high quality application code.
* Provide technical guidance and evangelize best practices
* Contribute and review code, set standards, and work with engineers to ensure product and design specifications are met
* Responsible for fundamental platform performance, scalability, and resiliency
* Partner with stakeholders to refine requirements, and propose solutions to problems that span multiple teams
* Mentor junior engineers on the team
**Basic Qualifications**
* Minimum of 5 years of related software development experience
* Bachelor's or Master's degree in Computer Science, Information Systems, Software, Electrical or Electronics Engineering, or comparable field of study, and/or equivalent work experience
* Motivated self\-starter with the ability to learn and adapt to new technologies.
* Can effectively articulate complex ideas and influence others through well\-reasoned explanations
* Enjoy working within a team setting of engineers of varying experience
* Strong communication skills and attention to detail
* Comfortable working in a geographically distributed team.
**Preferred Qualifications**
* Previous work experience in temporal and descriptive video tagging/ad marking
* Knowledge of performance testing, application profiling, Java heap and thread dump analysis
* Knowledge of video, audio, and subtitle formats, codecs, wrappers, and usages.
* Knowledge of media standards and specifications such as SMPTE
 \#DISNEYTECH
 The hiring range for this position in Los Angeles, CA and Bristol, CT is $141,900 to $190,300 per year, and in New York, NY is $148,700 to $199,400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4">
      <c r="A14" t="inlineStr">
        <is>
          <t>li-4301398088</t>
        </is>
      </c>
      <c r="B14" t="inlineStr">
        <is>
          <t>Senior Software Engineer, Backend</t>
        </is>
      </c>
      <c r="C14" t="inlineStr">
        <is>
          <t>Ro</t>
        </is>
      </c>
      <c r="D14" t="inlineStr">
        <is>
          <t>linkedin</t>
        </is>
      </c>
      <c r="E14" t="inlineStr"/>
      <c r="F14" t="inlineStr"/>
      <c r="G14" t="inlineStr">
        <is>
          <t>New York, NY</t>
        </is>
      </c>
      <c r="H14" t="inlineStr"/>
      <c r="I14" t="inlineStr">
        <is>
          <t>Ro is a direct\-to\-patient healthcare company with a mission of helping patients achieve their health goals by delivering the easiest, most effective care possible. Ro is the only company to offer nationwide telehealth, labs, and pharmacy services. This is enabled by Ro's vertically integrated platform that helps patients achieve their goals through a convenient, end\-to\-end healthcare experience spanning from diagnosis, to delivery of medication, to ongoing care. Since 2017, Ro has helped millions of patients in nearly every single county in the United States, including 99% of primary care deserts.
 Ro is consistently recognized as a top workplace in Health Care, in New York, and for Women and Parents—earning more than 20 honors from Fortune, Great Place to Work, and PEOPLE since 2021\. In 2025 alone, we ranked top 5 among medium workplaces in Health Care and New York, and top 50 nationwide.
**The Role**
 We are looking for a Senior Software Engineer to join the team at Ro. In this role, you will design, build, and maintain scalable, reliable, and secure backend services.
 You will design and implement new applications and enhance existing platform capabilities while contributing to the evolution of Ro’s technical architecture. You will also help define the technical roadmap, owning initiatives from ideation through design, implementation, and maintenance.
 Senior Software Engineers at Ro are in positions of high\-impact with broad accountability and influence across engineering teams and business stakeholders. If you are someone who thrives in this sort of environment, has a strong product mindset, and is passionate about building systems at scale, we’d love to hear from you.
**What You’ll Do**
* Design and build scalable, reliable, and resilient distributed services using Python and FastAPI
* Operate as an owner within your team's domain and proactively assess and improve system performance and reliability
* Drive engineering excellence through best practices in testing, monitoring, observability, and performance optimization
* Actively contribute to building the team’s architectural vision and technical roadmap
* Collaborate on code reviews and technical design documents to ensure the consistent application of best practices across relevant domains
* Collaborate closely with product managers, designers, and engineers from adjacent teams to ensure alignment and technical integrity across boundaries
* Participate in on\-call rotations to ensure reliability of production systems
**What You’ll Bring To The Team**
* 5\+ years of software engineering experience
* Experience architecting, designing and building scalable web applications and distributed systems
* Proficiency with Python, relational databases, and frameworks like FastAPI or Django, with hands\-on experience in metrics instrumentation and data\-driven performance tuning leveraging Ro’s load testing infrastructure and tools like Datadog
* Proven track record of scaling complex, data\-intensive backend systems through rapid growth (ideally in a mid\-to\-late stage startup environment), ensuring high performance and availability
* Deep understanding of distributed systems\-data consistency, communication patterns, and service boundaries\-backed by hands\-on experience building and maintaining data\-intensive production systems
* Strong sense of ownership with the ability and desire to own technical roadmaps and refine ambiguous problems
* Demonstrated ability to collaborate with other engineers and cross\-functional partners to create the best possible products
**Bonus Skills**
* Experience in telehealth or other highly regulated industries
* Experience with decoupling monolithic applications into distributed asynchronous services
**We’ve Got You Covered**
* Full medical, dental, and vision insurance \+ OneMedical membership
* Healthcare and Dependent Care FSA
* 401(k) with company match
* Flexible PTO
* Wellbeing \+ Learning \&amp; Growth reimbursements
* Paid parental leave \+ Fertility benefits
* Pet insurance
* Student loan refinancing
* Virtual resources for mindfulness, counseling, and fitness
 The target base salary for this position ranges from $182,300 to $220,000 , in addition to a competitive equity and benefits package (as applicable). When determining compensation, we analyze and carefully consider several factors, including location, job\-related knowledge, skills and experience. These considerations may cause your compensation to vary.
 Ro recognizes the power of in\-person collaboration, while supporting the flexibility to work anywhere in the United States. For our Ro’ers in the tri\-state (NY) area, you will join us at HQ on Tuesdays and Thursdays. For those outside of the tri\-state area, you will be able to join in\-person collaborations throughout the year (i.e., during team on\-sites).
 At Ro, we believe that our diverse perspectives are our biggest strengths — and that embracing them will create real change in healthcare. As an equal opportunity employer, we provide equal opportunity in all aspects of employment, including recruiting, hiring, compensation, training and promotion, termination, and any other terms and conditions of employment without regard to race, ethnicity, color, religion, sex, sexual orientation, gender identity, gender expression, familial status, age, disability and/or any other legally protected classification protected by federal, state, or local law.
 See our California Privacy Policy here .</t>
        </is>
      </c>
    </row>
    <row r="15">
      <c r="A15" t="inlineStr">
        <is>
          <t>li-4266776614</t>
        </is>
      </c>
      <c r="B15" t="inlineStr">
        <is>
          <t>Fullstack Engineer - Companions</t>
        </is>
      </c>
      <c r="C15" t="inlineStr">
        <is>
          <t>xAI</t>
        </is>
      </c>
      <c r="D15" t="inlineStr">
        <is>
          <t>linkedin</t>
        </is>
      </c>
      <c r="E15" t="inlineStr"/>
      <c r="F15" t="inlineStr"/>
      <c r="G15" t="inlineStr">
        <is>
          <t>Palo Alto, CA</t>
        </is>
      </c>
      <c r="H15" t="inlineStr"/>
      <c r="I15"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role** 
 We're looking for exceptional multimedia engineers and product thinkers who want to make Grok's realtime avatar products the best in the world.
**What You'll Do** 
* Make Grok's realtime avatar products fast, scalable, and reliable.
* Help push forward audio and gameplay research and deploy breakthrough innovations to millions of users.
* Obsess over every millisecond and byte, ensuring end\-to\-end quality and performance at scale across a rich suite of products and user platforms.
**Who You Are** 
* Well\-versed in low\-latency systems and protocols like WebSocket and WebRTC.
* Expert in Python, and preferably proficient in Rust.
* Some iOS experience preferable.
* In\-depth knowledge and experience building high performance media processing pipelines.
* Obsessed with media quality, performance, and product experience.
**Tech Stack** 
* Python, Rust, WebSocket, WebRTC
**Interview Process** 
 After submitting your application, the team reviews your CV and statement of exceptional work. If your application passes this stage, you will be invited to a 15\-30 minutes phone interview, during which a member of our team will ask technical questions. If you clear the phone interview, you will proceed to next steps:
1. Deep dive coding challenge
2. Meet and greet with the wider team
 Our goal is to complete the process within one week. All interviews will be conducted in person when applicable.
**Location** 
 The role is based in Palo Alto. Candidates are expected to be located near the Bay Area or open to relocation.
**Annual Salary Range** 
 $180,000 \- $440,000 USD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California Consumer Privacy Act (CCPA) Notice</t>
        </is>
      </c>
    </row>
    <row r="16">
      <c r="A16" t="inlineStr">
        <is>
          <t>li-4325090093</t>
        </is>
      </c>
      <c r="B16" t="inlineStr">
        <is>
          <t>Software Engineer: Database Backend</t>
        </is>
      </c>
      <c r="C16" t="inlineStr">
        <is>
          <t>Observe, Inc.</t>
        </is>
      </c>
      <c r="D16" t="inlineStr">
        <is>
          <t>linkedin</t>
        </is>
      </c>
      <c r="E16" t="inlineStr"/>
      <c r="F16" t="inlineStr"/>
      <c r="G16" t="inlineStr">
        <is>
          <t>San Mateo, CA</t>
        </is>
      </c>
      <c r="H16" t="inlineStr"/>
      <c r="I16" t="inlineStr">
        <is>
          <t>What We Do
 Observe is a SaaS observability platform that enables Engineering and DevOps teams to troubleshoot modern distributed applications 10x faster. We consolidate machine\-generated data from applications and transform it into actionable, human\-understandable insights. The Runtime team, part of our broader Backend organization, owns Observe's core data transformation pipelines and user query execution paths. Our systems process petabytes of data daily and execute over 200 million queries on Snowflake each day.
 The Role
 You'll be joining our Runtime team to work on our advanced execution features like token indices. You'll also be responsible for analyzing our diverse set of user and system generated queries to identify bottlenecks in execution drive the improvements in that area. In doing so, you'll partner with our engineering contacts in Snowflake and are responsible to clearly communicate our asks to internal as well as external stakeholders. You'll excel in this role if you are able to quickly dive deep into our platform and drive performance analyses both for individual issues and on a large scale by analyzing terabytes of data. In everything you are doing you will rely on your solid engineering skills, especially leveraging your applied database experience.
 What You'll Do
* Maintain and improve existing advanced execution features like token indices
* Work on automated adjustments of system parameters to reduce query execution times and costs
* Analyze millions of queries to understand shortcomings in our performance, propose improvements, and drive their implementation
* Partner with our cloud service provider Snowflake on improving our performance by troubleshooting issues with their support but also by by discussing feature requests with their product managers
* Investigate and resolve customer\-reported query issues
 What We're Looking for
**Requirements**
* 3\+ years of industry experience building distributed systems
* Hands\-on experience designing, implementing, and optimizing backend infrastructure features
* Proven ability to diagnose and resolve database performance issues
* Customer\-focused mindset with the ability to translate user needs into technical solutions
* Ability to rapidly onboard to complex systems and drive meaningful improvements
**Nice to Have**
* Experience with Snowflake or other cloud data warehouses
* Prior work on observability platforms
* Advanced degree in Computer Science with a focus on databases</t>
        </is>
      </c>
    </row>
    <row r="17">
      <c r="A17" t="inlineStr">
        <is>
          <t>li-4349689830</t>
        </is>
      </c>
      <c r="B17" t="inlineStr">
        <is>
          <t>Full Stack Software Engineer, B2B Applications</t>
        </is>
      </c>
      <c r="C17" t="inlineStr">
        <is>
          <t>OpenAI</t>
        </is>
      </c>
      <c r="D17" t="inlineStr">
        <is>
          <t>linkedin</t>
        </is>
      </c>
      <c r="E17" t="inlineStr"/>
      <c r="F17" t="inlineStr"/>
      <c r="G17" t="inlineStr"/>
      <c r="H17" t="inlineStr"/>
      <c r="I17" t="inlineStr">
        <is>
          <t>**About The Team**
 OpenAI’s mission is to make AGI beneficial for all of humanity and our mission is successful only if AGI drives
 *real* 
*benefits* 
 across all industries in the world. Our goal in B2B applications is to enable this mission by helping businesses, enterprises \&amp; governments redefine how they operate to empower people and accelerate economic growth.
 We build and operate the products that bring our cutting\-edge research to millions of companies and developers worldwide. We power the OpenAI API and the Enterprise products that empower people around the world to do their jobs better and more efficiently. Our teams span product engineering, backend infrastructure, and safety, working together to ensure that OpenAI’s technology is delivered with reliability, security, and a world\-class user experience.
**About The Role**
 We’re looking for full stack engineers to design and scale the systems that drive our developer and enterprise\-facing products. In this role, you’ll push the boundaries of OpenAI’s newest technologies to enable interactions and automations that are not only functional, but delightful. We value proactive, product\-minded engineers who can see the big picture while staying on top of the little details that define great products.
**In This Role, You Will**
* Own the end\-to\-end development lifecycle for new enterprise products.
* Collaborate closely with product, design and external customers to understand problems and implement effective solutions
* Work with the research team to improve our next generation of models
**Your Background Might Look Something Like**
* 5\+ years of professional engineering experience (excluding internships) in relevant roles at tech and product\-driven companies
* Former founder, or early engineer at a startup who has built a product from scratch is a plus
* Proficiency with TypeScript, React, and other web technologies
* Proficiency in one or more backend languages (e.g., Python, Go, Rust, Typescript or similar) and distributed systems concepts
* Some experience with relational databases like Postgres/MySQL
* Care deeply about reliability, safety, and performance in production environments.
* Interest in AI/ML (direct experience not required)
* Proven ability to thrive in fast\-growing, product\-driven companies by effectively navigating loosely defined tasks and managing competing priorities or deadlines.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18">
      <c r="A18" t="inlineStr">
        <is>
          <t>li-4365573549</t>
        </is>
      </c>
      <c r="B18" t="inlineStr">
        <is>
          <t>Backend Software Engineer</t>
        </is>
      </c>
      <c r="C18" t="inlineStr">
        <is>
          <t>Tennr</t>
        </is>
      </c>
      <c r="D18" t="inlineStr">
        <is>
          <t>linkedin</t>
        </is>
      </c>
      <c r="E18" t="inlineStr"/>
      <c r="F18" t="inlineStr"/>
      <c r="G18" t="inlineStr">
        <is>
          <t>New York, NY</t>
        </is>
      </c>
      <c r="H18" t="inlineStr"/>
      <c r="I18" t="inlineStr">
        <is>
          <t>**Company Description**
 Today, when you go to your doctor and get referred to a specialist (e.g., for sleep apnea), your doctor sends out a referral and tells you, “They’ll be in touch soon.” So you wait. And wait. Sometimes days, weeks, or even months. Why? Because too often specialists and medical services are overwhelmed with referrals and the painstakingly manual process it takes to qualify your referral prevents them from getting around to it on time, or sometimes at all. Tennr prevents these delays and denials by making sure every referral gets where it needs to go, with the right info, at the right time. Powered by RaeLM™ Tennr reads, extracts, and acts on every piece of patient information so providers can capture more referrals, slash denials, and reduce delays.
****Role Description****
 We’re seeking a
 **Backend Engineer** 
 with a passion for
 **systems architecture, data modeling, and large\-scale workflow orchestration** 
 . In this role, you’ll
 **architect and implement features end\-to\-end** 
 across our backend services and infrastructure, ensuring they deliver direct customer value. You’ll design and optimize
 **data schemas** 
 , build resilient backend services, and ensure seamless
 **integration with third\-party systems** 
 .
 You’ll lead initiatives in
 **high\-volume workflow automation** 
 , with a strong focus on building and optimizing
 **scalable data processing and machine learning infrastructure** 
 . This includes designing and maintaining complex workflows that leverage ML to drive automation, as well as driving
 **performance optimization efforts** 
 to ensure scalability, reliability, and adherence to best practices across all layers of the stack.
 Collaboration is key—you’ll work closely with
 **sales and customer experience teams** 
 to incorporate customer feedback, and with engineering teammates to bring robust solutions to life. We’re looking for someone who
 **embraces a founder’s mindset** 
 , thrives on
 **systems\-wide thinking** 
 , and proactively drives projects from conception to completion.
 The ideal candidate has experience with
 **backend architecture, event\-driven systems, and orchestration frameworks** 
 , along with a proven track record of
 **building production\-ready systems** 
 . You’ll play a key role in shaping the
 **technical foundation of our platform** 
 , ensuring reliability, scalability, and adaptability as we expand.
**Responsibilities**
* Architect and implement features that drive direct customer value end\-to\-end across our backend services and infrastructure.
* Lead initiatives in high\-volume workflow automation, with a strong focus on building and optimizing scalable data processing and machine learning infrastructure.
* Design and maintain complex workflows that leverage machine learning to drive automation.
* Drive performance optimization efforts, ensuring scalability, reliability, and adherence to best practices across all layers of our stack.
* Collaborate with sales and customer success teams to respond to feedback from our customers and prospects.
* Embrace a founder’s mindset, proactively driving projects from conception to completion, and contributing significantly to our company’s growth and success.
**Candidate Qualifications**
* 3\+ years of experience in backend development, with a strong focus on JavaScript and familiarity with TypeScript.
* Proven track record of building and maintaining scalable web applications, particularly in high\-volume workflow automation and data processing.
* Experience with integrating machine learning models into production environments and optimizing data pipelines.
* Excellent problem\-solving skills and a knack for efficient, clean coding practices.
* Outstanding communication skills, capable of articulating complex technical concepts to a diverse audience.
* A team player who thrives in collaborative environments and values diverse perspectives.
* Prior experience in a startup or fast\-paced tech environment is a plus.
****Why Tennr?****
* Drive Impact: one of our company values is Cowboy, meaning you set the pace. You won’t just talk about things, you’ll get them done. And feel the impact.
* Develop Operational Expertise: learn the inner workings of scaling systems, tools, and infrastructure
* Innovate with Purpose: we’re not just doing this for fun (although we do have a lot of fun). At Tennr, you’ll join a high\-caliber team maniacally focused on reducing patient delays across the U.S. healthcare system.
* Build Relationships: collaborate and connect with like\-minded, driven individuals in our Chelsea office 4 days/week (preferred)
* Free lunch! Plus a pantry full of snacks.
**Benefits**
* Chelsea office
* Unlimited PTO
* 100% paid employee health benefit options
* Employer\-funded 401(k) match
* Competitive parental leave
 Compensation Range: $165K \- $190K</t>
        </is>
      </c>
    </row>
    <row r="19">
      <c r="A19" t="inlineStr">
        <is>
          <t>li-4280980136</t>
        </is>
      </c>
      <c r="B19" t="inlineStr">
        <is>
          <t>Senior Software Engineer, Business Systems</t>
        </is>
      </c>
      <c r="C19" t="inlineStr">
        <is>
          <t>Verkada</t>
        </is>
      </c>
      <c r="D19" t="inlineStr">
        <is>
          <t>linkedin</t>
        </is>
      </c>
      <c r="E19" t="inlineStr"/>
      <c r="F19" t="inlineStr"/>
      <c r="G19" t="inlineStr">
        <is>
          <t>San Mateo, CA</t>
        </is>
      </c>
      <c r="H19" t="inlineStr"/>
      <c r="I19"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**What You'll Do**
* Design and implement technical solutions that keep the internal Verkada engine running
* Build and deliver improvements to systems that allow Verkada to seamlessly transact and ship all around the world
* Improve systems observability and invest in reliability \&amp; correctness of data
* Develop customer empathy to propose improvements to systems
* Lead projects from ideation to release
* Help and mentor junior engineers
**What You Bring**
* 5\+ years of software engineering with a focus on distributed systems at scale
* Shipped customer facing products or internal tools in the past
* Flexible and adaptive in a fast\-paced startup environment
* Passion for observability and reliability
* In\-depth expertise in distributed systems and data processing
* AWS Cloud experience touching foundational blocks like: Kubernetes, Fargate, Lambda, Airflow, Athena, DynamoDB, VPC, and EC2\.
* Bonus: Experience with Salesforce, NetSuite, or eCommerce platforms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 We are committed to a thriving in\-office culture. This role requires you to be onsite at our HQ in San Mateo, CA.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$180,000—$300,000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20">
      <c r="A20" t="inlineStr">
        <is>
          <t>li-4365172862</t>
        </is>
      </c>
      <c r="B20" t="inlineStr">
        <is>
          <t>Software Engineer, Agentic AI Systems</t>
        </is>
      </c>
      <c r="C20" t="inlineStr">
        <is>
          <t>Moveworks</t>
        </is>
      </c>
      <c r="D20" t="inlineStr">
        <is>
          <t>linkedin</t>
        </is>
      </c>
      <c r="E20" t="inlineStr"/>
      <c r="F20" t="inlineStr"/>
      <c r="G20" t="inlineStr">
        <is>
          <t>San Francisco, CA</t>
        </is>
      </c>
      <c r="H20" t="inlineStr"/>
      <c r="I20" t="inlineStr">
        <is>
          <t>**The Role**
 Software Engineer, Agentic AI Systems (New Grad)
 Are you a software engineer who has honed your craft through internships, research, and/or academic projects, and are looking to apply your skills at the cutting edge of AI agents? This may be the role for you.
 As a software engineer on our “agent lab” Natural Language Understanding team, you will play an important part in our mission: to advance the frontier of work that can be entrusted to agents to perform reliably at scale. You will have the opportunity to contribute to the evolution of the Moveworks AI Assistant platform in several of the following areas: agent orchestration, sandboxed file systems and code execution, latency optimization, agent memory, LLM self\-reflection and improvement, execution environment simulation, enterprise knowledge graphs, and multimodal I/O.
 You will have all the tools of modern enterprise AI at your disposal, including best\-in\-class LLMs from providers like OpenAI. Our team indexes on moving fast on scalable infrastructure, solving challenging product and engineering problems, and pushing the envelope of value provided to customers. If you are looking to do impactful work with a bright, dedicated, and impact\-driven team alongside you, we’d love to have a conversation.
**What You Will Do:**
* Take on exciting engineering challenges (see areas listed above) to build and evolve capable AI agent systems that are reliable in every sense of the word
* Implement frontier AI algorithms and architectures and help productionize them at scale, with support from senior engineers
* Use the latest advances in machine learning, LLMs, and AI agents to enhance our products and create delightful user experiences
* Execute on projects to create lasting value for all our customers
* Hone your craft in writing robust, extensible, readable, and performant code
* Partner with subject matter experts across the company including in machine learning, security, product, user experience, and customer success, to learn from each other and build the best enterprise AI product the world has ever seen
* Learn from and collaborate with senior engineers and machine learning engineers to build world\-class AI systems
**What You Bring To The Table:**
* Strong programming fundamentals and experience building software through coursework, projects, internships, and/or research
* Ability to think and communicate clearly about engineering problems and systems
* Eagerness to learn, give and receive feedback, and hold yourself to a high standard of operational excellence
* Readiness to hit the ground running in a Mac development environment, programming in Python, Golang, and/or Java
* Desire to ship at a startup pace with a high degree of ownership
* Attention to detail
* Drive to ship product improvements with production\-grade code (with guidance and iterative development)
* Strong appetite for continuous incremental wins and completing challenging projects fast
* High level of curiosity about engineering outside of immediate discipline and ongoing desire to learn and stay at the cutting edge of applied AI
**Nice To Have** 
 :
* Internship or research experience building production\-quality software
* Experience building with LLMs, particularly in iterating on prompts, on model selection, on cognitive architecture design, and on latency/correctness tradeoffs in a data\-driven way
* Hands\-on experience with one or more stages of a machine learning problem\-solving lifecycle, such as experiment setup, dataset curation, model training, offline evaluation and error analysis, deployment, and online evaluation
* Experience in AI fairness, privacy, permission controls, safety, and/or security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21">
      <c r="A21" t="inlineStr">
        <is>
          <t>li-4253946318</t>
        </is>
      </c>
      <c r="B21" t="inlineStr">
        <is>
          <t>Software Engineer - Cloud</t>
        </is>
      </c>
      <c r="C21" t="inlineStr">
        <is>
          <t>MORSE Corp</t>
        </is>
      </c>
      <c r="D21" t="inlineStr">
        <is>
          <t>linkedin</t>
        </is>
      </c>
      <c r="E21" t="inlineStr"/>
      <c r="F21" t="inlineStr"/>
      <c r="G21" t="inlineStr"/>
      <c r="H21" t="inlineStr"/>
      <c r="I21" t="inlineStr">
        <is>
          <t>MORSE Corp is an employee owned, small business based in Cambridge, MA, Arlington, VA, and Seattle, WA with a history of fielding
 cutting\-edge
 technology. MORSE boasts a specially selected team of scientists, engineers, and software developers to deliver best\-in\-class technical solutions that solve difficult multidisciplinary problems faced by the US National Security Ecosystem.
 MORSE is seeking highly motivated and talented Software Engineers with Cloud skills to join our innovative team, supporting various projects that provide critical AI, machine learning, simulation, situational awareness, and mission planning capabilities to a diverse range of Department of Defense (DoD) customers.
 As a Cloud Software Engineer at MORSE, you will have the opportunity to work on cutting\-edge technology, contributing to the success of our applications and making a meaningful impact on our customers. You will collaborate with a teams of engineers and data scientists to design, develop, and deliver high\-quality software products that meet the highest standards of quality, scalability, and reliability.
 Responsibilities:
 * Design and develop scalable, efficient, and reliable software applications using Python
* Develop and maintain cloud infrastructure
* oversee the deployment of cloud services and compliance to security guidelines
* Participate in design reviews, code reviews, and pair programming to ensure high\-quality code and knowledge sharing
* Stay up\-to\-date with the latest software engineering trends, tools, and technologies
* Collaborate with cross\-functional teams to deliver high\-quality software products, ensuring seamless integration and deployment
* Contribute to the development of new codebases that emphasize object\-orientation, modularity, and maintainability
 Requirements:
 * US citizenship and the ability to obtain a U.S. security clearance (Secret, Top Secret, or TS/SCI)
* Expertise in Python
* 1\+ years of experience working with AWS, Azure or GCP.
* Experience with Terraform or Cloud Formation
* Strong understanding of relational databases and version control systems (e.g., Git)
* Experience with Docker, Docker\-compose, or Kubernetes
* Familiarity with Agile development methodologies (Scrum or Kanban) and microservice architecture
* Strong communication skills and self\-motivation
* Bachelor's or Master's degree in Computer Science or a related field (or significant professional experience)
* 3\+ years of software development experience
 MORSE Corp’s salary range for this role carefully considers a wide range of compensation factors, including but not limited to, prior experience, education, skills and expertise, location, internal equity, and other factors that are job related and consistent with business need. Therefore, final offer amounts may vary from the amount stated. Depending on role eligibility, total compensation may also include bonus, stock, 401(k) match, paid time off, medical, dental, vision and life insurance.
 Compensation: $90,000 USD \- $210,000 USD
 The team at MORSE takes pride in being the smart team that is easy to work with. We focus on steady, long\-term success while maintaining a collaborative, enjoyable work experience for our employees. Our team values work\-life balance through flexibility and other programs, along with a comprehensive benefits package for employees and families. For more information, please visit www.morsecorp.com.</t>
        </is>
      </c>
    </row>
    <row r="22">
      <c r="A22" t="inlineStr">
        <is>
          <t>li-4271763571</t>
        </is>
      </c>
      <c r="B22" t="inlineStr">
        <is>
          <t>Senior Software Engineer, Backend</t>
        </is>
      </c>
      <c r="C22" t="inlineStr">
        <is>
          <t>Retell AI</t>
        </is>
      </c>
      <c r="D22" t="inlineStr">
        <is>
          <t>linkedin</t>
        </is>
      </c>
      <c r="E22" t="inlineStr"/>
      <c r="F22" t="inlineStr"/>
      <c r="G22" t="inlineStr"/>
      <c r="H22" t="inlineStr"/>
      <c r="I22" t="inlineStr">
        <is>
          <t>**About Retell Ai**
 Retell AI is using the first principles to reimagine the call center with cutting edge voice AI.
 Since launching 18 months ago, thousands of companies now utilize Retell’s AI voice agents to handle sales, support, and logistics calls that once required large teams of human agents. Backed by Y Combinator, Alt Capital, and other leading investors, we have scaled to $36M ARR with a team of 20 people, up from $5M at the start of 2025\.
 Our vision for 2026 is to build a modern CX platform where entire contact centers are powered by AI. Instead of basic automation that needs constant human tuning, we’re creating intelligent AI “workers” that can act as frontline agents, QA analysts, and managers — continuously executing, monitoring, and improving customer interactions.
 We’re growing quickly and looking for ambitious builders who want to tackle hard technical problems, move fast, and have real impact at one of the fastest\-growing voice AI startups.
 Let’s build the future together.
* We’re a top 50 AI app in a16z list: https://tinyurl.com/5853dt2x
* \#4 on Brex's Fast\-Growing Software Vendors of 2025: https://www.brex.com/journal/brex\-benchmark\-december\-2025
* We're also one of the top ranking startups on: https://leanaileaderboard.com/
**About The Role**
 As a Senior Backend Engineer, you’ll shape the core systems powering millions of AI\-driven conversations. You’ll tackle real\-time audio, global telephony, and developer tooling, working across the stack with the founding team. This high\-impact role offers rapid feedback loops, customer collaboration, and the chance to define a category\-leading product.
**Key Responsibilities**
* Build foundational architecture for Retell's platform, such as prompt orchestration, testing frameworks, observability dashboards, and telephony integrations.
* Design scalable backend systems and DevOps workflows for reliable performance across millions of calls.
* Lead complex projects from architecture to production, driving delivery and monitoring.
* Collaborate with product and design teams to create intuitive APIs and interfaces for quick customer onboarding.
* Support customer onboarding, troubleshoot issues, and turn feedback into product improvements.
**YOU MIGHT THRIVE IF**
* Have 2\+ years of backend development experience and a strong foundation in CS fundamentals (CS/CE/EE degree or equivalent).
* Have worked on scalable, high\-performance backend systems — especially anything involving concurrency, data, storage, or distributed components.
* Take ownership like a founder and enjoy building core systems that need to be fast, reliable, and correct.
* Thrive in fast\-moving, ambiguous environments where you learn quickly and solve new technical problems.
* Communicate clearly, collaborate well across teams, and move work forward with momentum.
* Have startup experience or the grit to operate in a high\-velocity environment — bonus points if you’ve worked on infrastructure, databases, or large\-scale backend systems.
 JOB DETAILS
* Cash: 215k \- 290k
* Equity: Offer Equity
* Location: Redwood City, CA, US
* US Visas: Retell AI is open to sponsoring work authorization for qualified candidates, including H\-1B, TN, L\-1, E\-3, F\-1 (OPT/CPT), and O\-1 visas.
**Other Benefits**
* 100% coverage for medical, dental, and vision insurance
* $70/day DoorDash credit for unlimited breakfast, lunch, dinner, and snacks
* $200/month wellness reimbursement (gym, fitness classes, etc.)
* $300/month commuter reimbursement (gas, Caltrain, etc.)
* $75/month phone bill reimbursement
* $50/month internet reimbursement
**Compensation Philosophy**
* Best Offer Upfront: Choose from three cash\-equity balance options; no negotiation needed.
* Top 1% Talent: Above\-market pay (top 5 percentile) to attract exceptional builders.
* High Ownership: Small teams, \&gt;$1M revenue/employee, and significant equity.
* Performance\-Based: Offers tied to interview performance, not experience or past salaries.
 INTERVIEW PROCESS
* Online Assessment: Coding questions on practical problem\-solving (7 days to complete).
* Intro Call (15\-20min): Connect with our Founding Recruiter to get a deeper look at the team and the work you'd be doing.
* Technical Interview (45 min): Practical coding session focused on code fluency and system design (For frontend roles, we will focus on React\-specific questions. For backend roles, we take a technology\-agnostic approach.)
* Technical Interview (45 min): A system design\-focused interview assesses your knowledge of building product\-ready systems.
* Onsite/Virtual Interviews (2–3 hrs): Hosted in our office if located in the Bay Area or virtual, with three rounds:
+ Practical Coding: Tackle real\-world coding tasks with debugging.
+ System Design: Architect a production\-ready system.
+ Tools \&amp; Automation: Build automations or improve workflows in any basic environment setup like python, java, node.js, etc.
 Learn More
 Retell AI \- API That Turns Your LLM Into A Human\-Like Voice Agent
 Retell AI Basics: Everything You Need to Start Building Voice Agents
 Join Retell AI to build the future of voice automation, shipping impactful code and defining a new standard for AI\-driven communication.</t>
        </is>
      </c>
    </row>
    <row r="23">
      <c r="A23" t="inlineStr">
        <is>
          <t>li-4366212435</t>
        </is>
      </c>
      <c r="B23" t="inlineStr">
        <is>
          <t>Software Developer (Fullstack)</t>
        </is>
      </c>
      <c r="C23" t="inlineStr">
        <is>
          <t>Crash Champions</t>
        </is>
      </c>
      <c r="D23" t="inlineStr">
        <is>
          <t>linkedin</t>
        </is>
      </c>
      <c r="E23" t="inlineStr"/>
      <c r="F23" t="inlineStr"/>
      <c r="G23" t="inlineStr"/>
      <c r="H23" t="inlineStr"/>
      <c r="I23" t="inlineStr">
        <is>
          <t>As one of the fastest\-growing and most exciting brands in the industry, Crash Champions is the largest founder\-led multi\-shop operator (MSO) of high\-quality collision repair service in the U.S. The company, which also operates the growing Crash Champions LUXE \| EV Certified brand of highline and luxury EV repair centers, services customers at more than 650 state\-of\-the\-art locations in 38 states across the U.S. Crash Champions was founded in 1999 as a single Chicago repair center by industry veteran and 2023 EY Entrepreneur of the Year Midwest award winner Matt Ebert . For more than 25 years, our vision has been anchored by the belief that delivering superior collision repair service is about People First. Welcome to Crash Champions. We Champion People.
**Responsibilities**
**JOB PURPOSE:** 
 We are seeking a skilled and driven Full Stack Software Developer to join our expanding development team. This position involves both frontend and backend responsibilities, contributing to the creation of scalable, user\-focused web applications. The successful candidate will collaborate with fellow developers, product managers, and stakeholders to design and implement high\-quality features, address complex challenges, and consistently deliver robust, maintainable code across all layers of the application stack.
**Essential Duties And Responsiblities**
* Work on a software team with other developers to create new modules and feature\-functionality for the company’s management system.
* Code, test, and prepare releases to existing software solutions following established design, coding and implementation methods and standards for specifications, development, testing and delivery.
* Collaborate with cross\-functional teams, including designers, product owners/managers, and developers, to deliver high\-quality software solutions.
* Build enterprise\-level services and applications using various programming and scripting languages
* Create and consume RESTful APIs as well as other types of third\-party APIs
* Performing C\# code changes, production support, and application enhancements.
* work with end\-users and cross\-functional teams to develop new application features that meet evolving business needs, using C\#, .NET Core, and Azure DevOps.
* Work with UX/UI designers to integrate APIs and backend services into React applications, ensuring seamless data synchronization and real\-time updates.
* Familiarity with accessibility (WCAG) and cross\-browser compatibility.
* Develop reusable components and scalable frontend systems.
* Experience with performance profiling and web vitals monitoring Quality Assurance. Carry out unit and system test plans.
* Implement CI/CD DevOps process used in Azure for constant releases into QA and Production environments.
* Participate in scheduled daily/weekly sprint meetings
**Qualifications**
**QUALIFICATIONS:**
* 3\+ years application development experience with the Microsoft .NET platform
* 3\+ Years experience using HTML5, CSS3/SCSS, JavaScript, TypeScript, responsive design, Angular, React, NextJS, React\-Native.
* Experience with React /Single Page Applications.
* Strong .NET Core (C\#) experience with Web Services/API's, HTML/CSS (Bootstrap)
* Demonstrated proficiency with SQL, stored procedures, and database design
* Thorough understanding of object\-oriented development (OOD), including an in\-depth knowledge of implementing RESTful, micro services design patterns and architectures
* Strong experience in end\-to\-end data ingestion process from receiving, manipulating and publishing data via services.
* Full Software Development Lifecycle (SDLC) experience including gathering requirements, design, development, testing, documentation, etc.
* Experience with DevOps (CI/CD, Agile, Observability)
* Experience with Azure Function Apps.
* Excellent verbal and written communications skills and excellent presentation skills
* Excellent organizational and interpersonal skills, working in a team environment
**SKILLS/EXPERIENCE Preferred**
* Development experience using cloud\-based resources (Azure preferred)
* Advanced Proficiency in Programming Languages
* Security Best Practices
 This job description is intended to describe the general nature and level of work being performed by people assigned to this job. They are not intended to be an exhaustive list of all responsibilities, duties, and skills. You may be asked by your supervisor or managers to perform other duties. Your performance will be evaluated in part based upon your performance of the job duties listed in this job description, as well as any job duties not specifically listed above that you may be asked from time to time to perform. The Company has the right to revise this job description at any time.
**Crash Champions is an equal opportunity employer committed to workplace diversity. All qualified applicants will receive consideration for employment without regard to race, color, religion, sex, sexual orientation, national origin, age, gender identity, protected veterans’ status, status as a disabled individual or any other protected group status or non\-job characteristic as directed by law.**
**Benefits**
 The Company offers the following benefits for this position, subject to applicable eligibility requirements and annual updates:
* Medical Insurance
* Dental Insurance
* Vision Insurance
* Group Life Insurance
* Disability Insurance
* 401k Retirement Plan with match
* Referral Bonus (“Cash From Crash”)
* 5 Paid Holidays
 We are committed to providing competitive compensation for this role. The actual offer will be based on various factors, including but not limited to: job related knowledge, skills, experience, relevant certifications and qualifications.
 The compensation and benefits information is accurate as of the date of this posting. The Company reserves the right to modify this information at any time, with or without notice, subject to applicable law.
**Posted Min Pay Rate**
 USD $135,000\.00/Yr.
**Posted Max Pay Rate**
 USD $145,000\.00/Yr.</t>
        </is>
      </c>
    </row>
    <row r="24">
      <c r="A24" t="inlineStr">
        <is>
          <t>li-4349785656</t>
        </is>
      </c>
      <c r="B24" t="inlineStr">
        <is>
          <t>Full Stack Software Engineer, B2B Applications</t>
        </is>
      </c>
      <c r="C24" t="inlineStr">
        <is>
          <t>OpenAI</t>
        </is>
      </c>
      <c r="D24" t="inlineStr">
        <is>
          <t>linkedin</t>
        </is>
      </c>
      <c r="E24" t="inlineStr"/>
      <c r="F24" t="inlineStr"/>
      <c r="G24" t="inlineStr">
        <is>
          <t>San Francisco, CA</t>
        </is>
      </c>
      <c r="H24" t="inlineStr"/>
      <c r="I24" t="inlineStr">
        <is>
          <t>**About The Team**
 OpenAI’s mission is to make AGI beneficial for all of humanity and our mission is successful only if AGI drives
 *real* 
*benefits* 
 across all industries in the world. Our goal in B2B applications is to enable this mission by helping businesses, enterprises \&amp; governments redefine how they operate to empower people and accelerate economic growth.
 We build and operate the products that bring our cutting\-edge research to millions of companies and developers worldwide. We power the OpenAI API and the Enterprise products that empower people around the world to do their jobs better and more efficiently. Our teams span product engineering, backend infrastructure, and safety, working together to ensure that OpenAI’s technology is delivered with reliability, security, and a world\-class user experience.
**About The Role**
 We’re looking for full stack engineers to design and scale the systems that drive our developer and enterprise\-facing products. In this role, you’ll push the boundaries of OpenAI’s newest technologies to enable interactions and automations that are not only functional, but delightful. We value proactive, product\-minded engineers who can see the big picture while staying on top of the little details that define great products.
**In This Role, You Will**
* Own the end\-to\-end development lifecycle for new enterprise products.
* Collaborate closely with product, design and external customers to understand problems and implement effective solutions
* Work with the research team to improve our next generation of models
**Your Background Might Look Something Like**
* 5\+ years of professional engineering experience (excluding internships) in relevant roles at tech and product\-driven companies
* Former founder, or early engineer at a startup who has built a product from scratch is a plus
* Proficiency with TypeScript, React, and other web technologies
* Proficiency in one or more backend languages (e.g., Python, Go, Rust, Typescript or similar) and distributed systems concepts
* Some experience with relational databases like Postgres/MySQL
* Care deeply about reliability, safety, and performance in production environments.
* Interest in AI/ML (direct experience not required)
* Proven ability to thrive in fast\-growing, product\-driven companies by effectively navigating loosely defined tasks and managing competing priorities or deadlines.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25">
      <c r="A25" t="inlineStr">
        <is>
          <t>li-4351607365</t>
        </is>
      </c>
      <c r="B25" t="inlineStr">
        <is>
          <t>Software Engineer II</t>
        </is>
      </c>
      <c r="C25" t="inlineStr">
        <is>
          <t>Allied Benefit Systems</t>
        </is>
      </c>
      <c r="D25" t="inlineStr">
        <is>
          <t>linkedin</t>
        </is>
      </c>
      <c r="E25" t="inlineStr"/>
      <c r="F25" t="inlineStr"/>
      <c r="G25" t="inlineStr">
        <is>
          <t>Chicago, IL</t>
        </is>
      </c>
      <c r="H25" t="inlineStr"/>
      <c r="I25" t="inlineStr">
        <is>
          <t>**Position Summary**
 The Software Engineer II will be responsible for designing, developing, and maintaining software applications on the Internal and External teams, collaborating with cross\-functional teams to deliver high\-quality software solutions.
**Essential Functions**
* Collaborate with team comprised of technical and non\-technical members to support completion of projects in a timely fashion.
* Provide technical leadership to junior developers.
* Work with manager and stakeholders to resolve blockers that impact project timelines.
* Partake in code review to ensure Allied’s code reviews are being adhered to.
* Work closely with team to design, develop, test, and deploy.
* Meet Allied’s expectations for productivity, quality, and goal accomplishment.
* Adhere to, and apply all applicable privacy and security laws, including but not limited to HIPAA, HITECH and any regulations promulgated thereto.
* Perform other duties and responsibilities, as assigned.
**EDUCATION**
* Bachelor’s degree in Computer Science or Information Technology or equivalent work experience required.
* Certifications \&amp; Licenses: none required, though MCSA, other Microsoft certifications, and HIPAA Awareness/Security are preferred.
**Experience And Skills**
* 5\-7 years’ experience developing software using Microsoft’s platform required
* Strong understanding of SOLID and OOP.
* Ability to collaborate well with team members
* Understanding of SDLC lifecycle
* Experience coding in C\#, ASP.NET/MVC, Web APIs, React
* Experience with SQL Server Development – creating and modifying stored procedures.
* Display strong technical experience in Microsoft Stack
* Familiarity to Azure DevOps preferred
* Familiarity with Azure or AWS cloud environments preferred
* Familiarity with API Gateway patterns preferred.
**POSITION COMPETENCIES**
* Job Knowledge
* Time Management
* Accountability
* Communication
* Initiative
* Customer Focus
**PHYSICAL DEMANDS**
* This is an office environment requiring extended sitting and computer work
**WORK ENVIRONMENT**
* Remote
 Here at Allied, we believe that great talent can thrive from anywhere. Our remote friendly culture offers flexibility and the comfort of working from home, while also ensuring you are set up for success. To support a smooth and efficient remote work experience, the internet connection must be obtained through a cable broadband or fiber optic internet service provider with speeds of at least 100Mbps download/25Mbps upload. Reliable internet service is essential for staying connected and productive.
 The company has reviewed this job description to ensure that essential functions and basic duties have been included. It is not intended to be construed as an exhaustive list of all functions, responsibilities, skills, and abilities. Additional functions and requirements may be assigned by supervisors as deemed appropriate.
 Compensation is not limited to base salary. Allied values our Total Rewards, and offers a competitive Benefit Package including, but not limited to, Medical, Dental, Vision, Life \&amp; Disability Insurance, Generous Paid Time Off, Tuition Reimbursement, EAP, and a Technology Stipend.
 Allied reserves the right to amend, change, alter, and revise, pay ranges and benefits offerings at any time. All applicants acknowledge that by applying to the position you understand that the specific pay range is contingent upon meeting the qualification and requirements of the role, and for the successful completion of the interview selection and process. It is at the Company's discretion to determine what pay is provided to a candidate within the range associated with the role.
**Protect Yourself from Hiring Scams**
**Important Notice About Our Hiring Process**
 To keep your experience safe and transparent, please note:
* All interviews are conducted via video.
* No job offer will ever be made without a video interview with Human Resources and/or the Hiring Manager.
 If someone contacts you claiming to represent us and offers a position without a video interview, it is
 **not legitimate** 
 . We never ask for payment or personal financial information during the hiring process.
 For your security, please verify all job opportunities through our
 **official careers page** 
 : Current Career Opportunities at Allied Benefit Systems
 Your security matters to us—thank you for helping us maintain a fair and trustworthy process!</t>
        </is>
      </c>
    </row>
    <row r="26">
      <c r="A26" t="inlineStr">
        <is>
          <t>li-4382668989</t>
        </is>
      </c>
      <c r="B26" t="inlineStr">
        <is>
          <t>Sr. Software Engineer | Max $120/hr</t>
        </is>
      </c>
      <c r="C26" t="inlineStr">
        <is>
          <t>Mercor</t>
        </is>
      </c>
      <c r="D26" t="inlineStr">
        <is>
          <t>linkedin</t>
        </is>
      </c>
      <c r="E26" t="inlineStr"/>
      <c r="F26" t="inlineStr"/>
      <c r="G26" t="inlineStr"/>
      <c r="H26" t="inlineStr"/>
      <c r="I26" t="inlineStr">
        <is>
          <t>**About The Job**
**Mercor** 
 connects elite creative and technical talent with leading AI research labs. Headquartered in San Francisco, our investors include
 **Benchmark** 
 ,
 **General Catalyst** 
 ,
 **Peter Thiel** 
 ,
 **Adam D'Angelo** 
 ,
 **Larry Summers** 
 , and
 **Jack Dorsey** 
 .
**Position:** 
 Software Engineer
**Type:** 
**Contract**
**Compensation:** 
**$80–$120/hour**
**Location:** 
**Remote**
**Role Responsibilities**
* Ship production features across backend and frontend.
* Design and implement a scalable integrations framework.
* Build real\-time analytics experiences.
* Architect an agentic tool\-use layer compatible with MCP\-style patterns.
* Set up strong engineering hygiene: testing, observability, and on\-call readiness for the pilot.
* Iterate quickly and pragmatically.
**Qualifications**
**Must\-Have**
* Strong, practical software engineering skills; ability to ship end\-to\-end and unblock yourself.
* Experience building SaaS products with APIs, data models, and production constraints.
* Deep comfort with integrations (OAuth2, webhooks, API pagination, rate limiting, sync semantics).
* "Vibe coding" mindset: effective use of AI tools (Copilot, ChatGPT, etc.) without sacrificing correctness.
* Familiarity with MCP\-style tool interfaces and/or building tool servers.
* Clear communicator who can explain tradeoffs and keep stakeholders aligned.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27">
      <c r="A27" t="inlineStr">
        <is>
          <t>li-4127901025</t>
        </is>
      </c>
      <c r="B27" t="inlineStr">
        <is>
          <t>Senior Software Engineer, Frontend</t>
        </is>
      </c>
      <c r="C27" t="inlineStr">
        <is>
          <t>GlossGenius</t>
        </is>
      </c>
      <c r="D27" t="inlineStr">
        <is>
          <t>linkedin</t>
        </is>
      </c>
      <c r="E27" t="inlineStr"/>
      <c r="F27" t="inlineStr"/>
      <c r="G27" t="inlineStr">
        <is>
          <t>New York, NY</t>
        </is>
      </c>
      <c r="H27" t="inlineStr"/>
      <c r="I27" t="inlineStr">
        <is>
          <t>**About GlossGenius** 
 GlossGenius is building an ecosystem enabling entrepreneurs to succeed.  We empower small business owners to focus on being creators, not admins, by offering a range of business management tools including booking and scheduling, marketing, analytics, payment processing and much more. 
 Over 75,000 small business owners have chosen to rely on GlossGenius every day to run their entire set of business operations. Joining its powerful, intuitive platform with its vibrant, distinguished brand, GlossGenius is the ideal combination of a fintech, SMB software, and consumer company all in one.
**About the Role** 
 As a Senior Software Engineer at GlossGenius, you are an experienced engineer who can own a large feature or project, scope it technically, break it down, and execute on it. You will collaborate closely with stakeholders and other engineers, as well as potentially lead a smaller pod of engineers. 
 Our web and mobile engineers at GlossGenius are building a platform that empowers over tens of thousands Service Professionals to run their businesses. We have a mobile product that our customers love (4\.8 in the App Store!) with plans on rapidly expanding on our web experiences, from enabling them to view calendars, see upcoming appointments, process payments, and create waitlists to creating seamless integrations between our mobile applications and our Card Reader \&amp; Point Of Sales as well as being one of the first apps to integrate with Tap\-To\-Pay NFC Cards, our products empower our users to build their businesses. 
*This role is a remote position and can be based anywhere in the continental United States.  For candidates based in the NYC area, we are operating in a hybrid environment (Tuesdays \&amp; Thursdays in\-office).* 
**What You’ll Do** 
* Own projects end to end, from design to implementation, managing complexity and working with stakeholders to think through areas such as business impact, reliability, operability, and security.
* Collaborate with product managers, product design, or other cross\-functional stakeholders on roadmap initiatives, product ideation, and prioritization. Break down epics and projects to consumable size for the team and continuous deployment.
* Produce high\-quality code that’s easily testable, readable, and accounts for edge cases and errors.
* Architect tools, services, and systems using well accepted design patterns to allow for iterative autonomous development and future scaling.
* Uphold best practices and high standards for engineering and product quality in addition to mentoring newer team members to do the same.
**What We’re Looking For** 
* 5\+ years of experience in software engineering
* You have experience leading and owning end\-to\-end product development and impactful technology initiatives for organizations; you’re able to break down work into manageable tasks for a team and partner with operational teams to roll out changes that affect their workflow
* You have experience working with React or relevant web technologies.
* You have experience working in a collaborative environment involving different functions, stakeholders, and subject matter experts
* You have a desire to work in a fast paced environment, a bias for action, a passion for self\-improvement, and helping to elevate and mentor those around you
* Proficiency in both spoken and written English
**What we work with:** 
* Web: Typescript / Javascript (React, Redux)
* Mobile: React Native
* Backend: Ruby (Rails, Sidekiq), Kotlin (micronaut, jooq), GRPC, Protobuf, and Postgres
**Benefits \&amp; Perks** 
* Flexible PTO
* Competitive health \&amp; dental insurance options, with premiums covered by GG
* Generous, fully\-paid parental leave policy
* Retirement Savings Plan
* Professional Development \- employees receive a yearly stipend for approved learning and educational\-related expenses
* Home office support
* Team Bonding opportunities \- as a distributed team, being able to build meaningful bonds both virtually and in person is incredibly important to us! We are constantly evaluating how we accomplish this and currently, teams are given opportunities to gather in person throughout the year
 The starting base salary for this role in New York, California, and Washington is between
 $170,000\-$200,000
 \+ target equity \+ benefits. The base salary offered is dependent upon many factors including skills, experience, location, and education. The base pay range is subject to change and may be modified in the future. 
 Additionally, this role is currently eligible to participate in GlossGenius’s equity plan as well as a range of health \&amp; wellbeing, retirement savings, and other benefits within our total rewards offering.
*At GlossGenius, we celebrate our differences and are committed to creating a workplace where all employees feel supported and empowered to do their best work. We believe this benefits not only our employees but our product, customers, and community as well. GlossGenius is proud to be an Equal Opportunity and Affirmative Action Employer.*
*Personal Information: Notice at Collection for Employees and Applicants* 
*Agency Submissions* 
*If a resume or applicant is submitted to GlossGenius by a third party without a signed search agreement in place, it will become the property of GlossGenius and no fee will be paid, irrespective of whether the candidate is hired.*</t>
        </is>
      </c>
    </row>
    <row r="28">
      <c r="A28" t="inlineStr">
        <is>
          <t>li-4372974592</t>
        </is>
      </c>
      <c r="B28" t="inlineStr">
        <is>
          <t>Backend Software Engineer - .NET - (Hybrid in Santa Clara office)</t>
        </is>
      </c>
      <c r="C28" t="inlineStr">
        <is>
          <t>CyberArk</t>
        </is>
      </c>
      <c r="D28" t="inlineStr">
        <is>
          <t>linkedin</t>
        </is>
      </c>
      <c r="E28" t="inlineStr"/>
      <c r="F28" t="inlineStr"/>
      <c r="G28" t="inlineStr">
        <is>
          <t>Santa Clara, CA</t>
        </is>
      </c>
      <c r="H28" t="inlineStr"/>
      <c r="I28" t="inlineStr">
        <is>
          <t>**Company Description**
 About CyberArk
 CyberArk, a Palo Alto Networks company, is the global leader in identity security, trusted by organizations around the world to secure human and machine identities in the modern enterprise. CyberArk’s AI\-powered Identity Security Platform applies intelligent privilege controls to every identity with continuous threat prevention, detection and response across the identity lifecycle. With Identity Security, organizations can reduce operational and security risks by enabling zero trust and least privilege with complete visibility, empowering all users and identities, including workforce, IT, developers and machines, to securely access any resource, located anywhere, from everywhere. Learn more at cyberark.com.
*Copyright © 2026 CyberArk Software. All Rights Reserved.* 
*All other brand names, product names, or trademarks belong to their respective holders.*
**Job Description**
 We are looking for a Software Engineer with experience building scalable, reliable systems and an interest in identity and authentication technologies. In this role, you will contribute to the design and development of core platform components, working closely with senior engineers to build high\-quality, high\-performance services that operate at scale.
 You will participate in feature development, performance improvements, and technical problem\-solving across distributed systems. This is a great opportunity for an engineer who wants to grow their skills in cloud platforms, identity solutions, and scalable architecture.
**Responsibilities:**
* Contribute to the design, development, and implementation of scalable and distributed systems in collaboration with senior engineers.
* Participate in building new software components, APIs, and platform features.
* Assist in evaluating feature requirements and turning them into technical designs.
* Write clean, maintainable, and well\-tested code with a focus on performance and scalability.
* Use automation and test\-driven development practices to ensure code quality and reliability.
* Help troubleshoot and resolve product issues identified internally or by customers.
* Collaborate with cross\-functional teams including product, infrastructure, and support.
* Participate in code reviews and learn best practices around scalable system design.
* Contribute to improving existing components for reliability, efficiency, and maintainability
**Qualifications**
* B.S. or higher in Computer Science or related technical field, or equivalent practical experience.
* 2–4 years of hands\-on software development experience, preferably building cloud or enterprise applications.
* Experience with .NET technologies (e.g., .NET / .NET Core and related frameworks).
* Basic understanding of distributed systems, scaling patterns, or cloud\-native architectures.
* Hands\-on experience developing or consuming web services (REST, SOAP).
* Experience with databases or caching technologies (e.g., PostgreSQL, Redis).
* Familiarity with cloud environments such as AWS or GCP is a plus.
* Exposure to identity/authentication concepts (SAML, OAuth, OpenID Connect, WS\-Fed) is a plus but not required.
* Understanding of security and networking fundamentals is a plus.
* Strong problem\-solving skills and ability to learn quickly in a fast\-paced environment.
* Good communication skills and willingness to collaborate with peers and mentors.
**Additional Information**
 CyberArk is an Equal Opportunity Employer. All qualified applicants will receive consideration for employment without regard to race, color, religion, creed, sex, sexual orientation, gender identity, national origin, disability, or protected Veteran status.
 We are unable to sponsor or take over sponsorship of employment Visa at this time.
 The salary range for this position is $99,000 – $145,000/year, plus equity and discretionary bonus, which will be based on the employee’s performance. Base pay may also vary considerably depending on job\-related knowledge, skills, and experience. The compensation package includes a wide range of medical, dental, vision, financial, and other benefits.</t>
        </is>
      </c>
    </row>
    <row r="29">
      <c r="A29" t="inlineStr">
        <is>
          <t>li-4382667400</t>
        </is>
      </c>
      <c r="B29" t="inlineStr">
        <is>
          <t>Software Engineer - Mobile</t>
        </is>
      </c>
      <c r="C29" t="inlineStr">
        <is>
          <t>Wiraa</t>
        </is>
      </c>
      <c r="D29" t="inlineStr">
        <is>
          <t>linkedin</t>
        </is>
      </c>
      <c r="E29" t="inlineStr"/>
      <c r="F29" t="inlineStr"/>
      <c r="G29" t="inlineStr"/>
      <c r="H29" t="inlineStr"/>
      <c r="I29" t="inlineStr">
        <is>
          <t>**About The Company**
 Hatch is a pioneering company dedicated to improving sleep health through innovative technology and science\-backed solutions. With a focus on creating best\-in\-class smart sleep devices and engaging content, Hatch aims to help individuals develop better sleep habits to enhance their overall well\-being. Our products, including the Hatch Restore and baby sleep solutions, have garnered widespread recognition, with over 5 million users worldwide. We are committed to making a meaningful impact on people's lives by providing tools that support restful sleep, relaxation, and healthy routines. As a company, Hatch fosters a collaborative, inclusive, and growth\-oriented environment, backed by leading investors and a passionate team dedicated to innovation and excellence.
**About The Role**
 We are seeking a highly skilled Lead Software Engineer specializing in Mobile development to join our dynamic Kids Team. In this pivotal role, you will drive the technical vision and execution of our mobile applications, focusing on transitioning from device\-centric to service\-oriented experiences. Your expertise will help shape the future of our sleep technology, including launching AI\-powered features and enhancing user engagement across iOS and Android platforms. You will be responsible for leading complex projects from conception to deployment, collaborating closely with cross\-functional teams such as Product, Design, QA, and stakeholders to deliver impactful features. This role offers a unique blend of hands\-on coding and people leadership, allowing you to influence technical standards, mentor junior engineers, and contribute to strategic initiatives. Based in the U.S. or Canada, with a preference for candidates in New York or San Francisco, you will work during PST/PDT hours to align with our operational needs.
**Qualifications**
* Minimum of 6\+ years of experience in mobile app development using Swift/SwiftUI or Kotlin/Jetpack Compose
* Proven track record of leading complex technical projects and managing direct reports (3\-5 engineers)
* Strong understanding of mobile architecture, performance optimization, and best coding practices
* Experience with cross\-platform communication protocols such as Bluetooth and Wi\-Fi
* Familiarity with CI/CD pipelines, automated testing, and cloud services
* Excellent problem\-solving skills and ability to debug cross\-platform issues
* Demonstrated leadership in technical decision\-making and team mentorship
* Strong communication skills with the ability to collaborate effectively across functions
* Interest in AI and emerging technologies relevant to mobile and IoT applications
* Bachelor’s degree in Computer Science, Engineering, or related field; advanced degrees preferred
**Responsibilities**
* Lead the development and delivery of key features within the Kids Team’s mobile applications, ensuring high quality and timely releases
* Drive technical initiatives to transition from device\-first to service\-first experiences, including launching AI\-powered sleep chat features
* Review and improve existing codebases, identify technical debt, and implement best practices for scalable, reliable mobile solutions
* Collaborate with product managers, designers, QA, and stakeholders to scope, prioritize, and execute projects
* Mentor and develop junior engineers, fostering a culture of continuous learning and technical excellence
* Establish and uphold coding standards, review processes, and team\-wide technical guidelines
* Navigate project ambiguity by breaking down complex problems into actionable tasks and advocating for incremental delivery
* Partner with cross\-functional teams to align technical strategies with business goals
* Lead cross\-team technical initiatives, ensuring consistency and quality across platforms
* Contribute to strategic planning, resource allocation, and roadmap development for the Kids mobile experience
**Benefits**
* 100% paid medical, dental, and vision insurance for employees, with 80% coverage for dependents including domestic partners
* Equity options providing ownership stake in the company
* 401(k) retirement plan with a company match, available without a vesting schedule
* 16 weeks of fully paid parental leave to support new parents
* Access to 16 free therapy sessions for mental health and well\-being
* Financial support for family planning and related needs
* Remote work flexibility with monthly internet and home office reimbursement
* Friends and family discounts on Hatch products
* Professional development opportunities and a collaborative work environment
 Equal Opportunity
 Hatch is an equal opportunity employer. We celebrate diversity and are committed to creating an inclusive environment for all employees. We do not discriminate based on race, ethnicity, gender, sexual orientation, age, disability, or any other protected status. We believe that a diverse team fosters innovation and drives our mission to improve sleep health for everyone.</t>
        </is>
      </c>
    </row>
    <row r="30">
      <c r="A30" t="inlineStr">
        <is>
          <t>li-4382676415</t>
        </is>
      </c>
      <c r="B30" t="inlineStr">
        <is>
          <t>Senior Full Stack Engineer ( Python and Node. js/ TypeScript)</t>
        </is>
      </c>
      <c r="C30" t="inlineStr">
        <is>
          <t>Grid Dynamics</t>
        </is>
      </c>
      <c r="D30" t="inlineStr">
        <is>
          <t>linkedin</t>
        </is>
      </c>
      <c r="E30" t="inlineStr"/>
      <c r="F30" t="inlineStr"/>
      <c r="G30" t="inlineStr">
        <is>
          <t>Sunnyvale, CA</t>
        </is>
      </c>
      <c r="H30" t="inlineStr"/>
      <c r="I30" t="inlineStr">
        <is>
          <t>We need a skilled Python Developer to help us solve challenging problems that affect our entire organization. You’ll build release frameworks, tools, infrastructure, and work to improve test and release processes. When you join Grid Dynamics, you will be joining a bright engineering team that has open communication, empowerment, innovation, and a customer\-centric culture.
**Responsibilities**
* Work on internal tools, frameworks, and infrastructure: develop new features, fix known bugs
* Support teams that use those tools
* Automation and improvement of release processes
**Requirements**
* Proficiency in Google Cloud Platform (GCP) — e.g. Cloud Run, Cloud Functions, App Engine, Cloud Storage, and Pub/Sub.
* Working knowledge of Dialogflow CX/ES, webhooks, and Gemini (Vertex AI) integration for conversational experiences.
* Hands\-on experience with Node.js/TypeScript and/or Python, RESTful APIs, OAuth2, and JSON\-based webhooks.
* Ability to create clear and engaging developer documentation (tutorials, samples, or videos).
* Bachelor’s/Master’s degree in Computer Science/ Engineering or a related field
**Nice to have**
* Prior experience working with Google, familiarity with internal Google infrastructure.
* Experience with Gemini function calling, Vertex AI Studio, and prompt engineering.
* Familiarity with rich messaging APIs (RBM, WhatsApp Business, Apple Business Messages, etc.).
**We offer**
* Opportunity to work on cutting\-edge projects
* Work with a highly motivated and dedicated team
* Competitive salary
* Flexible schedule
* Benefits package \- medical insurance, vision, dental, etc.
* Corporate social events
* Professional development opportunities
*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supported by profound expertise and ongoing investment in data, analytics, cloud \&amp; DevOps, application modernization and customer experience. Founded in 2006, Grid Dynamics is headquartered in Silicon Valley with offices across the Americas, Europe, and India.</t>
        </is>
      </c>
    </row>
    <row r="31">
      <c r="A31" t="inlineStr">
        <is>
          <t>li-4365560323</t>
        </is>
      </c>
      <c r="B31" t="inlineStr">
        <is>
          <t>Software Engineer - Perception / 3D mapping</t>
        </is>
      </c>
      <c r="C31" t="inlineStr">
        <is>
          <t>Zoox</t>
        </is>
      </c>
      <c r="D31" t="inlineStr">
        <is>
          <t>linkedin</t>
        </is>
      </c>
      <c r="E31" t="inlineStr"/>
      <c r="F31" t="inlineStr"/>
      <c r="G31" t="inlineStr">
        <is>
          <t>Foster City, CA</t>
        </is>
      </c>
      <c r="H31" t="inlineStr"/>
      <c r="I31" t="inlineStr">
        <is>
          <t>The 3D Mapping team is seeking a software engineer to develop a scalable and efficient mapping pipeline and storage system that supports the creation, cataloging, and maintenance of the HD maps deployed to Zoox’s fleet. This role will be instrumental in scaling our mapping operations to the next level.
**In This Role, You Will**
* Support the development of HD map creation and maintenance pipelines.
* Support prototyping and developing new map products for downstream users.
* Support the development of CI/CD for mapping infrastructure.
**Qualifications**
* B.S. or M.S. degree in a relevant engineering program
* Proficient in C\+\+ and Python
* Experience in cloud / distributed computing and database systems
* Experience in industry software development, DevOps workflows, and related tools (e.g. CI/CD)
**Bonus Qualifications**
* Experience in computer vision and SLAM algorithms
* Experience working with geospatial data and coordinate systems
* Experience automating complex workflows
 $168,000 \- $227,000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2">
      <c r="A32" t="inlineStr">
        <is>
          <t>li-4343376109</t>
        </is>
      </c>
      <c r="B32" t="inlineStr">
        <is>
          <t>Software Engineer</t>
        </is>
      </c>
      <c r="C32" t="inlineStr">
        <is>
          <t>Lynk</t>
        </is>
      </c>
      <c r="D32" t="inlineStr">
        <is>
          <t>linkedin</t>
        </is>
      </c>
      <c r="E32" t="inlineStr"/>
      <c r="F32" t="inlineStr"/>
      <c r="G32" t="inlineStr">
        <is>
          <t>Chantilly, VA</t>
        </is>
      </c>
      <c r="H32" t="inlineStr"/>
      <c r="I32" t="inlineStr">
        <is>
          <t>**About Lynk**
 Lynk is the inventor of satellite direct to device or D2D technology, and has the world’s only commercial license from the FCC to operate a commercial D2D system. Today, Lynk allows mobile network operators' subscribers to send and receive text messages to and from space via standard unmodified, mobile devices. Lynk’s service has been tested and proven on all seven continents, has regulatory approvals in more than 30 countries and is currently being deployed commercially based on more than 40 MNO commercial service contracts covering approximately 50 countries.
 Our technology will enable all 8 billion people on the planet to stay connected with the existing standard phone in their pocket. Everywhere. No matter what.
 By joining Lynk, you will have the opportunity to directly touch the lives of billions. Your mission will be to bring mobile broadband to billions, pull hundreds of millions out of poverty, and save countless lives.
**What You'll Do**
 As a Software Engineer at Lynk, you will be at the heart of designing, building, and operating the software that powers our satellites and ground network. You will join a team of world\-class engineers tackling some of the most complex challenges in distributed systems, real\-time software, and global\-scale operations.
**Responsibilities**
* Design, develop, test, and deploy high\-reliability, mission\-critical software for our satellite and ground systems.
* Take full ownership of the software lifecycle, from initial requirements and architecture to implementation, testing, and operational support.
* Embrace and champion strong object\-oriented (OO) design principles.
* Develop and test prototypes to validate new design concepts and architectural decisions.
* Develop and maintain robust CI/CD pipelines for automated build, package, deployment, and testing.
* Develop sophisticated simulation, emulation, and hardware\-in\-the\-loop (HITL) test environments to ensure system\-wide integrity.
* Participate in operations, including data analysis, system monitoring, and visualization.
* Collaborate in architecture, design, and code reviews.
**Basic Qualifications**
* Bachelor’s degree in Computer Science, Computer Engineering, Electrical Engineering, or a related technical field (or equivalent practical experience).
* 2\+ years of professional experience in software development.
* Strong proficiency in an object\-oriented language (e.g., C\+\+, Python, Java, C\#) and a deep understanding of OO design principles.
* Experience building and debugging software (professional, internship, or complex academic projects).
* Solid foundation in data structures, algorithms, and software design.
* Excellent communication (written and verbal) and documentation skills, with the ability to articulate complex technical ideas clearly.
* A highly collaborative, team\-oriented, and positive approach to your work.
**Preferred Qualifications**
* Professional experience with C\+\+ and Python.
* Experience building or operating highly available, distributed, and fault\-tolerant systems.
* Familiarity with networking concepts (like TCP/IP and UDP) and the principles of distributed systems.
* Familiarity with CI/CD, test automation, simulation, or hardware\-in\-the\-loop (HITL) testing.
* Experience with modern monitoring, data analysis, and visualization tools.
* Experience with Linux\-based development environments.
* A creative and analytical approach to problem\-solving, built on strong engineering fundamentals.
* Ability to thrive in a fast\-paced, dynamic environment where requirements can evolve.
* A passion for tackling complex problems and taking ownership from concept to completion.
* Interest in or experience with networking, wireless protocols, or telecommunications (e.g., 2G/GSM, 4G/LTE) is a plus, but not required.
 Location: Chantilly, VA</t>
        </is>
      </c>
    </row>
    <row r="33">
      <c r="A33" t="inlineStr">
        <is>
          <t>li-4355386292</t>
        </is>
      </c>
      <c r="B33" t="inlineStr">
        <is>
          <t>(USA) Software Engineer III</t>
        </is>
      </c>
      <c r="C33" t="inlineStr">
        <is>
          <t>Walmart</t>
        </is>
      </c>
      <c r="D33" t="inlineStr">
        <is>
          <t>linkedin</t>
        </is>
      </c>
      <c r="E33" t="inlineStr"/>
      <c r="F33" t="inlineStr"/>
      <c r="G33" t="inlineStr">
        <is>
          <t>Bentonville, AR</t>
        </is>
      </c>
      <c r="H33" t="inlineStr"/>
      <c r="I33" t="inlineStr">
        <is>
          <t>Position Summary...
 What you'll do...Role summary:
 As a Software Engineer III, you will contribute to the design and development of scalable software solutions by collaborating with cross\-functional teams including product management and user experience. This role involves troubleshooting complex issues, performing root cause analysis, and delivering high\-quality code aligned with business objectives. You will manage project requirements, support continuous integration and deployment, and mentor small engineering groups. The position demands strong technical expertise, problem\-solving skills, and a commitment to delivering sustainable, efficient software that meets evolving business needs while adhering to company standards and policies.
 About the team:
 The Transportation Technology team develops and operates a global Core Transportation Management System that connects operators and partners across carriers and geographies. The team builds scalable, resilient platforms embedding intelligent workflows to simplify complex logistics and automate operations. With end\-to\-end ownership from foundational systems to user\-facing tools, the team enables a sophisticated supply chain focused on performance, speed, and reliability. Operating at the intersection of software engineering and transportation expertise, the team drives continuous innovation to deliver impactful technology solutions worldwide.
 What you'll do:
* Collaborate with product, project, business, and user experience teams to define high\-level designs during project discovery phases.
* Develop, test, and maintain scalable, secure, and high\-quality code aligned with business and technical requirements.
* Troubleshoot and resolve production issues through root cause analysis and coordinated action plans.
* Manage complex projects by translating requirements into technical solutions and ensuring timely delivery.
* Support users by providing technical guidance and identifying sustainable solutions.
* Mentor small engineering teams, providing documentation, direction, and oversight.
* Implement automation scripts and telemetry features to enhance development and monitoring processes.
 What you'll bring:
* Proven expertise in object\-oriented programming and full stack development across multiple platforms.
* Strong technical acumen with experience in API design, platform development, and component services.
* Demonstrated ability to deliver scoped features using iterative and incremental development methodologies.
* Proficiency in debugging, dev testing, and continuous integration/continuous delivery (CI/CD) processes.
* Experience collaborating with cross\-functional teams to translate business requirements into sustainable technical solutions.
* Skilled in documentation\-based coding and implementing telemetry for performance monitoring.
* Ability to troubleshoot complex production issues and develop effective action plans.
* Knowledge of emerging technologies including generative artificial intelligence.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
 Primary Location...
 2608 Se J St, Bentonville, AR 72716\-3724,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4">
      <c r="A34" t="inlineStr">
        <is>
          <t>li-4318563465</t>
        </is>
      </c>
      <c r="B34" t="inlineStr">
        <is>
          <t>Senior Software Engineer, Backend</t>
        </is>
      </c>
      <c r="C34" t="inlineStr">
        <is>
          <t>Siro</t>
        </is>
      </c>
      <c r="D34" t="inlineStr">
        <is>
          <t>linkedin</t>
        </is>
      </c>
      <c r="E34" t="inlineStr"/>
      <c r="F34" t="inlineStr"/>
      <c r="G34" t="inlineStr">
        <is>
          <t>New York, United States</t>
        </is>
      </c>
      <c r="H34" t="inlineStr"/>
      <c r="I34" t="inlineStr">
        <is>
          <t>Field sales powers the economy — but most teams are struggling. Reps are buried in admin work, managers are stretched thin, and leaders can’t see what’s really happening in the field.
 Siro is redefining how field sales teams learn, perform, and win.
 We started as an AI\-powered coaching platform that helped reps improve their outcomes in the field.
 Today, we’re something much bigger — an intelligent companion that automates sales reps’ tedious admin work, gives managers real\-time visibility, and helps executives see around corners.
 Our platform integrates with systems like Salesforce, analyzing thousands of in\-person sales conversations to surface insights, automate workflows, and drive better outcomes across the org. Think
 *Iron Man’s* 
 Jarvis for sales — proactive, personalized, and built directly into the tools teams already use.
 Siro has raised $75M and is backed by world\-class investors like Index, Fika, CRV, and SignalFire. We are trusted by leading home\-improvement, retail, hospitality, and automotive brands, and powered by a lean team from Meta, McKinsey, Doordash, and Uber.
 We’re building the future of human\-AI collaboration in sales — and we’re just getting started.
 Key Responsibilities
* Build platform and backend systems at Siro, across recording, integrations, AI agents, and more!
* Own the end\-to\-end development of key features, from architectural decisions through implementation, deployment, and support
* Design and build scalable backend services that handle real\-time processing of sales conversations
* Drive technical excellence through thoughtful code reviews, documentation, and engineering best practices
* Partner closely with product and design teams to transform customer needs into elegant technical solutions
* Own the health of our systems and products, and make data\-driven decisions
* Help evolve our development practices and tooling to enable sustainable scaling while maintaining velocity
**Requirements**
* We expect 6\+ years of professional software engineering experience.
* You are excited to work in our NYC office 3\+ days a week with the rest of the team.
* You have strong proficiency in modern programming languages, databases, API frameworks, and cloud platforms (like GCP)
* You are a strong problem solver, with the ability to think critically and approach challenges with a first\-principles mindset.
* You have strong communication skills, able to articulate complex technical concepts to both technical and non\-technical stakeholders.
 Our Tech Stack
 In case you’re curious, we use the following technologies (and more), but proficiency in any specific technology is not required.
* Frontend: React Native, Svelte, TypeScript
* Mobile: Swift, Kotlin
* Backend: Node.js, Typescript, serverless functions
* Cloud: Google Cloud Platform (GCP)
* Other tools: Git, Datadog, Figma
 Why Join Siro?
* Growth: Join a rapidly scaling Series B startup with proven product\-market fit
* Technology: Work with cutting\-edge AI technologies and a modern tech stack
* Team: Collaborate with an experienced CEO (previously built a successful sales tool used by 100,000\+ reps) and top\-tier team
* Ownership: Take end\-to\-end ownership of features that directly impact our users
* Learning: Work across the full stack and grow your technical breadth
* Impact: Help democratize sales success and create opportunities for millions of sales professionals
 What Sets You Apart
* You're a collaborative team player with a "we before me" mindset, always ready to support and elevate your colleagues.
* You have high standards for excellence and aren't afraid to voice your opinion to push for quality.
* You think strategically beyond code, considering business and design implications in your work.
* You actively leverage AI coding tools to assist you during development.
* You thrive in an agile environment with low management overhead.
* You're creative and can think outside the box to solve complex problems in innovative ways.
* You continuously look to grow your skills and your impact.
*At Siro, we are committed to creating a diverse and inclusive environment where all people feel that they are equally respected and valued, whether they are applying for an open position or working at the company. We provide equal employment opportunities to all applicants without regard to race, religion, color, national origin, gender, sexual orientation, age, marital status, veteran status, or disability status.*</t>
        </is>
      </c>
    </row>
    <row r="35">
      <c r="A35" t="inlineStr">
        <is>
          <t>li-4382653791</t>
        </is>
      </c>
      <c r="B35" t="inlineStr">
        <is>
          <t>Software Engineer</t>
        </is>
      </c>
      <c r="C35" t="inlineStr">
        <is>
          <t>Hyra</t>
        </is>
      </c>
      <c r="D35" t="inlineStr">
        <is>
          <t>linkedin</t>
        </is>
      </c>
      <c r="E35" t="inlineStr"/>
      <c r="F35" t="inlineStr"/>
      <c r="G35" t="inlineStr">
        <is>
          <t>California, United States</t>
        </is>
      </c>
      <c r="H35" t="inlineStr"/>
      <c r="I35" t="inlineStr">
        <is>
          <t>Atlassian Software Engineer \- Millennium Space Systems
 Location: California, El Segundo, 90245 \| Type: Remote \| Salary: $130,900 \- $192,500 annual
 An innovative organisation in the aerospace and national security space is looking for an Atlassian Software Engineer \- Millennium Space Systems. This role focuses on building and administering critical project management and software development infrastructure to support satellite missions. You will serve as the primary technical point of contact for Atlassian product health, maintenance, and user support.
 What you'll be doing
 • Build and maintain projects, workflows, and permissions in JIRA to support program requirements
 • Monitor the health of JIRA servers and Atlassian tools to ensure maximum data availability
 • Plan and build multiple environments for development, testing, and production including data migrations
 • Assist users with Atlassian product usage and provide group training sessions when necessary
 • Prepare and maintain technical documentation on the design and usage of Atlassian systems
 What we're looking for
 • Three or more years of experience in JIRA and general Atlassian product administration
 • Proficiency in programming with Python, Java, SQL, JSON, and Groovy
 • Experience with GitLab or similar version control tools and web application administration
 • Ability to collaborate with diverse teams to determine technical needs and project goals
 • Must be eligible to obtain and maintain the required security clearance for this role
 What's on offer
 • Competitive annual salary within a transparent pay structure
 • Opportunity to work in a fast\-paced environment on national security missions
 • Collaborative culture focused on professional growth and innovation
 • Flexible work arrangements supporting remote and on\-site collaboration
 Apply via Hyra to be considered for this opportunity.</t>
        </is>
      </c>
    </row>
    <row r="36">
      <c r="A36" t="inlineStr">
        <is>
          <t>li-4343514724</t>
        </is>
      </c>
      <c r="B36" t="inlineStr">
        <is>
          <t>Senior Software Engineer, 1</t>
        </is>
      </c>
      <c r="C36" t="inlineStr">
        <is>
          <t>People Inc.</t>
        </is>
      </c>
      <c r="D36" t="inlineStr">
        <is>
          <t>linkedin</t>
        </is>
      </c>
      <c r="E36" t="inlineStr"/>
      <c r="F36" t="inlineStr"/>
      <c r="G36" t="inlineStr">
        <is>
          <t>New York, NY</t>
        </is>
      </c>
      <c r="H36" t="inlineStr"/>
      <c r="I36" t="inlineStr">
        <is>
          <t>**Job Title**
 Senior Software Engineer, 1
**Job Description**
**About Your Role:**
 People Inc. is looking for a forward\-thinking Engineer focused on API and services development with demonstrated technical excellence for an exciting opportunity to design and scale mission\-critical pieces of the next generation of our publishing. You will work in a collaborative Agile environment to build high\-performance backend services to support and add new features to our new brand\-focused mobile application.
 In this role you will leverage your full\-stack engineering expertise, primarily using Node and Javascript/TypeScript. The role offers opportunities for professional growth and experience with challenges of scale as we explore new ways of getting our content to viewers.
 In\-office Expectations: This position offers remote work flexibility; however, if you reside within a commutable distance to one of our offices in New York, Des Moines, Birmingham, Los Angeles, Chicago, or Seattle, the expectation is to work from the office three times per week. The team is currently centered in NYC, so NYC applicants are preferred.
**About Your Contributions**
* Independently design and develop new backend services and features that seamlessly connect our mobile applications with in\-house content\-management systems.
* Collaborate with frontend, QA, and product teams to define API contracts, data structures, authentication, and overall technical direction.
* Architect and execute complex feature builds from technical design and code\-level implementation through to final integration.
* Proactively identify and implement improvements for performance bottlenecks and technical debt in existing backend services.
* Maintain high quality standards by actively participating in and leading code/design reviews, writing unit and end\-to\-end tests, and guiding technical conversations.
* Drive technical progress on projects to ensure applications meet performance requirements and utilize the most effective technologies.
* Research new technologies and approaches to solve complex problems and improve existing systems.
* Contribute to team knowledge\-sharing and process improvement initiatives.
**About You**
 You have a love for technology and problem\-solving, and a strong desire to deliver quality software as quickly as possible. You have
* 4\+ years of proven experience developing and maintaining server\-side applications, with strong technical proficiency in TypeScript/JavaScript and Node.js for building and maintaining RESTful APIs and backend services, ideally within a microservices architecture.
* Experience managing and optimizing data storage with NoSQL databases (e.g., Firestore), including maintaining performance, data consistency, and managing large datasets via optimized queries, indexes, and transactions. Experience with BigQuery is a plus.
* Comfortable deploying and monitoring services in cloud platforms (e.g., AWS, GCP) using tools like Prometheus, Grafana, or native cloud solutions, and proficient in setting up CI/CD pipelines.
* Familiar with security challenges in mobile app development, able to implement secure authentication/authorization (e.g., JWT, OAuth, Device Attestation), and protect backend services from common web vulnerabilities (e.g., XSS, SQL injection, DDoS).
* Good understanding of system design and architecture fundamentals, with experience in containerization (e.g., Docker), orchestration (e.g., Kubernetes), and familiarity with serverless architectures/functions\-as\-a\-service.
* Ability to independently identify and troubleshoot complex issues, and seek collaborative input to create optimal solutions.
* Ability to translate business/product requirements into clear technical approaches and concepts, and communicate them effectively to both technical and non\-technical audiences.
* Comfortable working and proactively communicating in a distributed team environment.
 It is the policy of People Inc.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Company will provide reasonable accommodations for qualified individuals with disabilities. Accommodation requests can be made by emailing hr@people.inc.
 The Company participates in the federal E\-Verify program to confirm the identity and employment authorization of all newly hired employees. For further information about the E\-Verify program, please click here: https://www.e\-verify.gov/employees
**Pay Range**
 Salary: New York: $145,000 \- $170,000
 The pay range above represents the anticipated low and high end of the pay range for this position and may change in the future. Actual pay may vary and may be above or below the range based on various factors including but not limited to work location, experience, and performance. The range listed is just one component of People Inc's total compensation package for employees. Other compensation may include annual bonuses, and short\- and long\-term incentives. In addition, People Inc. provides to employees (and their eligible family members) a variety of benefits, including medical, dental, vision, prescription drug coverage, unlimited paid time off (PTO), adoption or surrogate assistance, donation matching, tuition reimbursement, basic life insurance, basic accidental death \&amp; dismemberment, supplemental life insurance, supplemental accident insurance, commuter benefits, short term and long term disability, health savings and flexible spending accounts, family care benefits, a generous 401K savings plan with a company match program, 10\-12 paid holidays annually, and generous paid parental leave (birthing and non\-birthing parents), all of which may vary depending on the specific nature of your employment with People Inc. and your work location. We also offer voluntary benefits such as pet insurance, accident, critical and hospital indemnity health insurance coverage, life and disability insurance.
 \#NMG\#</t>
        </is>
      </c>
    </row>
    <row r="37">
      <c r="A37" t="inlineStr">
        <is>
          <t>li-4381519355</t>
        </is>
      </c>
      <c r="B37" t="inlineStr">
        <is>
          <t>Fullstack Software Engineer, Applied AI</t>
        </is>
      </c>
      <c r="C37" t="inlineStr">
        <is>
          <t>LangChain</t>
        </is>
      </c>
      <c r="D37" t="inlineStr">
        <is>
          <t>linkedin</t>
        </is>
      </c>
      <c r="E37" t="inlineStr"/>
      <c r="F37" t="inlineStr"/>
      <c r="G37" t="inlineStr">
        <is>
          <t>New York, NY</t>
        </is>
      </c>
      <c r="H37" t="inlineStr"/>
      <c r="I37" t="inlineStr">
        <is>
          <t>**About Us:**
 At LangChain, our mission is to make intelligent agents ubiquitous. We build the foundation for agent engineering in the real world, helping developers move from prototypes to
 **production\-ready AI agents** 
 that teams can rely on. What began as widely adopted open\-source tools has grown into a platform for building, evaluating, deploying, and operating agents at scale.
 Today,
 **LangChain, LangGraph, LangSmith, and Agent Builder** 
 are used by teams shipping real AI products across startups and large enterprises. Millions of developers trust LangChain to power AI teams at companies like
 **Replit, Clay, Coinbase, Workday, Lyft, Cloudflare, Harvey, Rippling, Vanta, and 35% of the Fortune 500** 
 .
 With
 **$125M raised at Series B** 
 from
 **IVP, Sequoia, Benchmark, CapitalG, and Sapphire Ventures** 
 , we’re at a stage where we’re continuing to develop new products, growth is accelerating, and all team members have meaningful impact on what we build and how we work together. LangChain is a place where your contributions can shape how this technology shows up in the real world.
**About The Role:**
 We’re hiring
 **Applied AI Engineers** 
 to help us build AI agents that power every part of LangChain from Marketing and GTM to Recruiting, Support, Internal Tools, and our Core Product.
 In this role you will own a problem space and work closely with that function to design, build, and deploy
 **production\-grade agents, workflows, and applications** 
 that transform how we operate. Your work will directly accelerate LangChain’s mission to make intelligent, autonomous software a reality both internally and for our customers. Some of these projects will be
 **open source** 
 , contributing to the
 **LangChain** 
 and
 **LangGraph** 
 ecosystem and setting new standards for how companies build with AI.
 If you are a fullstack software engineer who is passionate about putting AI agents into real production use cases and seeing them drive measurable business impact, this team is for you.
* This role is based in our San Francisco or New York office. Employees within commuting distance work from the office five days per week. Candidates who live outside commuting distance (e.g. \&gt;1hr each way), may be eligible for hybrid arrangements depending on location and role requirements.
**What You Will Do** 
***:***
* Design, implement, and deploy end\-to\-end AI workflows and agents that solve real problems across multiple business domains.
* Develop and iterate on agent architectures, evaluation pipelines, and performance frameworks to ensure reliability and measurable outcomes.
* Translate emerging AI research and tooling into practical, production\-ready solutions.
* Communicate technical decisions, trade\-offs, and insights clearly to both technical and non\-technical stakeholders.
* Collaborate cross\-functionally embedding with teams like Marketing, GTM, Recruiting, or Product to identify opportunities for agent\-driven automation and measurable business impact.
* Contribute to the LangChain and LangGraph ecosystem, including open source components, documentation, and shared tools.
**What You Will Bring:**
* Experienced software engineer with a strong track record shipping AI or ML\-powered applications (typically 3\+ years, including at least 1 year building LLM systems in production).
* Hands\-on experience implementing evaluation and monitoring systems for agents or workflows.
* Deep understanding of the components that make up an AI system: prompting, retrieval, orchestration, inference APIs, and model selection across modalities.
* Strong coding skills in Python or TypeScript (ideally both).
* Excellent communicator who can simplify complex technical ideas for diverse audiences.
* Thrives in a fast\-moving, ambiguous startup environment; enjoys identifying the highest\-impact problems and driving them to completion.
* Naturally curious and motivated to learn new tools, frameworks, and approaches in applied AI.
**Nice To Haves:**
* Expertise with LangChain or LangGraph.
* Experience building or maintaining open source projects.
* Background in applied AI research or agentic workflow development.
* Based in San Francisco (preferred), NYC, or Boston.
**Compensation:**
 We offer competitive compensation that includes base salary, meaningful equity, and benefits such as health and dental coverage, flexible vacation, a 401(k) plan, and life insurance. Actual compensation will vary based on role, level, and location. For team members in the EU and UK, we provide locally competitive benefits aligned with regional norms and regulations. Annual Annual Salary Range: $165,000 \- $190,000</t>
        </is>
      </c>
    </row>
    <row r="38">
      <c r="A38" t="inlineStr">
        <is>
          <t>li-4324789959</t>
        </is>
      </c>
      <c r="B38" t="inlineStr">
        <is>
          <t>Senior Software Engineer-Full Stack</t>
        </is>
      </c>
      <c r="C38" t="inlineStr">
        <is>
          <t>Sony Interactive Entertainment</t>
        </is>
      </c>
      <c r="D38" t="inlineStr">
        <is>
          <t>linkedin</t>
        </is>
      </c>
      <c r="E38" t="inlineStr"/>
      <c r="F38" t="inlineStr"/>
      <c r="G38" t="inlineStr">
        <is>
          <t>San Diego, CA</t>
        </is>
      </c>
      <c r="H38" t="inlineStr"/>
      <c r="I38"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Do you want to help bring PlayStation technology to a worldwide audience? Are you passionate about securing infrastructure that constantly pushes the boundary of the gaming industry? Are you ready to work with innovative technology, forward\-thinking engineers, and a passionate security team? If so, join us!
 As a member of our automation team in Product Security, you will craft, develop software services to realize true automated application security in order to protect our customers, our product and our business.
 Strong technical background and analytical thinking is expected, and the ideal candidate will be heavily involved in designing, creating and maintaining Java, Javascript and React code, as well as providing component and system level designs for Application Security automation.
**Responsibilities**
* Work with other architects and engineers to plan and design how engineering components will fit together
* Design, implement and test Web Application and RESTful Web Services API for DevSecOps
* Research and integrate third party security solutions into our system
* Onboard internal applications to DevSecOps pipeline
* Produce excellent, detailed design and development documentation
* Work under tight time constraints and respond to evolving requirements
* Collaborate with other engineers in development technologies, tools, and processes
* Provide engineering analysis for new features
* Drives technical objectives and architectural initiatives
* Mentor engineers on procedures for developing quality software.
**Qualifications**
* 7\+ years of full stack software engineering experience with Javascript/Typescript experience with the ReactJS framework and Java with Spring framework.
* Experience building and maintaining web server applications, object\-oriented design and design patterns, and passionate about writing high quality and well\-architected code
* Experience in building high\-performance web services. Experience with design and implementation of modern web app architecture or web services architecture and API frameworks
* Experience working with relational databases with strong SQL and database design skills.
* Experience with public cloud design like AWS, Azure or GCE
* Ability to technical deep dive into code and deployment
* Strong understanding of engineering standard methodologies – requirement gathering and analysis, design and develop secure and scalable code with unit tests, participate in code reviews and documentation, experience with multiple technology stacks
* Strong written and verbal communication skills
* Experience testing software and writing automated tests.
* Bachelor's Degree in Computer Science or an equivalent combination of education and experience; Master's degree a plus.
 Useful but not required
* Experience to integrate tools in CI/CD pipeline
* Experience with Application Security Tool like SAST, SCA, and DAST
* Experience with multiple development methodologies such as Agile, DevOps etc.
* Experience with Python and Go.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$177,300—$265,900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39">
      <c r="A39" t="inlineStr">
        <is>
          <t>li-4365582306</t>
        </is>
      </c>
      <c r="B39" t="inlineStr">
        <is>
          <t>Senior Software Engineer, Platforms Infrastructure Engineering</t>
        </is>
      </c>
      <c r="C39" t="inlineStr">
        <is>
          <t>Google</t>
        </is>
      </c>
      <c r="D39" t="inlineStr">
        <is>
          <t>linkedin</t>
        </is>
      </c>
      <c r="E39" t="inlineStr"/>
      <c r="F39" t="inlineStr"/>
      <c r="G39" t="inlineStr">
        <is>
          <t>Sunnyvale, CA</t>
        </is>
      </c>
      <c r="H39" t="inlineStr"/>
      <c r="I39" t="inlineStr">
        <is>
          <t>**Minimum qualifications:**
* Bachelor’s degree or equivalent practical experience.
* 5 years of experience programming in C\+\+, Java or Python.
* 3 years of experience testing, maintaining, or launching software products, and 1 year of experience with software design and architecture.
**Preferred qualifications:**
* Master's degree or PhD in Computer Science or related technical field.
* 5 years of experience with data structures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0">
      <c r="A40" t="inlineStr">
        <is>
          <t>li-4319925290</t>
        </is>
      </c>
      <c r="B40" t="inlineStr">
        <is>
          <t>Senior Software Engineer, AI</t>
        </is>
      </c>
      <c r="C40" t="inlineStr">
        <is>
          <t>Sentry</t>
        </is>
      </c>
      <c r="D40" t="inlineStr">
        <is>
          <t>linkedin</t>
        </is>
      </c>
      <c r="E40" t="inlineStr"/>
      <c r="F40" t="inlineStr"/>
      <c r="G40" t="inlineStr">
        <is>
          <t>San Francisco, CA</t>
        </is>
      </c>
      <c r="H40" t="inlineStr"/>
      <c r="I40" t="inlineStr">
        <is>
          <t>**About Sentry**
 Bad software is everywhere, and we’re tired of it. Sentry is on a mission to help developers write better software faster so we can get back to enjoying technology.
 With more than $217 million in funding and 100,000\+ organizations that believe we’re on to something, we're building performance and error monitoring tools that help companies like Disney, Microsoft, and Atlassian spend less time fixing bugs and more time building products.
 Sentry embraces a hybrid work model across our global hubs, with Mondays, Tuesdays, and Thursdays set as in\-office anchor days to encourage meaningful collaboration. If you like to selfishly build things that make your digital life better, come help us build the next generation of software monitoring tools.
**About The Role**
 As a Senior Software Engineer on Sentry’s AI/ML team, you’ll be directly responsible for developing the platform used by our debugging agents. This role is crucial; you will be at the forefront of integrating AI and machine learning into our core products, from issue triage and resolution to predictive analytics for application performance monitoring. Your work will help companies around the globe gain actionable insights into their software, enabling them to build better products, faster.
**In this role you will**
* Build state\-of\-the\-art agentic AI platforms to triage, debug, and solve real production issues
* Leverage Sentry’s novel (and massive) dataset of errors, spans, and profiles
* Own the development of major initiatives in the AI/ML space
**You'll love this job if you**
* Are driven by impact and enjoy working on high\-stakes, high\-visibility projects
* Enjoy building things. You will have the opportunity to join the AI/ML team as one of its foundational members
* Thrive in cross\-functional teams and enjoy building features alongside developers and product teams
**Qualifications**
* Minimum 5\+ years of professional experience with Bachelor’s degree in computer science, machine learning, or a related field
* Demonstrated expertise building production\-grade agentic systems and tools
* You are comfortable writing production quality code (we use Python and Typescript)
* Familiarity with deep learning frameworks (we use PyTorch)
* Familiarity in deploying machine learning models at scale in production environments
 The base salary range (or hourly wage range, if applicable) that Sentry reasonably expects to pay for this position is
 **$190,000 to $288,000 USD** 
 . A successful candidate’s actual base salary (or hourly wage) amount will be determined by a variety of relevant factors including, without limitation, the candidate’s work location, education, work and other relevant experience, skills, and job\-related knowledge. A successful candidate will be eligible to participate in Sentry’s employee benefit plans/programs applicable to the candidate’s position (including incentive compensation, equity grants, paid time off, and group health insurance coverage). See Sentry Benefits for more details about the Company’s benefit plans/programs.
**Equal Opportunity at Sentry**
 Sentry is committed to providing equal employment opportunities to its employees and candidates for employment regardless of race, color, ancestry, religion, sex, national origin, sexual orientation, age, citizenship, marital status, disability, gender identity, veteran status, or other legally\-protected characteristic. This commitment includes the provision of reasonable accommodations to employees and candidates for employment with physical or mental disabilities who require such accommodations in order to (a) perform the essential functions of their jobs, or (b) seek employment with Sentry. We strive to build a diverse team, with an inclusive culture where every teammate can thrive. Sentry is an open\-source company because we believe that everyone, everywhere, should have the ability and tools to make great software. Software should be accessible. That starts with making our industry accessible.
 If you need assistance or an accommodation due to a disability, you may contact us at accommodations@sentry.io.
 Want to learn more about how Sentry handles applicant data? Get the details in our Applicant Privacy Policy.</t>
        </is>
      </c>
    </row>
    <row r="41">
      <c r="A41" t="inlineStr">
        <is>
          <t>li-4115210828</t>
        </is>
      </c>
      <c r="B41" t="inlineStr">
        <is>
          <t>Software Engineer (22121)</t>
        </is>
      </c>
      <c r="C41" t="inlineStr">
        <is>
          <t>Orion Innovation</t>
        </is>
      </c>
      <c r="D41" t="inlineStr">
        <is>
          <t>linkedin</t>
        </is>
      </c>
      <c r="E41" t="inlineStr"/>
      <c r="F41" t="inlineStr"/>
      <c r="G41" t="inlineStr">
        <is>
          <t>Edison, NJ</t>
        </is>
      </c>
      <c r="H41" t="inlineStr"/>
      <c r="I41" t="inlineStr">
        <is>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**Job Responsibilities**
* Work in Scrum team as a Developer, involved in scrum calls and implementing software changes using Agile methodology
* Carry out analysis, design and development of applications using .Net Framework
* Design and develop user\-friendly web\-based application using ASP.Net Framework with supporting languages including C\#, HTML, CSS, jQuery, JavaScript
* Create master pages and style sheets for consistent look and feel in web\-based applications
* Design reusable user controls for web applications developed in ASP.Net Framework
* Develop web Methods for implementing business logic to communicate with application layer
* Use Team Foundation Server (TFS) as source control for project code throughout the project’s life cycle
* Design and create tables with indexes and primary keys and other objects in SQL Server
* Create complex business stored procedures, views and user defined functions for data retrieval and manipulations
* Perform unit testing and integration testing
* Support QA and UAT for any bug fixes
* Deploy the codes and queries successfully in production environment
**Requirements**
* Master’s in Computer Science/Applications, Information Technology/Systems or Electronics/Electrical Engineering
* Minimum 1 year experience as Software Engineer, Software Developer, Programmer Analyst or Project Associate
**Note**
 Must be willing to travel/relocate to anywhere in the US
 Job location: Edison, NJ and unanticipated locations throughout US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 What information we collect during our application and recruitment process and why we collect it;
* How we handle that information; and
* How to access and update that information.
 Your use of Orion services is governed by any applicable terms in this notice and our general Privacy Policy.</t>
        </is>
      </c>
    </row>
    <row r="42">
      <c r="A42" t="inlineStr">
        <is>
          <t>li-4279959072</t>
        </is>
      </c>
      <c r="B42" t="inlineStr">
        <is>
          <t>Backend Software Engineer, Feature Management</t>
        </is>
      </c>
      <c r="C42" t="inlineStr">
        <is>
          <t>LaunchDarkly</t>
        </is>
      </c>
      <c r="D42" t="inlineStr">
        <is>
          <t>linkedin</t>
        </is>
      </c>
      <c r="E42" t="inlineStr"/>
      <c r="F42" t="inlineStr"/>
      <c r="G42" t="inlineStr"/>
      <c r="H42" t="inlineStr"/>
      <c r="I42" t="inlineStr">
        <is>
          <t>**About The Job**
 LaunchDarkly is seeking a Backend Engineer to help build enterprise\-scale capabilities that empower the world’s largest organizations to adopt feature management best practices.
 This team helps the world’s biggest organizations take LaunchDarkly best practices to the next level—making release management a powerful, everyday part of software delivery. They empower teams to build, visualize, standardize, and automate their processes.
 By championing organizational best practices and driving customer maturity, they unlock real business value. With a mix of systematic process innovation and enterprise\-grade tools, they reimagine how organizations ship software—turning release management into something scalable, seamless, and consistent across every team.
 In this role, you’ll partner with a talented cross\-functional team to bring powerful backend services to life in Go, design APIs that drive new automation and governance workflows, and build the internal frameworks that make enterprise adoption seamless.
 You’ll tackle complex, real\-world technical challenges—the same ones LaunchDarkly faces at scale—and your solutions will make a direct impact not only on how we work internally, but also on how our largest customers deliver software to the world.
**Responsibilities**
* Build and maintain scalable backend services and APIs that power enterprise automation, governance, and release management features within LaunchDarkly.
* Contribute to technical solutions that address complex enterprise customer needs, helping large organizations adopt consistent and reliable software delivery practices.
* Work closely with product managers, designers, and engineers to define and implement end\-to\-end features that support compliance and operational maturity.
* Participate in architecture and design discussions, offering thoughtful input and collaborating with senior engineers to make well\-informed trade\-offs.
* Collaborate with internal stakeholders, including other LaunchDarkly engineering teams, to understand real\-world challenges and improve release management workflows using our own platform.
* Follow and promote best practices for backend development, testing, and observability, contributing to a culture of engineering excellence.
* Take ownership of code in production, participate in on\-call rotations, and help improve the reliability and maintainability of our systems over time.
**Qualifications**
* 5\+ years of professional experience in backend software development, with a history of contributing to robust, well\-architected systems.
* Demonstrated experience working on scalable and reliable distributed systems, ideally in environments that support enterprise\-grade requirements.
* Proficiency in Go (Golang) along with experience in another modern programming language (e.g., Java, Rust, C\+\+), with a willingness and ability to learn new technologies as needed. (Our team writes applications in Go)
* Experience building and consuming APIs, particularly in contexts that support system integration or workflow automation.
* Good understanding of system design and domain modeling, with some exposure to building reusable components or internal tooling.
* Familiarity with observability concepts such as metrics, tracing, structured logging, and debugging in distributed systems.
* A collaborative engineer who takes ownership of their work, communicates clearly, and thrives in cross\-functional teams.
* Enthusiasm for improving how software is delivered at scale—whether through automation, standardization, or empowering engineering teams with better tools and practices.
* What LLM are you
**Pay**
*Target pay ranges based on Geographic Zones\* for Level P3:*
* Zone 1: San Francisco/Bay Area or NYC Metropolitan Area, Boston, Seattle \- $167,000 \- $229,000\*\*
* Zone 2: Irvine, LA, Monterey, Santa Barbara, Santa Rosa, Austin, Portland, Philadelphia, Chicago \- $150,000 \- $206,000\*\*
* Zone 3: All other US locations \- $141,000 \- $195,000\*\*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**Do you need a disability accommodation?**
 Fill out this accommodations request form and someone from our People Operations team will contact you for assistance.</t>
        </is>
      </c>
    </row>
    <row r="43">
      <c r="A43" t="inlineStr">
        <is>
          <t>li-4365583245</t>
        </is>
      </c>
      <c r="B43" t="inlineStr">
        <is>
          <t>Software Engineer III, Infrastructure, Google Cloud Business Platforms</t>
        </is>
      </c>
      <c r="C43" t="inlineStr">
        <is>
          <t>Google</t>
        </is>
      </c>
      <c r="D43" t="inlineStr">
        <is>
          <t>linkedin</t>
        </is>
      </c>
      <c r="E43" t="inlineStr"/>
      <c r="F43" t="inlineStr"/>
      <c r="G43" t="inlineStr">
        <is>
          <t>Sunnyvale, CA</t>
        </is>
      </c>
      <c r="H43" t="inlineStr"/>
      <c r="I4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Sunnyvale, CA, USA; Seattle, WA, USA** 
 .
 **Minimum qualifications:**
* Bachelor’s degree or equivalent practical experience.
* 2 years of experience programming in C\+\+, Python or Go.
* 2 years of experience with developing large \- 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4">
      <c r="A44" t="inlineStr">
        <is>
          <t>li-4382670307</t>
        </is>
      </c>
      <c r="B44" t="inlineStr">
        <is>
          <t>Fullstack Engineer, Creation</t>
        </is>
      </c>
      <c r="C44" t="inlineStr">
        <is>
          <t>Wiraa</t>
        </is>
      </c>
      <c r="D44" t="inlineStr">
        <is>
          <t>linkedin</t>
        </is>
      </c>
      <c r="E44" t="inlineStr"/>
      <c r="F44" t="inlineStr"/>
      <c r="G44" t="inlineStr"/>
      <c r="H44" t="inlineStr"/>
      <c r="I44" t="inlineStr">
        <is>
          <t>**About The Company**
 Patreon is a leading media and community platform dedicated to empowering creators and connecting them with their biggest fans. Since its inception, Patreon has facilitated over $10 billion in revenue for creators across various fields, including art, music, writing, and more. The platform offers a diverse range of engagement tools such as paid memberships, free memberships, community chats, live experiences, and direct sales through one\-time purchases, enabling creators to build sustainable businesses and foster deeper connections with their audiences. With over 25 million paid memberships and more than 100 million free memberships, Patreon continues to innovate and invest in building the best creator platform in the creator economy space. Our mission is simple: to fund the creative class and support their growth and success globally. We are committed to fostering a diverse, inclusive, and dynamic workplace where talented individuals can thrive and contribute to our shared vision.
**About The Role**
 We are seeking a Full Stack Software Engineer to join our Creation team based in New York, supporting our mission to enhance and expand Patreon's media publishing capabilities. This role offers a hybrid work model, requiring in\-office presence two days per week. As a key member of the team, you will be responsible for scaling our media tools, delivering high\-quality user experiences, and collaborating across disciplines to develop innovative features that empower creators to express their creativity more effectively. You will work closely with product managers, designers, data scientists, and fellow engineers to design, build, and refine features that drive user engagement and monetization. Your expertise will help ensure our platform remains fast, reliable, and user\-centric, contributing to the overall success of our creator community.
**Qualifications**
* 3\+ years of professional experience in software development
* Proficiency in modern frontend technologies such as React and TypeScript
* Experience with backend development using Python and MySQL
* Strong understanding of full\-stack development principles and practices
* Experience designing and conducting A/B tests, analyzing results, and applying insights
* Ability to work collaboratively across teams and communicate technical concepts clearly
* Passion for shipping impactful features rapidly and iteratively
* Comfortable working with both frontend and backend codebases to deliver end\-to\-end solutions
* Experience with performance optimization and user experience design is a plus
**Responsibilities**
* Scale and enhance Patreon's media publishing features to enable creators to express themselves more expansively
* Develop and deliver high\-quality, performant, and reliable features that improve user engagement
* Collaborate with cross\-functional teams including product managers, designers, and data scientists to define and refine product features
* Lead the development of full\-stack functionalities, ensuring seamless integration between frontend and backend systems
* Implement modern frontend solutions using React and TypeScript to create engaging user interfaces
* Build and maintain robust backend systems utilizing Python and MySQL to support platform scalability
* Participate in code reviews, enforce best practices, and promote a culture of quality and continuous improvement
* Analyze user data and experimentation results to inform feature development and optimization
* Contribute to a product\-oriented engineering culture that emphasizes user empathy, innovation, and excellence
**Benefits**
* Competitive salary and equity plans
* Comprehensive healthcare coverage
* Flexible time off and paid holidays, including recharge days
* Commuter benefits and lifestyle stipends
* Learning and development stipends to support continuous growth
* Parental leave policies
* 401(k) plan with company matching
* Hybrid work model promoting flexibility and community engagement
 Equal Opportunity
 Patreon is proud to be an equal opportunity employer. We are committed to creating an inclusive environment for all employees and applicants, regardless of age, race, color, ancestry, national origin, religion, disability, sex, gender identity or expression, sexual orientation, veteran status, or any other protected class. We believe diversity enhances our ability to serve creators worldwide and foster innovation. If you require a reasonable accommodation during the interview process, please contact us at accommodations@patreon.com. We encourage individuals from all backgrounds to apply and look forward to welcoming talented candidates to our team.</t>
        </is>
      </c>
    </row>
    <row r="45">
      <c r="A45" t="inlineStr">
        <is>
          <t>li-4365595025</t>
        </is>
      </c>
      <c r="B45" t="inlineStr">
        <is>
          <t>Software Engineer III, Infrastructure, Google Cloud Business Platforms</t>
        </is>
      </c>
      <c r="C45" t="inlineStr">
        <is>
          <t>Google</t>
        </is>
      </c>
      <c r="D45" t="inlineStr">
        <is>
          <t>linkedin</t>
        </is>
      </c>
      <c r="E45" t="inlineStr"/>
      <c r="F45" t="inlineStr"/>
      <c r="G45" t="inlineStr">
        <is>
          <t>Kirkland, WA</t>
        </is>
      </c>
      <c r="H45" t="inlineStr"/>
      <c r="I45"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Sunnyvale, CA, USA; Seattle, WA, USA** 
 .
 **Minimum qualifications:**
* Bachelor’s degree or equivalent practical experience.
* 2 years of experience programming in C\+\+, Python or Go.
* 2 years of experience with developing large \- 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6">
      <c r="A46" t="inlineStr">
        <is>
          <t>li-4337159861</t>
        </is>
      </c>
      <c r="B46" t="inlineStr">
        <is>
          <t>Senior Software Engineer - Java/Python/SQL</t>
        </is>
      </c>
      <c r="C46" t="inlineStr">
        <is>
          <t>Mizuho</t>
        </is>
      </c>
      <c r="D46" t="inlineStr">
        <is>
          <t>linkedin</t>
        </is>
      </c>
      <c r="E46" t="inlineStr"/>
      <c r="F46" t="inlineStr"/>
      <c r="G46" t="inlineStr">
        <is>
          <t>New York, NY</t>
        </is>
      </c>
      <c r="H46" t="inlineStr"/>
      <c r="I46" t="inlineStr">
        <is>
          <t>Join Mizuho as a Senior Software Engineer \- Java/Python/SQL!
 In this role, you will build data\-intensive services and Spark pipelines on Kubernetes and Databricks. The ideal candidate will own delivery end\-to\-end with disciplined SDLC, high attention to detail, and mentor junior developers. Financial services experience required, ideally in Market Risk, Counterparty Credit Risk, or Liquidity Risk.
**Key Responsibilities**
* Develop services (Java, Python) and ETL/ELT (SQL, Spark/PySpark) on Databricks.
* Containerize and deploy to Kubernetes; ensure logging/metrics/tracing.
* Apply strong SDLC: design reviews, testing, CI/CD, releases, monitoring.
* Partner with risk stakeholders; deliver audit\-ready data contracts \&amp; controls.
* Review code, coach juniors, lead incident RCAs and remediation.
**Required Qualifications**
* 6\+ years in software/data engineering; expert in Java, Python, SQL.
* Hands\-on Spark/Databricks (Delta, Spark SQL, performance tuning).
* Production Kubernetes experience (deployments, networking, autoscaling).
* Proven SDLC rigor and CI/CD (GitHub Actions/Azure DevOps/Jenkins).
* Finance/risk systems depth in at least one: Market, CCR, or Liquidity.
**Nice To Have**
* Basel III/FRTB, Volcker, CCAR exposure.
* Unity Catalog, DLT, cluster policies; Terraform; Kafka; Airflow/Jobs.
* Secure APIs (REST/gRPC), OAuth2/OIDC, RBAC/ABAC.
* Reporting/limits usage, scenarios, reconciliation tooling.
*The expected base salary ranges from $111,000\-$180,000\. Salary offers are based on a wide range of factors including relevant skills, training, experience, education, and, where applicable, certifications and licenses obtained. Market and organizational factors are also considered. In addition to salary and a generous employee benefits package, successful candidates are eligible to receive a discretionary bonus.*
**Other Requirements**
 Mizuho has in place a hybrid working program, with varying opportunities for remote work depending on the nature of the role, needs of your department, as well as local laws and regulatory obligations. Roles in some of our departments have greater in\-office requirements that will be communicated to you as part of the recruitment process
 **.**
**Company Overview**
 Mizuho Financial Group, Inc. is the 15th largest bank in the world as measured by total assets of \~$2 trillion. Mizuho's 60,000 employees worldwide offer comprehensive financial services to clients in 35 countries and 800 offices throughout the Americas, EMEA and Asia. Mizuho Americas is a leading provider of corporate and investment banking services to clients in the US, Canada, and Latin America. Through its acquisition of Greenhill , Mizuho provides M\&amp;A, restructuring and private capital advisory capabilities across Americas, Europe and Asia. Mizuho Americas employs approximately 3,500 professionals, and its capabilities span corporate and investment banking, capital markets, equity and fixed income sales \&amp; trading, derivatives, FX, custody and research. Visit www.mizuhoamericas.com.
 Mizuho Americas offers a competitive total rewards package.
 We are an EEO/AA Employer \- M/F/Disability/Veteran.
 We participate in the E\-Verify program.
 We maintain a drug\-free workplace and reserve the right to require pre\- and post\-hire drug testing as permitted by applicable law.</t>
        </is>
      </c>
    </row>
    <row r="47">
      <c r="A47" t="inlineStr">
        <is>
          <t>li-4327303288</t>
        </is>
      </c>
      <c r="B47" t="inlineStr">
        <is>
          <t>Software Engineer II</t>
        </is>
      </c>
      <c r="C47" t="inlineStr">
        <is>
          <t>SMC³</t>
        </is>
      </c>
      <c r="D47" t="inlineStr">
        <is>
          <t>linkedin</t>
        </is>
      </c>
      <c r="E47" t="inlineStr"/>
      <c r="F47" t="inlineStr"/>
      <c r="G47" t="inlineStr">
        <is>
          <t>Peachtree City, GA</t>
        </is>
      </c>
      <c r="H47" t="inlineStr"/>
      <c r="I47" t="inlineStr">
        <is>
          <t>**Job Summary**
 We are looking for a passionate and creative Software Engineer II to join a specialized team to help build high\-quality, innovative and fully performing software. The successful candidate will work in an agile team environment and implement the latest technology in our product suite. This position will include designing, modifying, coding and testing software applications that adhere to designs supporting internal business requirements as well as external customers.
**Essential Job Functions**
* Under general supervision, follows programming specifications to perform a variety of programming assignments requiring knowledge of established procedures.
* Write code from functional design specifications that are well designed, efficient and testable.
* Contribute to all phases of the development lifecycle, as an agile team member, to include, but not limited to, design, coding, unit testing and deployment.
* Work within an evolving agile development environment utilizing small teams that include developers and QA members.
* Is a cross\-functional agile team member and is able to take on development, DBA and testing tasks.
* Demonstrates a thorough understanding and knowledge of position.
* Relies on limited experience and judgement to plan and accomplish goals.
* Performs administrative tasks in a timely and professional manner.
* Performs other duties as assigned.
* Collaborate effectively with Product Owners, Senior Engineers, and Scrum Masters
* Utilize AI models as tools in your workflow
* Automate repetitive tasks
**Education And Experience**
**Note:** 
 Qualifications listed are guidelines. Other factors may be taken into consideration.
* Bachelor’s degree in Computer Science or related field or equivalent experience
* 2\-5 years’ experience working on Java projects
* 2\+ years’ experience with Service\-oriented architecture
* Knowledge of standard concepts, practices, and procedures in the SDLC.
* Knowledge of SQL, JavaScript, Python, HTML, CSS, and XML.
* Knowledge of Selenium a plus
* Knowledge of back\-end DBs including relational, non\-relational, and LDAP a plus
* Project experience working with Eclipse, IntelliJ or an equivalent IDE, Git, Spring, Maven and Junit.
* Knowledge of supply chain logistics a plus
* Knowledge of React a plus
* Knowledge of Docker a plus
* Knowledge of Kubernetes a plus
* Knowledge of Agile Methodologies a plus
* Knowledge of test\-driven development techniques a plus
* Knowledge of Apache Camel a plus
**Skills**
* Detail Oriented
* Self\-starter
* Proficient communication in both written and conversational English
* Ability to work in a dynamic fast paced environment with multiple priorities and projects
* Ability to exist to a rapidly changing environment
* Analytical and problem solving skills
* Collaborative mindset</t>
        </is>
      </c>
    </row>
    <row r="48">
      <c r="A48" t="inlineStr">
        <is>
          <t>li-4343494984</t>
        </is>
      </c>
      <c r="B48" t="inlineStr">
        <is>
          <t>Software Engineer, Discovery (Feed)</t>
        </is>
      </c>
      <c r="C48" t="inlineStr">
        <is>
          <t>Whatnot</t>
        </is>
      </c>
      <c r="D48" t="inlineStr">
        <is>
          <t>linkedin</t>
        </is>
      </c>
      <c r="E48" t="inlineStr"/>
      <c r="F48" t="inlineStr"/>
      <c r="G48" t="inlineStr">
        <is>
          <t>Seattle, WA</t>
        </is>
      </c>
      <c r="H48" t="inlineStr"/>
      <c r="I48"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We are looking for intellectually curious, highly motivated individuals to be foundational members of our Discovery Feed \&amp; Personalization team. You will partner across the company to lead our Exploration efforts to help new sellers and small categories grow and thrive.
 We are looking for a backend engineer with a track record of shipping product features at scale. You should excel at making the right tradeoffs between building it fast and building it right. You should have experience leading and delivering on cross\-functional projects, supporting multiple other engineers.
**What You'll Do**
* Ship product features to deliver high\-quality Discovery experiences for users
* Build and maintain a scalable, stable, low latency feed experience
* Build the services and infrastructure to enable efficient exploration systems to help small sellers and new categories grow
* Lead a workstream of multiple other software engineers as the individual responsible for success
* Partner closely across the machine learning, platform, and product engineering teams to utilize models to solve discovery problems
* Contribute scalable solutions across various serving stacks at the feed, search, machine learning service, and Discovery application layers.
* Define and advance our technical approach to scalable recommendation systems.
**We offer flexibility to work from home or from one of our global office hubs, and we value in\-person time for planning, problem\-solving, and connection. Team members in this role must live within commuting distance of our New York City, San Francisco, Seattle or Los Angeles hub.**
****👋 You****
 Curious about who thrives at Whatnot? We’ve found that low ego, a growth mindset, and leaning into action and high impact goes a long way here.
 As our next Software Engineer you should have 5\+ years of experience, plus:
* Bachelor’s degree in Computer Science, Statistics, Mathematics, Software Engineering, a related technical field, or equivalent work experience.
* Industry experience with a track record of applying practical methods to solve real\-world problems on consumer scale data.
* Ability to work autonomously and lead initiatives across multiple product areas and communicate findings with leadership and product teams. You can mentor others and prioritize building inclusive, supportive teams.
* Experience in discovery\-related fields (e.g. Recommendations, Content Understanding, Search, etc.).
* Expert at designing and building scalable and maintainable backend systems.
* Firm grasp of visualization tools for monitoring and logging e.g. DataDog, Grafana
* Familiarity with cloud computing platforms and managed services such as AWS Sagemaker, Lambda, Kinesis, S3, EC2, EKS/ECS, Kafka, Flink/Spark.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on both food and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$195K \- $230K</t>
        </is>
      </c>
    </row>
    <row r="49">
      <c r="A49" t="inlineStr">
        <is>
          <t>li-4358115806</t>
        </is>
      </c>
      <c r="B49" t="inlineStr">
        <is>
          <t>Senior Software Engineer II, Frontend</t>
        </is>
      </c>
      <c r="C49" t="inlineStr">
        <is>
          <t>Moveworks</t>
        </is>
      </c>
      <c r="D49" t="inlineStr">
        <is>
          <t>linkedin</t>
        </is>
      </c>
      <c r="E49" t="inlineStr"/>
      <c r="F49" t="inlineStr"/>
      <c r="G49" t="inlineStr">
        <is>
          <t>Mountain View, CA</t>
        </is>
      </c>
      <c r="H49" t="inlineStr"/>
      <c r="I49" t="inlineStr">
        <is>
          <t>**The Opportunity: Architecting the Future of UI Development**
 This is not a typical engineering role. You are a product\-minded builder, a systems thinker, and a passionate advocate for quality and consistency. You understand that a mature design system is the single most important lever to pull to unlock massive gains in productivity, improve user experience, and create a predictable, machine\-readable environment where AI tools like Claude Code and Cursor can thrive.
 You will have the autonomy and resources to own our design system from the ground up. Your work will directly empower our product teams to build higher\-quality features faster and will be the critical enabler for our strategy of leveraging AI to instantly translate design specs into pixel\-perfect, production\-ready code.
**What You'll Do**
* Architect \&amp; Build: Design, build, and maintain a robust, scalable, and accessible library of reusable front\-end components in React/TypeScript.
* Establish a "Token Economy": Implement and govern a comprehensive system of design tokens (colors, typography, spacing, etc.) that ensures consistency across all platforms (web, mobile).
* Full\-Stack Integration: Develop backend APIs, services, and tooling necessary to support the design system, such as asset pipelines, documentation servers, and versioning management.
* Govern \&amp; Evangelize: Create crystal\-clear documentation, contribution guidelines, and decision\-making frameworks. Act as the primary advocate for the design system, driving adoption across all engineering, design, and product teams.
* Optimize for AI Consumption: Structure component APIs, props, and documentation with the explicit goal of making them easily understandable and usable by AI code generation tools. You will define the "language" our AI assistants speak.
* Tooling \&amp; Automation: Own the entire lifecycle of the design system's infrastructure, including our Storybook instance, automated testing, and CI/CD pipelines for publishing and versioning components.
* Collaborate \&amp; Lead: Partner closely with senior leadership in Product Design and Engineering to define the roadmap for the design system and ensure it aligns with the company's strategic goals. Mentor other engineers on best practices for component design and system thinking.
**Who You Are**
* A Seasoned Engineer: You have 4\+ years of professional software development experience, with a strong focus on front\-end architecture and full\-stack capabilities.
* A Design System Expert: You have proven, hands\-on experience leading the development of a design system from concept to production at scale. You can point to a library of components you have built and are proud of.
* Technically Fluent: You possess expert\-level knowledge of modern web technologies, including React, TypeScript, CSS\-in\-JS (or similar), Storybook, and Figma. You are also proficient with backend technologies like Node.js, GraphQL, or Python.
* Passionate About Quality: You have an incredible eye for detail and a deep commitment to accessibility (WCAG), performance, and writing clean, maintainable code.
* A Systems Thinker: You excel at abstracting complexity into simple, elegant, and reusable patterns. You think in terms of systems, not one\-off solutions.
* An Excellent Communicator: You can articulate complex technical concepts to both technical and non\-technical audiences. You build consensus and inspire others to adopt new standards.
* Forward\-Thinking: You are genuinely excited about the potential of AI in software development and are eager to build the foundational systems that will unlock its power.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50">
      <c r="A50" t="inlineStr">
        <is>
          <t>li-4281718828</t>
        </is>
      </c>
      <c r="B50" t="inlineStr">
        <is>
          <t>Senior Software Engineer, Infrastructure</t>
        </is>
      </c>
      <c r="C50" t="inlineStr">
        <is>
          <t>Retell AI</t>
        </is>
      </c>
      <c r="D50" t="inlineStr">
        <is>
          <t>linkedin</t>
        </is>
      </c>
      <c r="E50" t="inlineStr"/>
      <c r="F50" t="inlineStr"/>
      <c r="G50" t="inlineStr"/>
      <c r="H50" t="inlineStr"/>
      <c r="I50" t="inlineStr">
        <is>
          <t>**About Retell Ai**
 Retell AI is using the first principles to reimagine the call center with cutting edge voice AI.
 Since launching 18 months ago, thousands of companies now utilize Retell’s AI voice agents to handle sales, support, and logistics calls that once required large teams of human agents. Backed by Y Combinator, Alt Capital, and other leading investors, we have scaled to $36M ARR with a team of 20 people, up from $5M at the start of 2025\.
 Our vision for 2026 is to build a modern CX platform where entire contact centers are powered by AI. Instead of basic automation that needs constant human tuning, we’re creating intelligent AI “workers” that can act as frontline agents, QA analysts, and managers — continuously executing, monitoring, and improving customer interactions.
 We’re growing quickly and looking for ambitious builders who want to tackle hard technical problems, move fast, and have real impact at one of the fastest\-growing voice AI startups.
 Let’s build the future together.
* We’re a top 50 AI app in a16z list: https://tinyurl.com/5853dt2x
* \#4 on Brex's Fast\-Growing Software Vendors of 2025: https://www.brex.com/journal/brex\-benchmark\-december\-2025
* We're also one of the top ranking startups on: https://leanaileaderboard.com/
**About The Role**
 As a
 **Senior Software Engineer \- Infrastructure** 
 , you’ll be the owner of our build, release, and runtime foundations. You’ll design and automate deployment pipelines for both cloud SaaS and on\-prem environments, orchestrate containers at scale, and ship reliable releases that meet compliance requirements. You’ll work cross\-functionally with product, security, and customer teams—then turn what you learn in the field into reusable platform capabilities.
**Key Responsibilities**
* Own CI/CD end\-to\-end: design, implement, and operate pipelines with blue/green, canary, and phased rollouts; define graceful draining for HA systems.
* Architect, maintain, and harden Kubernetes\-based runtime (Docker, Kubernetes, Helm), including multi\-cluster and multi\-tenant concerns.
* Manage cloud deployments across AWS/Azure/GCP and coordinate with on\-prem infrastructure teams; standardize with IaC (e.g., Terraform).
* Implement robust observability (metrics, logs, traces), SLOs/error budgets, and automated rollback/one\-click restore.
* Partner with compliance to integrate SOC 2 / ISO 27001 / HIPAA controls into pipelines (artifact signing, SBOMs, change management, access/keys).
* Deploy at customer sites (cloud or on\-prem), collaborating with client teams for integration, runbooks, and handover.
* Lead incident response \&amp; postmortems; drive resilience, cost, and performance improvements.
* Document release processes and platform conventions; codify best practices into tooling and templates.
**YOU MIGHT THRIVE IF**
* Have 3\+ years of deep experience with a major cloud (AWS, Azure, or GCP) and container orchestration (Kubernetes, Helm).
* Build production\-grade CI/CD with GitHub Actions / GitLab CI / Jenkins (or similar), including complex rollout strategies.
* Have shipped both SaaS and on\-prem solutions, navigating networking, security, and environment drift.
* Can integrate compliance and security into delivery (secret management, image signing, policy\-as\-code).
* Are comfortable with networking fundamentals, security hardening, and performance tuning.
* Communicate clearly, move fast in ambiguity, and enjoy being the responsible adult in prod.
 JOB DETAILS
* Cash: 215k \- 290k
* Equity: Offers Equity
* Location: Redwood City, CA, US
* US Visas: Retell AI is open to sponsoring work authorization for qualified candidates, including H1B/H\-1B, TN, L\-1, E\-3, F\-1 (OPT/CPT), and O\-1 visas.
**Other Benefits**
* 100% coverage for medical, dental, and vision insurance
* $70/day DoorDash credit for unlimited breakfast, lunch, dinner, and snacks
* $200/month wellness reimbursement (gym, fitness classes, etc.)
* $300/month commuter reimbursement (gas, Caltrain, etc.)
* $75/month phone bill reimbursement
* $50/month internet reimbursement
**Compensation Philosophy**
* Best Offer Upfront: Choose from three cash\-equity balance options; no negotiation needed.
* Top 1% Talent: Above\-market pay (top 5 percentile) to attract exceptional builders.
* High Ownership: Small teams, \&gt;$1M revenue/employee, and significant equity.
* Performance\-Based: Offers tied to interview performance, not experience or past salaries.
 INTERVIEW PROCESS
* Online Assessment: Coding questions on practical problem\-solving (7 days to complete).
* Intro Call (15\-20min): Connect with our Founding Recruiter to get a deeper look at the team and the work you'd be doing.
* Technical Interview (45 min): A practical coding session focused on code fluency and system design, with an emphasis on DevOps and infrastructure.
* Technical Interview (45 min): A deep dive into your backend chops and how you think through systems design.
* Onsite/Virtual Interviews (2–3 hrs): Hosted in our office if located in the Bay Area or virtual, with three rounds:
+ Practical Coding: Tackle real\-world coding tasks with debugging.
+ System Design: Architect a production\-ready system.
+ Tools \&amp; Automation: Build automations or improve workflows in any basic environment setup like python, java, node.js, etc.
 Learn More
 Retell AI \- API That Turns Your LLM Into A Human\-Like Voice Agent
 Retell AI Basics: Everything You Need to Start Building Voice Agents
 Join Retell AI to shape the future of voice automation, building scalable, impactful full\-stack systems that redefine AI\-driven communication.</t>
        </is>
      </c>
    </row>
    <row r="51">
      <c r="A51" t="inlineStr">
        <is>
          <t>li-4327287104</t>
        </is>
      </c>
      <c r="B51" t="inlineStr">
        <is>
          <t>Senior Software Engineer, AI</t>
        </is>
      </c>
      <c r="C51" t="inlineStr">
        <is>
          <t>Cloudera</t>
        </is>
      </c>
      <c r="D51" t="inlineStr">
        <is>
          <t>linkedin</t>
        </is>
      </c>
      <c r="E51" t="inlineStr"/>
      <c r="F51" t="inlineStr"/>
      <c r="G51" t="inlineStr">
        <is>
          <t>Texas, United States</t>
        </is>
      </c>
      <c r="H51" t="inlineStr"/>
      <c r="I51" t="inlineStr">
        <is>
          <t>**Business Area:**
 Engineering
**Seniority Level:**
 Mid\-Senior level
**Job Description:**
 At Cloudera, we empower people to transform complex data into clear and actionable insights. With as much data under management as the hyperscalers, we're the preferred data partner for the top companies in almost every industry. Powered by the relentless innovation of the open source community, Cloudera advances digital transformation for the world’s largest enterprises.
 At Cloudera, our Data Services Pillar is the heart of data innovation. We don’t just work with technology; we build it. Our mission is to empower data practitioners by creating seamless, enterprise\-grade experiences for data engineering, warehousing, streaming, operational databases, and AI.
 Cloudera is looking for a Senior Software Engineer to join the Enterprise AI Platform team and help drive development of Cloudera’s next\-generation AI and machine learning platform. You will be responsible for helping design, build, and deliver a platform that not only accelerates machine learning \&amp; AI from exploration to production but also enables enterprises to create \&amp; deploy Generative AI applications using foundation models with enterprise data at scale. This role requires an empathetic mindset and close collaboration with frontend / web UI engineers, data scientists, designers, and product management.
 We look for "The Startup Spark", a desire to create new things, dive in wherever there's a need, eagerness to make an impact as an individual and the willingness to learn new things. You must be self\-motivated, innovative, and proactive. The role offers significant opportunities for growth.
 Read about the Forrester Wave Report on Cloudera's Machine Learning offerings here.
**As a Senior Software Engineer you will:**
* Help build the leading platform for AI and Machine Learning in the enterprise.
* Design, code, and implement elegant, scalable, enterprise\-quality AI application services powered by machine learning models.
* Work to enhance developer velocity and team agility.
* Build strong relationships and collaborate with platform and front\-end engineers, quality engineers, UX designers, as well as Product Management, Field, Professional Services, and other partners.
**We are excited if you have (Required Experience):**
* 5\+ years of experience building scalable microservices or applications using Go, Node.js, C\# or Java.
* Experience with at least one of the following Cloud technologies \- Google Cloud Platform (GCP), Amazon Web Services (AWS), Microsoft Azure.
* Experience with building AI applications with machine learning models using data science and machine learning tools (Python, Tensorflow, Spark, MLflow, R, etc.).
* Experience with microservices design and development (Go, GRPC, SQL) on Kubernetes.
* Demonstrate ability to go deep into technology and complex distributed systems.
* Experience in crafting high level and low level design.
* Experience building scalable, robust and secure enterprise applications.
* Self\-driven and motivated, with a strong sense of ownership and craftsmanship.
* Strong written and verbal communication skills.
**You may also have:**
* Experience with foundation models, prompt engineering, fine\-tuning, semantic search and Retrieval\-Augmented Generation (RAG) using vector databases such as Pinecone, Milvus, etc.
* Experience with Generative AI frameworks (LangChain, Guidance, NeMo etc.).
* Experience building and deploying Generative AI applications.
* Full stack experience with React, HTML, CSS.
* Experience with data science and machine learning tools (R, Python, Tensorflow, Spark)
* Deep understanding of cloud\-based networking
* Experience with AI/ML orchestration software (Kubeflow, KServe, Knative)
* Experience using Big Data technologies like Spark, Hive etc.
* Proven track record of collaborating with agile teams across geographically dispersed locations
****Why this role matters:****
 This is your opportunity to build cloud\-native solutions that are deployable anywhere whether in massive clusters on any cloud provider or in private data centers. You’ll work with cutting\-edge technologies like Trino, Spark, Airflow, and advanced AI inferencing systems to shape the future of analytics. Your code will directly influence how data engineers, analysts, and developers worldwide find value in their data.
 We believe in the power of open source. You’ll collaborate with project committers, contributing upstream to keep technologies like Apache Hive and Impala evolving. You’ll harden these engines for rock\-solid security, optimize them for peak performance, and make them effortlessly run across all environments. Join us and help build the trusted, cloud\-native platform that powers insights for the most data\-intensive companies on the planet.
**This role is not eligible for immigration sponsorship.**
**What you can expect from us:**
* Generous PTO Policy
* Support work life balance with Unplugged Days
* Flexible WFH Policy
* Mental \&amp; Physical Wellness programs
* Phone and Internet Reimbursement program
* Access to Continued Career Development
* Comprehensive Benefits and Competitive Packages
* Paid Volunteer Time
* Employee Resource Groups
 EEO/VEVRAA</t>
        </is>
      </c>
    </row>
    <row r="52">
      <c r="A52" t="inlineStr">
        <is>
          <t>li-4382672114</t>
        </is>
      </c>
      <c r="B52" t="inlineStr">
        <is>
          <t>Software Engineer (ML/AI, Full-stack)</t>
        </is>
      </c>
      <c r="C52" t="inlineStr">
        <is>
          <t>Wiraa</t>
        </is>
      </c>
      <c r="D52" t="inlineStr">
        <is>
          <t>linkedin</t>
        </is>
      </c>
      <c r="E52" t="inlineStr"/>
      <c r="F52" t="inlineStr"/>
      <c r="G52" t="inlineStr"/>
      <c r="H52" t="inlineStr"/>
      <c r="I52" t="inlineStr">
        <is>
          <t>**About The Company**
 At River, we are committed to building the world's most trusted financial institution dedicated to empowering individuals to take control of their financial future through Bitcoin, the world's only incorruptible digital currency. Our mission is rooted in the belief that every person should have access to Bitcoin savings, and every business should incorporate Bitcoin into their balance sheets. We focus on designing and developing innovative, user\-centric products that enable our clients to buy, sell, secure, and utilize Bitcoin seamlessly. Our company culture emphasizes transparency, innovation, and a relentless pursuit of excellence as we lead the way in the evolving fintech landscape.
**About The Role**
 We are seeking a highly skilled Staff Software Engineer to join our dynamic team. In this role, you will be responsible for building and owning data\-intensive backend systems that drive automation and informed decision\-making across various functions including onboarding, risk management, compliance, and operations. Your work will involve designing, developing, and deploying machine learning models and large language model\-based systems in production environments. You will play a crucial role in creating scalable, reliable systems that directly impact hundreds of thousands of clients. Collaborating closely with product management and operational teams, you will help shape the future of our platform by building robust data pipelines, analytics infrastructure, and backend services that support our rapid growth and innovation.
**Qualifications**
* 6\+ years of experience in software engineering, with a proven track record of designing and maintaining production systems at scale
* Experience in building reliable, high\-performance backend systems
* Strong ownership mindset and ability to solve ambiguous problems
* Hands\-on experience working with data\-heavy systems, pipelines, and complex integrations
* Familiarity with machine learning systems, including training, deployment, and operational use
* Deep understanding of system correctness, reliability, and operational risk management
* Proficiency in programming languages such as Python, Elixir, and SQL
* Experience with cloud data infrastructure and containerization technologies
* Excellent collaboration and communication skills, with a focus on writing high\-quality, tested code
**Responsibilities**
* Design, train, and deploy machine learning models and large language models for production use
* Develop and maintain infrastructure for model training and inference processes
* Build and own backend systems supporting onboarding, fraud detection, compliance, and operational workflows
* Create and manage data pipelines, integrations, and analytics infrastructure to support rapid team growth
* Collaborate with product management and operational teams to plan and scope new initiatives
* Write clean, efficient, and well\-tested code following best practices
* Participate in code reviews and provide mentorship to team members
* Take ownership of critical systems and ensure their scalability and reliability as River expands
**Benefits**
* Competitive salary range between $200,000 \- $250,000, commensurate with experience and skills
* Significant equity stock options to participate in the company's growth
* Remote work flexibility within the Americas and Europe
* Office locations in San Francisco, New York City, and Columbus for hybrid work options
* Comprehensive medical, dental, and vision insurance plans
* Unlimited paid time off (PTO) policy
* Parental leave separate from standard PTO policies
* 401(k) retirement savings plan with company matching
 Equal Opportunity
 River is an equal opportunity employer. We celebrate diversity and are committed to creating an inclusive environment for all employees. We do not discriminate based on race, ethnicity, gender, age, religion, sexual orientation, disability, or any other protected status. We believe that a diverse team fosters innovation and drives our success, and we welcome applicants from all backgrounds to apply.</t>
        </is>
      </c>
    </row>
    <row r="53">
      <c r="A53" t="inlineStr">
        <is>
          <t>li-4365590135</t>
        </is>
      </c>
      <c r="B53" t="inlineStr">
        <is>
          <t>Software Engineer III, Full Stack, Google Cloud Security and Privacy</t>
        </is>
      </c>
      <c r="C53" t="inlineStr">
        <is>
          <t>Google</t>
        </is>
      </c>
      <c r="D53" t="inlineStr">
        <is>
          <t>linkedin</t>
        </is>
      </c>
      <c r="E53" t="inlineStr"/>
      <c r="F53" t="inlineStr"/>
      <c r="G53" t="inlineStr">
        <is>
          <t>Sunnyvale, CA</t>
        </is>
      </c>
      <c r="H53" t="inlineStr"/>
      <c r="I53" t="inlineStr">
        <is>
          <t>**Minimum qualifications:**
* Bachelor’s degree or equivalent practical experience.
* 2 years of experience with software development in one or more programming languages, or 1 year of experience with an advanced degree.
* 2 years of experience with full stack development, across back\-end such as Java, Python, GO, or C\+\+ codebases, and front\-end experience including JavaScript or TypeScript, HTML, CSS or equivalent.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4">
      <c r="A54" t="inlineStr">
        <is>
          <t>li-4349587119</t>
        </is>
      </c>
      <c r="B54" t="inlineStr">
        <is>
          <t>Software Engineer IV - Java Developer</t>
        </is>
      </c>
      <c r="C54" t="inlineStr">
        <is>
          <t>Candescent</t>
        </is>
      </c>
      <c r="D54" t="inlineStr">
        <is>
          <t>linkedin</t>
        </is>
      </c>
      <c r="E54" t="inlineStr"/>
      <c r="F54" t="inlineStr"/>
      <c r="G54" t="inlineStr">
        <is>
          <t>Elkhart County, IN</t>
        </is>
      </c>
      <c r="H54" t="inlineStr"/>
      <c r="I54" t="inlineStr">
        <is>
          <t>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**Engineer**
**Position Summary**
 We are seeking skilled Engineers passionate about delivering exceptional software experiences. As part of the Digital Banking team, this individual will design and build features that improve our clients’ customer experience, owning services end\-to\-end and collaborating closely with product managers and designers to create intuitive, impactful solutions.
 The Engineer will simplify complex problems into scalable designs, uphold engineering best practices, and contribute to a culture of continuous improvement. Operating in a fast\-paced Agile environment, they will consistently deliver high\-quality, production\-ready code and embrace continuous delivery. Ideal candidates are detail\-oriented, driven to solve real problems, eager to learn, and committed to mentoring and excellence—striving for perfection while knowing when to ship.
**Key Areas of Responsibility**
* Implement features and deliver production\-ready code
* Create technical documentation, system diagrams, and debugging reports
* Conduct performance optimizations and monitor key metrics
**Product Strategy, Vision, and Planning**
* Participate in agile planning events by providing technical insights and feasibility analysis
* Collaborate with Product Owners, Designers, and Engineers to translate business needs into features and technical solutions
* Offer input on technology enhancements, emerging tools, and product gaps to inform the roadmap and backlog
* Support definition of acceptance criteria to guide development and testing
**Product Design and Development**
* Design, develop, deploy, and maintain software solutions in an agile environment
* Write clean, scalable code aligned with best practices and engineering standards
* Collaborate with peers to implement user stories, resolve issues, and improve product functionality
* Engage in agile events such as daily scrums and product demos
* Create proof\-of\-concepts and run experiments to inform technical decisions
* Conduct peer code reviews for quality and knowledge sharing
* Continuously improve team processes and development workflows
* Stay current with emerging technologies, frameworks, and industry practices
**Performance Measurement and Optimization**
* Monitor delivery metrics such as lead time and deployment frequency
* Identify and implement improvements to enhance delivery efficiency
**Basic Qualifications**
* Bachelor's degree in Computer Science, Information Technology, or equivalent
* 5\+ years of experience in software development using Java
* Strong foundation in data structures, algorithms, and concurrent programming
* Expertise in designing and troubleshooting transactional systems
* Experience with microservices architecture, Java EE, Spring Boot, Spring Cloud, Hibernate, Oracle, PostgreSQL, BigTable, BigQuery, NoSQL, Git, IntelliJ IDEA, Pub/Sub, Data Flow
* Experience in native and hybrid cloud environments and Agile development
* Proficient in Python or Java, multi\-tenant cloud technologies, and tools like Jira
* Skilled in translating user stories into scalable, user\-centric solutions
* Strong collaboration and communication skills for cross\-functional teamwork
* Analytical problem\-solver with attention to detail and structured thinking
* Experience with Java IDEs (Eclipse, IntelliJ), application servers (Tomcat), scripting languages (JSON, XML, YAML, Terraform), Git, Maven
**Preferred Qualifications**
* Champion of Agile Scrum methodologies and SAFe frameworks
* Experience with CI/CD systems such as Jenkins or GitHub CI
* Deep understanding of secure solution design principles
* Familiarity with concurrent backend environments and multithreading
* Experience with tools or languages including Ruby, Python, Perl, Node.js, Bash, C, C\+\+, Spring, Oracle, Docker, Kubernetes
**Statement to Third Party Agencies**
 To ALL recruitment agencies: Candescent only accepts resumes from agencies on the preferred supplier list. Please do not forward resumes to our applicant tracking system, Candescent employees, or any Candescent facility. Candescent is not responsible for any fees or charges associated with unsolicited resumes.</t>
        </is>
      </c>
    </row>
    <row r="55">
      <c r="A55" t="inlineStr">
        <is>
          <t>li-4336931697</t>
        </is>
      </c>
      <c r="B55" t="inlineStr">
        <is>
          <t>Senior Software Engineer (AI team)</t>
        </is>
      </c>
      <c r="C55" t="inlineStr">
        <is>
          <t>Pattern®</t>
        </is>
      </c>
      <c r="D55" t="inlineStr">
        <is>
          <t>linkedin</t>
        </is>
      </c>
      <c r="E55" t="inlineStr"/>
      <c r="F55" t="inlineStr"/>
      <c r="G55" t="inlineStr">
        <is>
          <t>Lehi, UT</t>
        </is>
      </c>
      <c r="H55" t="inlineStr"/>
      <c r="I55" t="inlineStr">
        <is>
          <t>Are you obsessed with data, partner success, taking action, and changing the game? If you have a whole lot of hustle and a touch of nerd, come work with Pattern! We want you to use your skills to push one of the fastest\-growing companies headquartered in the US to the top of the list.
 Pattern accelerates brands on global ecommerce marketplaces leveraging proprietary technology and AI. Utilizing more than 46 trillion data points, sophisticated machine learning and AI models, Pattern optimizes and automates all levers of ecommerce growth for global brands, including advertising, content management, logistics and fulfillment, pricing, forecasting and customer service. Hundreds of global brands depend on Pattern’s ecommerce acceleration platform every day to drive profitable revenue growth across 60\+ global marketplaces—including Amazon, Walmart.com , Target.com , eBay, Tmall, TikTok Shop, JD, and Mercado Libre. To learn more, visit pattern.com or email \[email protected] .
 Pattern has been named one of the fastest growing tech companies headquartered in North America by Deloitte and one of best\-led companies by Inc. We place employee experience at the center of our business model and have been recognized as one of Newsweek’s Global Most Loved Workplaces®.
 In this role, you will translate product manager's solution concepts into reality, while championing our AI\-first development vision. You will take ownership of the end\-to\-end delivery of full\-stack applications, mentor colleagues in the latest technologies, and collaborate with a global team of engineers. Additionally, you will be a leader in the technical integration of AI into every process throughout the company.
**What is a day in the life of a Senior Software Engineer (AI team)?**
* Architect, build, and deploy internal tools and external proof‑of‑concept products in short, iterative cycles.
* Contribute AI knowledge \- evaluate emerging models, set standards for AI‑assisted coding, testing, and DevOps, and guide the team in adopting those practices. We have a dedicated budget to explore bleeding‑edge tech, and you’ll shape how it’s spent.
* Integrate generative‑AI capabilities (LLMs, embeddings, multimodal models, agents) to solve real business problems and open new markets.
* Guide Junior Engineers through code reviews, pair programming, and goal setting.
* Collaborate across time zones, partnering with product managers, designers, and engineers in the U.S. and India.
* Own quality and operability, from automated testing to observability and CI/CD.
* Champion engineering best practices while keeping speed and pragmatism front‑of‑mind.
**What will I need to thrive in this role?**
* 7\+ years of professional software engineering experience delivering production full‑stack applications.
* Proficiency with one back‑end language/runtime (e.g., Python/FastAPI, Node.js ) and at least one modern front‑end framework (e.g., React)
* Hands‑on experience with relational databases and SQL; familiarity with PostgreSQL or Snowflake is a plus.
* Proven success deploying to a major cloud platform—AWS preferred.
* Demonstrated ownership: you’ve taken a 0 → 1 product or complex feature from design through launch.
* Curiosity or hands‑on work with generative AI (prompt engineering, fine‑tuning, vector search, LangChain/LangGraph, etc.).
* Experience evaluating or integrating developer‑productivity AI tools (Copilot, CodeWhisperer, test‑generation, DevOps assistants, etc.).
**Nice to have in this role**
* Experience mentoring or managing junior engineers.
* Prior work in high‑growth startups or hackathon environments.
* Familiarity with event‑driven architectures, serverless patterns, or data‑intensive applications.
* Contributions to open‑source AI/ML or developer‑tooling projects.
**What will make me stand out in the interview process?**
* Demonstrated experience in implementing successful AI content initiatives.
* Portfolio showcasing projects involving AI\-generated content.
* Knowledge of the latest advancements in AI for content creation.
* Ability to articulate the business value of AI\-driven content solutions.
* Experience with PXM(Product Experience Management) software.
* Experience with LLM (Large Language Model) tuning and implementation.
**What is the team like?**
* You will work under the supervision of the Staff Software Engineer collaborating with a team of software engineers and AI engineers based in both the US and India. The AI Engineering team at Pattern provides a work environment that values both autonomy and recognition, where you'll have the opportunity to set technical direction and receive credit for your accomplishments. You'll be joining a talented team of individuals who are passionate about AI and pushing the boundaries of what's possible. The team also provides a healthy AI exploration budget to encourage testing, adopting, and even building next\-generation tooling, as well as competitive salary, equity, benefits, and a hardware and education stipend. The team also offers a flexible work schedule with robust remote\-collaboration support.
**Sounds great! What's the company culture?**
* We are looking for individuals who are:
* Game Changers\- A game changer is someone who looks at problems with an open mind and shares new ideas with team members, regularly reassesses existing plans and attaches a realistic timeline to goals, makes profitable, productive, and innovative contributions, and actively pursues improvements to Pattern’s processes and outcomes.
* Data Fanatics\- A data fanatic is someone who recognizes problems and seeks to understand them through data, draws unbiased conclusions based on data that lead to actionable solutions, and continues to track the effects of the solutions using data.
* Partner Obsessed\- An individual who is partner obsessed clearly explains the status of projects to partners and relies on constructive feedback, actively listens to partner’s expectations, and delivers results that exceed them, prioritizes the needs of your partners, and takes the time to reate a personable experience for those interacting with Pattern.
* Team of Doers\- Someone who is a part of a team of doers uplifts team members and recognizes their specific contributions, takes initiative to help in any circumstance, actively contributes to supporting improvements, and holds themselves accountable to the team as well as to partners.
**What is the hiring process?**
* Initial phone interview with Pattern’s talent acquisition team
* Video interview with a hiring manager
* Take home case study
* Onsite interviews with panels of department leaders
* Professional reference checks
* Executive review
* Offer
**How can I stand out as an applicant?**
* Provide concrete examples of your experience with AI content deployment.
* Quantify your achievements with data and metrics.
* Demonstrate your understanding of the ecommerce and SaaS industries.
* Highlight your passion for AI and content innovation.
**Why should I work at Pattern?**
**Benefits**
 Pattern offers big opportunities to make a difference in the ecommerce industry! We are a company full of talented people that evolves quickly and often. We set big goals, work tirelessly to achieve them, and we love our Pattern community. We also believe in having fun and balancing our lives, so we offer awesome benefits that include:
* Unlimited PTO
* Paid Holidays
* Onsite Fitness Center
* Company Paid Life Insurance
* Casual Dress Code
* Competitive Pay
* Health, Vision, and Dental Insurance
* 401(k) match. Pattern matches 100% of the first 3% in eligible compensation deferred and 50% of the next 2% in eligible compensation deferred.
 Pattern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6">
      <c r="A56" t="inlineStr">
        <is>
          <t>li-4365591039</t>
        </is>
      </c>
      <c r="B56" t="inlineStr">
        <is>
          <t>Senior Software Engineer, Infrastructure, Google Cloud Platforms</t>
        </is>
      </c>
      <c r="C56" t="inlineStr">
        <is>
          <t>Google</t>
        </is>
      </c>
      <c r="D56" t="inlineStr">
        <is>
          <t>linkedin</t>
        </is>
      </c>
      <c r="E56" t="inlineStr"/>
      <c r="F56" t="inlineStr"/>
      <c r="G56" t="inlineStr">
        <is>
          <t>Kirkland, WA</t>
        </is>
      </c>
      <c r="H56" t="inlineStr"/>
      <c r="I5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Cambridge, MA, USA** 
 .
 **Minimum qualifications:**
* Bachelor’s degree or equivalent practical experience.
* 5 years of experience programming in C\+\+ or Go.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7">
      <c r="A57" t="inlineStr">
        <is>
          <t>li-4381359851</t>
        </is>
      </c>
      <c r="B57" t="inlineStr">
        <is>
          <t>Software Engineer - .Net</t>
        </is>
      </c>
      <c r="C57" t="inlineStr">
        <is>
          <t>recruit22</t>
        </is>
      </c>
      <c r="D57" t="inlineStr">
        <is>
          <t>linkedin</t>
        </is>
      </c>
      <c r="E57" t="inlineStr"/>
      <c r="F57" t="inlineStr"/>
      <c r="G57" t="inlineStr">
        <is>
          <t>Chicago, IL</t>
        </is>
      </c>
      <c r="H57" t="inlineStr"/>
      <c r="I57" t="inlineStr">
        <is>
          <t>**Full Time Role
 No Sponsorship provided at this time**
* NET C\# Developer Location: Remote
**Build Software That Supports Global Healthcare**
 Join a mission\-driven, international organization delivering life\-saving dialysis care to patients around the world. As the technology team expands, we are seeking a skilled .NET C\# Developer to help modernize systems and shape the future of patient\-centered healthcare.
 If you're passionate about building secure, scalable APIs, working with established systems while guiding a shift toward the cloud, and exploring machine learning integration—this is your chance to be part of something meaningful.
**What You'll Do**
 You’ll be a key contributor in designing and developing robust backend systems and APIs that support both current operations and future technology initiatives. As the organization begins its journey toward cloud adoption and machine learning integration, you’ll help lay the groundwork for these emerging capabilities. This is a hands\-on role where your work will directly impact patient care and system scalability.
**Key Responsibilities**
* API Development: Design, build, and maintain RESTful APIs using .NET C\#, focusing on performance, reliability, and security.
* Entity Framework \&amp; SQL: Develop efficient data models using Entity Framework Core and write optimized SQL queries for relational databases like SQL Server.
* Cloud Transition Support: Contribute to new development efforts utilizing Azure services (e.g., Azure Functions, App Services, Azure SQL) during migration from on\-prem infrastructure.
* Machine Learning Integration: Collaborate with stakeholders to integrate machine learning models via RESTful APIs or Azure ML services.
* Clean, Maintainable Code: Follow best practices to write testable, maintainable, and well\-documented code.
* Cross\-Team Collaboration: Work closely with fellow developers and business partners to deliver secure, scalable solutions.
* CI/CD Practices: Support continuous integration and delivery efforts using tools like GitHub Actions.
* Problem Solving: Investigate and resolve performance issues, bugs, and bottlenecks in existing systems.
**What We’re Looking For**
**Required:**
* 3\+ years of professional experience in .NET C\# development
* Proficiency with Entity Framework (preferably EF Core)
* Strong command of SQL, including complex query writing and optimization
* Experience building RESTful APIs with ASP.NET or ASP.NET Core
* Familiarity with version control systems, especially Git
* Solid problem\-solving and debugging skills
* Effective communication and ability to work independently or in a team
**Preferred:**
* Exposure to Azure services such as App Services, Azure SQL, and Azure Functions
* Basic understanding of machine learning model integration via APIs or Azure ML
* Familiarity with OData, microservices, and distributed systems concepts
* Experience writing unit tests (e.g., xUnit, NUnit, MSTest)
* Knowledge of CI/CD practices, especially using GitHub Actions
* Interest or experience in DevOps practices and automation
**Full Time Role
 No Sponsorship provided at this time**</t>
        </is>
      </c>
    </row>
    <row r="58">
      <c r="A58" t="inlineStr">
        <is>
          <t>li-4312787821</t>
        </is>
      </c>
      <c r="B58" t="inlineStr">
        <is>
          <t>Senior Frontend Software Engineer</t>
        </is>
      </c>
      <c r="C58" t="inlineStr">
        <is>
          <t>Bestow</t>
        </is>
      </c>
      <c r="D58" t="inlineStr">
        <is>
          <t>linkedin</t>
        </is>
      </c>
      <c r="E58" t="inlineStr"/>
      <c r="F58" t="inlineStr"/>
      <c r="G58" t="inlineStr"/>
      <c r="H58" t="inlineStr"/>
      <c r="I58" t="inlineStr">
        <is>
          <t>**About Bestow**
 Life insurance is one of the world's most important products. It's also one of the hardest to build, distribute, and modernize. Bestow exists to change that.
 Bestow is a leading vertical technology platform serving some of the largest and most innovative life insurers. Our platform unifies the fragmented, legacy value chain, enabling carriers to launch products in weeks instead of years. Carriers choose us to scale and operate at unprecedented speed, powered by AI and automation.
 Bestow isn't selling policies. We're building the infrastructure that helps an entire industry move faster, reach more people, and deliver on its promise.
 Backed by leading investors (Goldman Sachs, Hedosophia, NEA, Valar, 8VC) and trusted by major carriers, Bestow is powered by a team that moves with precision, purpose, and heart. If you want to help reimagine a centuries\-old industry with lasting impact, join us.
 Bestow offers flexible remote/hybrid work, meaningful benefits, equity, and substantial growth opportunities.
*Bestow participates in the* 
*E\-Verify Program* 
*.*
**About The Team**
 The Frontend Platform team is responsible for all frontend applications, libraries, tooling, and infrastructure for Bestow and the Bestow Platform. We serve employees, consumers, and enterprise customers. In addition to building software, we integrate and manage many third\-party products used by employees and as part of the platform.
 Within Bestow Engineering, our major functional teams are product engineering, infrastructure, IT, data and analytics, and program management. Frontend Platform works closely with upstream engineering teams, experience design, and product management to define and prioritize the product roadmap.
 We are looking for multiple engineers to join our team.
 This role will report to our Engineering Manager and is open to Remote (US).
**About The Role**
 The right candidate for this role will:
* Lead the evolution of our cutting\-edge frontend platform, driving architectural decisions and establishing patterns that enable scalable experiences across the organization
* Architect and implement complex user interfaces, setting standards for accessibility, performance, and responsive design while mentoring others on best practices
* Partner with backend engineers to design and evolve our platform capabilities
* Provide technical leadership across cross\-functional teams, influencing product direction and technical roadmaps while ensuring alignment between user needs, business objectives, and technical excellence
* Champion engineering excellence through comprehensive testing strategies, establishing team standards for unit, integration, and end\-to\-end testing
* Lead by example in code reviews, providing thoughtful feedback that elevates team capabilities and maintains architectural consistency
* Optimize and evolve our CI/CD infrastructure using NX and CircleCI, driving improvements in build times, deployment reliability, and developer experience
**Your Experience**
* Bachelor's Degree or equivalent experience required
* 5\+ years of professional software development experience with significant depth in React and modern SSR frameworks (Remix, NextJS, etc.)
* Expert\-level understanding of GraphQL architecture, including schema design, performance optimization, resolver patterns, and the ability to guide architectural decisions around API design
* Proven track record of delivering accessible, performant, and scalable frontend solutions, with demonstrated ability to balance technical excellence with business needs
* Strong leadership and communication skills with experience influencing technical decisions across multiple teams and stakeholder groups
* Advanced knowledge of testing strategies and tools (Jest, Vitest, React Testing Library, Playwright/Cypress) with experience establishing testing standards and practices
* Extensive experience designing and optimizing build and deployment pipelines, with a focus on developer productivity and system reliability
* Demonstrated experience building and scaling frontend architectures that support rapid growth, with deep understanding of performance optimization, code splitting, micro\-frontends, and modular design patterns
* Track record of mentoring junior and mid\-level engineers, helping them grow their technical skills and career development
**TOTAL REWARDS**
 At Bestow, we’re proud to be awarded for our team members, innovative products, and culture. Our standard benefits include:
* Competitive salary and equity based on role
* Policies and managers that support work/life balance, like our flexible paid time off and parental leave programs
* 100% paid\-premium option for medical, dental, and vision insurance
* Lifestyle stipend to support your physical, emotional, and financial wellbeing
* Flexible work\-from\-home policy and open to remote
* Remote and WFH options, as well as a beautiful, state\-of\-the\-art office in Dallas’ Deep Ellum, for those who prefer an office setting
* Employee\-led diversity, equity, and inclusion initiatives
**Recent Employer Awards Include**
* Best Place for Working Parents 2023 \+ 2024 \+ 2025
* Great Place to Work Certified, 2022 \+ 2023 \+ 2024 \+ 2025
* Built In Best Places to Work, 2022 \+ 2023 \+ 2025
* Fortune’s Best Workplaces in Texas 2022 \+ 2023
* Fortune’s Best Workplaces in Financial Services and Insurance 2022 \+ 2023 \+ 2024
 We value diversity at Bestow. The company will hire, recruit, and promote regardless of race, color, religion, sex, sexual orientation, gender identity or expression, national origin, pregnancy or maternity, veteran status, or any other status protected by applicable law. We understand the importance of creating a safe and comfortable work environment and encourage individualism and authenticity in every team member.
 Thanks for considering a job at Bestow!</t>
        </is>
      </c>
    </row>
    <row r="59">
      <c r="A59" t="inlineStr">
        <is>
          <t>li-4365578461</t>
        </is>
      </c>
      <c r="B59" t="inlineStr">
        <is>
          <t>Software Engineer III, AI/ML, AI and Infrastructure</t>
        </is>
      </c>
      <c r="C59" t="inlineStr">
        <is>
          <t>Google</t>
        </is>
      </c>
      <c r="D59" t="inlineStr">
        <is>
          <t>linkedin</t>
        </is>
      </c>
      <c r="E59" t="inlineStr"/>
      <c r="F59" t="inlineStr"/>
      <c r="G59" t="inlineStr">
        <is>
          <t>Sunnyvale, CA</t>
        </is>
      </c>
      <c r="H59" t="inlineStr"/>
      <c r="I59"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Seattle, WA, USA** 
 .
 **Minimum qualifications:**
* Bachelor’s degree or equivalent practical experience.
* 2 years of experience programming in Python or C\+\+.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**Preferred qualifications:**
* Master's degree or PhD in Computer Science or related technical fields.
* 2 years of experience with data structures or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0">
      <c r="A60" t="inlineStr">
        <is>
          <t>li-4337627983</t>
        </is>
      </c>
      <c r="B60" t="inlineStr">
        <is>
          <t>3.81 Software Engineer: Developer Tools</t>
        </is>
      </c>
      <c r="C60" t="inlineStr">
        <is>
          <t>FieldAI</t>
        </is>
      </c>
      <c r="D60" t="inlineStr">
        <is>
          <t>linkedin</t>
        </is>
      </c>
      <c r="E60" t="inlineStr"/>
      <c r="F60" t="inlineStr"/>
      <c r="G60" t="inlineStr">
        <is>
          <t>Irvine, CA</t>
        </is>
      </c>
      <c r="H60" t="inlineStr"/>
      <c r="I60" t="inlineStr">
        <is>
          <t>Field AI is transforming how robots interact with the real world. We are building risk\-aware, reliable, and field\-ready AI systems that address the most complex challenges in robotics, unlocking the full potential of embodied intelligence. We go beyond typical data\-driven approaches or pure transformer\-based architectures, and are charting a new course, with already\-globally\-deployed solutions delivering real\-world results and rapidly improving models through real\-field applications.
 We are seeking a skilled and motivated 
**Software Engineer \- Developer Tools
  to join our engineering team. In this role, you will be responsible for designing, building, and maintaining development setups and tools. You will work closely with developers, DevOps, and infrastructure teams to ensure the efficiency and quality of our software development. This is an exciting opportunity to join a fast\-growing company and support the success of enterprise clients in a dynamic environment.
**What You Will Get To Do** 
* Develop and maintain containerized development setups
* Develop and maintain automated code quality and code style checks
* Develop and maintain internal CLI tools
* Maintain monorepo build system, file structure, and documentation
* Work with a diverse group of developers from various disciplines, such as robotics, web, data pipeline, and machine learning, to support their development needs
**What You Have** 
* Bachelor’s degree in Computer Science, Engineering, or a related field (or equivalent work experience)
* 3\-7 years of experience in software engineering roles
* Strong programming/scripting skills in languages such as Python or similar
* Hands on experience with Docker or other containerization technologies
* Solid understanding of Linux operating system
* Excellent problem\-solving skills and the ability to work collaboratively in a team environment
**What Will Set You Apart** 
* Experience with Build systems such as Bazel and Nx
* Familiarity with robotics systems to support robotic applications (e.g., ROS, real\-time systems, sensor integration)
* Hands\-on experience in CI/CD and GitHub Actions.
**Compensation and Benefits**
 Our salary range is between ($70,000 \- $300,000 annual), but we take into consideration an individual's background and experience in determining final salary; base pay offered may vary considerably depending on geographic location, job\-related knowledge, skills, and experience.  Also, while we enjoy being together on\-site, we are open to exploring a hybrid or remote option.
**Why Join Field AI?**
 We are solving one of the world’s most complex challenges: deploying robots in unstructured, previously unknown environments. Our Field Foundational Models™ set a new standard in perception, planning, localization, and manipulation, ensuring our approach is explainable and safe for deployment.
 You will have the opportunity to work with a world\-class team that thrives on creativity, resilience, and bold thinking. With
 a decade\-long track record of deploying solutions in the field
 , winning DARPA challenge segments, and bringing expertise from organizations like DeepMind, NASA JPL, Boston Dynamics, NVIDIA, Amazon, Tesla Autopilot, Cruise Self\-Driving, Zoox, Toyota Research Institute, and SpaceX, we are set to achieve our ambitious goals.
**Be Part of the Next Robotics Revolution** 
 To tackle such ambitious challenges, we need a team as unique as our vision — innovators who go beyond conventional methods and are eager to tackle tough, uncharted questions. We’re seeking individuals who challenge the status quo, dive into uncharted territory, and bring interdisciplinary expertise. Our team requires not only top AI talent but also exceptional software developers, engineers, product designers, field deployment experts, and communicators.
 We are headquartered in always\-sunny Irvine, Southern California and have US based and global teammates. 
 Join us, shape the future, and be part of a fun, close\-knit team on an exciting journey!
 We celebrate diversity and are committed to creating an inclusive environment for all employees. Candidates and employees are always evaluated based on merit, qualifications, and performance. We will never discriminate on the basis of race, color, gender, national origin, ethnicity, veteran status, disability status, age, sexual orientation, gender identity, marital status, mental or physical disability, or any other legally protected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1">
      <c r="A61" t="inlineStr">
        <is>
          <t>li-4320074598</t>
        </is>
      </c>
      <c r="B61" t="inlineStr">
        <is>
          <t>Senior Backend Engineer (Python)</t>
        </is>
      </c>
      <c r="C61" t="inlineStr">
        <is>
          <t>ŌURA</t>
        </is>
      </c>
      <c r="D61" t="inlineStr">
        <is>
          <t>linkedin</t>
        </is>
      </c>
      <c r="E61" t="inlineStr"/>
      <c r="F61" t="inlineStr"/>
      <c r="G61" t="inlineStr"/>
      <c r="H61" t="inlineStr"/>
      <c r="I61" t="inlineStr">
        <is>
          <t>Our mission at Oura is to empower every person to own their inner potential. Our award\-winning products help our global community gain a deeper knowledge of their readiness, activity, and sleep quality by using their Oura Ring and its connected app. We've helped millions of people understand and improve their health by providing daily insights and practical steps to inspire healthy lifestyles.
 Empowering the world starts with living our values and empowering our team. As a quickly growing company focused on helping people live healthier and happier lives, we ensure that our team members have what they need to do their best work — both in and out of the office.
 Our engineering organization consists of many talented developers distributed across the EU and US. For day\-to\-day feature work, our engineers are organized into smaller cross\-functional feature squads or teams. Our squads have a great deal of autonomy and are responsible for the development and architecture of their features. Squads take full ownership of their code and handle everything from concepting, design and implementation to release, maintenance and bug fixes.
 This is a remote US role with a preference for candidates based in the US\-Pacific timezone. We have offices in San Francisco and San Diego for those who prefer hybrid or office settings. We also have employee hubs in New York City, Boston, Los Angeles, Seattle, and more.
 We are seeking a highly motivated Senior Backend Engineer to join one of our growing teams. There are several roles available covering different feature areas, from enabling new hardware capabilities and interaction modes to building multimodal data labeling and model training pipelines to drive personalized guidance. This is an opportunity to be part of teams that are at the forefront of wearable technology, innovating and defining the future of Oura’s products.
**What You Will Do**
* Own high quality solutions from design to production, including testing, monitoring, and documentation, while helping shape best practices across the engineering lifecycle
* Proactively tackle ambiguous problems, reducing their complexity into clear, simple, and actionable solutions with stakeholder alignment
* Ensure all solutions meet the latest security, privacy, and regulatory standards
* Drive architectural improvements to scale the platform, evolve our infrastructure, and support new product capabilities.
* Collaborate effectively in a globally distributed, diverse, and cross\-functional team, adapting as Oura evolves and new opportunities emerge.
**Requirements**
 We would love to have you on our team if you:
* Minimum 5\+ years of practical backend development work experience with Python
* Have architected, built, and deployed scalable, performant, and highly available web services in production on AWS or similar platforms, and can apply architectural patterns and best practices to new and existing products
* Write code that is highly maintainable, extensible, well\-tested, and easy\-to\-understand
* Have an affinity for automating busywork and diving into the details to fix problems at the root
* Have a pragmatic entrepreneurial attitude and delivery\-focused mindset: you understand tradeoffs between short\-term goals and long\-term tech debt and focus on delivering what’s most important
* Solid computer science fundamentals and design patterns
**Nice To Haves**
* Experience with Python web server frameworks, such as FastAPI
* Experience working within a regulated environment
* Experience with one or more of the following: PCI DSS compliance, data labeling and curation workflows for multimodal or unstructured datasets, dataset generation for model training, cross\-functional collaboration with Science and Research teams to define data schemas and label taxonomies, and development of E2E ML training pipelines
* Experience supporting internal and external security and regulatory audits
* Experience in deploying infrastructure to different environments
* Experience in building efficient, scalable database schemas and/or query optimization
* Experience working asynchronously across time zones
**Benefits**
 At Oura, we care about you and your well\-being. Everyone here at Oura has a ring of their own and we are continually looking to improve employee health.
**What We Offer**
* Competitive salary and equity packages
* Health, dental, vision insurance, and mental health resources
* An Oura Ring of your own plus employee discounts for friends \&amp; family
* 20 days of paid time off plus 13 paid holidays plus 8 days of flexible wellness time off
* Paid sick leave and parental leave
 Oura takes a market\-based approach to pay, which may vary depending on your location. US locations are categorized into tiers based on a cost of labor index for that geographic area. While most offers will be closer to the starting range, successful candidates' pay will be determined based on job\-related skills, experience, qualifications, work location, internal peer equity, and market conditions. These ranges may be modified in the future.
* Region 1 $162,000\- $203,000
* Region 2 $150,000\- $187,000
* Region 3 $139,000\- $174,000
 A recruiter can determine your zones/tiers based on your US location.
 We are not considering candidates residing in the following states: Alaska (AK), Delaware (DE), Iowa (IA), Mississippi (MS), Missouri (MO), Nebraska (NE), South Dakota (SD), Vermont (VT), West Virginia (WV), and Wisconsin (WI)
 Oura is proud to be an equal opportunity workplace. We celebrate diversity and are committed to creating an inclusive environment for all employees. Individuals seeking employment at Oura are considered without regard to age, ancestry, color, gender (including pregnancy, childbirth, or related medical conditions), gender identity or expression, genetic information, marital status, medical condition, mental or physical disability, national origin, protected family care or medical leave status, race, religion (including beliefs and practices or the absence thereof), sexual orientation, military or veteran status, or any other characteristic protected by federal, state, or local laws. We will not tolerate discrimination or harassment based on any of these characteristics.
 We will work to ensure individuals with disabilities are provided reasonable accommodation to participate in the interview process, to perform essential job functions, and to receive other benefits and privileges of employment.
 Disclaimer: Beware of fake job offers!
 We’ve been alerted to scammers posing as ŌURA recruiters, especially for remote roles. Please note:
* Our jobs are listed only on the ŌURA Careers page and trusted job boards.
* We will never ask for personal information like ID or payment for equipment upfront.
* Official offers are sent through Docusign after a verbal offer, not via text or email.
 Stay cautious and protect your personal details.
 To all recruitment agencies: Oura does not accept agency resumes. Please do not forward resumes to our jobs alias, Oura employees, or any other organization's location. Oura is not responsible for any fees related to unsolicited resumes.</t>
        </is>
      </c>
    </row>
    <row r="62">
      <c r="A62" t="inlineStr">
        <is>
          <t>li-4365570979</t>
        </is>
      </c>
      <c r="B62" t="inlineStr">
        <is>
          <t>Senior Software Engineer, Mobile, Android</t>
        </is>
      </c>
      <c r="C62" t="inlineStr">
        <is>
          <t>Google</t>
        </is>
      </c>
      <c r="D62" t="inlineStr">
        <is>
          <t>linkedin</t>
        </is>
      </c>
      <c r="E62" t="inlineStr"/>
      <c r="F62" t="inlineStr"/>
      <c r="G62" t="inlineStr">
        <is>
          <t>Mountain View, CA</t>
        </is>
      </c>
      <c r="H62" t="inlineStr"/>
      <c r="I6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**Mountain View, CA, USA; Kirkland, WA, USA** 
 .
 **Minimum qualifications:**
* Bachelor’s degree or equivalent practical experience.
* 5 years of experience programming in Java or Kotlin.
* 3 years of experience testing, maintaining, or launching software products, and 1 year of experience with software design and architecture.
* 3 years of experience with Android application development.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Android is Google’s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3">
      <c r="A63" t="inlineStr">
        <is>
          <t>li-4381512625</t>
        </is>
      </c>
      <c r="B63" t="inlineStr">
        <is>
          <t>Senior Fullstack Engineer</t>
        </is>
      </c>
      <c r="C63" t="inlineStr">
        <is>
          <t>PrePass</t>
        </is>
      </c>
      <c r="D63" t="inlineStr">
        <is>
          <t>linkedin</t>
        </is>
      </c>
      <c r="E63" t="inlineStr"/>
      <c r="F63" t="inlineStr"/>
      <c r="G63" t="inlineStr">
        <is>
          <t>Phoenix, AZ</t>
        </is>
      </c>
      <c r="H63" t="inlineStr"/>
      <c r="I63" t="inlineStr">
        <is>
          <t>**About PrePass**
 PrePass® is North America's most trusted weigh station bypass and toll management platform. We're transforming how the transportation industry operates—creating solutions that keep trucks moving safely, efficiently, and compliantly. This means making bold decisions and building systems that support not only fleets but the broader economy. It all starts with enabling commercial vehicles to keep rolling with seamless toll management, weigh station bypass, and safety solutions. It's what we do best, and we do it to meet the demands of the road every day.
 That's why people join us: our solutions are implemented in real\-time, on highways and interstates across the nation, helping fleets go farther, faster. This work challenges and rewards, presenting complex problems that need ambitious answers. We hire bold thinkers with a heart for impact, a passion for progress, and the optimism to shape the future of transportation.
**About The Role**
 We're looking for a
 **Senior Fullstack Engineer** 
 to architect and build systems that power real\-time weigh station bypassing, tolling solutions, and safety alerts. In this role, you'll work across the stack—from scalable .NET Core APIs to modern web frontends using React, TypeScript, and TailwindCSS. You'll collaborate closely with product, design, and engineering teams, and mentor others while shaping technical strategy.
**Essential Responsibilities**
**Backend Engineering \&amp; API Development**
* Lead the design and development of scalable, reliable backend services using .NET Core and C\#
* Build APIs following RESTful principles, including pagination, versioning, authentication, and performance optimization
* Ensure backend code quality through testing frameworks like xUnit or NUnit
* Deploy and manage services on cloud platforms (Azure/AWS) using containers (Docker/Kubernetes)
**Frontend Development**
* Architect and implement responsive, maintainable frontends with React, TypeScript, TailwindCSS, and MobX
* Ensure UI consistency and performance across browsers and devices
* Collaborate with design teams to deliver intuitive user experiences
**Architecture \&amp; Technical Strategy**
* Contribute to long\-term technical strategy and architectural decisions
* Design systems end\-to\-end, balancing trade\-offs and scalability
* Drive improvements in system performance, resilience, and observability
**Team Leadership \&amp; Mentorship**
* Mentor junior and mid\-level engineers, fostering technical growth across the team
* Lead code reviews and promote engineering best practices
* Collaborate cross\-functionally to shape technical solutions
**Requirements**
****Required****
* 7\+ years of professional software engineering experience, including significant fullstack development
* Expert\-level skills with .NET Core and C\#, including API development and optimization
* Hands\-on experience with React, TypeScript, TailwindCSS, and MobX (or similar state management)
* Deep understanding of relational databases (SQL Server, PostgreSQL, etc.) and data modeling
* Strong testing discipline across backend systems
* Experience deploying to cloud platforms and working with containers
* Familiarity with observability tools (metrics, logging, tracing)
* Proven track record of mentoring engineers and raising engineering standards
****Bonus Points For****
* Experience with domain\-driven design (DDD), clean architecture, or microservices
* Knowledge of GraphQL or advanced REST patterns
* Experience with nonrelational databases (Cosmos DB, MongoDB, DynamoDB)
* Hands\-on experience with serverless functions, API gateways, CI/CD pipelines, and event\-driven messaging (e.g., Service Bus, Event Hubs)
* Experience building distributed systems using NServiceBus or MassTransit
****Desired Characteristics****
* Strategic thinker with a proactive, problem\-solving mindset
* Comfortable navigating ambiguity and change
* High degree of initiative, ownership, and accountability
* Strong communication skills and ability to collaborate across teams
* Passion for building impactful technology that improves real\-world outcomes
**Benefits**
****How We Will Take Care of You****
* Robust benefit package that includes medical, dental, and vision that start on date of hire
* Paid Time Off, to include vacation, sick, holidays, and floating holidays
* 401(k) plan with employer match
* Company\-funded "lifestyle account" upon date of hire for you to apply toward your physical and mental well\-being (i.e., ski passes, retreats, gym memberships)
* Tuition Reimbursement Program
* Voluntary benefits, to include but not limited to Legal and Pet Discounts
* Employee Assistance Program (available at no cost to you)
* Company\-sponsored and funded "Culture Team" that focuses on the Physical, Mental, and Professional well\-being of employees
* Community Give\-Back initiatives
* Culture that focuses on employee development initiatives
**Join Us**
**At PrePass, our mission drives us.**
 We invest in relationships. We challenge ourselves to innovate and improve. We win together. Simply put, we live our Core Values.
**Ready to help move the transportation industry forward? Join us and let's drive progress—together.**</t>
        </is>
      </c>
    </row>
    <row r="64">
      <c r="A64" t="inlineStr">
        <is>
          <t>li-4365629708</t>
        </is>
      </c>
      <c r="B64" t="inlineStr">
        <is>
          <t>Senior Software Engineer - Ads Measurement</t>
        </is>
      </c>
      <c r="C64" t="inlineStr">
        <is>
          <t>Moloco</t>
        </is>
      </c>
      <c r="D64" t="inlineStr">
        <is>
          <t>linkedin</t>
        </is>
      </c>
      <c r="E64" t="inlineStr"/>
      <c r="F64" t="inlineStr"/>
      <c r="G64" t="inlineStr">
        <is>
          <t>Seattle, WA</t>
        </is>
      </c>
      <c r="H64" t="inlineStr"/>
      <c r="I64" t="inlineStr">
        <is>
          <t>**About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enables retailers and marketplaces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**About the Role** 
 :
* The Ads Platform, Measurement Team builds and operates systems that measure, validate, and report on the effectiveness of advertising campaigns across Moloco’s platform. As a Senior Software Engineer, you will design, build, and scale highly reliable, observable, and low\-latency data pipelines that power attribution, reporting, and third\-party measurement integrations. You’ll work at the intersection of backend infrastructure, real\-time data processing, and measurement offering, partnering closely with Partner Engineering, Data Science, and Product teams to ensure signal accuracy, data integrity, and trust at massive scale. Your work will directly impact advertiser confidence, model performance, and Moloco’s ability to deliver measurable business outcomes.
**Responsibilities:**
* Develop high\-throughput, low\-latency real\-time and batch data processing systems, optimizing performance at scale.
* Implement, maintain, and support third\-party measurement and attribution integrations, including MMPs.
* Design, build, and operate reliable, observable measurement pipelines that ensure data accuracy and completeness.
* Optimize and scale production data infrastructure using Kubernetes, Airflow, and BigQuery, applying infrastructure\-as\-code, CI/CD, and cost\-efficient reliability best practices.
* Collaborate closely with Machine Learning, Data Science, and Engineering teams to deliver high\-quality measurement signals, support model training, and mentor engineers across the organization.
**Qualifications:**
* Bachelor’s or Master’s degree in Computer Science, or equivalent technical field.
* 5\+ years of backend\-infrastructure software development industry experience.
* Proficiency in one or more backend languages: Go (preferred), Python or Java.
* Experience building data pipelines and optimizing real\-time or near real\-time stream processing systems with low latency and high throughput.
* Strong understanding of real\-time, multi\-threaded, parallel processing and distributed systems.
* Operate and scale containerized services and data platforms using tools like Kubernetes, Airflow, and BigQuery.
**Preferred Qualifications:**
* Experience in ad tech or with measurement systems, including MMPs, SKAN, and attribution platforms.
* Experience integrating with third\-party APIs at scale.
* Experience implementing comprehensive monitoring and observability using modern monitoring tools (e.g., Datadog, Prometheus).
* Experience designing and maintaining resilient data pipelines optimized for large\-scale event data.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$184,000—$230,000 USD
**Moloco Thrive: Benefits and Well\-Being:**
 We take care of you and create the conditions for you to do the best work of your career. Through a lens of inclusion,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
**Candidate Privacy Notice:**
 Your privacy matters to us. By applying, you acknowledge that you’ve reviewed our Candidate Privacy Notice.</t>
        </is>
      </c>
    </row>
    <row r="65">
      <c r="A65" t="inlineStr">
        <is>
          <t>li-4323820456</t>
        </is>
      </c>
      <c r="B65" t="inlineStr">
        <is>
          <t>Senior Software Engineer, AI Product</t>
        </is>
      </c>
      <c r="C65" t="inlineStr">
        <is>
          <t>Vanta</t>
        </is>
      </c>
      <c r="D65" t="inlineStr">
        <is>
          <t>linkedin</t>
        </is>
      </c>
      <c r="E65" t="inlineStr"/>
      <c r="F65" t="inlineStr"/>
      <c r="G65" t="inlineStr"/>
      <c r="H65" t="inlineStr"/>
      <c r="I65" t="inlineStr">
        <is>
          <t>At Vanta, our mission is to help businesses earn and prove trust. We believe that security should be monitored and verified continuously, and we empower companies to practice better security and prove it with ease. Vanta has a kind and talented team, and while some have prior security experience, many have been successful at Vanta without it.
 As a Senior Applied AI Engineer at Vanta, you will play a crucial role in shaping Vanta’s AI offerings, setting technical strategy, and leading projects that leverage AI to deliver smarter, faster outcomes for our customers. You'll be part of a team integrating AI into the Vanta product, working alongside a multidisciplinary group of product engineers, machine learning engineers, product managers, designers, and security and compliance experts to implement, scale, and maintain AI\-enabled product experiences. In this role, you’ll build products that enable Vanta’s customers to leverage AI to accelerate their journey towards compliance, managing risk, and earning trust.
*Visit our* 
*Vanta Engineering Blog* 
*to learn more about what our team is working on!*
**What you’ll do as an engineer working on Applied AI at Vanta:**
* Work cross\-functionally to design and implement AI\-powered features to deliver customer value and integrate LLMs with Vanta’s existing products and systems. You’ll work with other product engineers across Vanta to understand how AI systems can accelerate product adoption at Vanta
* Instrument evaluations, guardrails, and monitoring, and review customer usage to continually improve quality
* Collaborate with AI Platform engineers shaping foundational AI systems and tooling that accelerate product teams
* Make pragmatic tradeoffs that consider business priorities, user experience, and a sustainable technical foundation
* Mentor engineers, champion good technical and product instincts, and model a collaborative, high\-ownership engineering culture
**How to be successful in this role:**
* At least 7 years of industry experience as a software engineer
* You’ve shipped LLM\-backed products and have experience with prompting, RAG, and/or agent frameworks
* You have experience designing, building, and scaling full\-stack applications, including backend systems, APIs, and frontend interfaces. You have familiarity with TypeScript, React, and Node.js, or a willingness to learn!
* You have experience improving AI systems, creating eval sets, and driving quality hill\-climbing
* You have experience mentoring other engineers and collaborating with product and design
* You have worked at rapidly scaling startups and large companies, especially with environments that prioritize a bias for action
* You are action\-driven, willing to roll up your sleeves and engage directly with users. You aren’t afraid to put on your product hat. While you bring strong opinions, you prioritize building a platform that meets users where they are
**What you can expect as a Vanta'n:**
* Industry\-competitive salary and equity
* Comprehensive medical, dental, and vision coverage, with 100% of employee\-only benefit premiums covered for most medical plans
* 16 weeks fully\-paid Parental Leave for all new parents
* Health \&amp; wellness stipend
* Remote workspace, internet, and cellphone stipend
* Commuter benefits for team members who report to the SF and NYC office
* Family planning benefits
* Matching 401(k) contribution with immediate vesting
* Flexible PTO policy, plus 80 hours of Sick Time
* 11 company\-paid holidays
* Virtual team building activities, lunch and learns, and other company\-wide events!
* Offices in SF, NYC, London, Dublin, Tel Aviv, and Sydney
 To provide greater transparency to candidates, we share base pay ranges for all US\-based job postings regardless of state. We set standard base pay ranges for all roles based on function, level, and country location, benchmarked against similar\-stage growth companies. Final offer amounts are determined by multiple factors and may vary based on candidate location, skills, depth of work experience, and relevant licenses/credentials.
*At Vanta, we are committed to hiring diverse talent of different backgrounds and as such, it is important to us to provide an inclusive work environment for all. We do not discriminate on the basis of race, gender identity, age, religion, sexual orientation, veteran or disability status, or any other protected class. As an equal opportunity employer, we encourage and welcome people of all backgrounds to apply.*
**About Vanta**
 We started in 2018, in the wake of several high\-profile data breaches. Online security was only becoming more important, but we knew firsthand how hard it could be for fast\-growing companies to invest the time and manpower it takes to build a solid security foundation. Vanta was inspired by a vision to restore trust in internet businesses by enabling companies to improve and prove their security. From our early days automating security monitoring for compliance standards like SOC 2, HIPAA and ISO 27001 to creating the world's leading Trust Management Platform, our vision remains unchanged.
 Now more than ever, making security continuous—not just a point\-in\-time check— is essential. Thousands of companies rely on Vanta to build, maintain and demonstrate their trust— all in a way that's real\-time and transparent.</t>
        </is>
      </c>
    </row>
    <row r="66">
      <c r="A66" t="inlineStr">
        <is>
          <t>li-4347035792</t>
        </is>
      </c>
      <c r="B66" t="inlineStr">
        <is>
          <t>Senior Software Engineer - Machine Learning</t>
        </is>
      </c>
      <c r="C66" t="inlineStr">
        <is>
          <t>Celonis</t>
        </is>
      </c>
      <c r="D66" t="inlineStr">
        <is>
          <t>linkedin</t>
        </is>
      </c>
      <c r="E66" t="inlineStr"/>
      <c r="F66" t="inlineStr"/>
      <c r="G66" t="inlineStr"/>
      <c r="H66" t="inlineStr"/>
      <c r="I66" t="inlineStr">
        <is>
          <t>We're Celonis, the global leader in Process Intelligence technology and one of the world's fastest\-growing SaaS firms. We believe there is a massive opportunity to unlock productivity by placing AI, data and intelligence at the core of business processes \- and for that, we need your help. Care to join us?
**The Team**
 Celonis AI Group (CeloAI) is an organization within Celonis that is dedicated to developing state\-of\-the\-art AI/ML (and broadly intelligent) technologies for Celonis products (e.g., the Execution Management System / EMS) and empower enterprises and institutions to make intelligent business decisions and achieve operational excellence. Our dual mission focuses on both the immediate term goals of designing and implementing advanced AI/ML product features and solutions for our customers and the long term goals of establishing competitive advantages of Celonis for execution management.
**The Role**
 As a software engineer (machine learning), you are responsible for designing and developing product features and customer solutions, along with the underlying infrastructure, that are based on AI/ML approaches. You may interact closely with solution engineers, customer value architects, and execution management consultants within the Go\-to\-Market organization and product managers and software engineers within the product and engineering organization to build scalable and high quality AI/ML features and solutions for our customers.
 You may also be responsible for designing and implementing new foundational technical components that will power the next generation of EMS and elevate the impact Celonis has on our customers. These components may span the areas of computer vision, natural language processing, data mining, recommendation, knowledge base, business intelligence, and other AI technologies.
**The work you’ll do**
* Deeply understand the business needs of Celonis customers, formulate the business needs into concrete technical problems, often AI related
* Determine which AI/ML approach, if any, is suited for the problem
* Design and develop scalable and high quality AI/ML models or otherwise intelligent approaches
* Design and implement scalable and robust data collection mechanisms
* Design and implement principled evaluation mechanisms
* Design and build robust and low latency infrastructure to serve the AI/ML models and meet the demands of Celonis customers
* Design and develop intelligent techniques to understand, represent, and integrate enterprise operational data (e.g., processes)
* Design and build APIs and infrastructure to serve such data at scale and with low latency
* Design and implement intelligent ways to ensure freshness and accuracy of such data across thousands of enterprise customers.
**The Qualifications You Need**
* Bachelor’s degree, Master’s degree, or equivalent practical experience ((in Computer Science or related fields) with 3\-5\+ years of experience
* PhD degree (in Computer Science or related fields) with 1\-3\+ years of experience
* Strong communication and collaboration skills
* Identify with the Celonis value of customer first, passionate about solving real world customer problems with a focus on finding the right solution regardless of the nature of the solution
* Passionate about developing scalable and efficient AI/ML solutions
* Passionate about building high quality AI/ML solutions with clear and repeatable evaluation mechanisms
 The base salary range below is for the role in the specified location, based on a Full Time Schedule.
 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
 The base salary range below is for the role in California, based on a Full Time Schedule.
 $176,000—$238,000 USD
**What Celonis Can Offer You:**
* Pioneer Innovation: Work with the leading, award\-winning process mining technology, shaping the future of business.
* Accelerate Your Growth: Benefit from clear career paths, internal mobility, a dedicated learning program, and mentorship opportunities.
* Receive Exceptional Benefits: Including generous PTO, hybrid working options, company equity (RSUs), comprehensive benefits, extensive parental leave, dedicated volunteer days, and much more. Interns and working students explore your benefits here.
* Prioritize Your Well\-being: Access to resources such as gym subsidies, counseling, and well\-being programs.
* Connect and Belong: Find community and support through dedicated inclusion and belonging programs.
* Make Meaningful Impact: Be part of a company driven by strong values that guide everything we do: Live for Customer Value, The Best Team Wins, We Own It, and Earth Is Our Future.
* Collaborate Globally: Join a dynamic, international team of talented individuals.
* Empowered Environment: Contribute your ideas in an open culture with autonomous teams.
**About Us:**
 Celonis makes processes work for people, companies and the planet. The Celonis Process Intelligence Platform uses industry\-leading process mining and AI technology and augments it with business context to give customers a living digital twin of their business operation. It’s system\-agnostic and without bias, and provides everyone with a common language for understanding and improving businesses. Celonis enables its customers to continuously realize significant value across the top, bottom, and green line. Celonis is headquartered in Munich, Germany, and New York City, USA, with more than 20 offices worldwide.
 Get familiar with the Celonis Process Intelligence Platform by watching this video.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Please be aware of common job offer scams, impersonators and frauds. Learn more here.</t>
        </is>
      </c>
    </row>
    <row r="67">
      <c r="A67" t="inlineStr">
        <is>
          <t>li-4382672117</t>
        </is>
      </c>
      <c r="B67" t="inlineStr">
        <is>
          <t>Backend Software Engineer (Django, SQL)</t>
        </is>
      </c>
      <c r="C67" t="inlineStr">
        <is>
          <t>Wiraa</t>
        </is>
      </c>
      <c r="D67" t="inlineStr">
        <is>
          <t>linkedin</t>
        </is>
      </c>
      <c r="E67" t="inlineStr"/>
      <c r="F67" t="inlineStr"/>
      <c r="G67" t="inlineStr"/>
      <c r="H67" t="inlineStr"/>
      <c r="I67" t="inlineStr">
        <is>
          <t>**About The Company**
 SchooLinks is a venture\-backed educational technology company dedicated to transforming the way students explore and achieve their post\-high school aspirations. Our innovative platform offers a comprehensive suite of over 80 tools designed to assist students and educational institutions in areas such as college application management, course planning, financial aid assessment, personality assessments, and college profiles. Since inception, SchooLinks has established itself as a leader in ed\-tech, delivering solutions that foster student success and streamline educational processes. Our commitment to continuous innovation and user\-centric design has enabled us to support thousands of students and educators nationwide, positioning us for hyper\-growth in the education technology sector.
**About The Role**
 We are seeking a highly experienced Django back\-end engineer to join our dynamic team. In this role, you will be responsible for developing high\-quality, scalable backend solutions that support our suite of educational tools. You will play a critical role in designing and implementing robust architectural decisions, writing clean and maintainable code, and contributing to the ongoing improvement of our codebase through testing and technical debt management. As a key member of our engineering team, you will collaborate closely with product managers, designers, and other engineers to deliver features that impact millions of users. This position requires deep expertise in Django and Django Rest Framework (DRF), with a focus on building scalable, reliable, and efficient backend systems. The role is remote but limited to candidates based in the United States, specifically within the Central or Eastern Time zones, as we are unable to sponsor H1\-B visas.
**Qualifications**
* 5\+ years of professional experience with Django and Django Rest Framework
* 3\+ years of experience working with AWS cloud services
* 3\+ years of experience managing SQL databases in a production environment
* Proven experience in building, supporting, and planning scalable production systems
* Experience with asynchronous task management tools such as Celery and Redis
* Strong understanding of RESTful API design and implementation
* Experience with version control systems, preferably Git
* Excellent problem\-solving skills and attention to detail
* Ability to work collaboratively in a fast\-paced, agile environment
* Strong communication skills and ability to review requirements and provide meaningful feedback
**Responsibilities**
* Develop, test, and maintain high\-quality backend code using Django and DRF
* Design scalable and efficient architecture solutions to support millions of users
* Write comprehensive tests to ensure code quality and reliability
* Identify and address technical debt proactively to improve system performance and maintainability
* Participate in all stages of the product development lifecycle, from requirements review to deployment
* Collaborate with cross\-functional teams including product managers, designers, and other engineers
* Contribute to on\-call rotations to support production systems and ensure high availability
* Engage in code reviews and provide mentorship to junior team members where applicable
* Assist in planning and supporting cloud infrastructure and deployment pipelines on AWS
**Benefits**
* 100% healthcare coverage for employees
* 401(k) retirement plan with 2% company match
* Dental and vision insurance
* Parental leave policies supporting work\-life balance
* Subsidized gym membership to promote health and wellness
* Remote work stipend to support home office setup
* Annual team offsite events to foster team bonding and collaboration
* Competitive salary range of $100,000 \- $140,000 USD, commensurate with experience and skills
 Equal Opportunity
 SchooLinks is an equal opportunity employer committed to fostering an inclusive and diverse workplace. We prohibit discrimination and harassment of any kind based on race, color, religion, sex, sexual orientation, gender identity, national origin, disability, genetic information, pregnancy, or any other protected characteristic under federal, state, or local laws. We believe that diverse teams drive innovation and success, and we welcome applicants from all backgrounds to join our mission to transform education through technology.</t>
        </is>
      </c>
    </row>
    <row r="68">
      <c r="A68" t="inlineStr">
        <is>
          <t>li-4365618661</t>
        </is>
      </c>
      <c r="B68" t="inlineStr">
        <is>
          <t>Backend Engineer / AI Platform / Early-Stage Startup</t>
        </is>
      </c>
      <c r="C68" t="inlineStr">
        <is>
          <t>Motion Recruitment</t>
        </is>
      </c>
      <c r="D68" t="inlineStr">
        <is>
          <t>linkedin</t>
        </is>
      </c>
      <c r="E68" t="inlineStr"/>
      <c r="F68" t="inlineStr"/>
      <c r="G68" t="inlineStr">
        <is>
          <t>Los Angeles, CA</t>
        </is>
      </c>
      <c r="H68" t="inlineStr"/>
      <c r="I68" t="inlineStr">
        <is>
          <t>**Job Description**
 A cutting\-edge organization is seeking a Backend Engineer for a full\-time, in\-person role located in Santa Monica, CA. The team is focused on building advanced AI\-powered platforms to transform workflows for legal professionals, with a deep emphasis on real\-time systems and innovative technology.
 This high\-impact opportunity is perfect for engineers who want meaningful product ownership and the chance to shape foundational AI infrastructure from early stages. You'll be surrounded by like\-minded builders who thrive on autonomy, learn\-on\-the\-job mentality, and tackling complex problems with modern tools. The environment is fast\-paced, offering substantial growth, collaboration, and visibility as part of a small, dynamic team.
**Required Skills \&amp; Experience**
* 2\+ years of professional software design experience
* Programming expertise in Rust, Go, C\+\+, or Python
* Background with AI/ML model training, deployment, and RAG\-based systems
* Hands\-on work across APIs, infrastructure, and real\-time systems
* Strong GitHub/open\-source code portfolio with recent activity
* Startup mentality and adaptability to varied tasks
* Ability to work full\-time, in\-person in Santa Monica, CA
**Desired Skills \&amp; Experience**
* Experience in AI legal tech, NLP, or similar industries
* Prior startup/hands\-on engineering background
* Excellent communication and technical judgment
**What You Will Be Doing**
**Tech Breakdown**
* 60% Backend Systems \&amp; AI/ML Infrastructure
* 20% Real\-Time API and Platform Integration
* 20% Team Strategy \&amp; Collaboration
**Daily Responsibilities**
* 60% Hands\-On Engineering and Model Deployment
* 20% Technical Ownership \&amp; Architectural Planning
* 20% Team Collaboration \&amp; Culture Building
**The Offer**
* Bonus eligible
* Equity included
**You Will Receive The Following Benefits**
* Medical, Dental, and Vision Insurance
* Vacation Time
 Applicants must be currently authorized to work in the US on a full\-time basis now and in the future.
**Posted By:** 
 Adam Carman</t>
        </is>
      </c>
    </row>
    <row r="69">
      <c r="A69" t="inlineStr">
        <is>
          <t>li-4346938298</t>
        </is>
      </c>
      <c r="B69" t="inlineStr">
        <is>
          <t>Sr. Software Engineer</t>
        </is>
      </c>
      <c r="C69" t="inlineStr">
        <is>
          <t>Avalara</t>
        </is>
      </c>
      <c r="D69" t="inlineStr">
        <is>
          <t>linkedin</t>
        </is>
      </c>
      <c r="E69" t="inlineStr"/>
      <c r="F69" t="inlineStr"/>
      <c r="G69" t="inlineStr">
        <is>
          <t>Durham, NC</t>
        </is>
      </c>
      <c r="H69" t="inlineStr"/>
      <c r="I69" t="inlineStr">
        <is>
          <t>What You'll Do
 Avalara is an AI\-first company. We expect every engineer and manager to use AI to enhance productivity, quality, innovation, and customer value. AI is embedded in our workflows, and products — and success at Avalara requires embracing AI as an essential capability, not an optional tool.
 As a Sr. Software Engineer, you will evaluate, from a reliability standpoint, the material, properties and techniques used in production. You'll report to the Director, Site Reliability Engineering.
 This is a remote opportunity.
**POSITION:** 
 Sr. Software Engineer
**WORK LOCATION:** 
 512 S Mangum Street, Suite 100, Durham, NC 27701 (Telecommuting permitted anywhere within in the U.S.)
**What Your Responsibilities Will Be**
 Evaluate, from a reliability standpoint, the materials, properties and techniques used in production. Advise design engineering on selection, application and test of electronic components and systems. Recommend design or test methods and statistical process control procedures for achieving required levels of product reliability. Determine reliability requirements of components and systems to achieve company, customer and any governmental agency reliability objectives. Develop new acceleration techniques and analytical tools to assure the early identification of potential problems with new products, packaging, processes, and product reliability. Make recommendations for changes in the selection and application of components and systems. May propose changes in design or formulation to improve system and/or process reliability. Streamline Kubernetes operations across multiple cloud providers. Mature the organization's tooling to standardize deploy practices and move towards a globally distributed infrastructure. Tool and education that will help teams migrate from their existing container ecosystem to Kubernetes. Conduct workshops to evangelize and educate about the infrastructure platform. Proactively work with other SRE teams within the org to identify potential integration areas that are a source of friction and eliminate them. Administer Kubernetes related changes across multiple cloud providers. Build tools for the cloud infrastructure platform using Go, Python, or Terraform to automate away things. On\-board feature development teams. Troubleshoot and support the platform. Telecommute permitted from anywhere in the U.S.
 What You’ll Need To Be Successful
**Required Qualifications**
* Bachelor’s degree in Computer Science, Electrical Engineering, or related field
* 5 years of progressive, post\-baccalaureate enterprise level experience in a site reliability engineering\-related occupation, including 5 years of experience in each of the following:
+ Managing Kubernetes operations across multiple cloud providers
+ Building tools for cloud infrastructure platforms with Go, Python, and Terraform;
+ Distributed computing, including architecting, developing, and deploying distributed services across cloud platforms and regions;
+ AWS and Azure;
+ MySQL and PostgreSQL;
+ Experience in a Saas environment; and
+ Writing technical documents.
 All experience may be gained concurrently.
 All qualification claims will undergo rigorous verification to ensure accuracy.
 Avalara is an AI\-first Company
 AI is embedded in our workflows, decision\-making, and products. Success here requires embracing AI as an essential capability.
* You’ll bring experience using AI and AI\-related technologies, ready to thrive here.
* You’ll apply AI every day to business challenges \- improving efficiency, contributing solutions, and driving results for your team, our company, and our customers.
* You’ll grow with AI by staying curious about new trends and best practices, and by sharing what you learn so others can benefit too.
 How We’ll Take Care Of You
**TERMS OF EMPLOYMENT:** 
 40\+ hours per week; $213,173\.78 per year.
 Base pay may be based on various factors, such as geographic location, candidate experience and qualifications, as well as market and business considerations. This role is eligible for an annual bonus based on individual and company performance depending on the terms of the applicable plan and the employee’s role.
 Avalara’s benefits for eligible employees includes company benefits such as medical, dental, and vision coverage, life, AD\&amp;D, and disability insurance, a 401(k) retirement plan, 17 days of paid time off annually, 12 paid holidays, paid parental leave, an employee assistance program, and subsidized transportation options for commuters. All benefits are subject to eligibility requirements and Avalara reserves the right to modify or change these benefits programs at any time, with or without notice, unless otherwise required by law.
 Total Rewards
 In addition to a great compensation package, paid time off, and paid parental leave, many Avalara employees are eligible for bonuses.
 Health \&amp; Wellness
 Benefits vary by location but generally include private medical, life, and disability insurance.
 Inclusive culture and diversity
 Avalara strongly supports diversity, equity, and inclusion, and is committed to integrating them into our business practices and our organizational culture. We also have a total of 8 employee\-run resource groups, each with senior leadership and exec sponsorship.
**What You Need To Know About Avalara**
 We’re defining the relationship between tax and tech.
 We’ve already built an industry\-leading cloud compliance platform, processing over 54 billion customer API calls and over 6\.6 million tax returns a year. Our growth is real \- we're a billion dollar business \- and we’re not slowing down until we’ve achieved our mission \- to be part of every transaction in the world.
 We’re bright, innovative, and disruptive, like the orange we love to wear. It captures our quirky spirit and optimistic mindset. It shows off the culture we’ve designed, that empowers our people to win. We’ve been different from day one. Join us, and your career will be too.
**We’re An Equal Opportunity Employer**
 Supporting diversity and inclusion is a cornerstone of our company — we don’t want people to fit into our culture, but to enrich it. All qualified candidates will receive consideration for employment without regard to race, color, creed, religion, age, gender, national orientation, disability, sexual orientation, US Veteran status, or any other factor protected by law. If you require any reasonable adjustments during the recruitment process, please let us know.</t>
        </is>
      </c>
    </row>
    <row r="70">
      <c r="A70" t="inlineStr">
        <is>
          <t>li-4329877366</t>
        </is>
      </c>
      <c r="B70" t="inlineStr">
        <is>
          <t>Software Engineer Senior Consultant II</t>
        </is>
      </c>
      <c r="C70" t="inlineStr">
        <is>
          <t>Allstate</t>
        </is>
      </c>
      <c r="D70" t="inlineStr">
        <is>
          <t>linkedin</t>
        </is>
      </c>
      <c r="E70" t="inlineStr"/>
      <c r="F70" t="inlineStr"/>
      <c r="G70" t="inlineStr">
        <is>
          <t>Texas, United States</t>
        </is>
      </c>
      <c r="H70" t="inlineStr"/>
      <c r="I70"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 Participates in iteration planning meetings ensuring that the team has a common understanding of each story and chores in a team backlog
* Participates in daily site, cross\-site, and product team standups
* Participates in retrospectives to gather feedback and derive actionable items to improve the team and the product
* Collaborates within the team in designing systems and apps
* Practices daily paired programming and test\-driven development in writing software and building products
* Establishes continuous integration, continuous delivery, and continuous deployment pipelines and practices
* Provides support for software products in user environments
* Serves as an expert on a specific business domain and demonstrates leadership and accountability in all forums including ECC and SWAT calls
* Provides input into the design of the product, collaborating with the team in solving problems the right way
* Participates in knowledge sharing, and contributes to the overall growth of the collective knowledge of the team
* Coaches more junior team members around different technologies and XP practices
 Hybrid role\- 1 day a week in Dallas TX office, and remote 4 days a week
**Skills Needed**
 Strong understanding of computer science concepts, object\-oriented design principles
* Hands\-on experience with developing software in Java and J2EE technologies such as Spring Boot
* Experience and knowledge in developing REST APIs, database (relational, NoSQL, caching), building complex queries, implementation and optimization
* Knowledge and experience utilizing continuous integration and DevOps methodologies, preferred tools such as IntelliJ IDEA, GitHub, Jenkins, SonarQube, Gradle, Maven, etc.
* Experience working in an Extreme Programming (XP); experienced working in a paired programming/engineering model
* Experience in Test Driven Development; including knowledge and experience in testing frameworks like JUnit, mockito and other like technologies
* Experience on API Testing via Postman,Bruno and SoapUI
* Utilize quality and security scan tools such as Sonar, Fortify and Contrast, or similar
* Ensure code and processes adhere to clean code practices and industry/application best practices
* Experience with messaging systems such as Kafka or similar tools
* Cloud knowledge with technologies such as AWS, Azure or other cloud technologies
 Education and Experience:
* 4 years bachelor’s degree (Preferred not required)
* 6 or more years of experience (Preferred)
**Skills**
 Communication, Computer Science, Java, Pair Programming, Software Development, Software Implementations, Spring Boot, Test Automation Framework
**Compensation**
 Compensation offered for this role is 0\.00 \- 0\.00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71">
      <c r="A71" t="inlineStr">
        <is>
          <t>li-4343326481</t>
        </is>
      </c>
      <c r="B71" t="inlineStr">
        <is>
          <t>Senior Software Engineer</t>
        </is>
      </c>
      <c r="C71" t="inlineStr">
        <is>
          <t>Lynk</t>
        </is>
      </c>
      <c r="D71" t="inlineStr">
        <is>
          <t>linkedin</t>
        </is>
      </c>
      <c r="E71" t="inlineStr"/>
      <c r="F71" t="inlineStr"/>
      <c r="G71" t="inlineStr">
        <is>
          <t>Chantilly, VA</t>
        </is>
      </c>
      <c r="H71" t="inlineStr"/>
      <c r="I71" t="inlineStr">
        <is>
          <t>**About Lynk**
 Lynk is the inventor of satellite direct to device or D2D technology, and has the world’s only commercial license from the FCC to operate a commercial D2D system. Today, Lynk allows mobile network operators' subscribers to send and receive text messages to and from space via standard unmodified, mobile devices. Lynk’s service has been tested and proven on all seven continents, has regulatory approvals in more than 30 countries and is currently being deployed commercially based on more than 40 MNO commercial service contracts covering approximately 50 countries.
 Our technology will enable all 8 billion people on the planet to stay connected with the existing standard phone in their pocket. Everywhere. No matter what.
 By joining Lynk, you will have the opportunity to directly touch the lives of billions. Your mission will be to bring mobile broadband to billions, pull hundreds of millions out of poverty, and save countless lives.
**What You'll Do**
 As a Senior Software Engineer at Lynk, you will be a technical leader in designing, building, and operating the software that powers our satellites and ground network. You will set the standard for engineering excellence, mentor other engineers, and take on our most complex challenges in distributed systems, real\-time software, and global\-scale operations.
**Responsibilities**
* Lead the architecture and design of high\-reliability, mission\-critical software for our satellite and ground systems.
* Drive the full development lifecycle, from technical strategy and requirements definition to implementation, testing, and operational excellence.
* Mentor junior engineers and champion best practices in software design, particularly in object\-oriented (OO) principles.
* Create sophisticated simulation, emulation, and hardware\-in\-the\-loop (HITL) test environments to ensure system\-wide integrity.
* Participate in operations, including data analysis, system monitoring, and visualization.
* Collaborate in architecture, design, and code reviews.
**Basic Qualifications**
* Bachelor’s degree in Computer Science, Computer Engineering, Electrical Engineering, or a related technical field (or equivalent practical experience).
* 5\+ years of professional experience in software development.
* Expert\-level proficiency in at least one object\-oriented language (e.g., C\+\+, Python, Java, C\#) and a deep mastery of OO design principles.
* Demonstrable experience designing and building complex, scalable, and reliable software systems.
* Strong foundation in data structures, algorithms, and systems design.
* Exceptional communication (written and verbal) and documentation skills, with a proven ability to articulate complex architectural decisions to diverse audiences.
* A highly collaborative, team\-oriented, and positive attitude, with a knack for mentoring and elevating the entire team.
**Preferred Qualifications**
* 8\+ years of professional experience in software development.
* Professional experience with C\+\+ and Python.
* Experience designing scalable and modular solutions, including multi\-threaded applications and stateless services.
* Experience developing with networking protocols (e.g., TCP/IP, UDP) and building distributed systems.
* Familiarity with CI/CD, test automation, simulation, or hardware\-in\-the\-loop (HITL) testing.
* Experience with modern monitoring, data analysis, and visualization tools.
* Experience with Linux\-based development environments.
* A creative and analytical approach to solving ambiguous and complex technical problems.
* Proven ability to thrive and provide technical leadership in a fast\-paced, dynamic environment.
* A passion for tackling complex problems and taking full ownership from concept to completion.
* Interest in or experience with networking, wireless protocols, or telecommunications (e.g., 2G/GSM, 4G/LTE) is a plus, but not required.
**Location: Chantilly, VA**</t>
        </is>
      </c>
    </row>
    <row r="72">
      <c r="A72" t="inlineStr">
        <is>
          <t>li-4292004035</t>
        </is>
      </c>
      <c r="B72" t="inlineStr">
        <is>
          <t>Senior Software Engineer, Autonomy - Calibration, Mapping &amp; Localization</t>
        </is>
      </c>
      <c r="C72" t="inlineStr">
        <is>
          <t>Cyngn</t>
        </is>
      </c>
      <c r="D72" t="inlineStr">
        <is>
          <t>linkedin</t>
        </is>
      </c>
      <c r="E72" t="inlineStr"/>
      <c r="F72" t="inlineStr"/>
      <c r="G72" t="inlineStr">
        <is>
          <t>Mountain View, CA</t>
        </is>
      </c>
      <c r="H72" t="inlineStr"/>
      <c r="I72" t="inlineStr">
        <is>
          <t>**About Cyngn**
 Based in Mountain View, CA, Cyngn is a publicly\-traded autonomous technology company. We deploy self\-driving industrial vehicles like forklifts and tuggers to factories, warehouses, and other facilities throughout North America. To build this emergent technology, we are looking for innovative, motivated, and experienced leaders to join us and move this field forward. If you like to build, tinker, and create with a team of trusted and passionate colleagues, then Cyngn is the place for you. Key reasons to join Cyngn:
**We are small and big.**
 With under 100 employees, Cyngn operates with the energy of a startup. On the other hand, we’re publicly traded. This means our employees not only work in close\-knit teams with mentorship from company leaders—they also get access to the liquidity of our publicly\-traded equity.
**We build today and deploy tomorrow.**
 Our autonomous vehicles aren’t just test concepts—they’re deployed to real clients right now. That means your work will have a tangible, visible impact.
**We aren’t robots. We just develop them.**
 We’re a welcoming, diverse team of sharp thinkers and kind humans. Collaboration and trust drive our creative environment. At Cyngn, everyone’s perspective matters—and that’s what powers our innovation.
**About This Role**
 As a Staff/Senior Software Engineer on our Calibration, Localization, \&amp; Mapping (CLAM) team, you will be responsible for delivering mission\-critical improvements and new features to our calibration, localization, and mapping subsystems. You will work on a small, highly focused team developing production\-quality software that enables efficient and accurate creation of HD maps at Cyngn deployment\-sites and robust localization for Cyngn’s autonomous vehicle fleets. You will collaborate cross\-functionally with vehicle infrastructure, hardware, QA, and other autonomy teams (Perception, Decision, Planning, and Control) to achieve seamless integration with interfacing submodules, comprehensive testing, and ultimately safe and efficient driving for the next generation of Cyngn’s autonomous vehicles.
**Responsibilities**
* Design, implement, tune, and test mapping, localization, and sensor calibration algorithms for our autonomous vehicle platforms using C\+\+ and Python.
* Develop tooling and metrics for performance validation and continuous testing frameworks.
* Balance project tasks, code reviews, and research to meet product\-driven milestones in a fast\-paced startup environment.
**Qualifications**
* MS/Phd with focus in robotics or a similar technical field of study
* Solid foundation in probability theory, linear algebra, 3D geometry, and spatial coordinate transformations.
* In\-depth understanding of matrix factorization algorithms and Lie algebra/groups.
* Solid theoretical knowledge of state\-of\-the\-art techniques in 3D Lidar\-based mapping and localization for autonomous vehicles (LOAM series, GICP, FastLIO, bundle\-adjustment)
* Familiarity with state estimation frameworks such as EKF’s as well as modern nonlinear optimization libraries (GTSAM, G2O, Ceres\-Solver, GNC\-Solver, etc.).
* 6\+ years of industry experience as an autonomous vehicle or robotics software engineering professional including hands\-on implementation and tuning on production hardware.
* 6\+ years industry experience writing C\+\+ software in a production environment \- architecture design, unit testing, code review, algorithm performance trade\-offs, etc.
* Proficiency in Python.
* Excellent written \&amp; verbal communication skills.
**Bonus Qualifications**
* Proven record of top\-tier publications or patents.
* Experience with GPU programming, CUDA.
* Experience in implementing automated map change detection and updating techniques.
* Experience implementing modern multi\-sensor calibration and sensor mis\-alignment detection algorithms.
* Experience with camera\-based SLAM and 3D multi\-view geometry.
* Experience working with ROS2 to design, build, and operate robotic systems.
* Exposure to modern software development version control and project management tools \- Git, Jira, etc.
**Benefits \&amp; Perks**
* Health benefits (Medical, Dental, Vision, HSA and FSA (Health \&amp; Dependent Daycare), Employee Assistance Program, 1:1 Health Concierge)
* Life, Short\-term and long\-term disability insurance (Cyngn funds 100% of premiums)
* Company 401(k)
* Commuter Benefits
* Flexible vacation policy
* Sabbatical leave opportunity after 5 years with the company
* Paid Parental Leave
* Daily lunches for in\-office employees and fully\-stocked kitchen with snacks and beverages
 $180,000 \- $198,000 a year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3">
      <c r="A73" t="inlineStr">
        <is>
          <t>li-4373226014</t>
        </is>
      </c>
      <c r="B73" t="inlineStr">
        <is>
          <t>Software Engineer III - Python Developer</t>
        </is>
      </c>
      <c r="C73" t="inlineStr">
        <is>
          <t>JPMorganChase</t>
        </is>
      </c>
      <c r="D73" t="inlineStr">
        <is>
          <t>linkedin</t>
        </is>
      </c>
      <c r="E73" t="inlineStr"/>
      <c r="F73" t="inlineStr"/>
      <c r="G73" t="inlineStr">
        <is>
          <t>Plano, TX</t>
        </is>
      </c>
      <c r="H73" t="inlineStr"/>
      <c r="I73" t="inlineStr">
        <is>
          <t>**Job Description**
 We have an exciting and rewarding opportunity for you to take your software engineering career to the next level.
 As a Software Engineer III at JPMorgan Chase within Enterprise Technology, you are a solid python developer who should be able to contribute to critical solution design across multiple technical areas in an Agile setting. You’re able to work across teams to design, develop, evaluate and execute analytical solutions with a keen functional understanding of the business problem. As a key technical contributor, you are tasked with implementing critical technology solutions across multiple technical domains, supporting various business functions to achieve the firm's business objectives.
**Job Responsibilities**
* Engaging with stakeholders and understanding business requirements,
* Develops secure high\-quality production python code, and reviews and debugs code written by others
* Identifies opportunities to eliminate or automate remediation of recurring issues to improve overall operational stability of software applications and systems
* Developing automated solutions to address impactful business needs,
* Working with other team members to productionize end\-to\-end technical solutions,
* Engaging in research and development of innovative relevant solutions,
* Collaborating with other teams across the firm to attain the mission and vision of the team and the firm
**Required Qualifications, Capabilities, And Skills**
* Formal training or certification on software engineering concepts and 3\+ years applied experience.
* Proficiency in python development, automation and continuous delivery methods
* Advanced degree in Computer Science or allied fields.
* Hands\-on practical experience delivering system design, application development, testing, and operational stability
* Knowledge of AI/ML
* Practical cloud native experience
* Advanced understanding of agile methodologies such as CI/CD, Application Resiliency, and Security
* Demonstrated proficiency in software applications and technical processes within a technical discipline (e.g., cloud, )
* Solid coding level in Python and experience in leveraging available libraries to dedicated projects.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74">
      <c r="A74" t="inlineStr">
        <is>
          <t>li-4381514836</t>
        </is>
      </c>
      <c r="B74" t="inlineStr">
        <is>
          <t>Software Engineer</t>
        </is>
      </c>
      <c r="C74" t="inlineStr">
        <is>
          <t>Haystack</t>
        </is>
      </c>
      <c r="D74" t="inlineStr">
        <is>
          <t>linkedin</t>
        </is>
      </c>
      <c r="E74" t="inlineStr"/>
      <c r="F74" t="inlineStr"/>
      <c r="G74" t="inlineStr"/>
      <c r="H74" t="inlineStr"/>
      <c r="I74" t="inlineStr">
        <is>
          <t>**Full\-Stack Engineer** 
 We're working with a global financial powerhouse that influences nearly 20% of the world's investable assets on this exciting opportunity. In this high\-impact role, you will harness cutting\-edge AI and advanced frameworks like Angular and NodeJS to build transformative solutions that redefine the future of wealth services.
 As a key member of the Total Wealth Services Operations team, you'll bridge the gap between financial complexity and elegant software. You won't just be writing code; you'll be leveraging a modern toolkit including C\#, Java, and Docker to drive innovation in a fast\-paced environment recognized as one of America's Most Innovative Companies.
**The Role** 
 • Design and develop technically detailed applications using a full\-stack approach with C\#, Java, HTML, and Angular.
 • Write complex systems and code programs from scratch, including multi\-level table dimensions and internal sorts.
 • Take full ownership of the SDLC, from requirements gathering and BRD/SRD preparation to deployment following strict change controls.
 • Analyze, design, and develop robust test\-automation suites to ensure high\-quality software verification and performance.
 • Mentor junior\-level engineers, conduct code reviews, and collaborate cross\-functionally with data engineers and business users.
**What You'll Need** 
 • 2\-6 years of professional experience in software development, ideally within the securities or financial services industry.
 • Proven expertise in front\-end and back\-end languages including C\#, Java, NodeJS, JavaScript, and Angular.
 • Strong technical knowledge of application frameworks, containerization (Docker/Kubernetes), and cross\-platform interoperability.
 • Deep understanding of the full Software Development Life Cycle (SDLC) and security/privacy principles.
 • Bachelor's degree in Computer Science, Engineering, or a related field (or equivalent work experience).
**What's On Offer** 
 • Work for a "World’s Most Admired Company" at the heart of the global financial system.
 • Access to premium learning tools like Pluralsight to reach aspirational career targets.
 • Competitive compensation and a pay\-for\-performance culture that rewards innovation.
 • Comprehensive wellbeing programs and generous paid leave, including dedicated time for volunteering.
**Apply via Haystack today!**</t>
        </is>
      </c>
    </row>
    <row r="75">
      <c r="A75" t="inlineStr">
        <is>
          <t>li-4337178379</t>
        </is>
      </c>
      <c r="B75" t="inlineStr">
        <is>
          <t>Senior Backend Engineer - Python</t>
        </is>
      </c>
      <c r="C75" t="inlineStr">
        <is>
          <t>BlackRock</t>
        </is>
      </c>
      <c r="D75" t="inlineStr">
        <is>
          <t>linkedin</t>
        </is>
      </c>
      <c r="E75" t="inlineStr"/>
      <c r="F75" t="inlineStr"/>
      <c r="G75" t="inlineStr">
        <is>
          <t>Princeton, NJ</t>
        </is>
      </c>
      <c r="H75" t="inlineStr"/>
      <c r="I75" t="inlineStr">
        <is>
          <t>**About This Role**
**Team Overview**
 BlackRock SMA Solutions helps clients customize portfolios for unique tax, values\-alignment, or investment exposures across direct indexing, fixed income, active equity, and multi\-asset. We deliver world\-class service to all of our clients, from wealth advisors to family offices to endowments and foundations
**About This Role**
 The role will focus on engineering technical solutions to enhance the trading and implementation functions of active portfolio management. The successful candidate will contribute to software development efforts aimed at implementing systematic solutions for trading a high volume of retail and institutional portfolios. This individual will possess strong analytical and quantitative skills, a passion for investing and the markets, and a demonstrated ability to collaborate with a wide range of partner teams and stakeholders. Outstanding attention to detail, excellent interpersonal skills, and a passion for critically thinking about technical solutions for retail portfolio investment management across and within asset classes will define the successful candidate.
**Key Responsibilities**
* Develop and deploy sophisticated algorithms to efficiently manage and rebalance SMAs, ensuring optimal performance and alignment with investment strategies
* Be proficient in understanding processes and applications, quickly learn new systems/applications, and have strong technology skills to develop and drive process efficiencies and automation of manual tasks
* Design and implement advanced data handling techniques utilizing relational databases and APIs to ensure seamless integration and efficient data management
* Evaluate emerging technologies to support innovation and strategic objectives
* Lead projects and initiatives related to process improvement in investment management and trade support functions across equity, multi\-asset, and fixed income SMA portfolios
* Write code that is understandable and maintainable by other team members
* Mentor junior members of the team
**Qualifications**
* Bachelor's degree in Engineering, Computer Science, or related field
* 5\-6 years of experience in financial services in engineering or technology related role
* Strong programming skills in Python or related experience with modern object\-oriented languages (Java, Scala, etc.)
* Solid knowledge of programming fundamentals—algorithms, data structures, design patterns, and paradigms
* Familiarity with relational databases and SQL
* Knowledge of containerized workloads and services such as Kubernetes to support building and releasing software components and deploying them to Kubernetes cluster
* Strong written and verbal communication skills
* Solid attention to detail and ability to prioritize responsibilities and ability to handle various tasks in a fast\-paced environment
 For Princeton, NJ Only the salary range for this position is USD$120,000\.00 \- USD$148,000\.00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
 BlackRock will consider for employment qualified applicants with arrest or conviction records in a manner consistent with the requirements of the law, including any applicable fair chance law.</t>
        </is>
      </c>
    </row>
    <row r="76">
      <c r="A76" t="inlineStr">
        <is>
          <t>li-4365623821</t>
        </is>
      </c>
      <c r="B76" t="inlineStr">
        <is>
          <t>Senior Software Engineer - Java (Remote)</t>
        </is>
      </c>
      <c r="C76" t="inlineStr">
        <is>
          <t>First Citizens Bank</t>
        </is>
      </c>
      <c r="D76" t="inlineStr">
        <is>
          <t>linkedin</t>
        </is>
      </c>
      <c r="E76" t="inlineStr"/>
      <c r="F76" t="inlineStr"/>
      <c r="G76" t="inlineStr">
        <is>
          <t>Arizona, United States</t>
        </is>
      </c>
      <c r="H76" t="inlineStr"/>
      <c r="I76" t="inlineStr">
        <is>
          <t>**Overview**
 This is a remote role that may only be hired in the following location(s): AZ, FL, GA, NE, NC and TX.
 We are looking for a hands\-on Senior Software Engineer to join our growing SVB Go Online Banking delivery team, which provides technology solutions and integration services in following areas: Digital Banking, Core banking, Credit/Charge/Debit Cards, and Foreign Exchange. The ideal candidate should have the necessary skills and experience to provide technical guidance, estimation of efforts, understanding and deciding upon the optimal technology solution to achieve the desired business needs, day to day application support, should be able to navigate differing levels of gray/unknowns, and have excellent communication skills with other IT management levels, individual contributors and business stakeholders. They must be able to move at a rapid rate of execution to deliver requests and take advantage of any opportunities as they present themselves and navigate through any resource constraints. They must have both the short\- and long\-term strategic view when deciding on the best technical approach. They must be able to develop code and effectively oversee distributed development team members.
 As a Sr. Software Engineer, primary responsibility will be towards the development and support of Digital Banking solutions/projects. The Senior Software engineer will be responsible for all software aspects within the team including research, design, technology insertion, development, testing and supporting them.
**Responsibilities**
* Design and develop technical solutions that meet user needs with respect to functionality, performance, scalability, and reliability.
* Oversee proactive maintenance on our existing Iaas/SaaS and on\-premise applications within the Digital Banking, Mobile and integrating with Cards, Merchant Services, Payments, Foreign Exchange, Core banking and Trade Finance space to ensure our mission critical systems remain stable, are able to scale as our business grows, and remain fit\-for\-purpose.
* Coordinate and assist with troubleshooting of code defects, data errors and configuration problems to determine the origin of application error.
* Strong experience in supporting Business critical/ complex applications.
* Exercises Judgement within defined procedures and practices to determine appropriate action.
* Nice to have technical lead experience for small to medium sized projects.
* Drive departmental best practices, guidelines implementation and adhere to standards.
* Demonstrated expertise in designing and developing real\-time integrations, file\-based integrations and be able to optimize the use of database level processing.
* Empathy with developers. Innate desire to create a superlative developer experience down to the last detail.
* Deep love of building elegant, maintainable, well\-documented, secure code.
* Abstracting and refactoring should be a passion, not a chore.
* Drive to learn new things and go above and beyond the call of duty.
* Always working to improve yourself and constructively support the team around you.
* May mentor junior engineers and contribute to the team's technical growth.
**Qualifications**
 Bachelor's Degree and 4 years of experience in Software application development and maintenance OR High School Diploma or GED and 8 years of experience in Software application development and maintenance
**Preferred Skills**
* Excellent ability to communicate technical information clearly and work effectively with cross\-functional teams
* Strong design \&amp; development experience with JEE \&amp; Enterprise Technologies: JMS, JDBC, Web development, Transactions, WS\-\*, JVM, JSP, Servlets, EJB, JNDI, JMX, JTA, Spring, JUnit, Hibernate.
* Strong analytical and problem\-solving skills
* Experience building SpringBoot Microservices.
* Experience building applications using container architecture with Kubernetes orchestration.
* Preferred experience on public API development and using API Gateway like APIGEE.
* In\-depth understanding of JavaScript, including ES6\+ features, Loopback, closures and asynchronous programming
* Worked on Agile projects and has complete knowledge of day to day Agile routines.
* Proven experience in building user interfaces with React.js
* Familiarity with state management libraries like Redux or MobX
* Understanding of the React component lifecycle and its best practices
* Experience with testing frameworks like Jest or Mocha
* Ability to interact with REST APIs and handle data fetching and manipulation
* Proficient in using GITLAB for version control
* Experience with Jira, Confluence and ORACLE Database systems
* Understanding of basic UI/UX design principles
* Prior experience with regulated financial organization is a plus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77">
      <c r="A77" t="inlineStr">
        <is>
          <t>li-4323474224</t>
        </is>
      </c>
      <c r="B77" t="inlineStr">
        <is>
          <t>Frontend Software Engineer Graduate (Ads Interface and Platform) - 2026 Start (BS/MS)</t>
        </is>
      </c>
      <c r="C77" t="inlineStr">
        <is>
          <t>TikTok</t>
        </is>
      </c>
      <c r="D77" t="inlineStr">
        <is>
          <t>linkedin</t>
        </is>
      </c>
      <c r="E77" t="inlineStr"/>
      <c r="F77" t="inlineStr"/>
      <c r="G77" t="inlineStr">
        <is>
          <t>San Jose, CA</t>
        </is>
      </c>
      <c r="H77" t="inlineStr"/>
      <c r="I77" t="inlineStr">
        <is>
          <t>**Responsibilities**
 We are TikTok Monetization Ads Interface Team, dedicated to creating an exceptional advertising experience and intelligent growth marketing strategies for global advertising clients. Here, you will engage with challenging technical domains such as large\-scale user systems, diverse advertising fields (ad creation, material optimization, delivery strategy, attribution, measurement, etc.), AI\-driven personalized recommendations and growth strategies, and massive client profiling powered by LLM and big data. We are seeking like\-minded individuals to join us in leveraging technology to help global small and medium\-sized business (SMB) advertisers effectively connect with customers, achieve business success, and drive the rapid growth of TikTok's advertising business!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 Design, develop, test and continuously improve TikTok Ads software.
* Optimize performance of Ads frontend interfaces.
* Resolve JavaScript or layout cross\-browser and compatibility problems.
* Analyze product objectives to deliver results aligned with project goals.
* Manage project priorities, deadlines, and deliverables.
* Collaborate with PM and R\&amp;D teams globally, in a fast\-paced environment.
**Qualifications**
 Minimum Qualifications:
* Bachelor’s degree in computer science or related technical discipline. Strong Computer Science fundamentals (algorithms, data structures, software design) and problem\-solving skills.
* Proficiency and experience working with JavaScript ES5 or later, CSS, and at least one frontend MV\* framework such as React or Vue.
* Collaborative mindset, with solid communication skills.
 Preferred Qualifications
* Experience with Advertisement Technology is a plus, but not required.
* Familiarity and ability to work with the back\-end technologies and databases is a plus, but not required.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$122574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78">
      <c r="A78" t="inlineStr">
        <is>
          <t>li-4311836960</t>
        </is>
      </c>
      <c r="B78" t="inlineStr">
        <is>
          <t>Software Engineer, Senior</t>
        </is>
      </c>
      <c r="C78" t="inlineStr">
        <is>
          <t>Freddie Mac</t>
        </is>
      </c>
      <c r="D78" t="inlineStr">
        <is>
          <t>linkedin</t>
        </is>
      </c>
      <c r="E78" t="inlineStr"/>
      <c r="F78" t="inlineStr"/>
      <c r="G78" t="inlineStr">
        <is>
          <t>McLean, VA</t>
        </is>
      </c>
      <c r="H78" t="inlineStr"/>
      <c r="I78" t="inlineStr">
        <is>
          <t>At Freddie Mac, our mission of Making Home Possible is what motivates us, and it’s at the core of everything we do. Since our charter in 1970, we have made home possible for more than 90 million families across the country. Join an organization where your work contributes to a greater purpose.
 Position Overview:
 Are you looking for development beyond the ordinary? A place full of exciting challenges and the engineers up to solving them? If so, welcome to Financial Engineering. This is the place where the models become software and where many of the numbers that drive our business decisions are produced.
 Freddie Mac’s Investments \&amp; Capital Markets Division is currently seeking Financial Software Developer to participate in implementing all of the firm’s quantitative models and analytics.
 Apply and learn why there's \#MoreatFreddieMac!
 Our Impact:
 The Investments and Capital Markets (I\&amp;CM) division is responsible for management of the retained portfolio as well as Freddie Mac's debt funding, liquidity management and interest\-rate hedging. The division is also responsible for I\&amp;CM securitization.
**Your Impact:**
* Will combine software development, quantitative analysis, and collaboration skills to help build high\-performance, scalable and fault tolerant solutions.
* Will encourage a creative and analytical mindset
* Design and develop high\-performance financial libraries using C\+\+, Java, and Python. Adhere to best practices in coding, testing, and software architecture to build modular and maintainable code.
* Implement complex financial models with a focus on accuracy and efficiency.
* Perform model tie out, regression, and integration testing to ensure software quality. Develop automated testing scripts in Python to adhere to technological development standards.
* Write and maintain technical documentation and guidelines to facilitate smooth implementation.
* Troubleshoot and resolve integration issues in a timely manner.
* Work closely with end\-users to understand their needs and enhance library functionality accordingly.
* Work closely with cross\-functional teams to align development efforts with business objectives.
* Collaborate with application teams to integrate financial libraries into existing systems and workflows.
* Assist in defining project scope, objectives, and deliverables in collaboration with stakeholders.
* Provide guidance and support to junior developers, helping them to enhance their technical skills and professional growth.
* Conduct code reviews and offer constructive feedback to improve code quality and efficiency.
* Facilitate knowledge sharing sessions and workshops to introduce new technologies and methodologies.
 Qualifications:
* BS in Computer Science, Information Systems or other related field or equivalent working experience; advanced degree preferred
* Typically, 5 \- 7 years of Programming experience of developing and testing with C\+\+ and Python
* Financial knowledge, preferably some fixed Income knowledge, with solid quantitative skills (statistics, econometrics, algebra)
 Keys to Success in this Role:
* Hands on with programming and troubleshooting
* Solid math and analytical skills
* Interest in growing financial knowledge
* Collaborative working approach
* Ability to communicate effective with modelers, analysts, and developers
**Current Freddie Mac employees please apply through the internal career site.**
 We consider all applicants for all positions without regard to gender, race, color, religion, national origin, age, marital status, veteran status, sexual orientation, gender identity/expression, physical and mental disability, pregnancy, ethnicity, genetic information or any other protected categories under applicable federal, state or local laws. We will ensure that individuals are provided reasonable accommodation to participate in the job application or interview process, to perform essential job functions, and to receive other benefits and privileges of employment. Please contact us to request accommodation.
 A safe and secure environment is critical to Freddie Mac’s business. This includes employee commitment to our acceptable use policy, applying a vigilance\-first approach to work, supporting regulatory mandates, and using best practices to protect Freddie Mac from potential threats and risk. Employees exercise this responsibility by executing against policies and procedures and adhering to privacy \&amp; security obligations as required via training programs.
**CA Applicants:** 
 Qualified applications with arrest or conviction records will be considered for employment in accordance with the
 *Los Angeles County Fair Chance Ordinance* 
 for Employers and the
 *California Fair Chance Act.*
 Notice to External Search Firms: Freddie Mac partners with BountyJobs for contingency search business through outside firms. Resumes received outside the BountyJobs system will be considered unsolicited and Freddie Mac will not be obligated to pay a placement fee. If interested in learning more, please visit www.BountyJobs.com and register with our referral code: MAC.
 Time\-type:Full time
 FLSA Status:Exempt
 Freddie Mac offers a comprehensive total rewards package to include competitive compensation and market\-leading benefit programs. Information on these benefit programs is available on our Careers site.
 This position has an annualized market\-based salary range of $130,000 \- $196,000 and is eligible to participate in the annual incentive program. The final salary offered will generally fall within this range and is dependent on various factors including but not limited to the responsibilities of the position, experience, skill set, internal pay equity and other relevant qualifications of the applicant.</t>
        </is>
      </c>
    </row>
    <row r="79">
      <c r="A79" t="inlineStr">
        <is>
          <t>li-4373218419</t>
        </is>
      </c>
      <c r="B79" t="inlineStr">
        <is>
          <t>Software Engineer 2</t>
        </is>
      </c>
      <c r="C79" t="inlineStr">
        <is>
          <t>General Dynamics Information Technology</t>
        </is>
      </c>
      <c r="D79" t="inlineStr">
        <is>
          <t>linkedin</t>
        </is>
      </c>
      <c r="E79" t="inlineStr"/>
      <c r="F79" t="inlineStr"/>
      <c r="G79" t="inlineStr">
        <is>
          <t>Annapolis Junction, MD</t>
        </is>
      </c>
      <c r="H79" t="inlineStr"/>
      <c r="I79" t="inlineStr">
        <is>
          <t>****Job Description:****
**Type of Requisition:**
 Regular
****Clearance Level Must Currently Possess:****
 Top Secret/SCI
****Clearance Level Must Be Able To Obtain:****
 Top Secret/SCI
****Public Trust/Other Required:****
 None
****Job Family:****
 Software Engineering
****Skills:****
**Job Qualifications:**
 Apache Airflow, Apache Spark, Git Control, Java, Linux
****Certifications:****
 None
****Experience:****
 5 \+ years of related experience
****US Citizenship Required:****
 Yes
****Job Description:****
 SOFTWARE ENGINEER SENIOR
 Transform technology into opportunity as a Software Engineer Senior at GDIT. Shape what’s next for mission\-critical government projects while shaping what’s next for your engineering career.
 MEANINGFUL WORK AND PERSONAL IMPACT
 The Software Engineer shall be responsible for creating and maintaining data workflows and automation pipelines using Apache Airflow. This role focuses on building reliable, scalable, and observable workflow orchestration solutions that support data engineering, analytics, and operational use cases. The engineer will collaborate closely with data engineers, platform teams, and stakeholders to ensure workflows are efficient, secure, and production ready.
**What You’ll Need To Succeed**
 Bring your engineering expertise along with a drive for innovation to GDIT. The Software Engineer Senior must have:
* Education: Bachelor of Arts/Bachelor of Science
* Experience: 5\+ years of related experience
* Security clearance required: TS/SCI w/ Polygraph
* Position Required Skills:
  Experience using the Linux CLI and Linux tools
  Experience developing Bash scripts to automate manual processes
  Recent software development experience using Python and Java
  Experience using Apache Airflow (DAG design, scheduling, operators, sensors) to orchestrate, schedule, and monitor complex workflows
  Experience using Distributed Big Data processing engines including Apache Spark
  Experience with containerization technologies such as Docker, containerd, and Podman
  Experience with Git Source Control System
* Position Desired Skills:
  Experience using the Atlassian Tool Suite (JIRA, Confluence)
  Familiar with AWS Cloud Services and Infrastructure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Community: Award\-winning culture of innovation and a military\-friendly workplace
 OWN YOUR OPPORTUNITY
 Explore a career in software development at GDIT and you’ll find endless opportunities to grow alongside colleagues who share your dedication to advancing innovation.
 \#
 **MD\_2026Alumni**
 \#IntelligenceEngineered
 The likely salary range for this position is $152,150 \- $205,850\. This is not, however, a guarantee of compensation or salary. Rather, salary will be set based on experience, geographic location and possibly contractual requirements and could fall outside of this range.
****Scheduled Weekly Hours:****
 40
****Travel Required:****
 None
****Telecommuting Options:****
 Onsite
**Work Location:**
 USA MD Annapolis Junction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80">
      <c r="A80" t="inlineStr">
        <is>
          <t>li-4381510964</t>
        </is>
      </c>
      <c r="B80" t="inlineStr">
        <is>
          <t>Software Engineer</t>
        </is>
      </c>
      <c r="C80" t="inlineStr">
        <is>
          <t>Haystack</t>
        </is>
      </c>
      <c r="D80" t="inlineStr">
        <is>
          <t>linkedin</t>
        </is>
      </c>
      <c r="E80" t="inlineStr"/>
      <c r="F80" t="inlineStr"/>
      <c r="G80" t="inlineStr">
        <is>
          <t>Sunnyvale, CA</t>
        </is>
      </c>
      <c r="H80" t="inlineStr"/>
      <c r="I80" t="inlineStr">
        <is>
          <t>**Sr. Software Development Engineer, Leo Network Services \- Network Orchestration \| Sunnyvale, California \| $168,100 \- $261,500** 
 We're working with a pioneering aerospace and global connectivity leader on this exciting opportunity.
 Help bridge the digital divide by building a massive low Earth orbit (LEO) satellite network designed to deliver high\-speed internet to the most remote corners of the globe. You will architect and deploy high\-performance network orchestration services using AWS infrastructure and embedded devices to manage dynamic traffic at a planetary scale.
**The Role** 
 • Lead the design and development of critical network functions, including IP address management (IPAM), packet inspection, and provisioning systems.
 • Engineer low\-latency, high\-throughput pipelines for dynamic traffic management across a constellation of orbital and terrestrial assets.
 • Collaborate across global engineering teams to build scalable networking services utilizing AWS cloud infrastructure and custom embedded systems.
 • Own the full software lifecycle, from gathering complex requirements to operating mission\-critical services that enable worldwide broadband.
 • Develop innovative routing solutions to handle the unique challenges of highly dynamic satellite network topologies.
**What You'll Need** 
 • 5\+ years of professional software development experience (non\-internship) with a proven track record of shipping production\-grade code.
 • Deep mastery of TCP/IP networking fundamentals, including IPv4/IPv6 routing, subnetting, and complex network topology design.
 • Hands\-on experience implementing and deploying routing protocols such as BGP, OSPF, ISIS, or similar IGRPs/EGRPs.
 • Expert\-level understanding of link\-state and distance\-vector routing protocol characteristics in high\-scale environments.
 • Proficiency with network simulation and testing tools for rigorous protocol verification and performance tuning.
**What's On Offer** 
 • Compelling compensation package ranging from $168,100 to $261,500 \+ restricted stock units and benefits.
 • Flexible, remote\-friendly work environment based out of a cutting\-edge Sunnyvale hub.
 • The chance to work on a literal "moonshot" project with a massive social impact, connecting schools, hospitals, and communities worldwide.
 • Career growth within a world\-class engineering culture that prioritizes ownership and technical excellence.
**Apply via Haystack today!**</t>
        </is>
      </c>
    </row>
    <row r="81">
      <c r="A81" t="inlineStr">
        <is>
          <t>li-4321384017</t>
        </is>
      </c>
      <c r="B81" t="inlineStr">
        <is>
          <t>Software Developer (Entry Level)</t>
        </is>
      </c>
      <c r="C81" t="inlineStr">
        <is>
          <t>Epic</t>
        </is>
      </c>
      <c r="D81" t="inlineStr">
        <is>
          <t>linkedin</t>
        </is>
      </c>
      <c r="E81" t="inlineStr"/>
      <c r="F81" t="inlineStr"/>
      <c r="G81" t="inlineStr">
        <is>
          <t>Olathe, KS</t>
        </is>
      </c>
      <c r="H81" t="inlineStr"/>
      <c r="I81"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82">
      <c r="A82" t="inlineStr">
        <is>
          <t>li-4240758314</t>
        </is>
      </c>
      <c r="B82" t="inlineStr">
        <is>
          <t>Senior Software Engineer - Together Cloud Infrastructure</t>
        </is>
      </c>
      <c r="C82" t="inlineStr">
        <is>
          <t>Together AI</t>
        </is>
      </c>
      <c r="D82" t="inlineStr">
        <is>
          <t>linkedin</t>
        </is>
      </c>
      <c r="E82" t="inlineStr"/>
      <c r="F82" t="inlineStr"/>
      <c r="G82" t="inlineStr">
        <is>
          <t>San Francisco, CA</t>
        </is>
      </c>
      <c r="H82" t="inlineStr"/>
      <c r="I82" t="inlineStr">
        <is>
          <t>**About The Role**
 Together AI is building the AI Acceleration Cloud, an end\-to\-end platform for the full generative AI lifecycle, combining the fastest LLM inference engine with state\-of\-the\-art AI cloud infrastructure.
 As a Senior AI Infrastructure Engineer, you will play a key role in building the next generation AI cloud platform – a highly available, global, blazing\-fast cloud infrastructure that virtualizes cutting\-edge ML hardware (GB200s/GB300s, BlueField DPUs) and enables state\-of\-the\-art ML practitioners with self\-serve AI cloud services, such as on\-demand \+ managed Kubernetes and Slurm clusters. This platform serves both our internal SaaS products (inference, fine\-tuning) and our external cloud customers, spanning dozens of data centers across the world.
**Responsibilities**
* Design, build, and maintain performant, secure, and highly\-available backend services/operators that run in our data centers and automate hardware management, such as Infiniband partitioning, in\-DC parallel storage provisioning, and VM provisioning.
* Design and build out the IaaS software layer for a new GB200 data center with thousands of GPUs.
* Work on a global multi\-exabyte high\-performance object store, serving massive datasets for pretraining.
* Build advanced observability stacks for our customers with automated node lifecycle management for fault\-tolerant distributed pretraining.
* Perform architecture and research work for decentralized AI workloads
* Work on the core, open\-source Together AI platform
* Create services, tools, and developer documentation
* Create testing frameworks for robustness and fault\-tolerance
 To be successful, you’ll need to be deeply technical and possess excellent communication, collaboration, and diplomacy skills. You have strong fundamental software development skills. In addition, you have strong systems knowledge and troubleshooting abilities.
**Requirements**
* 5\+ years of professional software development experience and proficiency in at least one backend programming language (Golang desired)
* 5\+ years experience writing high\-performance, well\-tested, production quality code
* Demonstrated experience with building and operating high\-performance and/or globally distributed micro\-service architectures across one or more cloud providers (AWS, Azure, GCP)
* Excellent communication skills – able to write clear design docs and work effectively with both technical and non\-technical team members
* Deep experience with Kubernetes internals a big plus, such as implementing non\-trivial Kubernetes operators, device/storage/network plugins, custom schedulers, or patches thereon or Kubernetes itself
* Deep experience with VMs/hypervisors a big plus, such as QEMU/KVM, cloud\-hypervisor, VFIO, virtio, PCIE passthrough, Kubevirt, SR\-IOV
* Deep experience with DC networking tech \+ solutions a big plus, such as VLAN, VXLAN, VPN, VPC, OVS/OVN
* Experience with Cluster API or similar a big plus
* Experience working on high\-performance compute, networking, and/or storage a big plus
* Experience virtualizing GPUs and/or Infiniband a big plus
* Strong systems knowledge across compute, networking, and storage, including concurrency, memory management, performant I/O, and scale
* Experience with infrastructure automation tools (Terraform, Ansible), monitoring/observability stacks (Prometheus, Grafana), and CI/CD pipelines (GitHub Actions, ArgoCD)
* Experience building IaaS or PaaS systems at scale a plus
* Experience with DPUs/SmartNICs a plus
* GPU programming, NCCL, CUDA knowledge a plus
**About Together AI**
 Together AI is a research\-driven artificial intelligence company. We believe open and transparent AI systems will drive innovation and create the best outcomes for society, and together we are on a mission to significantly lower the cost of modern AI systems by co\-designing software, hardware, algorithms, and models. We have contributed to leading open\-source research, models, and datasets to advance the frontier of AI, and our team has been behind technological advancement such as FlashAttention, Hyena, FlexGen, and RedPajama. We invite you to join a passionate group of researchers in our journey in building the next generation AI infrastructure.
**Compensation**
 We offer competitive compensation, startup equity, health insurance, and other benefits, as well as flexibility in terms of remote work. The US base salary range for this full\-time position is: $160,000 \- $230,000 \+ equity \+ benefits. Our salary ranges are determined by location, level and role. Individual compensation will be determined by experience, skills, and job\-related knowledge.
**Equal Opportunity**
 Together AI is an Equal Opportunity Employer and is proud to offer equal employment opportunity to everyone regardless of race, color, ancestry, religion, sex, national origin, sexual orientation, age, citizenship, marital status, disability, gender identity, veteran status, and more.
 Please see our privacy policy at https://www.together.ai/privacy</t>
        </is>
      </c>
    </row>
    <row r="83">
      <c r="A83" t="inlineStr">
        <is>
          <t>li-4321404164</t>
        </is>
      </c>
      <c r="B83" t="inlineStr">
        <is>
          <t>Software Developer (Entry Level)</t>
        </is>
      </c>
      <c r="C83" t="inlineStr">
        <is>
          <t>Epic</t>
        </is>
      </c>
      <c r="D83" t="inlineStr">
        <is>
          <t>linkedin</t>
        </is>
      </c>
      <c r="E83" t="inlineStr"/>
      <c r="F83" t="inlineStr"/>
      <c r="G83" t="inlineStr">
        <is>
          <t>Columbia, MO</t>
        </is>
      </c>
      <c r="H83" t="inlineStr"/>
      <c r="I83"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84">
      <c r="A84" t="inlineStr">
        <is>
          <t>li-4319810342</t>
        </is>
      </c>
      <c r="B84" t="inlineStr">
        <is>
          <t>Sr. Staff Software Engineer</t>
        </is>
      </c>
      <c r="C84" t="inlineStr">
        <is>
          <t>Blue Yonder</t>
        </is>
      </c>
      <c r="D84" t="inlineStr">
        <is>
          <t>linkedin</t>
        </is>
      </c>
      <c r="E84" t="inlineStr"/>
      <c r="F84" t="inlineStr"/>
      <c r="G84" t="inlineStr">
        <is>
          <t>Coppell, TX</t>
        </is>
      </c>
      <c r="H84" t="inlineStr"/>
      <c r="I84" t="inlineStr">
        <is>
          <t>**Role: Sr. Staff Software Engineer ( Java Architect)**
**Location:** 
 Dallas, TX –
 *(Hybrid role , in\-office presence required)*
**Overview**
* Blue Yonder is a Leading AI\-driven Global Supply Chain Solutions Software Product Company and one of Glassdoor’s “Best Places to Work”
* Seeking an expert who has a strong technical foundation with the additional ability to be hands\-on with the broader engineering team as part of the development/deployment cycle, and deep knowledge of industry best practices, with the ability to implement them working with both the platform and the product teams.
* We are seeking an experienced Sr Staff Engineer with deep expertise in Java, WebFlux/Reactor Core, Spring boot, Kafka, Platform Engineering and Azure. You will play a key role in designing and developing highly scalable and low latency platform software solutions and driving technical excellence. You will have the opportunity to influence architectural decisions, build cloud\-native solutions, and ensure the best practices are applied across the software development lifecycle.
**Our Current Technical Environment**
* Software: Java, Spring boot, Gradle, GIT, Hibernate, Rest API, OAuth, WebFlux/Reactor Core
* Application Architecture: Scalable, Resilient, event driven, secure multi\-tenant Microservices architecture
* Cloud Architecture: MS Azure (ARM templates, AKS, HD insight, Application gateway, Virtue Networks, Event Hub, Azure AD)
* Frameworks/Others: Kubernetes, Kafka, Platform Engineering, Elasticsearch, Spark, NOSQL, RDBMS, Spring boot, Gradle GIT, Ignite
**What Will You Do**
* Architect and Develop: Design, implement, and maintain robust backend services using Java, Spring Boot, WebFlux/ Project Reactor, Quarkus and Reactive Programming principles.
* Cloud Solutions: Leverage Microsoft Azure services for building, deploying, and scaling applications. Work with services like Azure Kubernetes Service (AKS), helm, terraform, GitHub action and MongoDB.
* SaaS Development: Design and development of SaaS solutions, focusing on multi\-tenancy, scalability, low latency and high availability
* Event\-Driven Systems: Design and develop distributed systems using Kafka for event streaming, real\-time data processing, and messaging.
* Hands\-on Leadership: Lead by example through hands\-on coding, peer code reviews, and setting high standards for software quality, performance, and security.
* Mentorship: Provide technical guidance, and support to junior and mid\-level engineers, fostering a collaborative and innovative development environment.
* Collaboration: Work closely with cross\-functional teams including Product Management, UX, and PD to ensure seamless integration and delivery of features.
* Performance Optimization: Identify performance bottlenecks, troubleshoot complex issues, and optimize code for maximum scalability and reliability.
* Best Practices: Champion software engineering best practices such as test\-driven development (TDD), continuous integration/continuous deployment (CI/CD), and secure coding standards.
**What We Are Looking For**
* Bachelor’s degree in computer science, Engineering, or any other relevant field
* Minimum of 12 \+ years of experience in software development with a focus on Java and Spring Boot and mircroservices architecture.
* Proven experience in Reactive Programming using frameworks like Spring WebFlux, Project Reactor, or Quarkus.
* Strong hands\-on experience with Apache Kafka for building scalable event\-driven applications.
* Expertise in Microsoft Azure cloud services, including deploying microservices and managing infrastructure.
* Deep understanding of microservices architecture, RESTful APIs, and designing scalable backend systems.
* Strong knowledge of relational databases (e.g., PostgreSQL, MySQL) and NoSQL databases (e.g., MongoDB).
* Experience with containerization and orchestration tools such as Docker and Kubernetes.
* Strong problem\-solving skills, with a proactive and detail\-oriented approach.
* Excellent communication skills, with the ability to explain complex technical concepts to diverse audiences.
**Preferred Skills**
* Experience with CQRS and Event Sourcing patterns.
* Familiarity with DevOps practices and Infrastructure as Code tools like Terraform or Azure Resource Manager (ARM) templates.
* Knowledge of GraphQL and gRPC is a plus.
* Experience in building high\-availability systems and disaster recovery planning.
* Contributions to open\-source projects and active participation in tech communities.
 Synonym title \- Sr Staff Software Engineer
 The salary range for this position is $129,553 \- $189,615
 The salary range information provided, reflects the anticipated base salary range for this position based on current national data. Minimums and maximums may vary based on location. Individual salary will be commensurate with skills, experience, certifications or licenses and other relevant factors. In addition, this role will be eligible to participate in either the annual performance bonus or commission program, determined by the nature of the position.
**Benefits**
 At Blue Yonder, we care about the wellbeing of our employees and those most important to them. This is reflected in our robust benefits package and options that includes:
* Comprehensive Medical, Dental and Vision
* 401K with Matching
* Flexible Time Off
* Corporate Fitness Program
* A variety of voluntary benefits such as; Legal Plans, Accident and Hospital Indemnity, Pet Insurance and much more
 At Blue Yonder, we are committed to a workplace that genuinely fosters inclusion and belonging in which everyone can share their unique voices and talents in a safe space. We continue to be guided by our core values and are proud of our diverse culture as an equal opportunity employer. We understand that your career search may look different than others, and embrace the professional, personal, educational, and volunteer opportunities through which people gain experience.
**Our Values**
 If you want to know the heart of a company, take a look at their values. Ours unite us. They are what drive our success – and the success of our customers. Does your heart beat like ours? Find out here: Core Values
 All qualified applicants will receive consideration for employment without regard to race, color, religion, sex, sexual orientation, gender identity, national origin, disability or protected veteran status.</t>
        </is>
      </c>
    </row>
    <row r="85">
      <c r="A85" t="inlineStr">
        <is>
          <t>li-4341932715</t>
        </is>
      </c>
      <c r="B85" t="inlineStr">
        <is>
          <t>Principal, Software Engineer, Backend</t>
        </is>
      </c>
      <c r="C85" t="inlineStr">
        <is>
          <t>Walmart</t>
        </is>
      </c>
      <c r="D85" t="inlineStr">
        <is>
          <t>linkedin</t>
        </is>
      </c>
      <c r="E85" t="inlineStr"/>
      <c r="F85" t="inlineStr"/>
      <c r="G85" t="inlineStr">
        <is>
          <t>Bentonville, AR</t>
        </is>
      </c>
      <c r="H85" t="inlineStr"/>
      <c r="I85" t="inlineStr">
        <is>
          <t>Position Summary...
**What You'll Do...About Team**
 The Walmart Emerging\-Tech group is a group charted to drive the creation of the next generation retail and shopping experiences for both online and in\-store. The group leads Walmart’s efforts in the areas of Emerging Content, XR, Conversational AI, Voice Assistants, and more. As the Emerging Content team, we are building completely new capabilities to allow our customers discover and interact with products online. In addition to the end\-user experiences the group also builds platform APIs and tools to enable other teams leverage next\-generation content.
 What you'll do:
* Stay abreast with technical advancements and drive system architecture and software development processes.
* Lead and mentor teams in the implementation of complex systems, fostering a culture of technical excellence and innovation.
* Be hands\-on in prototyping, researching, and coding scalable, consumer\-facing systems.
* Collaborate with business and product teams to achieve our long\-term business goals.
* Champion operational and engineering excellence.
* Participate in code reviews, operational reviews, architectural discussions, and troubleshooting sessions to ensure the highest standards of development.
* Provide mentorship to engineers, managers, and others to help develop great talent.
 What you'll bring:
* At least 12\+ years of software engineering experience in building highly available systems.
* BS or MS in Computer Science or related degree.
* Programming languages, particularly Java.
* Data engineering and handling large datasets.
* Databases, including vector and big data technologies.
* Distributed computing, containerization (Docker/K8s), and multi\-cloud.
* Proven track record of building successful software systems from inception to deployment.
* Proven track record of building solutions that solve highly complex business problems.
* Outstanding problem\-solving skills, with the ability to make design trade\-offs, balancing long\-term "big picture" considerations with short\-term implications of design decisions.
* Expertise in distributed systems, service\-oriented architecture, CI/CD, and operational excellence best practices.
* Effective communication and collaboration skills, including consensus building, conflict resolution, influence, and persuasion skills.
* Proven track record of mentoring and coaching engineers in technical problem\-solving and career development.
* Curiosity and strong ability to learn new domains and technologies.
* Preferred experience with GenAI technologies such as LLMs and RAG and Cloud\-based AI platforms like GCP Vertex AI or Azure.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Your Career Journey at Walmart
 At Walmart, we want to make sure your experience connecting with us is seamless and straightforward. Here’s what to expect when interacting with us as recruiters:
 We’ll reach out via verified LinkedIn profiles or emails ending in "@walmart.com.” or “@samsclub.com”. All job opportunities and applications are hosted on our official careers site: http://careers.walmart.com. There is no cost or payment required to apply or be considered for a position.
 If you have any doubts about a communication, feel free to visit our careers page to verify authenticity. Thank you for exploring opportunities at Walmart!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$110,000\.00 \- $220,000\.00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5 years’ experience in software engineering or related area.
 Option 2: 7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3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805 Se Moberly Ln,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86">
      <c r="A86" t="inlineStr">
        <is>
          <t>li-4363487618</t>
        </is>
      </c>
      <c r="B86" t="inlineStr">
        <is>
          <t>Software Developer (Entry Level)</t>
        </is>
      </c>
      <c r="C86" t="inlineStr">
        <is>
          <t>Epic</t>
        </is>
      </c>
      <c r="D86" t="inlineStr">
        <is>
          <t>linkedin</t>
        </is>
      </c>
      <c r="E86" t="inlineStr"/>
      <c r="F86" t="inlineStr"/>
      <c r="G86" t="inlineStr">
        <is>
          <t>Omaha, NE</t>
        </is>
      </c>
      <c r="H86" t="inlineStr"/>
      <c r="I86"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87">
      <c r="A87" t="inlineStr">
        <is>
          <t>li-4355346282</t>
        </is>
      </c>
      <c r="B87" t="inlineStr">
        <is>
          <t>Senior Software Engineer II, Applied Training</t>
        </is>
      </c>
      <c r="C87" t="inlineStr">
        <is>
          <t>CoreWeave</t>
        </is>
      </c>
      <c r="D87" t="inlineStr">
        <is>
          <t>linkedin</t>
        </is>
      </c>
      <c r="E87" t="inlineStr"/>
      <c r="F87" t="inlineStr"/>
      <c r="G87" t="inlineStr">
        <is>
          <t>Sunnyvale, CA</t>
        </is>
      </c>
      <c r="H87" t="inlineStr"/>
      <c r="I87"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A lab signs with CoreWeave. They have thousands of GPUs waiting. Their first month? Spent on cluster setup instead of research. Building deployment scripts, fighting container images, wiring up job orchestration. They came to train models. Instead, they're doing operations.
 This is the problem. We're building the Applied Training team to fix it.
 You'll be an early member of a small team, responsible for our Kubernetes\-native research cluster platform, or the sandbox client for agentic training and evaluation, or possibly a new project altogether. The goal is specific: Give every CoreWeave customer the research infrastructure that currently only exists inside frontier labs.
**About The Role**
* Contribute to the roadmap for Applied Training. Figure out what actually unlocks new workloads and what's just nice to have. Work directly and closely with customers, and other teams inside of CoreWeave that are building cloud native primitives. Compute, storage, networking, etc.
* For the research cluster platform: design and build a complete research cluster experience. CLI, job configuration schema, Kubernetes operators, daemons. Solve the problems researchers actually hit: code distribution, checkpoint\-triggered evaluation, cross\-cluster scheduling, programmatic job control. Replace the patchwork of scripts customers keep building on their own.
* For sandbox infrastructure: own the Python SDK and work in a very tight loop with the backend team. When an RL training run needs to spawn thousands of isolated containers for agent rollouts, that's this system. When someone wants to run agent benchmarks at scale, that's this system. Make it work with our Kubernetes clusters, storage, and auth so researchers don't have to think about infrastructure.
* Write the documentation for running popular OSS training frameworks on CoreWeave. The work that can unblock customers and help them succeed.
* Work with infrastructure teams and customers directly. The customers are large AI labs running thousands of GPUs. Understand how they structure their internal supercomputing stacks. Bring that knowledge back to what we build.
**Who You Are**
* 5\-8\+ years building distributed systems, ML infrastructure, or developer platforms.
* Real Kubernetes experience: custom controllers, operators, scheduling, CRDs, workload orchestration at scale. Not just deploying things to Kubernetes or cluster administration.
* Excited about rigorous engineering, but enabled by AI based workflows.
* You understand what makes researchers productive. Code distribution matters. Fast iteration cycles matter. Workflows that don't require becoming infrastructure experts matter.
* Familiarity with training: how distributed jobs get scheduled, how ranks initialize, what breaks at scale.
* You've shipped infrastructure that other people rely on daily. Not prototypes. Production systems.
* Good communicator. Can work with customers, translate researcher complaints into system designs.
**Preferred**
* Experience building internal ML platforms or research clusters at a company doing large\-scale training.
* Familiarity with agentic AI: RL training with rollouts, agent evaluation, sandbox isolation for running untrusted code.
* Background with Slurm, Ray, or similar workload orchestration. Opinions on where they fall short.
* Experience with container runtimes, isolation (gVisor, Kata), or serverless platforms.
* OSS contributions to Kubernetes SIGs, Ray, PyTorch, or similar.
**Wondering if you’re a good fit?** 
**We believe in investing in our people and value candidates who can bring their diverse experiences to our teams – even if you aren't a 100% skill or experience match.**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$139,000 to $204,000\.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88">
      <c r="A88" t="inlineStr">
        <is>
          <t>li-4321404166</t>
        </is>
      </c>
      <c r="B88" t="inlineStr">
        <is>
          <t>Software Developer (Entry Level)</t>
        </is>
      </c>
      <c r="C88" t="inlineStr">
        <is>
          <t>Epic</t>
        </is>
      </c>
      <c r="D88" t="inlineStr">
        <is>
          <t>linkedin</t>
        </is>
      </c>
      <c r="E88" t="inlineStr"/>
      <c r="F88" t="inlineStr"/>
      <c r="G88" t="inlineStr">
        <is>
          <t>Bloomington, IL</t>
        </is>
      </c>
      <c r="H88" t="inlineStr"/>
      <c r="I88"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89">
      <c r="A89" t="inlineStr">
        <is>
          <t>li-4348845298</t>
        </is>
      </c>
      <c r="B89" t="inlineStr">
        <is>
          <t>Senior Software Engineer II, Care, AI Servicing Platform</t>
        </is>
      </c>
      <c r="C89" t="inlineStr">
        <is>
          <t>Spring Health</t>
        </is>
      </c>
      <c r="D89" t="inlineStr">
        <is>
          <t>linkedin</t>
        </is>
      </c>
      <c r="E89" t="inlineStr"/>
      <c r="F89" t="inlineStr"/>
      <c r="G89" t="inlineStr">
        <is>
          <t>San Francisco, CA</t>
        </is>
      </c>
      <c r="H89" t="inlineStr"/>
      <c r="I89" t="inlineStr">
        <is>
          <t>**Our mission: to eliminate every barrier to mental health.**
 At Spring Health, we’re on a mission to revolutionize mental healthcare by removing every barrier that prevents people from getting the help they need, when they need it. Our clinically validated technology,
 **Precision Mental Healthcare** 
 , empowers us to deliver the right care at the right time—whether it’s therapy, coaching, medication, or beyond—tailored to each individual’s needs.
 We proudly partner with over 450 companies, from startups to multinational Fortune 500 corporations, as a leading provider of mental health service, providing care for 10 million people. Our clients include brands you use and know like Microsoft, Target, and Delta Airlines, all of whom trust us to deliver best\-in\-class outcomes for their employees globally. With our innovative platform, we’ve been able to generate a
 **net positive ROI** 
 for employers and we are the only company in our category to earn
 **external validation** 
 of net savings for customers.
 We have raised capital from prominent investors including Generation Investment, Kinnevik, Tiger Global, Northzone, RRE Ventures, and many more. Thanks to their partnership and our latest Series E Funding, our current valuation has reached $3\.3 billion. We’re just getting started—join us on our journey to make mental healthcare accessible to everyone, everywhere.
 The Care Foundations group is building a new Servicing Platform team that leverages AI and automations to develop streamlined experiences for our members and providers. We build efficient, scalable, and intuitive solutions that will grow Spring Health to new heights.
 Reporting to the Senior Engineering Manager \- Care, this
 **Senior Software Engineer II** 
 will be a full\-time role instrumental in creating and guiding the team. You will be responsible for building a unified set of AI\-powered servicing tools that automate toilsome work. You will be a technical leader involved in driving strategic architecture decisions, a champion of technical initiatives, and a mentor to the junior engineers. You will work closely with our Product and Engineering leadership to prioritize and execute on deliverables, as a part of a collaborative team identifying the opportunities and helping create the products that transform mental healthcare for the better.
 Please note that this is a
 **hybrid role based in San Francisco** 
 , with an expectation to be in office 2\-3 days a week. Our office is located at 2 Embarcadero Ctr.
**What You Will Be Doing**
* Act as a key partner to both Product and Engineering leaders, helping ensure that we’re building the right things, in the right ways.
* Take on complex requirements and distill them into a proposal of small deliverables
* Successfully manage project priorities, deadlines, deliverables, and stakeholders
* Create opportunities for process improvements
* Mentor others on how to maintain and guide your team to raise the level of quality in everything we produce
* Quickly pivot solutions based on feedback or complexity, effectively communicating reasons for the change and path forward to rest of your team
* Manage risks, dependencies and tradeoffs inevitable in complex project delivery
**What Success Looks Like In This Role**
* Demonstrate an energetic immersion in emerging AI technologies
* Establish trust and connections within the team and across the organization.
* Build scalable architectures that support future growth and integrations.
* Elevate the standards of engineering excellence and proactively identify opportunities for improvement.
* Contribute to building a thriving team culture.
* Deliver high\-quality code and product experiences, shipping incremental value on time and with high velocity
* Foster productive relationships in engineering and across functions like Product and Design
* Show leadership as an exemplary engineer and mentor across the engineering organization
**What We Expect From You**
* Bachelor's degree in Computer Science, Electrical Engineering, or a related field
* 8\+ years of experience as an engineer or technologist, with a proven track record of delivering successful products in or adjacent to the healthcare industry, with 2\+ in leadership capacity
* At least 3 years of experience with React, TypeScript and/or Flutter
* At least 3 years of experience with Ruby on Rails and AWS
* At least 2 years of experience with modern AI technologies
* Hands on technical leadership experience leading project teams and setting technical direction
* Exceptional communication skills, with the ability to clearly explain technical decisions to non\-technical stakeholders, fostering a collaborative and purpose\-driven environment.
* An ability to navigate ambiguity, with a bias towards rapid execution over process
* Experience working in an early stage startup environment. Our ideal candidate will be comfortable with a high\-growth, dynamic, 0\-1 environment
* Ability to identify and prevent decisions that are not "two\-way door decisions"
*The target base salary range for this position is $179,000 \- $240,405 and is part of a competitive total rewards package including equity and benefits. Individual pay may vary from the target range and is determined by a number of factors including experience, location, internal pay equity, and other relevant business considerations. We review all employee pay and compensation programs annually using
 **Radford Global Compensation Database** 
 at minimum to ensure competitive and fair pay.*
**Benefits Provided By Spring Health**
**Note** 
 : We have even more benefits than listed here and below, your recruiter will provide more in\-depth information as you continue in the interview process. Benefits are subject to individual plan requirements and eligibility criteria.
* Health, Dental, Vision benefits start on your first day at Spring. You and your dependents also receive access to One Medical accounts HSA and FSA plans are also available, with Spring contributing up to $1K for HSAs, depending on your plan type.
* Employer sponsored 401(k) match of up to 2% for retirement planning
* A yearly allotment of no cost visits to the Spring Health network of therapists, coaches, and medication management providers for you and your dependents.
* We offer competitive paid time off policies including vacation, sick leave and company holidays.
* At 6 months tenure with Spring, we offer parental leave of 18 weeks for birthing parents and 16 weeks for non\-birthing parents.
* Access to Noom, a weight management program—based in psychology, that’s tailored to your unique needs and goals.
* Access to fertility care support through Carrot, in addition to $4,000 reimbursement for related fertility expenses.
* Access to Wellhub, which connects employees to the best options for fitness, mindfulness, nutrition, and sleep in one subscription
* Access to BrightHorizons, which provides sponsored child care, back\-up care, and elder care
* Up to $1,000 Professional Development Reimbursement a year.
* $200 per year donation matching to support your favorite causes.
**Not sure if you meet every requirement?** 
 Research shows that women and people from historically underrepresented communities often hesitate to apply for roles unless they meet every qualification compared to other similarly\-qualified candidates. At Spring Health, we are committed to fostering a workplace where everyone feels valued, empowered, and supported to Thrive. If this role excites you, we encourage you to apply.
**Ready to do the most impactful work of your life? Learn more about our values, what it’s like to work here, and how hypergrowth meets impact at Spring Health:** 
**Our Values**
***Our privacy policy:***
***https://springhealth.com/privacy\-policy/***
*Spring Health is proud to be an equal opportunity employer.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 We also consider qualified applicants regardless of criminal histories, consistent with applicable legal requirements. Spring Health is also committed to providing reasonable accommodations for qualified individuals with disabilities and disabled veterans. If you have a disability or special need that requires accommodation, please let us know.*</t>
        </is>
      </c>
    </row>
    <row r="90">
      <c r="A90" t="inlineStr">
        <is>
          <t>li-4342887892</t>
        </is>
      </c>
      <c r="B90" t="inlineStr">
        <is>
          <t>Staff Full Stack Software Engineer (Backend)  - Time Platform</t>
        </is>
      </c>
      <c r="C90" t="inlineStr">
        <is>
          <t>Rippling</t>
        </is>
      </c>
      <c r="D90" t="inlineStr">
        <is>
          <t>linkedin</t>
        </is>
      </c>
      <c r="E90" t="inlineStr"/>
      <c r="F90" t="inlineStr"/>
      <c r="G90" t="inlineStr">
        <is>
          <t>New York, NY</t>
        </is>
      </c>
      <c r="H90" t="inlineStr"/>
      <c r="I90"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We’re looking for a Staff Software Engineer to join our Workforce Management team. You’ll build innovative solutions that help businesses around the world manage their workforce. The products we create have a massive impact on how our customers operate at a global scale. Time Products surfaces have the highest QPS of any endpoints at Rippling, and we’re leading the company in terms of scaling our infrastructure and product experiences.
 You’ll be a technical leader in the team, building and owning highly available, reliable, and scalable systems and responsible for the entire lifecycle of critical software. Your role encompasses architectural design, hands\-on development, operational excellence, and technical mentorship for Sr and earlier career engineers on a fast\-moving team with tremendous impact.
 This is a chance to shape the future of a rapidly growing product suite, solve complex challenges, and help businesses manage their most valuable asset: their people.
**What You Will Do**
* Write Exceptional Code: Build scalable, maintainable, and high\-performance backend systems that power critical workforce management products.
* Move Fast, But with Precision: Deliver high\-quality features quickly by balancing speed and safety in your code.
* Drive Architecture \&amp; Design: Own architectural decisions and guide the full product lifecycle, from ideation to production. Utilize systems thinking to design and ship fault tolerant highly available, scalable and extendable systems.
* Collaborate Cross\-Functionally: Work closely with product managers, designers, and other teams to gather customer feedback and refine the product roadmap.
* Mentor \&amp; Lead: Support the growth of senior and junior engineers by sharing your expertise and promoting engineering best practices across the team.
* Shape the Future: As an early member of this team, you’ll have a direct influence on team culture, structure, and processes.
**What You Will Need**
* Experience: 8\+ years of experience in backend development with expertise in Python, Django, or similar technologies. Experience in building projects with clean abstractions and architecture
* Frontend Knowledge: Experience with React or JavaScript is a plus.
* Technical Expertise: Strong grasp of computer science fundamentals, algorithms, and system design. You’re comfortable developing scalable and extendable core services used in many products and can navigate complex technical challenges.
* Product Focused: You’re not just a coder—you care deeply about the end user, product design, and delivering an intuitive, polished experience.
* Entrepreneurial Spirit: You thrive in a fast\-paced, unstructured environment. You don’t just solve problems—you identify them, own them, and create solutions that have a lasting impact.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t>
        </is>
      </c>
    </row>
    <row r="91">
      <c r="A91" t="inlineStr">
        <is>
          <t>li-4363494698</t>
        </is>
      </c>
      <c r="B91" t="inlineStr">
        <is>
          <t>Software Engineer - Liquid Cooling</t>
        </is>
      </c>
      <c r="C91" t="inlineStr">
        <is>
          <t>Delta Electronics Americas</t>
        </is>
      </c>
      <c r="D91" t="inlineStr">
        <is>
          <t>linkedin</t>
        </is>
      </c>
      <c r="E91" t="inlineStr"/>
      <c r="F91" t="inlineStr"/>
      <c r="G91" t="inlineStr">
        <is>
          <t>Plano, TX</t>
        </is>
      </c>
      <c r="H91" t="inlineStr"/>
      <c r="I91" t="inlineStr">
        <is>
          <t>Delta, founded in 1971, is a global leader in switching power supplies and thermal management products with a thriving portfolio of innovative energy\-saving systems and solutions in the fields of industrial automation, building automation, telecom power, data center infrastructure, EV charging, renewable energy, energy storage, and display, to nurture the development of innovative manufacturing and sustainable cities. As a world\-class corporate citizen guided by its mission statement, “To provide innovative, clean and energy\-efficient solutions for a better tomorrow,” Delta leverages its core competence in high\-efficiency power electronics and its ESG\-embedded business model to address key environmental issues, such as climate change. Delta serves customers through its sales offices, R\&amp;D centers, and manufacturing facilities, which are spread across nearly 200 locations on five continents. Delta has 158 sales offices, 72 research and development (R\&amp;D) centers, and 48 manufacturing facilities worldwide.
 Throughout its history, Delta has received various global awards and recognition for its business achievements, innovative technologies, and dedication to ESG. Since 2011, Delta has been listed on the Dow Jones Sustainability™ World Index for 11 consecutive years. In 2021, Delta was also recognized by CDP with leadership\-level ratings for its substantial contributions to climate change and water security issues, and was named Supplier Engagement Leader for its continuous development of a sustainable value chain.
**Key Responsibilities**
 We are looking for a Software Engineer (Platform / Management Interface) to build remote management capabilities for our Coolant Distribution Unit (CDU) products. You will develop services and APIs on Ubuntu and/or OpenBMC, delivering Redfish and IPMI functionality for monitoring, control, telemetry, diagnostics, and firmware update. This role partners with firmware, system integration, and validation teams to ensure a secure, interoperable, and supportable management stack.
* Develop and maintain CDU management software on Ubuntu and/or OpenBMC (services, daemons, REST APIs, system integration).
* Implement Redfish resources and actions for CDU monitoring/control (telemetry, events, logs, diagnostics, firmware update).
* Implement and validate IPMI commands/handlers as needed for legacy management compatibility.
* Integrate platform components: sensor ingestion, inventory, logging, networking, time sync, security configuration.
* Build interoperability and validation with test automation (e.g., Python/pytest/Robot) and maintain regression pipelines.
* Troubleshoot system\-level issues across Linux/OpenBMC, networking, and management interfaces; drive root\-cause analysis.
* Collaborate with firmware and hardware teams to define interfaces, data models, and end\-to\-end control flows.
* Produce and maintain documentation: API/ICD, Redfish schema mappings, test reports, release notes.
**Minimum Qualifications**
* Bachelor’s degree in CS/CE/EE or equivalent practical experience.
* 3\+ years' experience in Linux\-based software development.
* Proficiency in C/C\+\+ and/or Python (plus scripting for automation).
* Familiarity with Linux system fundamentals: process/service management, networking, logging, packaging/deployment.
* Experience with RESTful API design or management interface development.
* Experience using Git, code review, and CI workflows.
**Preferred Qualifications**
* Experience with OpenBMC architecture (D\-Bus, phosphor services, bmcweb, Yocto builds) and platform bring\-up.
* Hands\-on experience implementing or validating Redfish (schemas, telemetry/events, action design, interoperability).
* Experience with IPMI stack development, OEM commands, or integration testing.
* Familiarity with data center infrastructure management and serviceability (diagnostics bundles, field logs, FRU/inventory).
* Security\-minded development (authn/authz, update integrity, hardening, vulnerability handling).
* Experience with quality/compliance processes (traceability, automated testing).
**Benefit at Delta Electronics Americas**
 Life at Delta
**EEO Statement**
 Delta Electronics Americas is an Equal Opportunity Employer and is committed to compliance with all applicable federal, state, and local laws. Delta Electronics America is committed to fostering a diverse, inclusive, and respectful workplace. All qualified applicants will receive consideration for employment without regard to race, color, religion, sex, sexual orientation, gender identity or expression, age, marital status, national origin, disability, veteran status, or any other protected characteristic.</t>
        </is>
      </c>
    </row>
    <row r="92">
      <c r="A92" t="inlineStr">
        <is>
          <t>li-4355377145</t>
        </is>
      </c>
      <c r="B92" t="inlineStr">
        <is>
          <t>Staff/Senior Staff Embedded Software Engineer</t>
        </is>
      </c>
      <c r="C92" t="inlineStr">
        <is>
          <t>Woodward, Inc.</t>
        </is>
      </c>
      <c r="D92" t="inlineStr">
        <is>
          <t>linkedin</t>
        </is>
      </c>
      <c r="E92" t="inlineStr"/>
      <c r="F92" t="inlineStr"/>
      <c r="G92" t="inlineStr">
        <is>
          <t>Niles, IL</t>
        </is>
      </c>
      <c r="H92" t="inlineStr"/>
      <c r="I92" t="inlineStr">
        <is>
          <t>Woodward is committed to creating a great workplace for all team members. Our company and its members are committed to acting with integrity, being respectful and accountable to one another, and staying humble and driven, while maintaining the highest professional and ethical standards.
 We are steadfastly committed to attracting the best talent across our communities creating a rewarding workplace. Together we are fulfilling our purpose to design and deliver energy control solutions our partners count on to power a clean future.
**Woodward supports our members’ wellbeing and regularly benchmarks with other companies in our industry to offer an extensive Total Reward package for this position.** 
 Salary will be determined by the applicant's education, experience, knowledge, skills, and abilities, as well as internal equity and alignment with market data.
**Staff:**
 Estimated annual base pay: $113,000 (minimum) \- $147,000 (midpoint) \- $181,000 (maximum)
**Senior Staff:**
 Estimated annual base pay: $145,000 (minimum) \- $181,000 (midpoint) \- $218,000 (maximum)
* All members included in annual cash bonus opportunity.
* 401(k) match (4\.5%)
* Annual Woodward stock contribution (5%)
* Tuition reimbursement and Training/Professional Development opportunities for all members
* 12 paid holidays, including floating holidays.
* Industry leading medical, dental, and vision Insurance upon date of hire
* Vacation / Sick Time / Vacation Buy\-up / Short Term Disability / Bereavement leave.
* Paid parental leave.
* Adoption Assistance
* Employee Assistance Program, including mental health benefits.
* Member Life \&amp; AD\&amp;D / Long Term Disability / Member Optional Life
* Member referral bonus
* Spouse / Child Optional Life / Optional AD\&amp;D / Healthcare and Dependent Care Flexible Spending
* Voluntary benefits, including:
+ Home / Auto Insurance discounts
+ Whole Life Insurance / Critical Illness Insurance / Legal Assistance / Military Leave
**Staff:**
**Key Responsibilities:**
* Technical Leadership: Guides cross functional teams in developing and implementing scalable software solutions to address complex business challenges.
* Solution Architecture: Designs and oversees the architecture of software systems, ensuring alignment with best practices and industry standards.
* Problem Solving: Leads the analysis and resolution of intricate technical issues, utilizing advanced analytical skills to identify innovative solutions.
* Strategic Advising: Partners with management to interpret business needs and recommend technology\-driven improvements to enhance products and processes.
* Mentorship and Collaboration: Mentors junior engineers and collaborates with internal and external subject matter experts to foster a culture of continuous improvement and technical excellence.
**Key Skills:**
* Advanced Software Architecture: Expertise in designing and implementing scalable, robust software architectures that address complex business requirements.
* Cross Functional Leadership: Proven ability to lead and collaborate with diverse teams across multiple disciplines to achieve project objectives.
* Complex Problem Solving: Skilled in analyzing intricate technical challenges and developing innovative, effective solutions.
* Technical Advisory: Acts as a trusted advisor to leadership on advanced technical projects, providing strategic guidance and best practices.
* Project Management: Proficient in managing medium\-to\-large\-scale projects, ensuring timely delivery and adherence to quality standards.
* Effective Communication: Capable of conveying complex technical concepts clearly to both technical and nontechnical stakeholders.
* Analytical Thinking: Utilizes sophisticated analytical methods to evaluate data and inform decision making processes.
* Process Improvement: Identifies and implements technology driven enhancements to optimize products, processes, and services.
* Strategic Networking: Builds and maintains relationships with senior experts and stakeholders to support project and organizational goals.
* Innovative Solution Development: Demonstrates creativity in developing and applying new technologies to address business challenges.
**Senior Staff:**
**Key Responsibilities:**
* Technical Leadership: Serves as the primary technical expert, providing strategic guidance and direction to engineering teams and senior leadership.
* Strategic Planning: Anticipates industry trends and business challenges, recommending and implementing technology solutions that enhance products, processes, and services.
* Complex Problem Solving: Identifies and resolves unique, high impact technical issues, leveraging innovative and conceptual thinking to develop effective solutions.
* Project Management: Leads and oversees complex, high risk engineering projects, ensuring successful execution and alignment with organizational strategy.
* Stakeholder Communication: Communicates complex technical concepts to senior executives and cross functional teams, persuading stakeholders to adopt strategic initiatives.
**Key Skills:**
* Technical Leadership: Provides expert guidance and mentorship in software engineering practices and technologies.
* Strategic Planning: Develops and contributes to the long term technical strategy aligned with business objectives.
* Complex Problem Solving: Analyzes and resolves unique and intricate technical challenges with broad business impact.
* Project Management: Manages high risk, high complexity projects from initiation through successful completion.
* Advanced Communication: Articulates complex technical concepts clearly to senior leadership and external stakeholders.
* Influence and Persuasion: Persuades senior level executives to adopt innovative technical solutions and viewpoints.
* Business Acumen: Anticipates industry trends and business needs to inform technology and product improvements.
* Innovative Thinking: Develops creative and effective solutions through conceptual and out\-of\-the\-box thinking.
* Cross Functional Collaboration: Works seamlessly with diverse teams and subject matter experts across the organization.
* Resource Allocation: Directs and optimizes the distribution of resources for various service and product initiatives.
**Successful candidates typically have:**
**Staff:**
* 4year Bachelors BS AND 8\+ years equivalent experience
* Experience in DO\-178
* Aerospace is a plus
**Senior Staff:**
* 4year Bachelors BS AND 10\+ years equivalent experience
* Experience in DO\-178
* Aerospace is a plus
 This position requires use of information which is subject to the International Traffic in Arms Regulations (ITAR) and/or the Export Administration Regulations (EAR).   All applicants must be U.S. Persons within the meaning of the ITAR and EAR, or eligible to obtain all required authorizations from the U.S. Department of State and/or the U.S. Department of Commerce. The ITAR defines a U.S. Person as a U.S. citizen or national, lawful permanent resident (i.e., 'Green Card holder'), or a protected person (e.g., asylee, or refugee).
 Woodward is an equal opportunity employer and does not discriminate in hiring or employment on the basis of race, color, religion, sex (including sexual orientation and gender identity), national origin, age, disability, protected veteran status, or any other category protected under federal, state, or local laws.</t>
        </is>
      </c>
    </row>
    <row r="93">
      <c r="A93" t="inlineStr">
        <is>
          <t>li-4347061612</t>
        </is>
      </c>
      <c r="B93" t="inlineStr">
        <is>
          <t>Software Engineer II - Artifact Management</t>
        </is>
      </c>
      <c r="C93" t="inlineStr">
        <is>
          <t>CoreWeave</t>
        </is>
      </c>
      <c r="D93" t="inlineStr">
        <is>
          <t>linkedin</t>
        </is>
      </c>
      <c r="E93" t="inlineStr"/>
      <c r="F93" t="inlineStr"/>
      <c r="G93" t="inlineStr">
        <is>
          <t>Bellevue, WA</t>
        </is>
      </c>
      <c r="H93" t="inlineStr"/>
      <c r="I93"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Artifact Management team is building and operating a large\-scale distributed system that stores, serves, and updates artifacts at massive scale. We’re looking for engineers passionate about designing high\-performance, storage\-efficient systems that power critical development workflows.
 As an engineer on the team, you’ll build a platform that enables developers to securely and seamlessly publish their artifacts.
**In this role, you will**
* Design and implement distributed storage and caching solutions for artifacts
* Evaluate and explore third\-party solutions that could accelerate our vision
* Develop APIs and services for artifact publishing, retrieval, and version management
* Optimize performance, reliability, and cost efficiency across multi\-region deployments
* Work closely with build, release, and infrastructure teams to ensure seamless integration into developer workflows
* Drive observability, automation, and resilience in a high\-traffic production environment by creating dashboards, metrics and alerts.
 Investing in our people is one of our top priorities, and we value candidates who can bring their diversified experiences to our teams. Here are some qualities we’ve found compatible with our team. We'd love to talk about whether this aligns with your experience and interests and what you’re excited to work on next.
**Who You Are**
 Minimum Qualifications
* 2\+ years of experience in a software or infrastructure engineering industry
* You have experience operating services in production and at scale.
* You have experience with Go as your primary programming language.
* Experience with infrastructure\-as\-code, CI/CD systems (e.g., GitHub Actions, ArgoCD), and containerization (e.g., Docker, Kubernetes).
* Understanding of system design, scalability and efficiency.
* Experience with third party vendors like artifactory, cloudsmith is a plus.
* Passionate about improving developer experience and enabling other engineers to do their best work.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$109,000 to $160,000\.**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94">
      <c r="A94" t="inlineStr">
        <is>
          <t>li-4365587217</t>
        </is>
      </c>
      <c r="B94" t="inlineStr">
        <is>
          <t>Software Engineer, PhD, Early Career, AI/Machine Learning, 2026 Start</t>
        </is>
      </c>
      <c r="C94" t="inlineStr">
        <is>
          <t>Google</t>
        </is>
      </c>
      <c r="D94" t="inlineStr">
        <is>
          <t>linkedin</t>
        </is>
      </c>
      <c r="E94" t="inlineStr"/>
      <c r="F94" t="inlineStr"/>
      <c r="G94" t="inlineStr">
        <is>
          <t>Kirkland, WA</t>
        </is>
      </c>
      <c r="H94" t="inlineStr"/>
      <c r="I94"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Atlanta, GA, USA; Kirkland, WA, USA; Madison, WI, USA; Mountain View, CA, USA; New York, NY, USA; Raleigh, NC, USA; Durham, NC, USA; San Bruno, CA, USA; Seattle, WA, USA** 
 .
 **Minimum qualifications:**
* PhD degree in Computer Science, ML/AI, or a related field, or equivalent practical experience.
* Experience coding in one of the following programming languages including but not limited to: Python, C, C\+\+, Java, JavaScript or Golang.
* Experience in Machine Learning or Artificial Intelligence.
**Preferred qualifications:**
* Research experience in designing, developing, or applying ML/AI systems or applications in a large\-scale distributed environment.
* Experience in designing, training, or refining complex ML/AI models.
* Experience in deep learning frameworks like TensorFlow/Jax/Pytorch.
* Experience in building a stack for an AI\-powered application, including data ingestion and processing pipelines, building APIs, and connecting the model to a user\-facing interface.
* Familiarity with model architectures (CNNs, NLP Transformers, Diffusion/Vision Transformers).
* Availability to start full\-time role in 2026\.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Google's engineers develop next\-generation technologies that change how billions of users connect, explore, and interact with information and one another. Our products need to handle information at a massive scale. You'll be at the forefront of innovation, developing systems and AI and Machine Learning solutions.
 As a PhD graduate, your research expertise is invaluable to us. Explore a variety of projects, collaborate with various teams, and contribute to products that are changing the world, across many product areas, including AI \&amp; Infrastructure , Cloud , YouTube , Search , Ads and more!
 Our engineering teams include thousands of PhDs who bring their deep knowledge and research experience to enhance our systems and products. As a Google PhD Software Engineer, you will work on critical projects, with many opportunities to learn and follow your interests. We expect our engineers to be creative and versatile, leading and identifying new problems to push the field and Google technology forward.
 Google offers you exciting opportunities as it is one of the world’s leading producers and consumers of ML and AI technology, with decades of experience in designing, deploying, and using ML software and custom ML hardware infrastructure at massive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or lead on team projects to carry out design, analysis, and development of advanced ML systems across the stack using your research expertise.
* Support building end\-to\-end ML Systems that involves working across the full stack, from low\-level hardware acceleration and compiler optimizations to high\-level model architecture and production APIs, transforming your research expertise into robust, scalable products.
* Optimize complex system performance by analyzing and fixing performance bottlenecks, memory inefficiencies, and errors in production systems to meet stringent customer goals.
* Elevate engineering excellence by writing well\-tested code, conducting code reviews and fostering a culture of quality by advocating best engineering practices.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5">
      <c r="A95" t="inlineStr">
        <is>
          <t>li-4373214363</t>
        </is>
      </c>
      <c r="B95" t="inlineStr">
        <is>
          <t>Database Software Engineer III - SQL</t>
        </is>
      </c>
      <c r="C95" t="inlineStr">
        <is>
          <t>JPMorganChase</t>
        </is>
      </c>
      <c r="D95" t="inlineStr">
        <is>
          <t>linkedin</t>
        </is>
      </c>
      <c r="E95" t="inlineStr"/>
      <c r="F95" t="inlineStr"/>
      <c r="G95" t="inlineStr">
        <is>
          <t>Columbus, OH</t>
        </is>
      </c>
      <c r="H95" t="inlineStr"/>
      <c r="I95" t="inlineStr">
        <is>
          <t>**Job Description**
 We have an exciting and rewarding opportunity for you to take your software engineering career to the next level.
 As a Software Engineer III at JPMorganChase within the Corporate Technology – Corporate Oversight \&amp; Governance group,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3\+ years of experience working with Database \&amp; BigData technologies
* Hands\-on practical experience in system design, application development, testing, and operational stability
* Proficient with PL SQL development and debugging
* Proficient with Liquibase for database change management
* Proficient with Databricks with hands\-on experience
* Experience with Data Modelling and performance optimization
* Experience in developing, debugging, and maintaining code in a large corporate environment with one or more modern programming languages and database querying languages
* Solid understanding of agile methodologies such as CI/CD, Applicant Resiliency, and Security
**Preferred Qualifications, Capabilities, And Skills**
* Knowledge of Java or Python
* Proficient with distributed systems and micro services
* Proficient with cloud technologies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96">
      <c r="A96" t="inlineStr">
        <is>
          <t>li-4338364852</t>
        </is>
      </c>
      <c r="B96" t="inlineStr">
        <is>
          <t>Lead Software Engineer - Data/ Python/ AWS</t>
        </is>
      </c>
      <c r="C96" t="inlineStr">
        <is>
          <t>JPMorganChase</t>
        </is>
      </c>
      <c r="D96" t="inlineStr">
        <is>
          <t>linkedin</t>
        </is>
      </c>
      <c r="E96" t="inlineStr"/>
      <c r="F96" t="inlineStr"/>
      <c r="G96" t="inlineStr">
        <is>
          <t>Jersey City, NJ</t>
        </is>
      </c>
      <c r="H96" t="inlineStr"/>
      <c r="I96" t="inlineStr">
        <is>
          <t>**Job Description**
 We have an opportunity to impact your career and provide an adventure where you can push the limits of what's possible.
 As a Lead Software Engineer at JPMorgan Chase within the Technology Division,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Build scalable, robust, and secure data infrastructure solutions using Python on AWS.
* Architect and implement data pipelines and platform components using Apache Iceberg, Databricks, AWS Glue, and DuckDB.
* Use tools like AWS CloudFormation and Terraform to automate deployment and management of cloud resources.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in Python and/ or Data engineering space.
* Hands\-on practical experience delivering system design, application development, testing, and operational stability
* Strong proficiency in Python. Hands\-on experience with AWS services (ECS, EKS, Lambda, S3, IAM, RDS, Fargate, Glue, etc.).
* Experience with data lake technologies, especially Apache Iceberg, Databricks, AWS Glue, and DuckDB.
* Experience with monitoring and alerting tools (CloudWatch, X\-Ray, Prometheus, Grafana, Splunk).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 AWS Certifications (e.g., Solutions Architect, Developer, Data Analytics)
* Experience with NLP, AI/ML workflow orchestration, or advanced analytics pipelines
* Prior experience in building enterprise\-scale data platforms or analytics solutions
* Experience with containerization (Docker, Kubernetes) and cloud\-native patterns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97">
      <c r="A97" t="inlineStr">
        <is>
          <t>li-4365574814</t>
        </is>
      </c>
      <c r="B97" t="inlineStr">
        <is>
          <t>Software Engineering Manager II, AI/ML GenAI, Google Cloud</t>
        </is>
      </c>
      <c r="C97" t="inlineStr">
        <is>
          <t>Google</t>
        </is>
      </c>
      <c r="D97" t="inlineStr">
        <is>
          <t>linkedin</t>
        </is>
      </c>
      <c r="E97" t="inlineStr"/>
      <c r="F97" t="inlineStr"/>
      <c r="G97" t="inlineStr">
        <is>
          <t>Durham, NC</t>
        </is>
      </c>
      <c r="H97" t="inlineStr"/>
      <c r="I97" t="inlineStr">
        <is>
          <t>Note: By applying to this position you will have an opportunity to share your preferred working location from the following:
 **Raleigh, NC, USA; Durham, NC, USA** 
 .
 **Minimum qualifications:**
* Bachelor’s degree or equivalent practical experience.
* 8 years of experience with software development in one or more programming languages (e.g., Python, C, C\+\+, Java, JavaScript).
* 5 years of experience leading ML design and optimizing ML infrastructure (e.g., model deployment, model evaluation, data processing, debugging, fine tuning).
* 3 years of experience in a technical leadership role.
* 2 years of experience with state of the art GenAI techniques (e.g., LLMs, Multi\-Modal, Large Vision Models) or with GenAI\-related concepts (language modeling, computer vision).
* 2 years of experience in a people management or team leadership role.
**Preferred qualifications:**
* Master’s degree or PhD in Engineering, Computer Science, or a related technical field.
* 3 years of experience working in a complex, matrixed organization involving cross\-functional, or cross\-business projects.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vision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Lead the design of GenAI solutions, optimize ML infrastructure, and guide the development of data preparation and model optimization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8">
      <c r="A98" t="inlineStr">
        <is>
          <t>li-4373212378</t>
        </is>
      </c>
      <c r="B98" t="inlineStr">
        <is>
          <t>Java / Spark / AWS Lead Software Engineer</t>
        </is>
      </c>
      <c r="C98" t="inlineStr">
        <is>
          <t>JPMorganChase</t>
        </is>
      </c>
      <c r="D98" t="inlineStr">
        <is>
          <t>linkedin</t>
        </is>
      </c>
      <c r="E98" t="inlineStr"/>
      <c r="F98" t="inlineStr"/>
      <c r="G98" t="inlineStr">
        <is>
          <t>Jersey City, NJ</t>
        </is>
      </c>
      <c r="H98" t="inlineStr"/>
      <c r="I98" t="inlineStr">
        <is>
          <t>**Job Description**
 We have an opportunity to impact your career and provide an adventure where you can push the limits of what's possible.
 As a Java / Spark / AWS Lead Software Engineer at JPMorganChase within Consumer and Community Bank\- Data Technology,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multi tenant platform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Demonstrated hands on software development experience with Java
* Hands\-on practical experience on building and maintaining capabilities for a large scale bigdata platform
* Hands\-on experience in AWS building micro services
* Experience with Spring boot, Spark , Kafka and Kubernetes
* Proficiency in automation and continuous delivery methods
* Proficient in all aspects of the Software Development Life Cycle
* Advanced understanding of agile methodologies such as CI/CD, Application Resiliency, and Security
* Experience in developing, debugging and maintaining code in an enterprise environment with one or more modern programming languages and database querying languages
**Preferred Qualifications, Capabilities, And Skills**
* Experience with glue, glue serverless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99">
      <c r="A99" t="inlineStr">
        <is>
          <t>li-4346935839</t>
        </is>
      </c>
      <c r="B99" t="inlineStr">
        <is>
          <t>Software Engineer (Clearance Required)</t>
        </is>
      </c>
      <c r="C99" t="inlineStr">
        <is>
          <t>Whiteboard Federal Technologies</t>
        </is>
      </c>
      <c r="D99" t="inlineStr">
        <is>
          <t>linkedin</t>
        </is>
      </c>
      <c r="E99" t="inlineStr"/>
      <c r="F99" t="inlineStr"/>
      <c r="G99" t="inlineStr">
        <is>
          <t>Reston, VA</t>
        </is>
      </c>
      <c r="H99" t="inlineStr"/>
      <c r="I99" t="inlineStr">
        <is>
          <t>Whiteboard Federal is seeking a Software Engineer who thrives in a fast\-paced, innovative, mission\-critical impact environment. The ideal candidate will have full\-stack development experience, some roles being more front or backend focused, depending on the customer’s requirements. The teams operate in a dynamic, multitasking environment that demands a keen understanding of large\-scale database and application development, data modeling, and data mapping—particularly for systems that manage Terabytes of data. This role is ideal for someone who excels in driving process improvements while ensuring the highest standards of data quality.
**Primary Responsibilities** 
* Programming/development skills and experience with languages such as, Java, Python, and TypeScript.
* Participate in software development to support innovative and enhancing software of customer applications.
* Experience with big data tools such as Spark, Hadoop, Cassandra, DynamoDB, Kinesis, SOLR, Elasticsearch.
* Experience with at least one of the following HTML, CSS, JavaScript, and at least a modern framework such as Angular, React or Vue.
* Experience with service\-based architectures and developing and consuming REST services.
* Familiarity with industry best practices for Agile software development, automated testing, and continuous integration.
* Collaborating with teammates, other service providers, vendors, and users to develop new programming methods.
**Basic Qualifications** 
* A Bachelor or Master's Degree or equivalent experience.
* Demonstrate professional experience in a technical field.
* Experience with full\-stack development.
* Knowledge of the software development lifecycle.
**Desired Skills** 
* Experience with cloud Infrastructure as Code (IaC) such as Terraform.
* Understand the role certificates play in securing an application, including establishing TLS, authenticating users, and protecting data.
* Familiar with Angular, Spring Boot, Django, FastAPI or additional frameworks.
* Demonstrated experience with cloud technologies (AWS, Azure).
**Clearance (Required)** 
* TS/SCI\+
 Whiteboard Federal is an Equal Opportunity Employer. In addition, Whiteboard is an Affirmative Action employer for veterans and individuals with disabilities. Qualified applicants will receive consideration for employment without regard to age, race, color, religion, sex, national origin, sexual orientation, gender identity, disability, veteran status, pregnancy, lactation, or any other characteristic protected by applicable law.
 To learn more about your Equal Employment Opportunity protections, please read the “EEO is the Law” poster here. To learn more about equal pay, please read the nondiscrimination policy here. To read Whiteboard Federal’s EEO policy statement, navigate here.
 Whiteboard Federal is committed to providing access to all individuals who are seeking information from our website. For those applicants requesting reasonable accommodations for the application process, please email careers@whiteboardfederal.com or call 571\-526\-4028\. A staff member will contact individuals having problems with accessibility within two business days to assist them.</t>
        </is>
      </c>
    </row>
    <row r="100">
      <c r="A100" t="inlineStr">
        <is>
          <t>li-4326873345</t>
        </is>
      </c>
      <c r="B100" t="inlineStr">
        <is>
          <t>Applied Cryptography &amp; Cybersecurity Software Engineer – Post Quantum Focus (M.S. or Ph.D.)</t>
        </is>
      </c>
      <c r="C100" t="inlineStr">
        <is>
          <t>Exponent</t>
        </is>
      </c>
      <c r="D100" t="inlineStr">
        <is>
          <t>linkedin</t>
        </is>
      </c>
      <c r="E100" t="inlineStr"/>
      <c r="F100" t="inlineStr"/>
      <c r="G100" t="inlineStr">
        <is>
          <t>Los Angeles, CA</t>
        </is>
      </c>
      <c r="H100" t="inlineStr"/>
      <c r="I100" t="inlineStr">
        <is>
          <t>**About Exponent**
**Exponent** 
 is the only premium engineering and scientific consulting firm with the depth and breadth of expertise to solve our clients’ most profoundly unique, unprecedented, and urgent challenges.
 Our vision is to engage multidisciplinary teams of science, engineering, and regulatory experts to empower clients with solutions that create a safer, healthier, more sustainable world. For over five decades, we've connected the lessons of past failures with tomorrow's solutions to advise clients as they innovate technologically complex products and processes, ensure the safety and health of their users, and address the challenges of sustainability.
 Join our team of experts with degrees from top programs at over 500 universities and extensive experience spanning a variety of industries. At Exponent, you’ll contribute to the diverse pool of ideas, talents, backgrounds, and experiences that drives our collaborative teamwork and breakthrough insights. Plus, we help you grow your career through mentoring, sponsorship, and a culture of learning. Thanks for your interest in joining our team!
**Key statistics:**
* 950\+ Consultants
* 640\+ Ph.D.s
* 90\+ Disciplines
* 30\+ Offices globally
**Our Opportunity**
 We are seeking an
 **Applied Cryptography \&amp; Cybersecurity Software Engineer – Post‑Quantum Focus** 
 to join our
 **Data Sciences** 
 Practice in
 **Irvine, CA, Los Angeles, CA, or Menlo Park, CA** 
 .
 This role is ideal for someone who thrives at the intersection of cryptography research, cybersecurity architecture, and hands‑on software engineering, and who is passionate about securing real‑world, mission‑critical systems. You will contribute to impactful projects across sectors including defense, utilities, and other critical infrastructure domains, helping to design and implement secure, resilient systems that can withstand today’s and tomorrow’s adversaries.
 You will work on cryptographic modernization and post‑quantum transition efforts, architect secure systems and protocols, and help build robust software and data infrastructure that “bakes in” security from the ground up. You’ll collaborate with multidisciplinary teams of engineers, data scientists, and domain experts to solve complex, applied security problems in production environments.
**You will be responsible for**
* Designing and architecting secure software systems and services, with strong emphasis on cryptography, key management, and secure protocol design
* Leading post‑quantum cryptography assessments and migration planning, including algorithm selection, hybrid approaches, and performance/latency tradeoff analysis
* Evaluating, integrating, and hardening cryptographic libraries, modules, and products, including FIPS‑validated components where applicable
* Developing and reviewing secure communication protocols, authentication schemes, and data‑at‑rest / data‑in‑transit protection mechanisms
* Performing security architecture reviews for new and existing systems
* Wearing multiple hats across data engineering and software teams to incorporate cryptographic controls and security best practices into data pipelines, APIs, and microservices
* Supporting the development of policies, standards, and technical guidance related to cryptographic modernization (including PQC) and cybersecurity architecture
* Translating complex cryptographic and cybersecurity concepts into clear requirements, design documents, and presentations for both technical and non‑technical stakeholders, including senior government clients
* Ensuring security controls and cryptographic implementations align with federal and industry standards (e.g., NIST PQC, CNSS, DoD directives, FedRAMP) and client‑specific compliance requirements
* Contributing to internal R\&amp;D and prototyping efforts in areas such as PQC benchmarking, secure enclaves, zero‑trust architectures, and secure DevSecOps pipelines
**You Will Have The Following Skills And Qualifications**
* Ph.D. in Computer Science, Electrical/Computer Engineering, Applied Mathematics, or a related scientific/engineering field with a focus in cryptography, cybersecurity, or information security
+ OR M.S. plus 5\+ years of post‑degree industry or government experience in applied cryptography, cybersecurity architecture, or secure software engineering
* Deep expertise in modern cryptography, including:
+ Public‑key and symmetric cryptography, key exchange, digital signatures, hashing, and MACs
+ Understanding of post‑quantum cryptography concepts and NIST PQC standards (e.g., Kyber, Dilithium, other lattice‑based or code‑based schemes)
+ Familiarity with cryptographic protocols (e.g., TLS, IPsec, SSH) and their failure modes
* Demonstrated experience designing and reviewing secure system and software architectures for mission‑critical or sensitive environments
* Strong software engineering skills, including:
+ Proficiency in at least one systems or backend language (e.g., Python, C/C\+\+, Go, Rust, or Java)
+ Experience building, testing, and maintaining production‑grade software using version control (Git or similar)
+ Familiarity with secure coding practices, code review, and CI/CD or DevSecOps workflows
* Experience integrating cryptography into real‑world systems, including:
+ Using and evaluating cryptographic libraries (e.g., OpenSSL, BoringSSL, libsodium, Bouncy Castle, AWS KMS, Azure Key Vault, or equivalent)
+ Implementing or integrating key management, HSMs, or hardware‑backed trust (e.g., TPM, secure enclaves)
* Working knowledge of cybersecurity concepts and frameworks, such as:
+ Zero‑trust architectures, identity and access management, network segmentation, logging and monitoring
+ NIST SP 800‑series guidance, DoD or IC security policies, or similar regulatory frameworks
* Experience communicating complex technical material clearly and concisely to diverse audiences, including senior leadership and non‑technical stakeholders
* Strong writing skills to enable generation of concise, clear, and accurate standards and guidance documentation
* Ability to work independently and in multidisciplinary teams, managing priorities across concurrent projects
**Highly Desirable Experience**
* Hands‑on work in post‑quantum cryptography transition or evaluation (e.g., performance benchmarking, hybrid key exchange, impact analysis on existing protocols)
* Experience with DoD, IC, or other U.S. Government clients, including familiarity with cryptography‑related policies and guidance
* Experience architecting secure solutions on major cloud platforms (AWS, Azure, or GCP), including use of managed key management and cryptographic services
* Background in secure networking, endpoint protection, or security operations as it relates to cryptographic controls
* Experience with formal methods, protocol verification, or side‑channel and implementation‑level attack considerations
* Relevant certifications (e.g., CISSP, GSEC, CSSLP, GIAC, or similar)
**Security Requirements**
 Our contracts with the United States Government for this position require:
* Proof of U.S. citizenship
* The possession of, or ability to obtain, a U.S. DoD Security Clearance (Secret or higher)
 Applicants selected will be subject to a security investigation and may need to meet eligibility requirements for access to classified information.
 Applicants are encouraged to submit a CV (Curriculum Vitae) with publications (feel free to include publications that are in review or pending) \[not restricted to 1 page].
**Life @ Exponent**
 To learn more about life at Exponent and our impact, please visit the following links:
 https://www.exponent.com/careers/life\-exponent
 https://www.exponent.com/company/our\-impact
 Attracting, inspiring, developing, and rewarding exceptional people with diverse backgrounds and expertise are central to our corporate culture. Our diverse team allows us to provide better value to our clients and enjoy an enriched work environment.
 Our firm is committed to offering a variety of programs and resources to support health and well\-being. We believe that providing competitive benefits as well as compensation and recognition programs empowers our staff to do work that makes a difference.
**Work Environment**
 At Exponent, we have found that in\-person interactions deepen employee engagement and are crucial for development, for realizing the full potential of our talented and diverse teams, and for building a more inclusive workplace where all have a sense of belonging. In our offices, you can expect a supportive culture and a collaborative, dynamic, multi\-disciplinary work environment. Our consultants engage in\-person in the office unless they are traveling for client work or other business activities.
 We value the rich lives our colleagues enjoy outside of work and understand that work/life balance is critical to our employees and their well\-being. Consultants have the autonomy to balance their work and personal schedules so you can meet with clients, visit inspection sites, attend conferences, and make time for priorities outside of work, too. It is this flexible, agile work style and working hours that allow our teams to drive innovation and results in their own ways, while meeting the needs of clients.
**Compensation**
 Our consultants are rewarded for their technical and business contributions and have an opportunity to plan for future success and career growth. Exponent's total compensation plan is consistent with its expectations of the quality and quantity of work performed and with the professional standards set by Exponent. At the Associate and Senior Associate level, total compensation includes base salary, bi\-weekly bonuses for high\-intensity efforts, annual bonus and 401(k) employer contribution of 7% of base salary.
 The base salary range for this position is dependent on experience and capabilities which will be assessed during the interview process.
**Salary Range**
 USD $133,000\.00 \- USD $145,000\.00 /Yr.
**Benefits You Will Enjoy**
 Access benefits information on our Life@Exponent page:
 https://www.exponent.com/careers/life\-exponent
 Exponent is a proud equal opportunity employer. All qualified applicants will receive consideration for employment without regard to race, color, religion, sex, national origin, veteran status, disability, sexual orientation, gender identity, or any other protected status.
 If you need assistance or accommodation due to a disability, you may email us at HR\-Accommodations@exponent.com .
**Job Locations**
 US\-CA\-Irvine
 US\-CA\-Los Angeles
 US\-CA\-Menlo Park</t>
        </is>
      </c>
    </row>
    <row r="101">
      <c r="A101" t="inlineStr">
        <is>
          <t>li-4381522253</t>
        </is>
      </c>
      <c r="B101" t="inlineStr">
        <is>
          <t>Sr Principal Software Engineer (L7 Security)</t>
        </is>
      </c>
      <c r="C101" t="inlineStr">
        <is>
          <t>Jobs via Dice</t>
        </is>
      </c>
      <c r="D101" t="inlineStr">
        <is>
          <t>linkedin</t>
        </is>
      </c>
      <c r="E101" t="inlineStr"/>
      <c r="F101" t="inlineStr"/>
      <c r="G101" t="inlineStr">
        <is>
          <t>Santa Clara, CA</t>
        </is>
      </c>
      <c r="H101" t="inlineStr"/>
      <c r="I101" t="inlineStr">
        <is>
          <t>Dice is the leading career destination for tech experts at every stage of their careers. Our client, PaloAlto Networks, is seeking the following. Apply via Dice today!
**Our Mission**
 At Palo Alto Networks ,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In the Layer\-7 Security Software team, we are responsible for at least one, often two to three headline features in every PANOS release. Our code reaches many product lines in the company, and is the critical part of delivering the highest revenue licenses the company offers. Our core Application Identification and Content Inspection Engine runs on Hardware, Virtualized, Container and Cloud\-delivered firewalls. Any features that require the inspection or extraction of layer\-7 network payload depends on our engine. We are also developing the latest Cloud\-delivered Layer\-7 security infrastructure. We design and develop key innovative security features such as the industry first Machine Learning powered NGFW, Credential Phishing prevention, URL\-filtering, Cloud\-delivered Data leak protection (DLP), and many more exciting features.
 Are you looking to tackle a variety of challenging problems across the network, firewall, and Cloud platforms with a team of collaborative and experienced software engineers? Are you eager to expand to and innovate in the latest security platforms and delivery technologies in the industry? Would you like to be part of a fast moving and engaging team that executes and delivers cutting edge features like a start\-up but with the support of an established leading security company?
 We're seeking innovators \- engineers who seek to design new products, designing state\-of\-the\-art products that do not exist today. These engineers love to code with a drive to build global products and bring new ideas to develop security disciplines to solve real\-world problems. We are looking for leaders who take ownership of their areas of focus and who are driven to pursue problems at every level. Collaboration is at the heart of our culture and we need engineers who can communicate at a high level and work well with multi\-functional teams towards achieving a common goal.
 As a key member of Layer\-7 Security group, you will be responsible for designing and developing GlobalProtect, one of the best and most popular secure network connection applications, and other security features on the next\-generation firewalls. You will work with product management on user requirements, apply your knowledge to functional design, utilize your programming skills for efficient and robust implementation, and interact with quality assurance and field support teams throughout the entire software development cycle.
 Key Responsibilities
* Innovate, design, develop and improve the Next\-Generation Firewall in terms of functionality and performance, working on GlobalProtect
* Own and be responsible for critical components in the Next\-Generation Firewall system
* Deliver features and improvements in critical components in high quality and performance
* As an expert on networking and security, work closely with team members and cross\-team to design and architect innovative solutions
**Qualifications**
 Required Qualifications
* B.S. degree in Computer Science, similar technical discipline or equivalent practical experience, Graduate degree (MS or Ph.D.) in Computer Science or similar technical discipline is preferred or equivalent military experience required
* Proficient in C programming under Linux development environment
* Experience with Go programming
* Experience with HTTP and web server backend development
* Experience with networking development, eg. TCP/UDP, Socket programming
* Experience with Redis, SQL or NoSQL database
* Experience with multi\-threaded programming and large\-scale, distributed, and/or high\-performance software design and architect
* Teammate who brings a can\-do attitude to a dynamic working environment and is comfortable learning new technologies and platforms
* Verbal and written communication skills to work with multi\-functional groups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$170,000\.00 \- $277,000\.00/yr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102">
      <c r="A102" t="inlineStr">
        <is>
          <t>li-4365465853</t>
        </is>
      </c>
      <c r="B102" t="inlineStr">
        <is>
          <t>Lead/Staff Software Engineer - Android (Bangkok based, Relocation provided)</t>
        </is>
      </c>
      <c r="C102" t="inlineStr">
        <is>
          <t>Agoda</t>
        </is>
      </c>
      <c r="D102" t="inlineStr">
        <is>
          <t>linkedin</t>
        </is>
      </c>
      <c r="E102" t="inlineStr"/>
      <c r="F102" t="inlineStr"/>
      <c r="G102" t="inlineStr">
        <is>
          <t>Los Angeles, CA</t>
        </is>
      </c>
      <c r="H102" t="inlineStr"/>
      <c r="I10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App platform team tackles Infrastructure pain points head on. The end goal is to create a robust ecosystem that the wider mobile org can reliably build within and on top of, and members of the App platform team dedicate their time and attention entirely towards this end. Examples of this include CI/CD improvements, App architecture and core\-libraries improvements, dev experience improvements, Customer experience improvements
**In this role, you’ll get to:**
* p]:inline" data\-streamdown\="list\-item"\&gt;Design, develop, and maintain Android applications that integrate with the platform’s core services and APIs
* p]:inline" data\-streamdown\="list\-item"\&gt;Partner closely with Product, Design, Backend, and Mobile engineers to define requirements, design features, and deliver cohesive user experiences
* p]:inline" data\-streamdown\="list\-item"\&gt;Drive engineering best practices for testing, quality assurance, and release readiness, including automated testing strategies
* p]:inline" data\-streamdown\="list\-item"\&gt;Build and evolve reusable platform components (SDKs, internal libraries, shared UI/infra patterns) to accelerate multiple product teams
* p]:inline" data\-streamdown\="list\-item"\&gt;Contribute to or lead initiatives involving WebView\-based architecture, including performance, security, debugging, and deep integration with native modules
* p]:inline" data\-streamdown\="list\-item"\&gt;Improve developer velocity via CI/CD pipelines for mobile (build, test automation, release flows, quality gates)
* p]:inline" data\-streamdown\="list\-item"\&gt;Raise reliability standards by improving observability: performance monitoring, crash analysis, app/service metrics, logging, and alerting
* p]:inline" data\-streamdown\="list\-item"\&gt;Identify and implement opportunities for optimization across the technology stack, focusing on cost, efficiency, velocity, and developer happiness
* p]:inline" data\-streamdown\="list\-item"\&gt;Enable cross\-team collaboration on large initiatives, improving overall code quality, architecture, and platform consistency
* p]:inline" data\-streamdown\="list\-item"\&gt;Provide thoughtful feedback and mentorship, fostering an inclusive engineering culture and strong engineering fundamentals
* p]:inline" data\-streamdown\="list\-item"\&gt;Communicate complex technical trade\-offs clearly to stakeholders across levels, including non\-technical partners
**What you’ll Need to Succeed:**
* p]:inline" data\-streamdown\="list\-item"\&gt;8\+ years of software development experience building large\-scale applications; strong craft in either native app engineering (Android) or web engineering, with openness to working across both when needed
* p]:inline" data\-streamdown\="list\-item"\&gt;3\+ years in a Tech Lead (or equivalent) role, owning execution and technical direction end\-to\-end
* p]:inline" data\-streamdown\="list\-item"\&gt;Proven experience owning production systems with significant impact on design, development, deployment, monitoring, and long\-term evolution
* p]:inline" data\-streamdown\="list\-item"\&gt;Strong engineering leadership: mentoring senior engineers, influencing across teams, and driving alignment through clear communication
* p]:inline" data\-streamdown\="list\-item"\&gt;Advanced proficiency in modern app development frameworks and architectural choices (scalable patterns, modularization, maintainability)
* p]:inline" data\-streamdown\="list\-item"\&gt;Strong understanding of app development challenges and solutions: performance, stability, backwards compatibility, and security
* p]:inline" data\-streamdown\="list\-item"\&gt;Expert\-level knowledge of testing methodologies and best practices; ability to drive end\-to\-end test strategy (e.g., UI/E2E automation)
* p]:inline" data\-streamdown\="list\-item"\&gt;Practical experience improving engineering throughput through CI/CD (automated builds, test pipelines, release workflows)
* p]:inline" data\-streamdown\="list\-item"\&gt;Ability to use data and telemetry to guide improvements; experience with observability for app/service performance is a strong advantage
* p]:inline" data\-streamdown\="list\-item"\&gt;Strong problem\-solving: can do deep research, make decisions on complex projects, and balance independence with collaboration
* p]:inline" data\-streamdown\="list\-item"\&gt;Bachelor’s degree in Computer Science, Engineering, or related field
**It’s great if you have:**
* p]:inline" data\-streamdown\="list\-item"\&gt;Experience working across both native mobile and web applications (one strong core skill is enough; openness to the other is key)
* p]:inline" data\-streamdown\="list\-item"\&gt;Experience in a platform team building reusable solutions used by multiple teams/products
* p]:inline" data\-streamdown\="list\-item"\&gt;Hands\-on experience with WebView internals (rendering/performance/debugging, JS bridges, security, architecture decisions)
* p]:inline" data\-streamdown\="list\-item"\&gt;Proficiency in writing and maintaining end\-to\-end tests (e.g., Espresso/UI Automator/Detox/Appium or equivalents depending on stack)
* p]:inline" data\-streamdown\="list\-item"\&gt;Experience building or maintaining CI/CD for native apps (build automation, test automation, release management, feature flags)
* p]:inline" data\-streamdown\="list\-item"\&gt;Experience with observability (crash analytics, performance monitoring, tracing/metrics/logging, SLO\-driven improvements)
* p]:inline" data\-streamdown\="list\-item"\&gt;Experience in scaled product/internet companies with high traffic, large user bases, and high transaction volume
* p]:inline" data\-streamdown\="list\-item"\&gt;Experience with cross\-platform technologies (React Native, WebViews, Flutter, etc.) and making pragmatic trade\-off decisions
**This position is based in Bangkok, Thailand (Relocation Provided)**
 \#sanfrancisco \#newyork \#seattle \#bangalore \#london \#toronto \#sydney \#washingtonDC \#boston \#losangeles \#austin \#dallas \#hyderabad \#denver \#melbourne \#chicago \#atlanta \#vancouver \#berlin \#saopaulo \#IT \#ENG \#4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103">
      <c r="A103" t="inlineStr">
        <is>
          <t>li-4323456583</t>
        </is>
      </c>
      <c r="B103" t="inlineStr">
        <is>
          <t>Staff Software Engineer, Product Engineering, Americas</t>
        </is>
      </c>
      <c r="C103" t="inlineStr">
        <is>
          <t>Ashby</t>
        </is>
      </c>
      <c r="D103" t="inlineStr">
        <is>
          <t>linkedin</t>
        </is>
      </c>
      <c r="E103">
        <f>HYPERLINK("https://www.linkedin.com/jobs/view/4323456583", "https://www.linkedin.com/jobs/view/4323456583")</f>
        <v/>
      </c>
      <c r="F103">
        <f>HYPERLINK("https://jobs.ashbyhq.com/Ashby/6a15668c-3f98-4404-8f1f-927cddfc5af7?utm_source=PRgMeEgv1Z&amp;urlHash=nycW", "https://jobs.ashbyhq.com/Ashby/6a15668c-3f98-4404-8f1f-927cddfc5af7?utm_source=PRgMeEgv1Z&amp;urlHash=nycW")</f>
        <v/>
      </c>
      <c r="G103" t="inlineStr">
        <is>
          <t>New York, United States</t>
        </is>
      </c>
      <c r="H103" t="inlineStr"/>
      <c r="I103" t="inlineStr">
        <is>
          <t>Hi 👋🏾 I’m Abhik, Ashby's Co\-Founder and VP of Engineering. We’re looking for a versatile, persistent product engineer who’s not afraid to set up reusable building blocks across the stack and advocate for the time and space to do so. At Ashby, all our engineers ship features end\-to\-end at a high pace. Example is the best leadership. We’ll give you the room to do your best work, and you'll be our guide! If that speaks to you, read on.
 What Ashby gives you in return is the best of both early and growth\-stage environments. The agency and no\-nonsense of a seed startup: you write product specs, make product and design decisions, and build in an almost\-no\-meeting culture. While also the product\-market fit and scale of a growth\-stage startup: tens of thousands of daily users who depend on your software and eagerly await your next feature.
 We have notable customers like Notion, Linear, Shopify, and Snowflake. Our growth and retention metrics are best\-in\-class among our peers: we have tens of millions in ARR, growing \&gt;100% year over year, very low churn, and many years of runway. We’ll share more details once we meet.
 You’ve probably seen this role posted before, and it’s because we’re always expanding the team (we’re on track to double this year). We’re bubbling with ideas on how to support Talent Acquisition through software, and we’ve started the journey of building products beyond Talent Acquisition. We read every application and aim to respond to yours within 3\-4 days (often sooner).
**About The Role And How We Work**
 Our engineering culture strives to recreate the environments where we did our best work as ICs – where we had the ownership and agency to impact our users with creative and innovative software.
 I started my career building software for artists in the Visual Effects industry. It was a formative experience for me as a software engineer because success relied on my ability to be a product manager and designer. I talked to artists to understand their needs. I came up with ideas. I did industry research, designed interfaces, and prototyped ideas. I watched artists use what I built and decided what to tackle in the next iteration. No daily stand\-ups, no t\-shirt sizing, no planning meetings.
 I studied computer science to solve problems, not tickets, and this felt exactly like that. I not only felt creative and fulfilled but the agency and ownership we were given as engineers powered an incredible amount of innovation.
 Innovation came differently (or not at all) at technology startups beyond the seed stage, often through an engineer’s force of will and ability to push back against culture (rather than any encouragement from it). Engineering was narrowed to implementation and delivery, partly due to the influence of other departments and partly due to the influx of "Agile" processes like sprint planning. In those companies, I felt like a JIRA jockey.
**About**
 At Ashby, we’re building an environment that is optimistic about what engineers can own and achieve. An environment that embraces innovative engineers, and, frankly, often stays out of their way. As a Product Engineer, you’ll take ownership over a large portion of one of our products and own projects end\-to\-end (wearing hats traditionally worn by product and design). You’ll research competitors, write product specs, make wireframes, and more. To ground it with examples, product engineers at Ashby have:
* Designed and built automated interview scheduling. This feature automates scheduling by calculating possible times from a pool of interviewers and other constraints, and then presenting these times to the candidate for selection via our responsive web app. This solves the “Calendar Tetris” problem I talk about in "What We're Building."
* Built a generalized declarative filter architecture that allows users to create complex filters for any record with a consistent UI and compile it to SQL in our backend. Many user\-facing features use it.
* Specced, designed, and implemented a feature that allows users to complete signing offers entirely within Ashby. This project involved talking to customers to understand their requirements, deciding what technologies to use, building a prototype, and working with other team members to integrate the final implementation into additional features.
 What We’re Building
 As engineers, we are used to tooling that makes us
 **better** 
 at what we do. When we started Ashby, we saw the opposite with Talent Acquisition software. Recruiting teams were leveling up how they did their work, but instead of software meeting this new standard, it held them back.
 Scheduling a final round is an excellent example. Recruiting teams wanted to schedule candidates faster, track interviewer preparation and quality, and do it with half the headcount. A recruiter needed to manually collect availability from the candidate, identify qualified interviewers, perform “Calendar Tetris” to find who is available to interview the candidate, schedule on the earliest date possible, and make any last\-minute adjustments as availability changed. They must do this while considering the interview load on each individual and whether interviewers need to be trained and shadowing others. 🥵 TA software didn’t help.
 As hiring managers, we know TA is a critical function, and as engineers, we know software can do better. So, we built and continue to build Ashby to give TA teams the
 *highest* 
 standard of tooling. Software that’s intelligent and powerful. Software that provides insights into where they’re failing and automates or simplifies many of the tasks they’re underwater with. We want other functions and departments to be jealous of what TA teams can do with Ashby, and today they often are!
 Why You Should or Shouldn’t Apply
 Software Engineers Come In Many Flavors, Not All Of Which Fit Our Model. Here Are Some Things To Help You Decide If This Fits You And What You’re Looking For
* You’re not afraid to tackle any part of a technology stack. You do what’s necessary to successfully deliver a feature, whether writing frontend or choosing new infrastructure. We’ll provide a supportive environment to do it successfully (e.g., design system, SRE team).
* You’ve tackled projects with a lot of product and technical ambiguity, and you thrive at the intersection of the two. We’re not building a simple CRUD app, and many of the challenges we tackle require you to use your knowledge of our customers to build powerful abstractions and flexibility in the system to solve a class of problems.
* You know how to strike the right balance between speed and quality. Ashby wasn’t built quickly. We took four years to launch publicly because convincing customers to switch required a high\-quality product. However, time isn’t infinite, especially for a startup, so we still move with urgency—we’ve built the equivalent of three or more VC\-backed startups with a very small team.
* You are ambitious and always looking to improve your skills. For most engineers, this role will give you more freedom and responsibilities than you’ve experienced in the past. To thrive (and level up), you’ll need to be open to feedback (and we give lots of it).
* You’re an excellent collaborator and communicator. Ownership and freedom don’t mean you work in a vacuum. You’ll need to vet your decisions with the appropriate stakeholders, keep them up to date when necessary, and work with other engineers to get your projects across the finish line. Clear and concise communication helps a lot here!
* You seek to create leverage in your work. The nature of software is that you can often automate or abstract what would be tedious, time\-consuming work. Your impatience usually leads to new abstractions, tools to allow Support to debug before Engineering, new lint rules to prevent common bugs, etc.
**Put Another Way, You Shouldn’t Apply If**
* To you, a tech lead, staff, or principal engineer is someone who spends most of their time project managing or doing architecture reviews. Our most tenured engineers spend most of their time building, and we often trust them with our most challenging problems. While they lead product and technical areas and help other engineers plan their most challenging work, it’s not a requirement, nor do engineers need their sign\-off.
* You need company\-driven process and structure to get your projects across the finish line. Sprint planning and well\-defined project management processes are things you need or look to others to lead. You’d rather focus on the technical details and challenges.
* You only want to do exciting work. We’re building a team of kind, collaborative folks. Customer issues and investigations are distributed across the team, including our high\-level ICs.
* You can get lost in the details. Once you start implementation, it can be hard to take a step back and think about the project as a whole. You like everything to be planned upfront.
* You haven’t led or taken ownership of projects before. You’re used to working with tech leads and taking on tasks distributed by them.
* You want to mentor earlier\-career engineers. We rely on engineers owning their projects, so we need engineers with that experience. This requires the team to be reasonably tenured. More than 90% of the team would be considered Senior or above in the industry today, so mentorship opportunities are very limited.
 Engineering Culture
 Our Engineering Culture Is Motivated By Benji’s (my Co\-founder And CEO) And My Belief That a Small, Talented Team, Given The Right Environment, Can Build High\-quality Software Fast (and Work Regular Hours!). We Do It Through
* Minimal process with ownership over decisions normally made by product and design
* Natural collaboration and deliberate communication
* Investing in tools and abstractions that give us leverage
* Putting effort into building a diverse team
**Minimal Process \&amp; Lots of Ownership**
 The best engineers we’ve worked with delivered reliably magical outcomes. They took customer problems and relentlessly drove them to solutions that were not only successful but often brilliant and creative. While they did this with minimal oversight, stakeholders were never in the dark as to what was going on, and no setback was a surprise.
 Traditional product\-development processes aren’t meant for the best engineers. Their purpose is to create consistent outcomes regardless of the engineer’s skill. But, consistency comes at the expense of an engineer’s time and freedom—both ingredients necessary to generate those magical outcomes. As a result, process stifles the best engineers and doesn’t give others the opportunity to practice the behaviors that made the best engineers the “best.”
 At Ashby, we want to build an environment that encourages every engineer to be their best. So, at Ashby, every Engineer runs their project. Product Managers (and Designers) build strategy, do customer research, and hand off problem briefs to Engineers. Engineers take on the rest: they research the problem, write product specs, build wireframes, and implement their solution end\-to\-end. We rely on engineers, not process, to push information outward to the relevant folks (e.g., Product Managers) and pull folks in to help (e.g., Designers, Infra). It’s a new level of ownership for many engineers, but we’d rather an engineer fail a bit and coach up their skills than use process as a crutch. Not everyone succeeds in our culture, but those who do
 *thrive* 
 .
**Collaboration is Natural \&amp; Communication is Deliberate**
 Our engineering team consists of lifelong learners who are talented but also humble and kind (meet them here!). These attributes create an environment where collaboration happens naturally. We combine this with research, prototyping, and written proposals to see around corners and get feedback from the team across time zones. Focus time is something that we hold sacred, and, with thoughtful and deliberate communication, engineers are in \&lt;2h meetings per week (I wrote about it here).
 To drive it home, here's a recent calendar of an engineer who has been with us for over 4 years:
 We also meet in person at least twice a year, once as a department and once as a company. You also have a small budget to meet up with folks in your city/region.
**Increase Leverage, not Team Size**
 We Built Ashby With The Quality, Breadth, And Depth That Many Customers Would Expect From Much Larger Teams Over Larger Time Scales. We’ve Done This Through Investment In
* Great developer tooling. Our CI/CD takes \~10m, and we deploy at least 15x a day. A debugger that works out of the box. Everyone on the team has contributed to our developer experience 💪🏾.
* Building blocks to create powerful and customizable products fast. At the core of Ashby is a set of common components (analytics modeling and query language, policy engine, workflow engine, design system) that we constantly improve. Each improvement to a common component cascades throughout our app (short video below).
**And a Demo Of One Of These Building Blocks**
 Here’s an impromptu quote from Arjun in our company Slack of what it’s like to build a feature at Ashby:
**Put Effort into Diversity**
 Diverse teams drive innovation and better outcomes. Having seen my mother and partner build their careers as minority women in non\-diverse fields, I want to make sure Ashby creates opportunities for the next generation of engineers from underrepresented groups.
 Today, 21% of engineers at Ashby are from underrepresented groups. It’s not great, and we are taking conscious steps to improve, like sourcing diverse candidates, providing generous paid family leave, no leetcode interviews, and more.
**Interview Process**
 At Ashby, our team and interview process want to help you show your best self. We’ll dive into past projects and simulate working together via pair programming, writing product and tech specs collaboratively, and talking through decisions. There are no leetcode or whiteboard exercises.
**Our Interview Process Is Three Rounds**
* Introduction call with Hiring Manager (15 to 30m, live)
* A technical screen where we pair in our actual codebase (1h, live)
* Three non\-coding interviews that focus on product thinking, technical design, and infrastructure (3h 15m, live can be split across multiple days)
 Depending on our leadership team’s bandwidth, we may start with an
 *additional* 
 30m screen with a recruiter.
 Your hiring manager will be your main point of contact and prep you for interviews. Each round will have written guidance so you know what to expect (you’ll need minimal preparation). You’ll meet 4 to 6 people in engineering (with 5\-15 minutes in each interview to ask them questions). If we don’t give an offer, we’ll provide feedback!
**Your First Three Months at Ashby**
 We want an exceptional onboarding experience for every new hire. At Ashby, your dev environment is set up with a single script, you push your first product change on day one, and you spend the rest of your time shipping product changes that give you a tour of our codebase and best practices. The product changes increase in scope and ambiguity from simple copy changes to the delivery of a prominent, impactful feature. Your manager will do a 30, 60, and 90\-day review to give feedback and calibrate on how we work together.
 It’s a team effort to get you successfully onboarded; you’ll have a peer paired with you to answer questions, pair program, and check in often to see if you need help. The rest of the team will run training sessions on our culture, product, engineering process, and technical architecture.
**Technology Stack**
 I’m sharing our tech stack with the caveat that we don’t require previous experience in it (but a love of typed languages is helpful 😀): TypeScript (frontend \&amp; backend), React, GraphQL API, Node.js, Postgres, Redis.
 When they joined Ashby, many of our engineers switched from other languages like Swift and Kotlin (Ben), platforms like iOS (Tom) and Windows (Sergey). We care more about fundamentals (e.g., debugging, abstractions) and how fast you learn. For folks on the team who switched, it's nice seeing changes hot reload versus waiting for XCode to compile 😅.
**Benefits**
* Competitive salary and equity.
* 10\-year exercise window for stock options. You shouldn’t feel pressure to purchase stock options if you leave Ashby —do it when you feel financially comfortable.
* Unlimited PTO, and we will encourage you to take it.
* A minimum of 12 weeks of fully paid parental leave, covered by Ashby. For folks outside the US, it may be longer to be in line with regional requirements.
* Generous equipment, software, and office furniture budget. Get what you need to be happy and productive!
* $100/month education budget with more expensive items (like conferences) covered with manager approval.
* If you’re in the US, we offer top\-tier health insurance for you and your dependents, with 100% of premiums covered by Ashby. In other countries, we provide high\-quality supplemental health insurance for you and your dependents, also fully covered by us.
 Ashby’s success hinges on hiring great people and creating an environment where we can be happy, feel challenged, and do our best work. We’re being deliberate about building that environment from the ground up. I hope that excites you enough to apply.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row>
    <row r="104">
      <c r="A104" t="inlineStr">
        <is>
          <t>li-4323436622</t>
        </is>
      </c>
      <c r="B104" t="inlineStr">
        <is>
          <t>Senior Software Engineer, Product Engineering, Americas</t>
        </is>
      </c>
      <c r="C104" t="inlineStr">
        <is>
          <t>Ashby</t>
        </is>
      </c>
      <c r="D104" t="inlineStr">
        <is>
          <t>linkedin</t>
        </is>
      </c>
      <c r="E104">
        <f>HYPERLINK("https://www.linkedin.com/jobs/view/4323436622", "https://www.linkedin.com/jobs/view/4323436622")</f>
        <v/>
      </c>
      <c r="F104">
        <f>HYPERLINK("https://jobs.ashbyhq.com/Ashby/751768c6-8d97-4e91-a57d-6b85ce4b5a37?utm_source=PRgMeEgv1Z&amp;urlHash=9pjb", "https://jobs.ashbyhq.com/Ashby/751768c6-8d97-4e91-a57d-6b85ce4b5a37?utm_source=PRgMeEgv1Z&amp;urlHash=9pjb")</f>
        <v/>
      </c>
      <c r="G104" t="inlineStr">
        <is>
          <t>Boston, MA</t>
        </is>
      </c>
      <c r="H104" t="inlineStr"/>
      <c r="I104" t="inlineStr">
        <is>
          <t>Hi 👋🏾 I’m Abhik, Ashby's Co\-Founder and VP of Engineering. We’re looking for a versatile, persistent product engineer who’s not afraid to set up reusable building blocks across the stack and advocate for the time and space to do so. At Ashby, all our engineers ship features end\-to\-end at a high pace. Example is the best leadership. We’ll give you the room to do your best work, and you'll be our guide! If that speaks to you, read on.
 What Ashby gives you in return is the best of both early and growth\-stage environments. The agency and no\-nonsense of a seed startup: you write product specs, make product and design decisions, and build in an almost\-no\-meeting culture. While also the product\-market fit and scale of a growth\-stage startup: tens of thousands of daily users who depend on your software and eagerly await your next feature.
 We have notable customers like Notion, Linear, Shopify, and Snowflake. Our growth and retention metrics are best\-in\-class among our peers: we have tens of millions in ARR, growing \&gt;100% year over year, very low churn, and many years of runway. We’ll share more details once we meet.
 You’ve probably seen this role posted before, and it’s because we’re always expanding the team (we’re on track to double this year). We’re bubbling with ideas on how to support Talent Acquisition through software, and we’ve started the journey of building products beyond Talent Acquisition. We read every application and aim to respond to yours within 3\-4 days (often sooner).
**About The Role And How We Work**
 Our engineering culture strives to recreate the environments where we did our best work as ICs – where we had the ownership and agency to impact our users with creative and innovative software.
 I started my career building software for artists in the Visual Effects industry. It was a formative experience for me as a software engineer because success relied on my ability to be a product manager and designer. I talked to artists to understand their needs. I came up with ideas. I did industry research, designed interfaces, and prototyped ideas. I watched artists use what I built and decided what to tackle in the next iteration. No daily stand\-ups, no t\-shirt sizing, no planning meetings.
 I studied computer science to solve problems, not tickets, and this felt exactly like that. I not only felt creative and fulfilled but the agency and ownership we were given as engineers powered an incredible amount of innovation.
 Innovation came differently (or not at all) at technology startups beyond the seed stage, often through an engineer’s force of will and ability to push back against culture (rather than any encouragement from it). Engineering was narrowed to implementation and delivery, partly due to the influence of other departments and partly due to the influx of "Agile" processes like sprint planning. In those companies, I felt like a JIRA jockey.
**About**
 At Ashby, we’re building an environment that is optimistic about what engineers can own and achieve. An environment that embraces innovative engineers, and, frankly, often stays out of their way. As a Product Engineer, you’ll take ownership over a large portion of one of our products and own projects end\-to\-end (wearing hats traditionally worn by product and design). You’ll research competitors, write product specs, make wireframes, and more. To ground it with examples, product engineers at Ashby have:
* Designed and built automated interview scheduling. This feature automates scheduling by calculating possible times from a pool of interviewers and other constraints, and then presenting these times to the candidate for selection via our responsive web app. This solves the “Calendar Tetris” problem I talk about in "What We're Building."
* Built a generalized declarative filter architecture that allows users to create complex filters for any record with a consistent UI and compile it to SQL in our backend. Many user\-facing features use it.
* Specced, designed, and implemented a feature that allows users to complete signing offers entirely within Ashby. This project involved talking to customers to understand their requirements, deciding what technologies to use, building a prototype, and working with other team members to integrate the final implementation into additional features.
 What We’re Building
 As engineers, we are used to tooling that makes us
 **better** 
 at what we do. When we started Ashby, we saw the opposite with Talent Acquisition software. Recruiting teams were leveling up how they did their work, but instead of software meeting this new standard, it held them back.
 Scheduling a final round is an excellent example. Recruiting teams wanted to schedule candidates faster, track interviewer preparation and quality, and do it with half the headcount. A recruiter needed to manually collect availability from the candidate, identify qualified interviewers, perform “Calendar Tetris” to find who is available to interview the candidate, schedule on the earliest date possible, and make any last\-minute adjustments as availability changed. They must do this while considering the interview load on each individual and whether interviewers need to be trained and shadowing others. 🥵 TA software didn’t help.
 As hiring managers, we know TA is a critical function, and as engineers, we know software can do better. So, we built and continue to build Ashby to give TA teams the
 *highest* 
 standard of tooling. Software that’s intelligent and powerful. Software that provides insights into where they’re failing and automates or simplifies many of the tasks they’re underwater with. We want other functions and departments to be jealous of what TA teams can do with Ashby, and today they often are!
 Why You Should or Shouldn’t Apply
 Software Engineers Come In Many Flavors, Not All Of Which Fit Our Model. Here Are Some Things To Help You Decide If This Fits You And What You’re Looking For
* You’re not afraid to tackle any part of a technology stack. You do what’s necessary to successfully deliver a feature, whether writing frontend or choosing new infrastructure. We’ll provide a supportive environment to do it successfully (e.g., design system, SRE team).
* You’ve tackled projects with a lot of product and technical ambiguity, and you thrive at the intersection of the two. We’re not building a simple CRUD app, and many of the challenges we tackle require you to use your knowledge of our customers to build powerful abstractions and flexibility in the system to solve a class of problems.
* You know how to strike the right balance between speed and quality. Ashby wasn’t built quickly. We took four years to launch publicly because convincing customers to switch required a high\-quality product. However, time isn’t infinite, especially for a startup, so we still move with urgency—we’ve built the equivalent of three or more VC\-backed startups with a very small team.
* You are ambitious and always looking to improve your skills. For most engineers, this role will give you more freedom and responsibilities than you’ve experienced in the past. To thrive (and level up), you’ll need to be open to feedback (and we give lots of it).
* You’re an excellent collaborator and communicator. Ownership and freedom don’t mean you work in a vacuum. You’ll need to vet your decisions with the appropriate stakeholders, keep them up to date when necessary, and work with other engineers to get your projects across the finish line. Clear and concise communication helps a lot here!
* You seek to create leverage in your work. The nature of software is that you can often automate or abstract what would be tedious, time\-consuming work. Your impatience usually leads to new abstractions, tools to allow Support to debug before Engineering, new lint rules to prevent common bugs, etc.
**Put Another Way, You Shouldn’t Apply If**
* To you, a tech lead, staff, or principal engineer is someone who spends most of their time project managing or doing architecture reviews. Our most tenured engineers spend most of their time building, and we often trust them with our most challenging problems. While they lead product and technical areas and help other engineers plan their most challenging work, it’s not a requirement, nor do engineers need their sign\-off.
* You need company\-driven process and structure to get your projects across the finish line. Sprint planning and well\-defined project management processes are things you need or look to others to lead. You’d rather focus on the technical details and challenges.
* You only want to do exciting work. We’re building a team of kind, collaborative folks. Customer issues and investigations are distributed across the team, including our high\-level ICs.
* You can get lost in the details. Once you start implementation, it can be hard to take a step back and think about the project as a whole. You like everything to be planned upfront.
* You haven’t led or taken ownership of projects before. You’re used to working with tech leads and taking on tasks distributed by them.
* You want to mentor earlier\-career engineers. We rely on engineers owning their projects, so we need engineers with that experience. This requires the team to be reasonably tenured. More than 90% of the team would be considered Senior or above in the industry today, so mentorship opportunities are very limited.
 Engineering Culture
 Our Engineering Culture Is Motivated By Benji’s (my Co\-founder And CEO) And My Belief That a Small, Talented Team, Given The Right Environment, Can Build High\-quality Software Fast (and Work Regular Hours!). We Do It Through
* Minimal process with ownership over decisions normally made by product and design
* Natural collaboration and deliberate communication
* Investing in tools and abstractions that give us leverage
* Putting effort into building a diverse team
**Minimal Process \&amp; Lots of Ownership**
 The best engineers we’ve worked with delivered reliably magical outcomes. They took customer problems and relentlessly drove them to solutions that were not only successful but often brilliant and creative. While they did this with minimal oversight, stakeholders were never in the dark as to what was going on, and no setback was a surprise.
 Traditional product\-development processes aren’t meant for the best engineers. Their purpose is to create consistent outcomes regardless of the engineer’s skill. But, consistency comes at the expense of an engineer’s time and freedom—both ingredients necessary to generate those magical outcomes. As a result, process stifles the best engineers and doesn’t give others the opportunity to practice the behaviors that made the best engineers the “best.”
 At Ashby, we want to build an environment that encourages every engineer to be their best. So, at Ashby, every Engineer runs their project. Product Managers (and Designers) build strategy, do customer research, and hand off problem briefs to Engineers. Engineers take on the rest: they research the problem, write product specs, build wireframes, and implement their solution end\-to\-end. We rely on engineers, not process, to push information outward to the relevant folks (e.g., Product Managers) and pull folks in to help (e.g., Designers, Infra). It’s a new level of ownership for many engineers, but we’d rather an engineer fail a bit and coach up their skills than use process as a crutch. Not everyone succeeds in our culture, but those who do
 *thrive* 
 .
**Collaboration is Natural \&amp; Communication is Deliberate**
 Our engineering team consists of lifelong learners who are talented but also humble and kind (meet them here!). These attributes create an environment where collaboration happens naturally. We combine this with research, prototyping, and written proposals to see around corners and get feedback from the team across time zones. Focus time is something that we hold sacred, and, with thoughtful and deliberate communication, engineers are in \&lt;2h meetings per week (I wrote about it here).
 To drive it home, here's a recent calendar of an engineer who has been with us for over 4 years:
 We also meet in person at least twice a year, once as a department and once as a company. You also have a small budget to meet up with folks in your city/region.
**Increase Leverage, not Team Size**
 We Built Ashby With The Quality, Breadth, And Depth That Many Customers Would Expect From Much Larger Teams Over Larger Time Scales. We’ve Done This Through Investment In
* Great developer tooling. Our CI/CD takes \~10m, and we deploy at least 15x a day. A debugger that works out of the box. Everyone on the team has contributed to our developer experience 💪🏾.
* Building blocks to create powerful and customizable products fast. At the core of Ashby is a set of common components (analytics modeling and query language, policy engine, workflow engine, design system) that we constantly improve. Each improvement to a common component cascades throughout our app (short video below).
**And a Demo Of One Of These Building Blocks**
 Here’s an impromptu quote from Arjun in our company Slack of what it’s like to build a feature at Ashby:
**Put Effort into Diversity**
 Diverse teams drive innovation and better outcomes. Having seen my mother and partner build their careers as minority women in non\-diverse fields, I want to make sure Ashby creates opportunities for the next generation of engineers from underrepresented groups.
 Today, 21% of engineers at Ashby are from underrepresented groups. It’s not great, and we are taking conscious steps to improve, like sourcing diverse candidates, providing generous paid family leave, no leetcode interviews, and more.
**Interview Process**
 At Ashby, our team and interview process want to help you show your best self. We’ll dive into past projects and simulate working together via pair programming, writing product and tech specs collaboratively, and talking through decisions. There are no leetcode or whiteboard exercises.
**Our Interview Process Is Three Rounds**
* Introduction call with Hiring Manager (15 to 30m, live)
* A technical screen where we pair in our actual codebase (1h, live)
* Three non\-coding interviews that focus on product thinking, technical design, and infrastructure (3h 15m, live can be split across multiple days)
 Depending on our leadership team’s bandwidth, we may start with an
 *additional* 
 30m screen with a recruiter.
 Your hiring manager will be your main point of contact and prep you for interviews. Each round will have written guidance so you know what to expect (you’ll need minimal preparation). You’ll meet 4 to 6 people in engineering (with 5\-15 minutes in each interview to ask them questions). If we don’t give an offer, we’ll provide feedback!
**Your First Three Months at Ashby**
 We want an exceptional onboarding experience for every new hire. At Ashby, your dev environment is set up with a single script, you push your first product change on day one, and you spend the rest of your time shipping product changes that give you a tour of our codebase and best practices. The product changes increase in scope and ambiguity from simple copy changes to the delivery of a prominent, impactful feature. Your manager will do a 30, 60, and 90\-day review to give feedback and calibrate on how we work together.
 It’s a team effort to get you successfully onboarded; you’ll have a peer paired with you to answer questions, pair program, and check in often to see if you need help. The rest of the team will run training sessions on our culture, product, engineering process, and technical architecture.
**Technology Stack**
 I’m sharing our tech stack with the caveat that we don’t require previous experience in it (but a love of typed languages is helpful 😀): TypeScript (frontend \&amp; backend), React, GraphQL API, Node.js, Postgres, Redis.
 When they joined Ashby, many of our engineers switched from other languages like Swift and Kotlin (Ben), platforms like iOS (Tom) and Windows (Sergey). We care more about fundamentals (e.g., debugging, abstractions) and how fast you learn. For folks on the team who switched, it's nice seeing changes hot reload versus waiting for XCode to compile 😅.
**Benefits**
* Competitive salary and equity.
* 10\-year exercise window for stock options. You shouldn’t feel pressure to purchase stock options if you leave Ashby —do it when you feel financially comfortable.
* Unlimited PTO, and we will encourage you to take it.
* A minimum of 12 weeks of fully paid parental leave, covered by Ashby. For folks outside the US, it may be longer to be in line with regional requirements.
* Generous equipment, software, and office furniture budget. Get what you need to be happy and productive!
* $100/month education budget with more expensive items (like conferences) covered with manager approval.
* If you’re in the US, we offer top\-tier health insurance for you and your dependents, with 100% of premiums covered by Ashby. In other countries, we provide high\-quality supplemental health insurance for you and your dependents, also fully covered by us.
 Ashby’s success hinges on hiring great people and creating an environment where we can be happy, feel challenged, and do our best work. We’re being deliberate about building that environment from the ground up. I hope that excites you enough to apply.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row>
    <row r="105">
      <c r="A105" t="inlineStr">
        <is>
          <t>li-4381513989</t>
        </is>
      </c>
      <c r="B105" t="inlineStr">
        <is>
          <t>QA / Test Engineer &amp; Software Developer</t>
        </is>
      </c>
      <c r="C105" t="inlineStr">
        <is>
          <t>SetupBoxs</t>
        </is>
      </c>
      <c r="D105" t="inlineStr">
        <is>
          <t>linkedin</t>
        </is>
      </c>
      <c r="E105">
        <f>HYPERLINK("https://www.linkedin.com/jobs/view/4381513989", "https://www.linkedin.com/jobs/view/4381513989")</f>
        <v/>
      </c>
      <c r="F105" t="inlineStr"/>
      <c r="G105" t="inlineStr">
        <is>
          <t>St Louis, MO</t>
        </is>
      </c>
      <c r="H105" t="inlineStr"/>
      <c r="I105" t="inlineStr">
        <is>
          <t>**Software Engineer \&amp; DevOps Engineer – St. Louis, Missouri (On\-Site)** 
**Full\-Time \| Immediate Onboarding** 
 We are a fast\-growing IT consulting company committed to empowering and advancing emerging technology professionals across the United States. We are currently hiring for multiple on\-site roles in
 **St. Louis, Missouri** 
 , with immediate onboarding opportunities.
 Open Positions:
 ·       IT Operations Engineer
 ·       Cloud Security Engineer
 ·       Infrastructure Engineer
 ·       Site Reliability Engineer (SRE)
 ·       Security Operations Center (SOC) Analyst
 ·       Data Engineer
 ·       Platform Engineer
 ·       AI Engineer
 ·       Business Intelligence (BI) Analyst
 ·       QA Engineer
 What We Offer:
 ·       End\-to\-end support, including accommodation and job placement assistance
 ·       H\-1B and Green Card sponsorship opportunities
 Benefits:
 ·       Fully arranged accommodation facilities
 ·       Professional development programs, including soft skills and career training
 Ready to Apply?
 Reserve your spot by completing the form below:
**Application Form:** 
 https://forms.gle/Z5V2JWHnGzJkom9B8</t>
        </is>
      </c>
    </row>
    <row r="106">
      <c r="A106" t="inlineStr">
        <is>
          <t>li-4323820456</t>
        </is>
      </c>
      <c r="B106" t="inlineStr">
        <is>
          <t>Senior Software Engineer, AI Product</t>
        </is>
      </c>
      <c r="C106" t="inlineStr">
        <is>
          <t>Vanta</t>
        </is>
      </c>
      <c r="D106" t="inlineStr">
        <is>
          <t>linkedin</t>
        </is>
      </c>
      <c r="E106">
        <f>HYPERLINK("https://www.linkedin.com/jobs/view/4323820456", "https://www.linkedin.com/jobs/view/4323820456")</f>
        <v/>
      </c>
      <c r="F106" t="inlineStr"/>
      <c r="G106" t="inlineStr"/>
      <c r="H106" t="inlineStr"/>
      <c r="I106" t="inlineStr">
        <is>
          <t>At Vanta, our mission is to help businesses earn and prove trust. We believe that security should be monitored and verified continuously, and we empower companies to practice better security and prove it with ease. Vanta has a kind and talented team, and while some have prior security experience, many have been successful at Vanta without it.
 As a Senior Applied AI Engineer at Vanta, you will play a crucial role in shaping Vanta’s AI offerings, setting technical strategy, and leading projects that leverage AI to deliver smarter, faster outcomes for our customers. You'll be part of a team integrating AI into the Vanta product, working alongside a multidisciplinary group of product engineers, machine learning engineers, product managers, designers, and security and compliance experts to implement, scale, and maintain AI\-enabled product experiences. In this role, you’ll build products that enable Vanta’s customers to leverage AI to accelerate their journey towards compliance, managing risk, and earning trust.
*Visit our* 
*Vanta Engineering Blog* 
*to learn more about what our team is working on!*
**What you’ll do as an engineer working on Applied AI at Vanta:**
* Work cross\-functionally to design and implement AI\-powered features to deliver customer value and integrate LLMs with Vanta’s existing products and systems. You’ll work with other product engineers across Vanta to understand how AI systems can accelerate product adoption at Vanta
* Instrument evaluations, guardrails, and monitoring, and review customer usage to continually improve quality
* Collaborate with AI Platform engineers shaping foundational AI systems and tooling that accelerate product teams
* Make pragmatic tradeoffs that consider business priorities, user experience, and a sustainable technical foundation
* Mentor engineers, champion good technical and product instincts, and model a collaborative, high\-ownership engineering culture
**How to be successful in this role:**
* At least 7 years of industry experience as a software engineer
* You’ve shipped LLM\-backed products and have experience with prompting, RAG, and/or agent frameworks
* You have experience designing, building, and scaling full\-stack applications, including backend systems, APIs, and frontend interfaces. You have familiarity with TypeScript, React, and Node.js, or a willingness to learn!
* You have experience improving AI systems, creating eval sets, and driving quality hill\-climbing
* You have experience mentoring other engineers and collaborating with product and design
* You have worked at rapidly scaling startups and large companies, especially with environments that prioritize a bias for action
* You are action\-driven, willing to roll up your sleeves and engage directly with users. You aren’t afraid to put on your product hat. While you bring strong opinions, you prioritize building a platform that meets users where they are
**What you can expect as a Vanta'n:**
* Industry\-competitive salary and equity
* Comprehensive medical, dental, and vision coverage, with 100% of employee\-only benefit premiums covered for most medical plans
* 16 weeks fully\-paid Parental Leave for all new parents
* Health \&amp; wellness stipend
* Remote workspace, internet, and cellphone stipend
* Commuter benefits for team members who report to the SF and NYC office
* Family planning benefits
* Matching 401(k) contribution with immediate vesting
* Flexible PTO policy, plus 80 hours of Sick Time
* 11 company\-paid holidays
* Virtual team building activities, lunch and learns, and other company\-wide events!
* Offices in SF, NYC, London, Dublin, Tel Aviv, and Sydney
 To provide greater transparency to candidates, we share base pay ranges for all US\-based job postings regardless of state. We set standard base pay ranges for all roles based on function, level, and country location, benchmarked against similar\-stage growth companies. Final offer amounts are determined by multiple factors and may vary based on candidate location, skills, depth of work experience, and relevant licenses/credentials.
*At Vanta, we are committed to hiring diverse talent of different backgrounds and as such, it is important to us to provide an inclusive work environment for all. We do not discriminate on the basis of race, gender identity, age, religion, sexual orientation, veteran or disability status, or any other protected class. As an equal opportunity employer, we encourage and welcome people of all backgrounds to apply.*
**About Vanta**
 We started in 2018, in the wake of several high\-profile data breaches. Online security was only becoming more important, but we knew firsthand how hard it could be for fast\-growing companies to invest the time and manpower it takes to build a solid security foundation. Vanta was inspired by a vision to restore trust in internet businesses by enabling companies to improve and prove their security. From our early days automating security monitoring for compliance standards like SOC 2, HIPAA and ISO 27001 to creating the world's leading Trust Management Platform, our vision remains unchanged.
 Now more than ever, making security continuous—not just a point\-in\-time check— is essential. Thousands of companies rely on Vanta to build, maintain and demonstrate their trust— all in a way that's real\-time and transparent.</t>
        </is>
      </c>
    </row>
    <row r="107">
      <c r="A107" t="inlineStr">
        <is>
          <t>li-4365588470</t>
        </is>
      </c>
      <c r="B107" t="inlineStr">
        <is>
          <t>Software Engineer, Mail</t>
        </is>
      </c>
      <c r="C107" t="inlineStr">
        <is>
          <t>Notion</t>
        </is>
      </c>
      <c r="D107" t="inlineStr">
        <is>
          <t>linkedin</t>
        </is>
      </c>
      <c r="E107">
        <f>HYPERLINK("https://www.linkedin.com/jobs/view/4365588470", "https://www.linkedin.com/jobs/view/4365588470")</f>
        <v/>
      </c>
      <c r="F107">
        <f>HYPERLINK("https://jobs.ashbyhq.com/notion/ff54d0b3-d30f-4622-b6e6-9b9c6e4132ea?source=LinkedIn&amp;urlHash=QlYv", "https://jobs.ashbyhq.com/notion/ff54d0b3-d30f-4622-b6e6-9b9c6e4132ea?source=LinkedIn&amp;urlHash=QlYv")</f>
        <v/>
      </c>
      <c r="G107" t="inlineStr">
        <is>
          <t>New York, NY</t>
        </is>
      </c>
      <c r="H107" t="inlineStr"/>
      <c r="I107"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Tuesdays, and Thursdays, our designated Anchor Days. Certain teams or positions may require additional in\-office workdays.
**About The Role**
 We’re building Notion Mail to rethink how email fits into the bigger picture of your work. Over time, it reduces context switching, connects email to the rest of Notion, and uses AI to help people move faster from “inbox” to “done.” We’re looking for a backend engineer to help build and evolve the systems behind Notion Mail, including the infrastructure, data models, and asynchronous workflows that make high\-quality syncing and AI\-powered experiences possible.
 On the backend, you’ll work on services that power inbox intelligence, such as auto\-triage and auto\-drafting workflows, and the reliability and observability that these experiences depend on. You’ll collaborate closely with product, design, and other engineering teams, and you’ll have meaningful ownership in a product that’s early enough for your work to shape the foundation and direction.
**What You'll Achieve**
* Own systems and infrastructure that power AI\-assisted email communication workflows at scale.
* Build and evolve reliable data flows and models that keep email state accurate and up to date.
* Design asynchronous processing systems that support high\-volume, low\-latency product experiences.
* Partner cross\-functionally with engineering, product, and design to deliver end\-to\-end features from backend foundations to customer facing experiences.
* Help keep production systems healthy by strengthening observability, improving performance, and increasing operational reliability over time.
**Skills You'll Need To Bring**
* Systems design \&amp; production infrastructure experience: You’ve designed systems with clear tradeoffs, and you have hands on experience with infrastructure topics like Kubernetes, observability/telemetry (e.g., Honeycomb), and operating reliable production systems.
* Strong data modeling skills: You can design durable data models and APIs that are correct, evolvable, and performant as product requirements grow.
* Ownership and initiative: You thrive in a fast\-moving, unstructured environment and are comfortable taking ownership of ambiguous problems. You act with a bias toward action and focus on results.
* Pragmatic problem\-solver: You prioritize business impact and understand the balance between craft, speed, and long\-term maintainability. You’re opinionated but not ideological, and you learn new technologies as you go.
* Collaborative and empathetic: You work well across teams, offer guidance to unblock others, and communicate clearly when aligning on technical direction.
* You don’t need to be an AI expert, but you’re curious and willing to adopt AI tools to work smarter and deliver better results
**Nice To Haves**
* Past full stack experience, or interest in doing some full stack work over time
* Experience building high\-volume asynchronous job execution and orchestration systems
* Hands\-on experience with AWS infrastructure and a background in distributed systems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$176,000 \- $207,000 per year.
 By clicking “Submit Application”, I understand and agree that Notion and its affiliates and subsidiaries will collect and process my information in accordance with Notion’s Global Recruiting Privacy Policy and NYLL 144\.</t>
        </is>
      </c>
    </row>
    <row r="108">
      <c r="A108" t="inlineStr">
        <is>
          <t>li-4349578900</t>
        </is>
      </c>
      <c r="B108" t="inlineStr">
        <is>
          <t>Backend Software Engineer - B2B Applications</t>
        </is>
      </c>
      <c r="C108" t="inlineStr">
        <is>
          <t>OpenAI</t>
        </is>
      </c>
      <c r="D108" t="inlineStr">
        <is>
          <t>linkedin</t>
        </is>
      </c>
      <c r="E108">
        <f>HYPERLINK("https://www.linkedin.com/jobs/view/4349578900", "https://www.linkedin.com/jobs/view/4349578900")</f>
        <v/>
      </c>
      <c r="F108">
        <f>HYPERLINK("https://jobs.ashbyhq.com/openai/73eb1b69-095d-4f27-84ba-54f5df9bc230/application&amp;urlHash=AX-n", "https://jobs.ashbyhq.com/openai/73eb1b69-095d-4f27-84ba-54f5df9bc230/application&amp;urlHash=AX-n")</f>
        <v/>
      </c>
      <c r="G108" t="inlineStr">
        <is>
          <t>San Francisco, CA</t>
        </is>
      </c>
      <c r="H108" t="inlineStr"/>
      <c r="I108" t="inlineStr">
        <is>
          <t>**About The Team**
 OpenAI’s mission is to make AGI beneficial for all of humanity and our mission is successful only if AGI drives
 *real* 
*benefits* 
 across all industries in the world. Our goal in B2B applications is to enable this mission by helping businesses, enterprises \&amp; governments redefine how they operate to empower people and accelerate economic growth.
 We build and operate the products that bring our cutting\-edge research to millions of companies and developers worldwide. We power the OpenAI API and the Enterprise products that empower people around the world to do their jobs better and more efficiently. Our teams span product engineering, backend infrastructure, and safety, working together to ensure that OpenAI’s technology is delivered with reliability, security, and a world\-class user experience.
**About The Role**
 We’re looking for backend engineers to design and scale the systems that drive our developer and enterprise\-facing products. In this role, you’ll architect and maintain the services and infrastructure that power OpenAI applications—from large\-scale distributed systems and databases to APIs and data pipelines. You’ll collaborate closely with product, research, and infrastructure teams to bring new AI capabilities to production while ensuring performance, safety, and compliance at global scale.
**In This Role, You Will**
* Own the end\-to\-end development lifecycle for new platform capabilities and integrations with other systems
* Collaborate closely with product, design and external customers to understand problems and implement effective solutions
* Work with the research team to improve our next generation of models
**Your Background Might Look Something Like**
* 2\+ years of professional engineering experience (excluding internships) in relevant roles at tech and product\-driven companies
* Former founder, or early engineer at a startup who has built a product from scratch is a plus
* Are proficient in one or more backend languages (e.g., Python, Go, Rust, Typescript or similar) and distributed systems concepts.
* Enjoy building infrastructure that supports billions of requests and petabytes of data.
* Care deeply about reliability, safety, and performance in production environments.
* Interest in AI/ML (direct experience not required)
* Proven ability to thrive in fast\-growing, product\-driven companies by effectively navigating loosely defined tasks and managing competing priorities or deadlines.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109">
      <c r="A109" t="inlineStr">
        <is>
          <t>li-4233871803</t>
        </is>
      </c>
      <c r="B109" t="inlineStr">
        <is>
          <t>Software Engineer, Backend</t>
        </is>
      </c>
      <c r="C109" t="inlineStr">
        <is>
          <t>Siro</t>
        </is>
      </c>
      <c r="D109" t="inlineStr">
        <is>
          <t>linkedin</t>
        </is>
      </c>
      <c r="E109">
        <f>HYPERLINK("https://www.linkedin.com/jobs/view/4233871803", "https://www.linkedin.com/jobs/view/4233871803")</f>
        <v/>
      </c>
      <c r="F109">
        <f>HYPERLINK("https://jobs.ashbyhq.com/siro/7c51da07-a0fe-4cc9-8216-e4b4d15ad721?src=LinkedIn&amp;urlHash=4h2n", "https://jobs.ashbyhq.com/siro/7c51da07-a0fe-4cc9-8216-e4b4d15ad721?src=LinkedIn&amp;urlHash=4h2n")</f>
        <v/>
      </c>
      <c r="G109" t="inlineStr">
        <is>
          <t>New York, United States</t>
        </is>
      </c>
      <c r="H109" t="inlineStr"/>
      <c r="I109" t="inlineStr">
        <is>
          <t>Field sales powers the economy — but most teams are struggling. Reps are buried in admin work, managers are stretched thin, and leaders can’t see what’s really happening in the field.
 Siro is redefining how field sales teams learn, perform, and win.
 We started as an AI\-powered coaching platform that helped reps improve their outcomes in the field.
 Today, we’re something much bigger — an intelligent companion that automates sales reps’ tedious admin work, gives managers real\-time visibility, and helps executives see around corners.
 Our platform integrates with systems like Salesforce, analyzing thousands of in\-person sales conversations to surface insights, automate workflows, and drive better outcomes across the org. Think
 *Iron Man’s* 
 Jarvis for sales — proactive, personalized, and built directly into the tools teams already use.
 Siro has raised $75M and is backed by world\-class investors like Index, Fika, CRV, and SignalFire. We are trusted by leading home\-improvement, retail, hospitality, and automotive brands, and powered by a lean team from Meta, McKinsey, Doordash, and Uber.
 We’re building the future of human\-AI collaboration in sales — and we’re just getting started.
 Key Responsibilities
* Build platform and backend systems at Siro, across recording, integrations, AI agents, and more!
* Own the end\-to\-end development of key features, from architectural decisions through implementation, deployment, and support
* Design and build scalable backend services that handle real\-time processing of sales conversations
* Drive technical excellence through thoughtful code reviews, documentation, and engineering best practices
* Partner closely with product and design teams to transform customer needs into elegant technical solutions
* Own the health of our systems and products, and make data\-driven decisions
* Help evolve our development practices and tooling to enable sustainable scaling while maintaining velocity
**Requirements**
* We expect 3\+ years of professional software engineering experience.
* You are excited to work in our NYC office 3\+ days a week with the rest of the team.
* You have strong proficiency in modern programming languages, databases, API frameworks, and cloud platforms (like GCP)
* You are a strong problem solver, with the ability to think critically and approach challenges with a first\-principles mindset.
* You have strong communication skills, able to articulate complex technical concepts to both technical and non\-technical stakeholders.
 Our Tech Stack
 In case you’re curious, we use the following technologies (and more), but proficiency in any specific technology is not required.
* Frontend: React Native, Svelte, TypeScript
* Mobile: Swift, Kotlin
* Backend: Node.js, Typescript, serverless functions
* Cloud: Google Cloud Platform (GCP)
* Other tools: Git, Datadog, Figma
 Why Join Siro?
* Growth: Join a rapidly scaling Series B startup with proven product\-market fit
* Technology: Work with cutting\-edge AI technologies and a modern tech stack
* Team: Collaborate with an experienced CEO (previously built a successful sales tool used by 100,000\+ reps) and top\-tier team
* Ownership: Take end\-to\-end ownership of features that directly impact our users
* Learning: Work across the full stack and grow your technical breadth
* Impact: Help democratize sales success and create opportunities for millions of sales professionals
 What Sets You Apart
* You're a collaborative team player with a "we before me" mindset, always ready to support and elevate your colleagues.
* You have high standards for excellence and aren't afraid to voice your opinion to push for quality.
* You think strategically beyond code, considering business and design implications in your work.
* You actively leverage AI coding tools to assist you during development.
* You thrive in an agile environment with low management overhead.
* You're creative and can think outside the box to solve complex problems in innovative ways.
* You continuously look to grow your skills and your impact.
*At Siro, we are committed to creating a diverse and inclusive environment where all people feel that they are equally respected and valued, whether they are applying for an open position or working at the company. We provide equal employment opportunities to all applicants without regard to race, religion, color, national origin, gender, sexual orientation, age, marital status, veteran status, or disability status.*</t>
        </is>
      </c>
    </row>
    <row r="110">
      <c r="A110" t="inlineStr">
        <is>
          <t>li-4355393875</t>
        </is>
      </c>
      <c r="B110" t="inlineStr">
        <is>
          <t>Software Engineer, Platform Systems</t>
        </is>
      </c>
      <c r="C110" t="inlineStr">
        <is>
          <t>OpenAI</t>
        </is>
      </c>
      <c r="D110" t="inlineStr">
        <is>
          <t>linkedin</t>
        </is>
      </c>
      <c r="E110">
        <f>HYPERLINK("https://www.linkedin.com/jobs/view/4355393875", "https://www.linkedin.com/jobs/view/4355393875")</f>
        <v/>
      </c>
      <c r="F110">
        <f>HYPERLINK("https://jobs.ashbyhq.com/openai/5e4ed6d1-2417-4bf5-bae0-905931c488e3?utm_source=8lvZy0eqYJ&amp;urlHash=LJt-", "https://jobs.ashbyhq.com/openai/5e4ed6d1-2417-4bf5-bae0-905931c488e3?utm_source=8lvZy0eqYJ&amp;urlHash=LJt-")</f>
        <v/>
      </c>
      <c r="G110" t="inlineStr">
        <is>
          <t>San Francisco, CA</t>
        </is>
      </c>
      <c r="H110" t="inlineStr"/>
      <c r="I110" t="inlineStr">
        <is>
          <t>**About The Team**
 The Platform Systems team at OpenAI operates at the intersection of cutting\-edge AI and large\-scale distributed systems. We build the engineering and research infrastructure required to train OpenAI’s flagship models on some of the world’s largest, custom\-built supercomputers.
 Our team develops core model training software and works deep in the stack \- spanning collective communication, compute efficiency, parallelism strategies, fault tolerance, failure detection, and observability. The systems we build are foundational to OpenAI’s research velocity, enabling reliable, efficient training at frontier scale.
 We collaborate closely with researchers across the organization, continuously incorporating learnings from across OpenAI into the evolution of our training platform.
**About The Role**
 As a Software Engineer, Platform Systems, you will design and build distributed systems that provide visibility into large\-scale training workloads and help operate them reliably at scale.
 You’ll work on failure detection, tracing, and observability systems that identify slow or faulty nodes, surface performance bottlenecks, and help engineers understand and optimize massive distributed training jobs. This infrastructure is critical to operating OpenAI’s training stack and is actively evolving to support new use cases and increasingly complex workloads.
 This role sits at the core of our training infrastructure, blending systems engineering, performance analysis, and large\-scale debugging.
**In This Role, You Will**
* Design and build distributed failure detection, tracing, and profiling systems for large\-scale AI training jobs
* Develop tooling to identify slow, faulty, or misbehaving nodes and provide actionable visibility into system behavior
* Improve observability, reliability, and performance across OpenAI’s training platform
* Debug and resolve issues in complex, high\-throughput distributed systems
* Collaborate with systems, infrastructure, and research teams to evolve platform capabilities
* Extend and adapt failure detection systems or tracing systems to support new training paradigms and workloads
**You Might Thrive in This Role If You**
* Care deeply about performance, stability, and observability in distributed systems
* Enjoy finding and fixing issues in large\-scale systems and automating operational workflows
* Have experience writing low\-level software where system details matter
* Understand hardware, operating systems, networking, concurrency, and distributed systems
* Have a background in high\-performance computing or low\-level systems engineering
* Are excited to work on critical infrastructure that powers frontier AI research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111">
      <c r="A111" t="inlineStr">
        <is>
          <t>li-4332740363</t>
        </is>
      </c>
      <c r="B111" t="inlineStr">
        <is>
          <t>Software Engineer, Gen AI</t>
        </is>
      </c>
      <c r="C111" t="inlineStr">
        <is>
          <t>Scale AI</t>
        </is>
      </c>
      <c r="D111" t="inlineStr">
        <is>
          <t>linkedin</t>
        </is>
      </c>
      <c r="E111">
        <f>HYPERLINK("https://www.linkedin.com/jobs/view/4332740363", "https://www.linkedin.com/jobs/view/4332740363")</f>
        <v/>
      </c>
      <c r="F111" t="inlineStr"/>
      <c r="G111" t="inlineStr"/>
      <c r="H111" t="inlineStr"/>
      <c r="I111" t="inlineStr">
        <is>
          <t>**About Scale**
 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Intelligence (AGI), and building upon our prior model evaluation work with enterprise customers and governments, to deepen our capabilities and offerings for both public and private evaluations.
**About Data Engine**
 Our Generative AI Data Engine powers the world’s most advanced LLMs and generative models through world\-class RLHF (Reinforcement Learning with Human Feedback), human data generation, model evaluation, safety, and alignment. The data we are producing is some of the most important work for how humanity will interact with AI.
**Our Approach**
 As part of the interview process, you’ll be considered for opportunities across several teams within the GenAI Engineering organization, based on your interests, expertise, and business needs. Potential team placements include Allocation, Growth, Frontier Data, Trust \&amp; Safety, Pay, Operator, or Tasking Experience. Together, these teams power Scale’s AI data operations \- from building high\-impact datasets that push the boundaries of LLM capabilities, to optimizing contributor onboarding and incentives, to safeguarding data integrity through advanced trust, safety, and security measures. They work at the intersection of ML, operations, and analytics to ensure we deliver the highest\-quality data at scale.
**Responsibilities:**
* Design and implement features end\-to\-end across front\-end, back\-end, and infrastructure
* Build features end\-to\-end using technologies like TypeScript, MongoDB, and Elasticsearch, and contribute to our compute orchestration layer powered by Temporal
* Own high\-impact technical systems that are critical to Scale’s revenue delivery
* Build and iterate on complex systems that scale to millions of tasks per week
* Collaborate with model teams, Forward Deployed Engineers, and cross\-functional stakeholders
* Help shape the engineering culture, values, and best practices of a fast\-growing team
**Requirements:**
* 3\+ years of relevant software engineering experience
* Track record of building and shipping products at scale
* Ability to thrive in a fast\-paced, high\-ownership environment
* Strong product intuition and problem\-solving skills
* Experience across the stack: React, Typescript, Node, Python, etc.
* Excited to join a hybrid team based in San Francisco or New York City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$124,000—$155,000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112">
      <c r="A112" t="inlineStr">
        <is>
          <t>li-4268919673</t>
        </is>
      </c>
      <c r="B112" t="inlineStr">
        <is>
          <t>Software Engineer, Full Stack (People Innovation)</t>
        </is>
      </c>
      <c r="C112" t="inlineStr">
        <is>
          <t>OpenAI</t>
        </is>
      </c>
      <c r="D112" t="inlineStr">
        <is>
          <t>linkedin</t>
        </is>
      </c>
      <c r="E112">
        <f>HYPERLINK("https://www.linkedin.com/jobs/view/4268919673", "https://www.linkedin.com/jobs/view/4268919673")</f>
        <v/>
      </c>
      <c r="F112" t="inlineStr"/>
      <c r="G112" t="inlineStr">
        <is>
          <t>San Francisco, CA</t>
        </is>
      </c>
      <c r="H112" t="inlineStr"/>
      <c r="I112" t="inlineStr">
        <is>
          <t>**About The Team**
 At OpenAI, we’re building the connective tissue between our mission and our people. People Innovation Labs is a fast\-moving engineering team embedded in the People organization, focused on rethinking how we find and retain the best talent and empower everyone to do their best work. From recruiting to culture, we’re designing systems that give our People Team a significant edge by infusing OpenAI’s models and first\-principles thinking into every aspect of our work. Our projects range from greenfield 0\-1 products like OpenHouse (our internal knowledge hub) to AI\-powered automations and scalable recruiting tools. We’re defining the future of work at OpenAI, creating a blueprint for how AI can supercharge productivity, culture, and innovation.
**About The Role**
 We are looking for a self\-starter engineer who loves building new products in an iterative and fast\-moving environment. This team is for full stack product engineers who are deeply curious about culture, recruiting and people development, and want to know everything from the business strategy and metrics down through the code that gets us there. In this role, you will work with members of the People Team and leaders across the company to build software focused on HR, culture and recruiting from the ground up. You’ll also innovate on how we apply LLMs in these domains.
**In This Role, You Will**
* Own the full product development lifecycle for new people products end\-to\-end
* Talk to internal stakeholders to understand their problems and design solutions to address them
* Work with the research team to share relevant feedback and iterate on applying their latest models
* Collaborate with a cross\-functional team of engineers, HRBPs, recruiters, researchers, product managers, designers, and people in operations to create cutting\-edge products
**Your Background Might Look Something Like**
* 4\+ years of professional engineering experience (excluding internships) in relevant roles at tech and product\-driven companies
* Former founder, or early engineer at a startup who built a product from scratch is a plus
* Interest in building company culture and/or recruiting the world’s most talented people
* Proficiency with JavaScript, React, and other web technologies
* Proficiency with a backend language (we use Python)
* Some experience with relational databases like Postgres/MySQL
* Interest in AI/ML (direct experience not required)
* Ability to move quickly in an environment with loosely defined tasks and competing priorities or deadlines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113">
      <c r="A113" t="inlineStr">
        <is>
          <t>li-4317479274</t>
        </is>
      </c>
      <c r="B113" t="inlineStr">
        <is>
          <t>Software Engineer: Frontend</t>
        </is>
      </c>
      <c r="C113" t="inlineStr">
        <is>
          <t>Observe, Inc.</t>
        </is>
      </c>
      <c r="D113" t="inlineStr">
        <is>
          <t>linkedin</t>
        </is>
      </c>
      <c r="E113">
        <f>HYPERLINK("https://www.linkedin.com/jobs/view/4317479274", "https://www.linkedin.com/jobs/view/4317479274")</f>
        <v/>
      </c>
      <c r="F113" t="inlineStr"/>
      <c r="G113" t="inlineStr">
        <is>
          <t>San Mateo, CA</t>
        </is>
      </c>
      <c r="H113" t="inlineStr"/>
      <c r="I113" t="inlineStr">
        <is>
          <t>Observe is a SaaS Observability tool that enables Engineering and DevOps teams to troubleshoot modern distributed applications 10x faster. Observe ingests machine\-generated data and turns it into a graph of things that are understandable by humans. We enable engineers to spend more time coding features and less time investigating incidents. Because of Observe’s unique elastic architecture, our product is priced based on usage, making it cost 10x less than incumbents. Watch this video to learn more about our mission.
 Observe was founded by top enterprise VC Sutter Hill Ventures and has a founding team from leading Enterprise SaaS companies Snowflake, Splunk, and Wavefront. We’re excited to grow our front\-end engineering team. You will be spending your time working and learning from some of the best as we deliver a delightful UI that is both simple to use and powerful enough for experts to troubleshoot complex applications. View our demo.
**As a Frontend Engineer, You Will**
* Develop an interactive, data\-rich user interface using React, Typescript, D3, SASS/SCSS, etc.
* Own the end\-to\-end delivery of substantial product features.
* Work closely with product managers, UX designers, backend engineers to develop new features
* Be a strong contributor to the product vision and team planning
* Be a part of a rapidly growing startup with a strong VC backing
**What We Are Looking For**
* Experience building/maintaining complex enterprise applications
* Day\-to\-day knowledge of modern web technologies like React, Javascript, Typescript, D3, etc.
* A sophisticated understanding of how to use interfaces and design patterns to create simple and reusable components for a complex, technical UI
* Confidently can make the right trade\-offs between functionality and delivery speed so that we deliver both value and wow\-factor to customers
* Passion for front\-end development, and the impacts it has on overall customer experience.
* Growth mindset, willingness to using every opportunity to learn, discover and grow
* Open to all levels!
**What We Like**
* We aren’t interested in asking about computer science fundamentals you learned in college years ago, we care more about finding people who can apply their practical experience to get things done
* Experience with commercial dashboarding and analytics products (e.g. Splunk, Datadog, Looker, Power BI) is preferable
* Knowledge of the core building blocks in web browsers, like the DOM, CSS, Canvas, XHR, etc.
* Startup or growth\-stage experience is also preferable
**About Us**
 Observe's mission is to turn business data into information. Our SaaS Observability product ingests anything with a timestamp \- logs, metrics, traces \- and then curates and relates that data to provide unique insights into a customer’s data universe. If a customer has a problem on the application layer, engineering teams can seamlessly find the root cause of the issue whether that’s a new release pushed to production from Jenkins, or an underlying database or memory issue. We enable engineers to spend more time coding features and less time investigating incidents. We reduce outages and issues with customer experience. And we leverage an elastic cloud architecture so that customers only pay for what they use. To learn more about Observe, visit www.observeinc.com or join the conversation on Twitter @Observe\_Inc.
 Observe Inc. is a diversity\-friendly zone. We seek to assemble a heterogeneous team where employees from all backgrounds can feel valued, appreciated, and celebrated, and where individual development does not come second to our collective goals.</t>
        </is>
      </c>
    </row>
    <row r="114">
      <c r="A114" t="inlineStr">
        <is>
          <t>li-4291500677</t>
        </is>
      </c>
      <c r="B114" t="inlineStr">
        <is>
          <t>Software Engineer, Product Backend (2-8 YOE)</t>
        </is>
      </c>
      <c r="C114" t="inlineStr">
        <is>
          <t>Airtable</t>
        </is>
      </c>
      <c r="D114" t="inlineStr">
        <is>
          <t>linkedin</t>
        </is>
      </c>
      <c r="E114">
        <f>HYPERLINK("https://www.linkedin.com/jobs/view/4291500677", "https://www.linkedin.com/jobs/view/4291500677")</f>
        <v/>
      </c>
      <c r="F114">
        <f>HYPERLINK("https://job-boards.greenhouse.io/airtable/jobs/7845291002?gh_src=aef790d02us&amp;urlHash=Id5B", "https://job-boards.greenhouse.io/airtable/jobs/7845291002?gh_src=aef790d02us&amp;urlHash=Id5B")</f>
        <v/>
      </c>
      <c r="G114" t="inlineStr">
        <is>
          <t>San Francisco, CA</t>
        </is>
      </c>
      <c r="H114" t="inlineStr"/>
      <c r="I114" t="inlineStr">
        <is>
          <t>Airtable is the no\-code app platform that empowers people closest to the work to accelerate their most critical business processes. More than 500,000 organizations, including 80% of the Fortune 100, rely on Airtable to transform how work gets done.
 Airtable’s mission is to bring the power of computing and software development to everyone. We are developing a powerful and extensible toolkit that our customers can leverage to solve a variety of different problems and workflows. We’ve seen our most sophisticated customers use the product to run global processes across thousands of employees, coordinate precision manufacturing pipelines, and consolidate previously siloed mission\-critical data into a single source of truth. The complexity of these use cases requires us to be extremely thoughtful about how we design and implement new functionality in the product and make sure it’s both easy to use and comprehend for our customers and maintainable for us.
 As a
 **Full\-Stack, Backend** 
 engineer at Airtable, you will have the opportunity to work with customers to deeply understand their needs and workflows. You will collaborate with cross\-functional partners across product management, design, research and data science to create innovative new features that enable our customers to do their best work. You will be responsible for owning and executing the end\-to\-end implementation of these new features that will contribute to making our toolkit even more powerful and successful.
**We Currently Have Openings On**
* The Platform Interoperability Team (Full\-Stack/BE) focuses holistically on the customer problem of using Airtable at scale. Operating at very high scale requires changes to many different product surfaces, which makes this pod somewhat unique: we focus on the business problem across the whole of the Airtable product. The business impact of this pod is aimed at unblocking high\-scale Airtable implementations that are in pipeline, and preventing churn by improving the user experience of Airtable at scale.
* The Admin \&amp; Governance Team (Full\-Stack/BE) ensures Airtable is secure, compliant, and enterprise\-ready. It owns key admin capabilities like the Admin Panel, SSO, and audit systems, as well as foundational features like User Groups. This team's mission is to accelerate organizational value for the largest customers with enterprise\-first governance and controls.
***Please note:* 
*while we employ a hybrid working model at Airtable (flexible in working from the office or elsewhere), we are only hiring in the following locations at this time:***
* Based in the San Francisco Bay Area and are open to coming into our office (Embarcadero) at least \~2\-3 times/week for team collaboration
* Based in New York City and are open to coming into our office (Soho) at least \~2\-3 times/week for team collaboration
* Based remotely in the greater Seattle area
**What You'll Do**
* Spec and build product features that are beautiful, consistent, and fast, that encourage exploration, and that earn the trust of our customers through predictable, reliable, and thoughtful interactions.
* Work at all levels of the stack, from AWS, Node.js, and SQL to React, HTML. and CSS to build and maintain end to end products on Airtable, with a primary focus on backend development.
* Partner with product managers, designers, and data scientists to understand the needs of potential users and build a product that unlocks their potential.
* Work alongside and learn from a talented group of engineers with a diverse range of experiences and backgrounds.
**Who You Are**
* You have 2\+ years of industry experience with modern full\-stack web development, with particular emphasis on backend feature development.
* You are fluent in one or more backend technologies, and are interested in programming in JavaScript and React.
* You are excited by a product\-oriented backend role.
* You have a good understanding of web technologies and large\-scale web application architecture.
* You have a background in computer science or a related field.
* You believe the best product is the one that helps users accomplish their goals while growing the business.
* You take a thoughtful approach to decision making; knowing when to move fast and when to do things right.
* You have strong convictions, weakly held and assume validation and iteration are a given to produce the best results.
* You show strong ownership instincts and sweat the details.
* You are currently based and/or will be based in the San Francisco Bay Area, New York City, or work remotely in Seattle.
 Airtable is an equal opportunity employer. We embrace diversity and strive to create a workplace where everyone has an equal opportunity to thrive. We welcome people of different backgrounds, experiences, abilities, and perspectives. All qualified applicants will receive consideration for employment without regard to race, color, religion, sex, sexual orientation, gender identity, national origin, disability, protected veteran status or any characteristic protected by applicable federal and state laws, regulations and ordinances. Learn more about your EEO rights as an applicant
 **.**
 VEVRAA\-Federal Contractor
 If you have a medical condition, disability, or religious belief/practice which inhibits your ability to participate in any part of the application or interview process, please complete our Accommodations Request Form and let us know how we may assist you. Airtable is committed to participating in the interactive process and providing reasonable accommodations to qualified applicants.
 Compensation awarded to successful candidates will vary based on their work location, relevant skills, and experience.
 Our total compensation package also includes the opportunity to receive benefits, restricted stock units, and may include incentive compensation. To learn more about our comprehensive benefit offerings, please check out Life at Airtable.
 For work locations in the San Francisco Bay Area, Seattle, New York City, and Los Angeles, the base salary range for this role is:
 $170,000 \- $277,600 USD
 Please see our Privacy Notice for details regarding Airtable’s collection and use of personal information relating to the application and recruitment process by clicking here.
 🔒
 **Stay Safe from Job Scams**
 All official Airtable communication will come from an
 **@airtable.com** 
 email address. We will never ask you to share sensitive information or purchase equipment during the hiring process. If in doubt, contact us at hr@airtable.com. Learn more about avoiding job scams here.</t>
        </is>
      </c>
    </row>
    <row r="115">
      <c r="A115" t="inlineStr">
        <is>
          <t>li-4266776614</t>
        </is>
      </c>
      <c r="B115" t="inlineStr">
        <is>
          <t>Fullstack Engineer - Companions</t>
        </is>
      </c>
      <c r="C115" t="inlineStr">
        <is>
          <t>xAI</t>
        </is>
      </c>
      <c r="D115" t="inlineStr">
        <is>
          <t>linkedin</t>
        </is>
      </c>
      <c r="E115">
        <f>HYPERLINK("https://www.linkedin.com/jobs/view/4266776614", "https://www.linkedin.com/jobs/view/4266776614")</f>
        <v/>
      </c>
      <c r="F115">
        <f>HYPERLINK("https://grnh.se/cyyhhk8n7us?source=LinkedIn&amp;urlHash=70aH", "https://grnh.se/cyyhhk8n7us?source=LinkedIn&amp;urlHash=70aH")</f>
        <v/>
      </c>
      <c r="G115" t="inlineStr">
        <is>
          <t>Palo Alto, CA</t>
        </is>
      </c>
      <c r="H115" t="inlineStr"/>
      <c r="I115"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role** 
 We're looking for exceptional multimedia engineers and product thinkers who want to make Grok's realtime avatar products the best in the world.
**What You'll Do** 
* Make Grok's realtime avatar products fast, scalable, and reliable.
* Help push forward audio and gameplay research and deploy breakthrough innovations to millions of users.
* Obsess over every millisecond and byte, ensuring end\-to\-end quality and performance at scale across a rich suite of products and user platforms.
**Who You Are** 
* Well\-versed in low\-latency systems and protocols like WebSocket and WebRTC.
* Expert in Python, and preferably proficient in Rust.
* Some iOS experience preferable.
* In\-depth knowledge and experience building high performance media processing pipelines.
* Obsessed with media quality, performance, and product experience.
**Tech Stack** 
* Python, Rust, WebSocket, WebRTC
**Interview Process** 
 After submitting your application, the team reviews your CV and statement of exceptional work. If your application passes this stage, you will be invited to a 15\-30 minutes phone interview, during which a member of our team will ask technical questions. If you clear the phone interview, you will proceed to next steps:
1. Deep dive coding challenge
2. Meet and greet with the wider team
 Our goal is to complete the process within one week. All interviews will be conducted in person when applicable.
**Location** 
 The role is based in Palo Alto. Candidates are expected to be located near the Bay Area or open to relocation.
**Annual Salary Range** 
 $180,000 \- $440,000 USD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California Consumer Privacy Act (CCPA) Notice</t>
        </is>
      </c>
    </row>
    <row r="116">
      <c r="A116" t="inlineStr">
        <is>
          <t>li-4325090093</t>
        </is>
      </c>
      <c r="B116" t="inlineStr">
        <is>
          <t>Software Engineer: Database Backend</t>
        </is>
      </c>
      <c r="C116" t="inlineStr">
        <is>
          <t>Observe, Inc.</t>
        </is>
      </c>
      <c r="D116" t="inlineStr">
        <is>
          <t>linkedin</t>
        </is>
      </c>
      <c r="E116">
        <f>HYPERLINK("https://www.linkedin.com/jobs/view/4325090093", "https://www.linkedin.com/jobs/view/4325090093")</f>
        <v/>
      </c>
      <c r="F116">
        <f>HYPERLINK("https://jobs.ashbyhq.com/observeinc/1eac565f-2bbc-4bb9-b332-9aa8af1ee538/application?utm_source=DE8YQwkzl2&amp;src=Linkedin&amp;urlHash=LZM-", "https://jobs.ashbyhq.com/observeinc/1eac565f-2bbc-4bb9-b332-9aa8af1ee538/application?utm_source=DE8YQwkzl2&amp;src=Linkedin&amp;urlHash=LZM-")</f>
        <v/>
      </c>
      <c r="G116" t="inlineStr">
        <is>
          <t>San Mateo, CA</t>
        </is>
      </c>
      <c r="H116" t="inlineStr"/>
      <c r="I116" t="inlineStr">
        <is>
          <t>What We Do
 Observe is a SaaS observability platform that enables Engineering and DevOps teams to troubleshoot modern distributed applications 10x faster. We consolidate machine\-generated data from applications and transform it into actionable, human\-understandable insights. The Runtime team, part of our broader Backend organization, owns Observe's core data transformation pipelines and user query execution paths. Our systems process petabytes of data daily and execute over 200 million queries on Snowflake each day.
 The Role
 You'll be joining our Runtime team to work on our advanced execution features like token indices. You'll also be responsible for analyzing our diverse set of user and system generated queries to identify bottlenecks in execution drive the improvements in that area. In doing so, you'll partner with our engineering contacts in Snowflake and are responsible to clearly communicate our asks to internal as well as external stakeholders. You'll excel in this role if you are able to quickly dive deep into our platform and drive performance analyses both for individual issues and on a large scale by analyzing terabytes of data. In everything you are doing you will rely on your solid engineering skills, especially leveraging your applied database experience.
 What You'll Do
* Maintain and improve existing advanced execution features like token indices
* Work on automated adjustments of system parameters to reduce query execution times and costs
* Analyze millions of queries to understand shortcomings in our performance, propose improvements, and drive their implementation
* Partner with our cloud service provider Snowflake on improving our performance by troubleshooting issues with their support but also by by discussing feature requests with their product managers
* Investigate and resolve customer\-reported query issues
 What We're Looking for
**Requirements**
* 3\+ years of industry experience building distributed systems
* Hands\-on experience designing, implementing, and optimizing backend infrastructure features
* Proven ability to diagnose and resolve database performance issues
* Customer\-focused mindset with the ability to translate user needs into technical solutions
* Ability to rapidly onboard to complex systems and drive meaningful improvements
**Nice to Have**
* Experience with Snowflake or other cloud data warehouses
* Prior work on observability platforms
* Advanced degree in Computer Science with a focus on databases</t>
        </is>
      </c>
    </row>
    <row r="117">
      <c r="A117" t="inlineStr">
        <is>
          <t>li-4349689830</t>
        </is>
      </c>
      <c r="B117" t="inlineStr">
        <is>
          <t>Full Stack Software Engineer, B2B Applications</t>
        </is>
      </c>
      <c r="C117" t="inlineStr">
        <is>
          <t>OpenAI</t>
        </is>
      </c>
      <c r="D117" t="inlineStr">
        <is>
          <t>linkedin</t>
        </is>
      </c>
      <c r="E117">
        <f>HYPERLINK("https://www.linkedin.com/jobs/view/4349689830", "https://www.linkedin.com/jobs/view/4349689830")</f>
        <v/>
      </c>
      <c r="F117" t="inlineStr"/>
      <c r="G117" t="inlineStr"/>
      <c r="H117" t="inlineStr"/>
      <c r="I117" t="inlineStr">
        <is>
          <t>**About The Team**
 OpenAI’s mission is to make AGI beneficial for all of humanity and our mission is successful only if AGI drives
 *real* 
*benefits* 
 across all industries in the world. Our goal in B2B applications is to enable this mission by helping businesses, enterprises \&amp; governments redefine how they operate to empower people and accelerate economic growth.
 We build and operate the products that bring our cutting\-edge research to millions of companies and developers worldwide. We power the OpenAI API and the Enterprise products that empower people around the world to do their jobs better and more efficiently. Our teams span product engineering, backend infrastructure, and safety, working together to ensure that OpenAI’s technology is delivered with reliability, security, and a world\-class user experience.
**About The Role**
 We’re looking for full stack engineers to design and scale the systems that drive our developer and enterprise\-facing products. In this role, you’ll push the boundaries of OpenAI’s newest technologies to enable interactions and automations that are not only functional, but delightful. We value proactive, product\-minded engineers who can see the big picture while staying on top of the little details that define great products.
**In This Role, You Will**
* Own the end\-to\-end development lifecycle for new enterprise products.
* Collaborate closely with product, design and external customers to understand problems and implement effective solutions
* Work with the research team to improve our next generation of models
**Your Background Might Look Something Like**
* 5\+ years of professional engineering experience (excluding internships) in relevant roles at tech and product\-driven companies
* Former founder, or early engineer at a startup who has built a product from scratch is a plus
* Proficiency with TypeScript, React, and other web technologies
* Proficiency in one or more backend languages (e.g., Python, Go, Rust, Typescript or similar) and distributed systems concepts
* Some experience with relational databases like Postgres/MySQL
* Care deeply about reliability, safety, and performance in production environments.
* Interest in AI/ML (direct experience not required)
* Proven ability to thrive in fast\-growing, product\-driven companies by effectively navigating loosely defined tasks and managing competing priorities or deadlines.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118">
      <c r="A118" t="inlineStr">
        <is>
          <t>li-4280980136</t>
        </is>
      </c>
      <c r="B118" t="inlineStr">
        <is>
          <t>Senior Software Engineer, Business Systems</t>
        </is>
      </c>
      <c r="C118" t="inlineStr">
        <is>
          <t>Verkada</t>
        </is>
      </c>
      <c r="D118" t="inlineStr">
        <is>
          <t>linkedin</t>
        </is>
      </c>
      <c r="E118">
        <f>HYPERLINK("https://www.linkedin.com/jobs/view/4280980136", "https://www.linkedin.com/jobs/view/4280980136")</f>
        <v/>
      </c>
      <c r="F118" t="inlineStr"/>
      <c r="G118" t="inlineStr">
        <is>
          <t>San Mateo, CA</t>
        </is>
      </c>
      <c r="H118" t="inlineStr"/>
      <c r="I118"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**What You'll Do**
* Design and implement technical solutions that keep the internal Verkada engine running
* Build and deliver improvements to systems that allow Verkada to seamlessly transact and ship all around the world
* Improve systems observability and invest in reliability \&amp; correctness of data
* Develop customer empathy to propose improvements to systems
* Lead projects from ideation to release
* Help and mentor junior engineers
**What You Bring**
* 5\+ years of software engineering with a focus on distributed systems at scale
* Shipped customer facing products or internal tools in the past
* Flexible and adaptive in a fast\-paced startup environment
* Passion for observability and reliability
* In\-depth expertise in distributed systems and data processing
* AWS Cloud experience touching foundational blocks like: Kubernetes, Fargate, Lambda, Airflow, Athena, DynamoDB, VPC, and EC2\.
* Bonus: Experience with Salesforce, NetSuite, or eCommerce platforms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 We are committed to a thriving in\-office culture. This role requires you to be onsite at our HQ in San Mateo, CA.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$180,000—$300,000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119">
      <c r="A119" t="inlineStr">
        <is>
          <t>li-4253946318</t>
        </is>
      </c>
      <c r="B119" t="inlineStr">
        <is>
          <t>Software Engineer - Cloud</t>
        </is>
      </c>
      <c r="C119" t="inlineStr">
        <is>
          <t>MORSE Corp</t>
        </is>
      </c>
      <c r="D119" t="inlineStr">
        <is>
          <t>linkedin</t>
        </is>
      </c>
      <c r="E119">
        <f>HYPERLINK("https://www.linkedin.com/jobs/view/4253946318", "https://www.linkedin.com/jobs/view/4253946318")</f>
        <v/>
      </c>
      <c r="F119" t="inlineStr"/>
      <c r="G119" t="inlineStr"/>
      <c r="H119" t="inlineStr"/>
      <c r="I119" t="inlineStr">
        <is>
          <t>MORSE Corp is an employee owned, small business based in Cambridge, MA, Arlington, VA, and Seattle, WA with a history of fielding
 cutting\-edge
 technology. MORSE boasts a specially selected team of scientists, engineers, and software developers to deliver best\-in\-class technical solutions that solve difficult multidisciplinary problems faced by the US National Security Ecosystem.
 MORSE is seeking highly motivated and talented Software Engineers with Cloud skills to join our innovative team, supporting various projects that provide critical AI, machine learning, simulation, situational awareness, and mission planning capabilities to a diverse range of Department of Defense (DoD) customers.
 As a Cloud Software Engineer at MORSE, you will have the opportunity to work on cutting\-edge technology, contributing to the success of our applications and making a meaningful impact on our customers. You will collaborate with a teams of engineers and data scientists to design, develop, and deliver high\-quality software products that meet the highest standards of quality, scalability, and reliability.
 Responsibilities:
 * Design and develop scalable, efficient, and reliable software applications using Python
* Develop and maintain cloud infrastructure
* oversee the deployment of cloud services and compliance to security guidelines
* Participate in design reviews, code reviews, and pair programming to ensure high\-quality code and knowledge sharing
* Stay up\-to\-date with the latest software engineering trends, tools, and technologies
* Collaborate with cross\-functional teams to deliver high\-quality software products, ensuring seamless integration and deployment
* Contribute to the development of new codebases that emphasize object\-orientation, modularity, and maintainability
 Requirements:
 * US citizenship and the ability to obtain a U.S. security clearance (Secret, Top Secret, or TS/SCI)
* Expertise in Python
* 1\+ years of experience working with AWS, Azure or GCP.
* Experience with Terraform or Cloud Formation
* Strong understanding of relational databases and version control systems (e.g., Git)
* Experience with Docker, Docker\-compose, or Kubernetes
* Familiarity with Agile development methodologies (Scrum or Kanban) and microservice architecture
* Strong communication skills and self\-motivation
* Bachelor's or Master's degree in Computer Science or a related field (or significant professional experience)
* 3\+ years of software development experience
 MORSE Corp’s salary range for this role carefully considers a wide range of compensation factors, including but not limited to, prior experience, education, skills and expertise, location, internal equity, and other factors that are job related and consistent with business need. Therefore, final offer amounts may vary from the amount stated. Depending on role eligibility, total compensation may also include bonus, stock, 401(k) match, paid time off, medical, dental, vision and life insurance.
 Compensation: $90,000 USD \- $210,000 USD
 The team at MORSE takes pride in being the smart team that is easy to work with. We focus on steady, long\-term success while maintaining a collaborative, enjoyable work experience for our employees. Our team values work\-life balance through flexibility and other programs, along with a comprehensive benefits package for employees and families. For more information, please visit www.morsecorp.com.</t>
        </is>
      </c>
    </row>
    <row r="120">
      <c r="A120" t="inlineStr">
        <is>
          <t>li-4365172862</t>
        </is>
      </c>
      <c r="B120" t="inlineStr">
        <is>
          <t>Software Engineer, Agentic AI Systems</t>
        </is>
      </c>
      <c r="C120" t="inlineStr">
        <is>
          <t>Moveworks</t>
        </is>
      </c>
      <c r="D120" t="inlineStr">
        <is>
          <t>linkedin</t>
        </is>
      </c>
      <c r="E120">
        <f>HYPERLINK("https://www.linkedin.com/jobs/view/4365172862", "https://www.linkedin.com/jobs/view/4365172862")</f>
        <v/>
      </c>
      <c r="F120">
        <f>HYPERLINK("https://www.moveworks.com/us/en/company/careers/position?gh_jid=8384705002&amp;gh_src=690c36f92us&amp;urlHash=6HP7", "https://www.moveworks.com/us/en/company/careers/position?gh_jid=8384705002&amp;gh_src=690c36f92us&amp;urlHash=6HP7")</f>
        <v/>
      </c>
      <c r="G120" t="inlineStr">
        <is>
          <t>San Francisco, CA</t>
        </is>
      </c>
      <c r="H120" t="inlineStr"/>
      <c r="I120" t="inlineStr">
        <is>
          <t>**The Role**
 Software Engineer, Agentic AI Systems (New Grad)
 Are you a software engineer who has honed your craft through internships, research, and/or academic projects, and are looking to apply your skills at the cutting edge of AI agents? This may be the role for you.
 As a software engineer on our “agent lab” Natural Language Understanding team, you will play an important part in our mission: to advance the frontier of work that can be entrusted to agents to perform reliably at scale. You will have the opportunity to contribute to the evolution of the Moveworks AI Assistant platform in several of the following areas: agent orchestration, sandboxed file systems and code execution, latency optimization, agent memory, LLM self\-reflection and improvement, execution environment simulation, enterprise knowledge graphs, and multimodal I/O.
 You will have all the tools of modern enterprise AI at your disposal, including best\-in\-class LLMs from providers like OpenAI. Our team indexes on moving fast on scalable infrastructure, solving challenging product and engineering problems, and pushing the envelope of value provided to customers. If you are looking to do impactful work with a bright, dedicated, and impact\-driven team alongside you, we’d love to have a conversation.
**What You Will Do:**
* Take on exciting engineering challenges (see areas listed above) to build and evolve capable AI agent systems that are reliable in every sense of the word
* Implement frontier AI algorithms and architectures and help productionize them at scale, with support from senior engineers
* Use the latest advances in machine learning, LLMs, and AI agents to enhance our products and create delightful user experiences
* Execute on projects to create lasting value for all our customers
* Hone your craft in writing robust, extensible, readable, and performant code
* Partner with subject matter experts across the company including in machine learning, security, product, user experience, and customer success, to learn from each other and build the best enterprise AI product the world has ever seen
* Learn from and collaborate with senior engineers and machine learning engineers to build world\-class AI systems
**What You Bring To The Table:**
* Strong programming fundamentals and experience building software through coursework, projects, internships, and/or research
* Ability to think and communicate clearly about engineering problems and systems
* Eagerness to learn, give and receive feedback, and hold yourself to a high standard of operational excellence
* Readiness to hit the ground running in a Mac development environment, programming in Python, Golang, and/or Java
* Desire to ship at a startup pace with a high degree of ownership
* Attention to detail
* Drive to ship product improvements with production\-grade code (with guidance and iterative development)
* Strong appetite for continuous incremental wins and completing challenging projects fast
* High level of curiosity about engineering outside of immediate discipline and ongoing desire to learn and stay at the cutting edge of applied AI
**Nice To Have** 
 :
* Internship or research experience building production\-quality software
* Experience building with LLMs, particularly in iterating on prompts, on model selection, on cognitive architecture design, and on latency/correctness tradeoffs in a data\-driven way
* Hands\-on experience with one or more stages of a machine learning problem\-solving lifecycle, such as experiment setup, dataset curation, model training, offline evaluation and error analysis, deployment, and online evaluation
* Experience in AI fairness, privacy, permission controls, safety, and/or security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121">
      <c r="A121" t="inlineStr">
        <is>
          <t>li-4366212435</t>
        </is>
      </c>
      <c r="B121" t="inlineStr">
        <is>
          <t>Software Developer (Fullstack)</t>
        </is>
      </c>
      <c r="C121" t="inlineStr">
        <is>
          <t>Crash Champions</t>
        </is>
      </c>
      <c r="D121" t="inlineStr">
        <is>
          <t>linkedin</t>
        </is>
      </c>
      <c r="E121">
        <f>HYPERLINK("https://www.linkedin.com/jobs/view/4366212435", "https://www.linkedin.com/jobs/view/4366212435")</f>
        <v/>
      </c>
      <c r="F121" t="inlineStr"/>
      <c r="G121" t="inlineStr"/>
      <c r="H121" t="inlineStr"/>
      <c r="I121" t="inlineStr">
        <is>
          <t>As one of the fastest\-growing and most exciting brands in the industry, Crash Champions is the largest founder\-led multi\-shop operator (MSO) of high\-quality collision repair service in the U.S. The company, which also operates the growing Crash Champions LUXE \| EV Certified brand of highline and luxury EV repair centers, services customers at more than 650 state\-of\-the\-art locations in 38 states across the U.S. Crash Champions was founded in 1999 as a single Chicago repair center by industry veteran and 2023 EY Entrepreneur of the Year Midwest award winner Matt Ebert . For more than 25 years, our vision has been anchored by the belief that delivering superior collision repair service is about People First. Welcome to Crash Champions. We Champion People.
**Responsibilities**
**JOB PURPOSE:** 
 We are seeking a skilled and driven Full Stack Software Developer to join our expanding development team. This position involves both frontend and backend responsibilities, contributing to the creation of scalable, user\-focused web applications. The successful candidate will collaborate with fellow developers, product managers, and stakeholders to design and implement high\-quality features, address complex challenges, and consistently deliver robust, maintainable code across all layers of the application stack.
**Essential Duties And Responsiblities**
* Work on a software team with other developers to create new modules and feature\-functionality for the company’s management system.
* Code, test, and prepare releases to existing software solutions following established design, coding and implementation methods and standards for specifications, development, testing and delivery.
* Collaborate with cross\-functional teams, including designers, product owners/managers, and developers, to deliver high\-quality software solutions.
* Build enterprise\-level services and applications using various programming and scripting languages
* Create and consume RESTful APIs as well as other types of third\-party APIs
* Performing C\# code changes, production support, and application enhancements.
* work with end\-users and cross\-functional teams to develop new application features that meet evolving business needs, using C\#, .NET Core, and Azure DevOps.
* Work with UX/UI designers to integrate APIs and backend services into React applications, ensuring seamless data synchronization and real\-time updates.
* Familiarity with accessibility (WCAG) and cross\-browser compatibility.
* Develop reusable components and scalable frontend systems.
* Experience with performance profiling and web vitals monitoring Quality Assurance. Carry out unit and system test plans.
* Implement CI/CD DevOps process used in Azure for constant releases into QA and Production environments.
* Participate in scheduled daily/weekly sprint meetings
**Qualifications**
**QUALIFICATIONS:**
* 3\+ years application development experience with the Microsoft .NET platform
* 3\+ Years experience using HTML5, CSS3/SCSS, JavaScript, TypeScript, responsive design, Angular, React, NextJS, React\-Native.
* Experience with React /Single Page Applications.
* Strong .NET Core (C\#) experience with Web Services/API's, HTML/CSS (Bootstrap)
* Demonstrated proficiency with SQL, stored procedures, and database design
* Thorough understanding of object\-oriented development (OOD), including an in\-depth knowledge of implementing RESTful, micro services design patterns and architectures
* Strong experience in end\-to\-end data ingestion process from receiving, manipulating and publishing data via services.
* Full Software Development Lifecycle (SDLC) experience including gathering requirements, design, development, testing, documentation, etc.
* Experience with DevOps (CI/CD, Agile, Observability)
* Experience with Azure Function Apps.
* Excellent verbal and written communications skills and excellent presentation skills
* Excellent organizational and interpersonal skills, working in a team environment
**SKILLS/EXPERIENCE Preferred**
* Development experience using cloud\-based resources (Azure preferred)
* Advanced Proficiency in Programming Languages
* Security Best Practices
 This job description is intended to describe the general nature and level of work being performed by people assigned to this job. They are not intended to be an exhaustive list of all responsibilities, duties, and skills. You may be asked by your supervisor or managers to perform other duties. Your performance will be evaluated in part based upon your performance of the job duties listed in this job description, as well as any job duties not specifically listed above that you may be asked from time to time to perform. The Company has the right to revise this job description at any time.
**Crash Champions is an equal opportunity employer committed to workplace diversity. All qualified applicants will receive consideration for employment without regard to race, color, religion, sex, sexual orientation, national origin, age, gender identity, protected veterans’ status, status as a disabled individual or any other protected group status or non\-job characteristic as directed by law.**
**Benefits**
 The Company offers the following benefits for this position, subject to applicable eligibility requirements and annual updates:
* Medical Insurance
* Dental Insurance
* Vision Insurance
* Group Life Insurance
* Disability Insurance
* 401k Retirement Plan with match
* Referral Bonus (“Cash From Crash”)
* 5 Paid Holidays
 We are committed to providing competitive compensation for this role. The actual offer will be based on various factors, including but not limited to: job related knowledge, skills, experience, relevant certifications and qualifications.
 The compensation and benefits information is accurate as of the date of this posting. The Company reserves the right to modify this information at any time, with or without notice, subject to applicable law.
**Posted Min Pay Rate**
 USD $135,000\.00/Yr.
**Posted Max Pay Rate**
 USD $145,000\.00/Yr.</t>
        </is>
      </c>
    </row>
    <row r="122">
      <c r="A122" t="inlineStr">
        <is>
          <t>li-4349785656</t>
        </is>
      </c>
      <c r="B122" t="inlineStr">
        <is>
          <t>Full Stack Software Engineer, B2B Applications</t>
        </is>
      </c>
      <c r="C122" t="inlineStr">
        <is>
          <t>OpenAI</t>
        </is>
      </c>
      <c r="D122" t="inlineStr">
        <is>
          <t>linkedin</t>
        </is>
      </c>
      <c r="E122">
        <f>HYPERLINK("https://www.linkedin.com/jobs/view/4349785656", "https://www.linkedin.com/jobs/view/4349785656")</f>
        <v/>
      </c>
      <c r="F122" t="inlineStr"/>
      <c r="G122" t="inlineStr">
        <is>
          <t>San Francisco, CA</t>
        </is>
      </c>
      <c r="H122" t="inlineStr"/>
      <c r="I122" t="inlineStr">
        <is>
          <t>**About The Team**
 OpenAI’s mission is to make AGI beneficial for all of humanity and our mission is successful only if AGI drives
 *real* 
*benefits* 
 across all industries in the world. Our goal in B2B applications is to enable this mission by helping businesses, enterprises \&amp; governments redefine how they operate to empower people and accelerate economic growth.
 We build and operate the products that bring our cutting\-edge research to millions of companies and developers worldwide. We power the OpenAI API and the Enterprise products that empower people around the world to do their jobs better and more efficiently. Our teams span product engineering, backend infrastructure, and safety, working together to ensure that OpenAI’s technology is delivered with reliability, security, and a world\-class user experience.
**About The Role**
 We’re looking for full stack engineers to design and scale the systems that drive our developer and enterprise\-facing products. In this role, you’ll push the boundaries of OpenAI’s newest technologies to enable interactions and automations that are not only functional, but delightful. We value proactive, product\-minded engineers who can see the big picture while staying on top of the little details that define great products.
**In This Role, You Will**
* Own the end\-to\-end development lifecycle for new enterprise products.
* Collaborate closely with product, design and external customers to understand problems and implement effective solutions
* Work with the research team to improve our next generation of models
**Your Background Might Look Something Like**
* 5\+ years of professional engineering experience (excluding internships) in relevant roles at tech and product\-driven companies
* Former founder, or early engineer at a startup who has built a product from scratch is a plus
* Proficiency with TypeScript, React, and other web technologies
* Proficiency in one or more backend languages (e.g., Python, Go, Rust, Typescript or similar) and distributed systems concepts
* Some experience with relational databases like Postgres/MySQL
* Care deeply about reliability, safety, and performance in production environments.
* Interest in AI/ML (direct experience not required)
* Proven ability to thrive in fast\-growing, product\-driven companies by effectively navigating loosely defined tasks and managing competing priorities or deadlines.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123">
      <c r="A123" t="inlineStr">
        <is>
          <t>li-4368886359</t>
        </is>
      </c>
      <c r="B123" t="inlineStr">
        <is>
          <t>Software Engineer, Core Infrastructure</t>
        </is>
      </c>
      <c r="C123" t="inlineStr">
        <is>
          <t>Moveworks</t>
        </is>
      </c>
      <c r="D123" t="inlineStr">
        <is>
          <t>linkedin</t>
        </is>
      </c>
      <c r="E123">
        <f>HYPERLINK("https://www.linkedin.com/jobs/view/4368886359", "https://www.linkedin.com/jobs/view/4368886359")</f>
        <v/>
      </c>
      <c r="F123">
        <f>HYPERLINK("https://www.moveworks.com/us/en/company/careers/position?gh_jid=8123095002&amp;gh_src=690c36f92us&amp;urlHash=47gL", "https://www.moveworks.com/us/en/company/careers/position?gh_jid=8123095002&amp;gh_src=690c36f92us&amp;urlHash=47gL")</f>
        <v/>
      </c>
      <c r="G123" t="inlineStr">
        <is>
          <t>Mountain View, CA</t>
        </is>
      </c>
      <c r="H123" t="inlineStr"/>
      <c r="I123" t="inlineStr">
        <is>
          <t>What You Will Do
 As a member of the Core Infrastructure team, you will be responsible for architecting the next generation of the Moveworks AI infrastructure. As Moveworks grows fast, the infrastructure team is tasked with designing and operating reliable and resilient foundational services as well as frameworks that allow our product to scale seamlessly and our engineering teams to build customer facing features very rapidly.
* Closely work with machine learning, search, product, data, and frontend teams, understand their infrastructure needs, influence infrastructure roadmap, and lead as well as execute on various projects
* Architect and build out the core infrastructure and foundational functionalities such as distributed key value store, schema\-less data store, authentication and authorization, event streaming, distributed configuration management and hot reloading, rate limiting and circuit breaking, system for feature flags and A/B testing, traffic capture and replay, etc.
* Improve observability and reliability of Moveworks systems by building and enhancing distributed logging, tracing, monitoring, and alerting infrastructure
* Define methodologies and metrics to measure performance of microservices and product functionalities, identify and fix bottlenecks, as well as improve overall performance and scalability of Moveworks applications
* Regularly deliver deadline sensitive work that is interdependent with other engineering teams
 What You Bring To The Table
* Experience designing, building, shipping, and maintaining backend distributed systems
* Familiarity with Python/Golang/Java/C\+\+
* Experience with containers/Docker, and with cloud infrastructure like AWS/GCP/Azure
* Experience working with and operating open source technologies like Kafka, Elasticsearch or Opensearch, Istio, etc.
* Desire to work at a startup pace in a small company with a high degree of ownership
* Experience solving for performance, optimization, scalability, latency, and monitoring
* Strong motivation, gumption, and an appetite for continuous, incremental changes and completing challenging projects fast
* BS\+ in computer science or a related field
* High level of curiosity about engineering outside of your immediate discipline and an incessant desire to learn
**Compensation Range** 
 : $105,000 \- $155,000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124">
      <c r="A124" t="inlineStr">
        <is>
          <t>li-4365192039</t>
        </is>
      </c>
      <c r="B124" t="inlineStr">
        <is>
          <t>Software Engineer, Agentic AI Systems</t>
        </is>
      </c>
      <c r="C124" t="inlineStr">
        <is>
          <t>Moveworks</t>
        </is>
      </c>
      <c r="D124" t="inlineStr">
        <is>
          <t>linkedin</t>
        </is>
      </c>
      <c r="E124">
        <f>HYPERLINK("https://www.linkedin.com/jobs/view/4365192039", "https://www.linkedin.com/jobs/view/4365192039")</f>
        <v/>
      </c>
      <c r="F124" t="inlineStr"/>
      <c r="G124" t="inlineStr">
        <is>
          <t>Mountain View, CA</t>
        </is>
      </c>
      <c r="H124" t="inlineStr"/>
      <c r="I124" t="inlineStr">
        <is>
          <t>**The Role**
 Software Engineer, Agentic AI Systems (New Grad)
 Are you a software engineer who has honed your craft through internships, research, and/or academic projects, and are looking to apply your skills at the cutting edge of AI agents? This may be the role for you.
 As a software engineer on our “agent lab” Natural Language Understanding team, you will play an important part in our mission: to advance the frontier of work that can be entrusted to agents to perform reliably at scale. You will have the opportunity to contribute to the evolution of the Moveworks AI Assistant platform in several of the following areas: agent orchestration, sandboxed file systems and code execution, latency optimization, agent memory, LLM self\-reflection and improvement, execution environment simulation, enterprise knowledge graphs, and multimodal I/O.
 You will have all the tools of modern enterprise AI at your disposal, including best\-in\-class LLMs from providers like OpenAI. Our team indexes on moving fast on scalable infrastructure, solving challenging product and engineering problems, and pushing the envelope of value provided to customers. If you are looking to do impactful work with a bright, dedicated, and impact\-driven team alongside you, we’d love to have a conversation.
**What You Will Do:**
* Take on exciting engineering challenges (see areas listed above) to build and evolve capable AI agent systems that are reliable in every sense of the word
* Implement frontier AI algorithms and architectures and help productionize them at scale, with support from senior engineers
* Use the latest advances in machine learning, LLMs, and AI agents to enhance our products and create delightful user experiences
* Execute on projects to create lasting value for all our customers
* Hone your craft in writing robust, extensible, readable, and performant code
* Partner with subject matter experts across the company including in machine learning, security, product, user experience, and customer success, to learn from each other and build the best enterprise AI product the world has ever seen
* Learn from and collaborate with senior engineers and machine learning engineers to build world\-class AI systems
**What You Bring To The Table:**
* Strong programming fundamentals and experience building software through coursework, projects, internships, and/or research
* Ability to think and communicate clearly about engineering problems and systems
* Eagerness to learn, give and receive feedback, and hold yourself to a high standard of operational excellence
* Readiness to hit the ground running in a Mac development environment, programming in Python, Golang, and/or Java
* Desire to ship at a startup pace with a high degree of ownership
* Attention to detail
* Drive to ship product improvements with production\-grade code (with guidance and iterative development)
* Strong appetite for continuous incremental wins and completing challenging projects fast
* High level of curiosity about engineering outside of immediate discipline and ongoing desire to learn and stay at the cutting edge of applied AI
**Nice To Have** 
 :
* Internship or research experience building production\-quality software
* Experience building with LLMs, particularly in iterating on prompts, on model selection, on cognitive architecture design, and on latency/correctness tradeoffs in a data\-driven way
* Hands\-on experience with one or more stages of a machine learning problem\-solving lifecycle, such as experiment setup, dataset curation, model training, offline evaluation and error analysis, deployment, and online evaluation
* Experience in AI fairness, privacy, permission controls, safety, and/or security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125">
      <c r="A125" t="inlineStr">
        <is>
          <t>li-4318563465</t>
        </is>
      </c>
      <c r="B125" t="inlineStr">
        <is>
          <t>Senior Software Engineer, Backend</t>
        </is>
      </c>
      <c r="C125" t="inlineStr">
        <is>
          <t>Siro</t>
        </is>
      </c>
      <c r="D125" t="inlineStr">
        <is>
          <t>linkedin</t>
        </is>
      </c>
      <c r="E125">
        <f>HYPERLINK("https://www.linkedin.com/jobs/view/4318563465", "https://www.linkedin.com/jobs/view/4318563465")</f>
        <v/>
      </c>
      <c r="F125">
        <f>HYPERLINK("https://jobs.ashbyhq.com/siro/2c99c060-5be1-4002-a757-2375c3a96c15?src=LinkedIn&amp;urlHash=3VoN", "https://jobs.ashbyhq.com/siro/2c99c060-5be1-4002-a757-2375c3a96c15?src=LinkedIn&amp;urlHash=3VoN")</f>
        <v/>
      </c>
      <c r="G125" t="inlineStr">
        <is>
          <t>New York, United States</t>
        </is>
      </c>
      <c r="H125" t="inlineStr"/>
      <c r="I125" t="inlineStr">
        <is>
          <t>Field sales powers the economy — but most teams are struggling. Reps are buried in admin work, managers are stretched thin, and leaders can’t see what’s really happening in the field.
 Siro is redefining how field sales teams learn, perform, and win.
 We started as an AI\-powered coaching platform that helped reps improve their outcomes in the field.
 Today, we’re something much bigger — an intelligent companion that automates sales reps’ tedious admin work, gives managers real\-time visibility, and helps executives see around corners.
 Our platform integrates with systems like Salesforce, analyzing thousands of in\-person sales conversations to surface insights, automate workflows, and drive better outcomes across the org. Think
 *Iron Man’s* 
 Jarvis for sales — proactive, personalized, and built directly into the tools teams already use.
 Siro has raised $75M and is backed by world\-class investors like Index, Fika, CRV, and SignalFire. We are trusted by leading home\-improvement, retail, hospitality, and automotive brands, and powered by a lean team from Meta, McKinsey, Doordash, and Uber.
 We’re building the future of human\-AI collaboration in sales — and we’re just getting started.
 Key Responsibilities
* Build platform and backend systems at Siro, across recording, integrations, AI agents, and more!
* Own the end\-to\-end development of key features, from architectural decisions through implementation, deployment, and support
* Design and build scalable backend services that handle real\-time processing of sales conversations
* Drive technical excellence through thoughtful code reviews, documentation, and engineering best practices
* Partner closely with product and design teams to transform customer needs into elegant technical solutions
* Own the health of our systems and products, and make data\-driven decisions
* Help evolve our development practices and tooling to enable sustainable scaling while maintaining velocity
**Requirements**
* We expect 6\+ years of professional software engineering experience.
* You are excited to work in our NYC office 3\+ days a week with the rest of the team.
* You have strong proficiency in modern programming languages, databases, API frameworks, and cloud platforms (like GCP)
* You are a strong problem solver, with the ability to think critically and approach challenges with a first\-principles mindset.
* You have strong communication skills, able to articulate complex technical concepts to both technical and non\-technical stakeholders.
 Our Tech Stack
 In case you’re curious, we use the following technologies (and more), but proficiency in any specific technology is not required.
* Frontend: React Native, Svelte, TypeScript
* Mobile: Swift, Kotlin
* Backend: Node.js, Typescript, serverless functions
* Cloud: Google Cloud Platform (GCP)
* Other tools: Git, Datadog, Figma
 Why Join Siro?
* Growth: Join a rapidly scaling Series B startup with proven product\-market fit
* Technology: Work with cutting\-edge AI technologies and a modern tech stack
* Team: Collaborate with an experienced CEO (previously built a successful sales tool used by 100,000\+ reps) and top\-tier team
* Ownership: Take end\-to\-end ownership of features that directly impact our users
* Learning: Work across the full stack and grow your technical breadth
* Impact: Help democratize sales success and create opportunities for millions of sales professionals
 What Sets You Apart
* You're a collaborative team player with a "we before me" mindset, always ready to support and elevate your colleagues.
* You have high standards for excellence and aren't afraid to voice your opinion to push for quality.
* You think strategically beyond code, considering business and design implications in your work.
* You actively leverage AI coding tools to assist you during development.
* You thrive in an agile environment with low management overhead.
* You're creative and can think outside the box to solve complex problems in innovative ways.
* You continuously look to grow your skills and your impact.
*At Siro, we are committed to creating a diverse and inclusive environment where all people feel that they are equally respected and valued, whether they are applying for an open position or working at the company. We provide equal employment opportunities to all applicants without regard to race, religion, color, national origin, gender, sexual orientation, age, marital status, veteran status, or disability status.*</t>
        </is>
      </c>
    </row>
    <row r="126">
      <c r="A126" t="inlineStr">
        <is>
          <t>li-4313411009</t>
        </is>
      </c>
      <c r="B126" t="inlineStr">
        <is>
          <t>Senior Software Engineer</t>
        </is>
      </c>
      <c r="C126" t="inlineStr">
        <is>
          <t>LogRocket</t>
        </is>
      </c>
      <c r="D126" t="inlineStr">
        <is>
          <t>linkedin</t>
        </is>
      </c>
      <c r="E126">
        <f>HYPERLINK("https://www.linkedin.com/jobs/view/4313411009", "https://www.linkedin.com/jobs/view/4313411009")</f>
        <v/>
      </c>
      <c r="F126">
        <f>HYPERLINK("https://jobs.lever.co/logrocket/0aa8b60f-1a74-4e53-b23a-8d5dc7c497a8/apply?lever-source=Job+postings+feed&amp;lever-origin=applied&amp;lever-source%5B%5D=LinkedIn%2520Premium&amp;urlHash=dBgt", "https://jobs.lever.co/logrocket/0aa8b60f-1a74-4e53-b23a-8d5dc7c497a8/apply?lever-source=Job+postings+feed&amp;lever-origin=applied&amp;lever-source%5B%5D=LinkedIn%2520Premium&amp;urlHash=dBgt")</f>
        <v/>
      </c>
      <c r="G126" t="inlineStr"/>
      <c r="H126" t="inlineStr"/>
      <c r="I126" t="inlineStr">
        <is>
          <t>**About LogRocket**
 Founded in 2016, LogRocket's goal is to make every experience on the web as perfect as possible. We're solving a huge challenge for product managers and developers \- understanding the user experience. LogRocket is the first system that gives these teams complete visibility into their customer's experience using their web apps \- through pixel\-perfect replays of user sessions and clear insight into logs, errors, and network activity. We've already attracted an elite roster of over 2,800 customers including ClassPass, Capital One, Cisco, and Rippling, just to name a few. Our focus is on building software with care and craftsmanship and our engineering blog posts offer a taste of that.
 Backed by top investors such as Matrix Partners, Battery Ventures, and Delta\-V Capital, we've raised $55M in funding and we're eager to bring talented people onboard to support our growth. We're on a mission to improve society's experience with software and that's where you come in.
 Responsibilities (Example Projects)
* Design a system to automatically detect the most common user paths across millions of events
* Implement a search backend that allows users to search in real time across billions of log entries
* Build a machine learning pipeline that automatically detects bugs in our users' apps
* Automate database scaling to improve operating cost while maintaining the ability to respond to traffic spikes
* Build a system that automatically recommends integrations for customers based on their toolset
**Qualifications**
* 4\+ years of experience in a full stack or backend development role, preferably with a SaaS company
* Familiarity with the state of the art in cloud technologies, including architectural principles, specific tools of the trade, and their strengths and weaknesses
* Experience in development environments with demanding scalability or availability requirements
* Familiarity with modern Javascript\-based applications and frameworks
* At least one previous full\-time software engineering role
* If you don’t meet all of these, we still encourage you to apply. We believe that code is code, regardless of language, and learning different tools is part of joining a new company.
 Benefits \&amp; Perks
* Catered lunch and an impressive array of your favorite snacks (healthy AND non\-healthy!)
* Unlimited vacation policy
* Health, Dental, Vision benefits, 401k, commuter benefits
* Generous stock options
* Regular team outings and activities (from boat rides to paintball, we’ll try anything!)
 This range is intended to provide a guideline for our typical compensation and may be modified based on location or experience of our finalist candidate.
 LogRocket is an equal opportunity employer. We celebrate diversity and are committed to creating an inclusive environment for all employees.
 LogRocket will consider sponsoring visas for applicants in the US that need work authorization.</t>
        </is>
      </c>
    </row>
    <row r="127">
      <c r="A127" t="inlineStr">
        <is>
          <t>li-4247291585</t>
        </is>
      </c>
      <c r="B127" t="inlineStr">
        <is>
          <t>Sr Software Engineer</t>
        </is>
      </c>
      <c r="C127" t="inlineStr">
        <is>
          <t>General Motors</t>
        </is>
      </c>
      <c r="D127" t="inlineStr">
        <is>
          <t>linkedin</t>
        </is>
      </c>
      <c r="E127">
        <f>HYPERLINK("https://www.linkedin.com/jobs/view/4247291585", "https://www.linkedin.com/jobs/view/4247291585")</f>
        <v/>
      </c>
      <c r="F127">
        <f>HYPERLINK("https://generalmotors.wd5.myworkdayjobs.com/Careers_GM/job/Austin-Texas-United-States-of-America/Sr-Software-Engineer_JR-202509733?source=LinkedIn&amp;urlHash=qJsF", "https://generalmotors.wd5.myworkdayjobs.com/Careers_GM/job/Austin-Texas-United-States-of-America/Sr-Software-Engineer_JR-202509733?source=LinkedIn&amp;urlHash=qJsF")</f>
        <v/>
      </c>
      <c r="G127" t="inlineStr">
        <is>
          <t>Austin, TX</t>
        </is>
      </c>
      <c r="H127" t="inlineStr"/>
      <c r="I127" t="inlineStr">
        <is>
          <t>**Job Description**
**Hybrid:** 
 Reporting to a specific location where work needs to be performed / collaboration should happen (regardless this location is within a hub) and without regard to where a candidate lives (some employees may end up hybrid who live more than 50 miles away but where business needs dictate them to be onsite at a specific location three days per week).
* This role is categorized as hybrid. This means the successful candidate is expected to report to Austin innovation Center or GM Global Technical Center three times per week, at minimum.
* This job is eligible for relocation benefit
**The Role:**
 We are looking for a Senior Software Engineer to contribute to the design and development of scalable, high\-performance systems that power our global platform. This role requires strong technical skills in software engineering, a solid understanding of distributed systems, and the ability to deliver high\-quality, maintainable solutions.
 You will work closely with cross\-functional teams to implement features, improve system architecture, and ensure code quality through best practices. The ideal candidate is a hands\-on problem solver who thrives in a collaborative environment and is committed to continuous learning and technical excellence.
**Key Responsibilities:**
* Collaborate on the design and development of scalable, reliable systems that meet both business and non\-functional requirements (performance, security, maintainability).
* Contribute hands\-on to coding, prototyping, and code reviews, promoting clean code practices and secure development standards.
* Work with technical leads and peers to implement modern design patterns and architectural best practices.
* Build and maintain efficient data flows using both synchronous and asynchronous integration patterns.
* Stay current with emerging technologies and tools to improve development workflows and system capabilities.
* Partner with product managers, designers, and Staff Engineers to deliver high\-quality, customer\-focused features.
* Participate and lead technical improvements, including performance optimization and system refactoring.
* Build and optimize CI/CD workflows using platforms such as Jenkins, GitHub Actions, or ArgoCD.
* Manage and enhance services deployed on Kubernetes at scale, using Helm charts and best practices in container orchestration.
* Ensure platform stability through robust observability, monitoring, and alerting, leveraging tools like Prometheus, Grafana, Datadog, or equivalent.
* Collaborate with SREs, developers, and product teams to implement automated deployment, scaling, and recovery solutions.
**Qualifications:**
* Bachelor’s or master’s degree in computer science, Engineering, or a related field.
* 6\+ years of experience in software development, with a proven track record in designing scalable systems and contributing to architectural decisions.
* Strong understanding of software architecture, design patterns, and modern programming paradigms including microservices and micro\-frontend architectures.
* Proficient in front\-end technologies such as ReactJS, component\-based UI design and backend technologies/frameworks like Java, Quarkus or Spring Boot.
* Demonstrated ability to lead technical projects and make strategic decisions that align with business and engineering goals.
* Excellent problem\-solving skills with the ability to analyze complex systems and propose effective, scalable solutions.
* Experience with relational databases such as PostgreSQL, and familiarity with technologies like Redis and OpenSearch/Elasticsearch is a plus.
* Solid understanding of event\-driven systems and experience with tools such as Kafka, Pulsar, or Azure Event Hub.
* Deep expertise in Kubernetes administration, containerization best practices, and Helm for managing cloud\-native applications in production.
**Preferred Skills:**
* Experience designing global, scalable customer\-facing platforms tailored to diverse market needs.
* Familiarity with public cloud platforms (Azure preferred, AWS, GCP) and containerization technologies (Docker, Kubernetes).
* Experience in leading large global eCommerce product with microservices and event driven architectures.
*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**The salary range for this role:** 
 is $143,000 to 219,400\. The actual base salary a successful candidate will be offered within this range will vary based on factors relevant to the position.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28">
      <c r="A128" t="inlineStr">
        <is>
          <t>li-4365189420</t>
        </is>
      </c>
      <c r="B128" t="inlineStr">
        <is>
          <t>Senior Software Engineer I, Agentic AI Systems</t>
        </is>
      </c>
      <c r="C128" t="inlineStr">
        <is>
          <t>Moveworks</t>
        </is>
      </c>
      <c r="D128" t="inlineStr">
        <is>
          <t>linkedin</t>
        </is>
      </c>
      <c r="E128">
        <f>HYPERLINK("https://www.linkedin.com/jobs/view/4365189420", "https://www.linkedin.com/jobs/view/4365189420")</f>
        <v/>
      </c>
      <c r="F128">
        <f>HYPERLINK("https://www.moveworks.com/us/en/company/careers/position?gh_jid=8384697002&amp;gh_src=690c36f92us&amp;urlHash=nG1P", "https://www.moveworks.com/us/en/company/careers/position?gh_jid=8384697002&amp;gh_src=690c36f92us&amp;urlHash=nG1P")</f>
        <v/>
      </c>
      <c r="G128" t="inlineStr">
        <is>
          <t>Mountain View, CA</t>
        </is>
      </c>
      <c r="H128" t="inlineStr"/>
      <c r="I128" t="inlineStr">
        <is>
          <t>**The Role**
 Are you a software engineer who has honed your craft, partnership, and execution over years building and improving production systems, and are looking to apply your skills at the cutting edge of AI agents? This may be the role for you.
 As a senior software engineer on our “agent lab” Natural Language Understanding team, you will play an important part in our mission: to advance the frontier of work that can be entrusted to agents to perform reliably at scale. You will have the opportunity to contribute to the evolution of the Moveworks AI Assistant platform in several of the following areas: agent orchestration, sandboxed file systems and code execution, latency optimization, agent memory, LLM self\-reflection and improvement, execution environment simulation, enterprise knowledge graphs, and multimodal I/O.
 You will have all the tools of modern enterprise AI at your disposal, including best\-in\-class LLMs from providers like OpenAI. Our team indexes on moving fast on scalable infrastructure, solving challenging product and engineering problems, and pushing the envelope of value provided to customers. If you are looking to do impactful work with a bright, dedicated, and impact\-driven team alongside you, we’d love to have a conversation.
**What You Will Do:**
* Take on exciting and difficult engineering challenges (see areas listed above) to build and evolve capable AI agent systems that are reliable in every sense of the word
* Implement frontier AI algorithms and architectures and help productionize them at scale
* Use the latest advances in machine learning, LLMs, and AI agents to enhance our products and create delightful user experiences
* Contribute to roadmap and help drive the evolution of engineering areas of growing scope and impact to create lasting value for all our customers
* Hone your craft in writing robust, extensible, readable, and performant code
* Partner with subject matter experts across the company including in machine learning, security, product, user experience, and customer success, to learn from each other and build the best enterprise AI product the world has ever seen
* Mentor other engineers on the team in how to build, maintain, and evolve great software
* Collaborate with machine learning engineers, learn from each other, and build world\-class AI systems
**What You Bring To The Table:**
* 2\+ years experience designing, building, and improving production systems, ideally at scale
* Ability to think and communicate clearly about complex engineering problems and systems
* Comfort giving and receiving feedback, and in holding yourself and your coworkers accountable to a high standard of operational excellence
* Readiness to hit the ground running in a Mac development environment, programming in Python, Golang, and/or Java
* Desire to ship at a startup pace with a high degree of ownership
* Attention to detail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applied AI
**Nice To Have** 
 :
* Experience building with LLMs, particularly in iterating on prompts, on model selection, on cognitive architecture design, and on latency/correctness tradeoffs in a data\-driven way
* Hands\-on experience driving one or more stages of a machine learning problem\-solving lifecycle, such as experiment setup, dataset curation, model training, offline evaluation and error analysis, deployment, and online evaluation
* Experience in AI fairness, privacy, permission controls, safety, and/or security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129">
      <c r="A129" t="inlineStr">
        <is>
          <t>li-4321312610</t>
        </is>
      </c>
      <c r="B129" t="inlineStr">
        <is>
          <t>Backend Software Engineer</t>
        </is>
      </c>
      <c r="C129" t="inlineStr">
        <is>
          <t>Next Insurance</t>
        </is>
      </c>
      <c r="D129" t="inlineStr">
        <is>
          <t>linkedin</t>
        </is>
      </c>
      <c r="E129">
        <f>HYPERLINK("https://www.linkedin.com/jobs/view/4321312610", "https://www.linkedin.com/jobs/view/4321312610")</f>
        <v/>
      </c>
      <c r="F129">
        <f>HYPERLINK("https://job-boards.greenhouse.io/nextinsurance66/jobs/7597864003&amp;urlHash=IujV", "https://job-boards.greenhouse.io/nextinsurance66/jobs/7597864003&amp;urlHash=IujV")</f>
        <v/>
      </c>
      <c r="G129" t="inlineStr">
        <is>
          <t>Boston, MA</t>
        </is>
      </c>
      <c r="H129" t="inlineStr"/>
      <c r="I129" t="inlineStr">
        <is>
          <t>**Location: Waltham, MA (hybrid)**
 ERGO NEXT’s mission is to help entrepreneurs thrive. We’re doing that by building the only technology\-led, full\-stack provider of small business insurance in the industry, taking on the entire value chain and transforming the customer experience.
 Simply put, wherever you find small businesses, you’ll find ERGO NEXT.
 Since 2016, we’ve helped hundreds of thousands of small business customers across the United States get fast, customized and affordable coverage. We’re backed by industry leaders in insurance and tech, and we still have room to grow — that’s where you come in.
 Our Backend Software Engineer can expect to work with the latest backend technologies and programming languages. We’re big fans of server\-side Kotlin, and we produce clean, testable code fast and push it into production several times a day via our CI / CD pipeline.
**What You’ll Do**
* You will work closely with other functional areas in the company—product, Marketing, and Front\-end engineers—to rapidly iterate on our product and find the best solutions to our challenges.
* You will take ownership of features – from inception through design and coding, eventually bringing your feature to production at a high level of quality and test coverage.
**What We Need**
* At least 5 years of proven experience in Backend development. Java/Kotlin or similar languages (Python, .NET).
* A B.Sc. in Computer Science or equivalent is a must.
* Excellent knowledge and understanding of OOP concepts and best practices
* Hands\-on development of highly distributed, cloud\-based environments \- an advantage. We work with AWS, but any cloud experience is a plus.
* Experience working with Relational Databases and good SQL skills.
* Adaptable, with a passion for quickly learning new technologies and working effectively in a dynamic environment
* Good interpersonal and communication skills
 The range displayed on this job posting reflects the minimum and maximum target for new hire base salaries for the position in the location(s) listed. Within the range, individual pay is determined by additional factors, including, without limitation, job\-related skills, experience, and relevant education or training. ERGO NEXT employees are also potentially eligible for our annual performance\-based incentive program, in addition to our benefits package, consisting of our partially subsidized medical plan, fully subsidized vision/dental options, life insurance, disability insurance, 401(k), flexible paid time off, parental leave and more.
**US Annual Base Salary Range For This Full\-time Position**
 $163,000—$220,000 USD
*Don’t meet every single requirement? Studies have shown that some underrepresented people are less likely to apply to jobs unless they meet every single qualification. At ERGO NEXT, we are dedicated to building a diverse, inclusive and respectful workplace, so if you’re excited about this role but your past experience doesn’t align perfectly with every qualification in the job description, we encourage you to apply anyways. You may be just the right candidate for this or other roles.*
*One of our core values is 'Play as a Team'; this means making sure everyone has an equal chance to participate and make a difference. We win by playing together. ERGO Next Insurance is an equal opportunity employer and prioritizes building a diverse and inclusive workplace. We provide equal employment opportunities to all employees and applicants of any type and do not discriminate based on race, color, religion, national origin, gender, age, sexual orientation, physical or mental disability, genetic information or characteristic, gender identity and expression, veteran status, or other non\-job\-related characteristics or other prohibited grounds specified in applicable federal, state, and local laws. ERGO Next's policy is to comply with all applicable laws related to nondiscrimination and equal opportunity and will not tolerate discrimination or harassment based on any of these characteristics. This policy applies to all terms and conditions of employment, including recruiting, hiring, placement, promotion, termination, layoff, recall, transfer, leaves of absence, compensation, and training.*</t>
        </is>
      </c>
    </row>
    <row r="130">
      <c r="A130" t="inlineStr">
        <is>
          <t>li-4368895243</t>
        </is>
      </c>
      <c r="B130" t="inlineStr">
        <is>
          <t>Senior Software Engineer I, Core Infrastructure</t>
        </is>
      </c>
      <c r="C130" t="inlineStr">
        <is>
          <t>Moveworks</t>
        </is>
      </c>
      <c r="D130" t="inlineStr">
        <is>
          <t>linkedin</t>
        </is>
      </c>
      <c r="E130">
        <f>HYPERLINK("https://www.linkedin.com/jobs/view/4368895243", "https://www.linkedin.com/jobs/view/4368895243")</f>
        <v/>
      </c>
      <c r="F130" t="inlineStr"/>
      <c r="G130" t="inlineStr">
        <is>
          <t>Mountain View, CA</t>
        </is>
      </c>
      <c r="H130" t="inlineStr"/>
      <c r="I130" t="inlineStr">
        <is>
          <t>What You Will Do
 As a senior member of the Core Infrastructure team, you will be responsible for architecting the next generation of the Moveworks AI infrastructure. As Moveworks grows fast, the infrastructure team is tasked with designing and operating reliable and resilient foundational services as well as frameworks that allow our product to scale seamlessly and our engineering teams to build customer facing features very rapidly.
* Closely work with machine learning, search, product, data, and frontend teams, understand their infrastructure needs, influence infrastructure roadmap, and lead as well as execute on various projects
* Architect and build out the core infrastructure and foundational functionalities such as distributed key value store, schema\-less data store, authentication and authorization, event streaming, distributed configuration management and hot reloading, rate limiting and circuit breaking, system for feature flags and A/B testing, traffic capture and replay, etc.
* Improve observability and reliability of Moveworks systems by building and enhancing distributed logging, tracing, monitoring, and alerting infrastructure
* Define methodologies and metrics to measure performance of microservices and product functionalities, identify and fix bottlenecks, as well as improve overall performance and scalability of Moveworks applications
* Regularly deliver deadline sensitive work that is interdependent with other engineering teams
 What You Bring To The Table
* 2\+ years of experience designing, building, shipping, and maintaining backend distributed systems
* Familiarity with Python/Golang/Java/C\+\+
* Experience with containers/Docker, and with cloud infrastructure like AWS/GCP/Azure
* Experience working with and operating open source technologies like Kafka, Elasticsearch or Opensearch, Istio, etc.
* Desire to work at a startup pace in a small company with a high degree of ownership
* Experience solving for performance, optimization, scalability, latency, and monitoring
* Strong motivation, gumption, and an appetite for continuous, incremental changes and completing challenging projects fast
* BS\+ in computer science or a related field
* High level of curiosity about engineering outside of your immediate discipline and an incessant desire to learn
**Compensation Range** 
 : $123,000 \- $190,000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131">
      <c r="A131" t="inlineStr">
        <is>
          <t>li-4239977994</t>
        </is>
      </c>
      <c r="B131" t="inlineStr">
        <is>
          <t>Software Engineer, Distributed Systems</t>
        </is>
      </c>
      <c r="C131" t="inlineStr">
        <is>
          <t>Figma</t>
        </is>
      </c>
      <c r="D131" t="inlineStr">
        <is>
          <t>linkedin</t>
        </is>
      </c>
      <c r="E131">
        <f>HYPERLINK("https://www.linkedin.com/jobs/view/4239977994", "https://www.linkedin.com/jobs/view/4239977994")</f>
        <v/>
      </c>
      <c r="F131" t="inlineStr"/>
      <c r="G131" t="inlineStr">
        <is>
          <t>New York, NY</t>
        </is>
      </c>
      <c r="H131" t="inlineStr"/>
      <c r="I131"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At Figma, infrastructure is at the heart of everything we build. As a Software Engineer on our Infrastructure team, you’ll help design, build, and operate the systems that power our real\-time collaborative design tools used by millions of people worldwide. We’re scaling fast, and we’re looking for experienced distributed systems engineers across a variety of teams. Whether you’re passionate about storage, compute orchestration, developer tooling, networking, or real\-time data systems, this role offers an opportunity to shape the technical foundation of one of the most beloved design platforms in the world.
 This is a full time role that can be held from one of our US hubs or remotely in the United States.
**What You’ll Do at Figma:**
* Design, build, and maintain scalable and reliable infrastructure systems that support product innovation and user collaboration at scale.
* Architect and evolve distributed systems including storage platforms, streaming infrastructure, and compute orchestration.
* Improve developer experience by building internal platforms, CI/CD systems, build tools, and APIs.
* Collaborate across product and infrastructure teams to design secure, maintainable, and performant systems.
* Participate in shaping platform strategy, roadmaps, and engineering best practices across the organization.
* Debug and resolve complex production issues that span services and layers of the stack.
* Mentor engineers and foster a culture of collaboration, inclusivity, and technical excellence.
**We’d Love to Hear From You If You Have:**
* 5\+ years of Software Engineering experience, specifically in backend or infrastructure engineering..
* Deep understanding of distributed systems concepts such as sharding, replication, consistency, and eventual convergence.
* Experience with cloud\-native environments (AWS, GCP, or Azure), infrastructure\-as\-code, and container orchestration.
* Proficiency in languages such as Go, TypeScript, Python, Rust, or Ruby.
* Strong system design skills and a track record of architecting resilient production systems.
* Excellent communication skills, with experience collaborating across teams and mentoring others.
**While it’s not required, it’s an added plus if you also have:**
* Experience scaling storage platforms (e.g., Postgres, Redis, S3, DynamoDB) or operating streaming systems like Kafka.
* Background in traffic management, DDoS mitigation, or service mesh technologies (e.g., Envoy, Istio).
* A history of developing complex, realtime distributed systems at scale.
* A passion for building developer productivity tools, including development environments, CI/CD pipelines, and build systems.
* Experience with evolving large\-scale, shared developer platforms to improve reliability and developer velocity.
* Strong problem\-solving skills and a bias for action—especially when tackling high\-impact, gritty challenges.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$149,000—$350,000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132">
      <c r="A132" t="inlineStr">
        <is>
          <t>li-4365192037</t>
        </is>
      </c>
      <c r="B132" t="inlineStr">
        <is>
          <t>Senior Software Engineer I, Agentic AI Product</t>
        </is>
      </c>
      <c r="C132" t="inlineStr">
        <is>
          <t>Moveworks</t>
        </is>
      </c>
      <c r="D132" t="inlineStr">
        <is>
          <t>linkedin</t>
        </is>
      </c>
      <c r="E132">
        <f>HYPERLINK("https://www.linkedin.com/jobs/view/4365192037", "https://www.linkedin.com/jobs/view/4365192037")</f>
        <v/>
      </c>
      <c r="F132">
        <f>HYPERLINK("https://www.moveworks.com/us/en/company/careers/position?gh_jid=8159036002&amp;gh_src=690c36f92us&amp;urlHash=zAyS", "https://www.moveworks.com/us/en/company/careers/position?gh_jid=8159036002&amp;gh_src=690c36f92us&amp;urlHash=zAyS")</f>
        <v/>
      </c>
      <c r="G132" t="inlineStr">
        <is>
          <t>Mountain View, CA</t>
        </is>
      </c>
      <c r="H132" t="inlineStr"/>
      <c r="I132" t="inlineStr">
        <is>
          <t>What You Will Do:
 Are you up for an exciting challenge? Picture yourself scaling and optimizing a cutting\-edge Generative AI product that offers instant assistance to enterprise users. Ever wondered how to apply abstraction, scalability, and optimization to a dynamic, probabilistic, and generative conversational system? If so, we invite you to join our Conversation Engine team. At our company, you'll have the unique opportunity to work at the core of Moveworks Generative AI product. Your main focus will be scaling and optimizing it to meet the growing demands of the enterprise solution space. Take a look at our recent posts (Moveworks Live, Creator Studio) on Moveworks’s groundbreaking solutions for enterprise AI. As pioneers in enterprise AI, we don't follow a set formula for building the next solution. Instead, we encourage you to bring your innovative ideas and imagination to solve unsolved problems. You'll collaborate closely with machine learning experts and cross\-functional teams, rapidly iterating over new ideas, and leveraging user behavior data to make informed decisions. Your challenge will be to scale and optimize our conversation engine to support hundreds of millions of users, across multiple chat channels and use cases, and enhance our end\-to\-end product infrastructure with the utmost engineering quality and robustness.
* Construct an extensive product infrastructure, complete with user\-friendly interfaces that empower engineers and configurators to effortlessly customize and optimize generative AI models. This includes collecting data and feedback, adapting to diverse enterprise use cases and business contexts, and delivering domain\-specific conversational experiences.
* Design scalable API abstractions for our conversation platform, which supports all popular chat clients (for example, MSTeams, Slack, and Web) and offers a neutral API for developing other parts of the engineering system.
* Optimize the dialog engine to accommodate a wide range of conversational features, leveraging private domain knowledge unique to each enterprise customer in the cloud, and enable real\-time multilingual translation. You will achieve this with minimal memory footprint, low latency, and streamlined development process for application engineers.
* Champion the best practices for coding patterns, API design, scalability, robustness, and optimization. Foster a culture of excellence and continuous improvements among fellow engineers.
* Provide comprehensive insights and visibility into the performance of our conversational AI product. This involves implementing a robust logging and tracing framework, user\-friendly debugging and triaging tools, and automated metrics for efficient monitoring and analysis.
* Collaborate closely with ML engineers, application engineers, product teams, and customer support teams to drive the development of new features and scalability initiatives.
 What you bring to the table:
* A strong foundation in computer science and software engineering, coupled with expertise in building scalable systems.
* A deep understanding of clean, modular, and scalable API design. You have the ability to champion best coding practices and influence fellow engineers to uphold high standards of code quality and craftsmanship.
* A passion for optimizing systems and improving performance. You are well\-versed in tracing, logging, and metrics frameworks, and possess a systematic approach to quickly identify and resolve latency bottlenecks, race conditions, and throughput limitations.
* The ability to independently research new requirements and develop innovative solutions. You thrive in an environment of fast\-paced coding and execution, embracing rapid iterations to deliver results.
* Strong communication skills to effectively articulate rationales and design approaches. You have a cross\-functional awareness that enables you to collaborate seamlessly with various teams.
* A bachelor's degree or higher in computer science or a related field, demonstrating your academic foundation in the field.
* 2\+ years of professional development experience, specifically in building systems at scale.
**Nice To Have**
* Experience with scaling ML systems
* Experience with Agentic AI product or LLMs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133">
      <c r="A133" t="inlineStr">
        <is>
          <t>li-4310532920</t>
        </is>
      </c>
      <c r="B133" t="inlineStr">
        <is>
          <t>Software Engineer, Core Product</t>
        </is>
      </c>
      <c r="C133" t="inlineStr">
        <is>
          <t>Character.AI</t>
        </is>
      </c>
      <c r="D133" t="inlineStr">
        <is>
          <t>linkedin</t>
        </is>
      </c>
      <c r="E133">
        <f>HYPERLINK("https://www.linkedin.com/jobs/view/4310532920", "https://www.linkedin.com/jobs/view/4310532920")</f>
        <v/>
      </c>
      <c r="F133" t="inlineStr"/>
      <c r="G133" t="inlineStr">
        <is>
          <t>Redwood City, CA</t>
        </is>
      </c>
      <c r="H133" t="inlineStr"/>
      <c r="I133" t="inlineStr">
        <is>
          <t>**About The Role And Team**
 We are building the future of open\-ended interactions between people and intelligent agents. This requires rethinking design, user interfaces, workflows and interactivity from first principles. We’re looking for a Core Product engineer who is genuinely excited about this future and can make significant contributions to our front\-end development efforts. If you are a skilled software engineer with a deep passion for front end development, design, craft, and you thrive in a fast\-paced, agile environment, we encourage you to apply for this exciting opportunity.
****What you’ll do****
* Develop highly performant, visually appealing, and user\-friendly interfaces that push the boundaries of what's possible.
* Enhance and refine our user interface, focusing on engaging our users by fulfilling their needs, desires, and expectations.
* Collaborate closely with the design team to translate visionary concepts into tangible user experiences and product interfaces.
* Establish, evolve, and maintain design foundations, systems, and patterns for the team, setting the bar for product consistency and quality.
* Collaborate with others to define and implement new product features and design patterns
****Who you are****
* Experience as a Front\-End or Full\-Stack Software Engineer with a strong focus on user experience and design systems
* Deep understanding of Typescript, React, React Native, Tailwind, HTML, and modern front\-end best practices.
* Demonstrated experience with building features and experiences for consumer products
* Passionate about the pixels, an exceptional eye for detail, and a focus on craft and polish
* Proven ability to work in a fast\-paced development environment and deliver timely results.
* Excellent communication and collaboration skills across engineering, product, design, and data.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
 *s.*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row>
    <row r="134">
      <c r="A134" t="inlineStr">
        <is>
          <t>li-4133156146</t>
        </is>
      </c>
      <c r="B134" t="inlineStr">
        <is>
          <t>Senior Software Engineer</t>
        </is>
      </c>
      <c r="C134" t="inlineStr">
        <is>
          <t>WorldQuant</t>
        </is>
      </c>
      <c r="D134" t="inlineStr">
        <is>
          <t>linkedin</t>
        </is>
      </c>
      <c r="E134">
        <f>HYPERLINK("https://www.linkedin.com/jobs/view/4133156146", "https://www.linkedin.com/jobs/view/4133156146")</f>
        <v/>
      </c>
      <c r="F134">
        <f>HYPERLINK("https://www.worldquant.com/career-listing/?id=4361107006&amp;source=c8fd37dd6us&amp;urlHash=Q_9Z", "https://www.worldquant.com/career-listing/?id=4361107006&amp;source=c8fd37dd6us&amp;urlHash=Q_9Z")</f>
        <v/>
      </c>
      <c r="G134" t="inlineStr">
        <is>
          <t>New York, United States</t>
        </is>
      </c>
      <c r="H134" t="inlineStr"/>
      <c r="I134" t="inlineStr">
        <is>
          <t>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Technologists at WorldQuant research, design, code, test and deploy firmwide platforms and tooling while working collaboratively with researchers and portfolio managers. Our environment is relaxed yet intellectually driven. We seek people who think in code and are motivated by being around like\-minded people.
**The Role** 
 : Our group is responsible for building software enabling both the large\-scale quantitative research operations that drive WorldQuant’s platform and the production of our portfolio. The team is currently embarking on a multi\-year journey to provide a powerful, scalable, and efficient platform to drive the firm’s next decade of growth. We are looking for someone who can own some of the unique technical challenges inherent in the problem and who can bring solid experience and perspective to the team.
**What You’ll Bring**
 A successful candidate will possess:
* A minimum of 7 years of writing production\-quality code in C\+\+ on Linux platform
* Strong understanding and experience with Linux system programming fundamentals
* Ability to develop large\-scale, distributed systems
* Strong understanding of data structures, algorithms, high\-performance application design, and concurrency patterns.
* Self\-motivated and able to work independently with minimal direction
* Proficiency in English
 An outstanding candidate will also have experience with one or more of:
* Python development experience is also a plus
* Developing systems for managing and performing computation on large\-scale graph data
* Streaming / dataflow systems
* Candidates need not have prior experience in financial services.
**Our Benefits**
 Core Benefits:
* Fully paid medical and dental insurance for employees and dependents, flexible spending account, 401k, fully paid parental leave, generous PTO (paid time off) that consists of:
* twenty vacation days that are pro\-rated based on the employee’s start date, at an accrual of 1\.67 days per month, three personal days, and ten sick days.
* Perks: Employee discounts for gym memberships, wellness activities, healthy snacks, casual dress code
* Training: learning and development courses, speakers, team\-building off\-site
* Employee resource groups
**Pay Transparency**
 WorldQuant is a total compensation organization where you will be eligible for a base salary, discretionary performance bonus, and benefits.
 To provide greater transparency to candidates, we share base pay ranges for all US\-based job postings regardless of state. We set standard base pay ranges for all roles based on job function and level, benchmarked against similar stage organizations. When finalizing an offer, we will take into consideration an individual’s experience level and the qualifications they bring to the role to formulate a competitive total compensation package.
**The Base Pay Range For This Position Is** 
 $175,000 – $250,000 USD.
 At WorldQuant, we are committed to providing candidates with all necessary information in compliance with pay transparency laws. If you believe any required details are missing from this job posting, please notify us at
 **\[email protected]** 
 , and we will address your concerns promptly.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is>
      </c>
    </row>
    <row r="135">
      <c r="A135" t="inlineStr">
        <is>
          <t>li-4333291146</t>
        </is>
      </c>
      <c r="B135" t="inlineStr">
        <is>
          <t>Sr. Software Engineer</t>
        </is>
      </c>
      <c r="C135" t="inlineStr">
        <is>
          <t>Cleerly</t>
        </is>
      </c>
      <c r="D135" t="inlineStr">
        <is>
          <t>linkedin</t>
        </is>
      </c>
      <c r="E135">
        <f>HYPERLINK("https://www.linkedin.com/jobs/view/4333291146", "https://www.linkedin.com/jobs/view/4333291146")</f>
        <v/>
      </c>
      <c r="F135">
        <f>HYPERLINK("https://cleerlyhealth.com/careers-board?gh_jid=5694290004&amp;gh_src=ad48cc874us&amp;urlHash=FOqv", "https://cleerlyhealth.com/careers-board?gh_jid=5694290004&amp;gh_src=ad48cc874us&amp;urlHash=FOqv")</f>
        <v/>
      </c>
      <c r="G135" t="inlineStr">
        <is>
          <t>Denver, NY</t>
        </is>
      </c>
      <c r="H135" t="inlineStr"/>
      <c r="I135" t="inlineStr">
        <is>
          <t>**About Cleerly**
 We’re Cleerly – a healthcare company that’s revolutionizing how heart disease is diagnosed, treated, and tracked. We were founded in 2017 by one of the world’s leading cardiologists and are a growing team of world\-class engineering, operations, medical affairs, marketing, and sales leaders. We raised $223M in Series C funding in 2022 which has enabled rapid growth and continued support of our mission. In December 2024 we received an additional $106M in a Series C extension funding. Most of our teams work remotely and have access to our offices in Denver, Colorado, New, York, New York, Dallas, Texas, and Lisbon, Portugal with some roles requiring you to be on\-site in a location.
 Cleerly has created a new standard of care for heart disease through value\-based, AI\-driven precision diagnostic solutions with the goal of helping prevent heart attacks. Our technology goes beyond traditional measures of heart disease by enabling comprehensive quantification and characterization of atherosclerosis, or plaque buildup, in each of the heart arteries. Cleerly’s solutions are supported by more than a decade of performing some of the world’s largest clinical trials to identify important findings beyond symptoms that increase a person’s risk of heart attacks.
 At Cleerly, we collaborate digitally and use a wide variety of systems. Our people use Google Workspace (GMail, Drive, Docs, Sheets, Slides), Slack, Confluence/Jira, and Zoom Video, prior experience in these areas is a plus. Role or department specific technology needs may vary and will be listed as requirements in the job description.
 While we are mostly a remote company, travel is required for some team meetings and cross function projects typically once per month or once per quarter, for some roles like sales or external facing roles travel could be up to 90% of the time.
**About The Opportunity**
 We're seeking a Senior Software Engineer to drive key technical initiatives across our computational imaging pipeline. In this high\-impact role, you'll own the complex systems responsible for deploying, scaling, and monitoring our regulated AI algorithms end\-to\-end. You will influence the architecture of our system, ensuring our solutions meet medical standards for quality and performance, while mentoring other engineers and helping shape our technical culture.
**About The Team**
 You will join our expert Computational Imaging team, where we develop sophisticated algorithms to enhance and improve medical imaging. We are focused on improving the quality and clinical value of medical images, creating powerful, extra software components that correct artifacts, standardize data, and ensure the utmost precision before the final analysis. Our work is essential for elevating the reliability and accuracy of Cleerly’s regulated products.
**Responsibilities**
* Design, build, and deploy scalable AI services and computational imaging pipelines to production, ensuring robust, high\-availability infrastructure for our machine learning algorithms.
* Design extensible system architectures and make pragmatic trade\-offs that balance performance, security, and maintainability.
* Own full lifecycle delivery of complex features, from architectural planning and API design to implementation and post\-release observability.
* Ensure high availability and observability of our services; improve alerting, logging, and incident response across the stack.
* Set and uphold strong engineering standards via code reviews, technical mentorship, and design documentation.
* Lead technical design reviews and system decomposition efforts across teams.
* Proactively identify risks and gaps in operational or architectural resilience, and drive durable improvements.
* Collaborate closely across AI and engineering to reduce knowledge silos and ensure continuity in critical systems through cross\-training and documentation.
* Design and implement robust testing mechanism and validation strategies to ensure compliance with our Quality Management System and regulatory standards
* Contribute to the necessary technical documentation required for regulatory submissions.
**Requirements**
* Bachelor’s or Master’s degree in Computer Science, Software Engineering, or related field (or equivalent experience).
* 8–12 years of software engineering experience, with expertise in AI production systems (Python, PyTorch) and data services (SQL, Postgres, NoSQL, Redis or similar).
* Demonstrable capability in designing, implementing, and securing RESTful web services
* Experience in MLOps orchestration and cloud deployment (Docker, Kubernetes).
* Experience with AWS, GitHub, and continuous integration pipelines
* Proven track record of architecting and delivering scalable systems in production environments.
* Experience mentoring engineers and raising the technical bar through reviews and design feedback.
* Strong systems thinking with the ability to evaluate tradeoffs in scalability, reliability, and maintainability.
* Experience designing for observability and operational excellence (e.g., logs, alerts, dashboards, runbooks).
* Comfortable operating in ambiguity and driving clarity across product, engineering, and business stakeholders.
**Preferred:**
* Experience designing and optimizing end\-to\-end medical imaging pipelines in a production environment and familiarity with HIPAA/HITRUST security requirements.
* Hands\-on experience with Computer Vision and Deep Learning techniques used for medical image processing.
 The base salary range for this role varies by location and is aligned to market benchmarks.
* Candidates located in higher\-cost labor markets, including California, Washington, New York, New Jersey, Connecticut, Massachusetts, and Washington, DC represent the middle to high end of the range, while candidates located in all other U.S. locations represent the low to middle end of the range.
* Final compensation is determined based on location, experience, skills, and internal equity.
 This role is eligible for a 15
 **% target annual bonus** 
 , resulting in the following
 **base salary** 
 and
 **Total Target Compensation (TTC)** 
 ranges:
* Base Salary: $153,000 \- $179,000
* TTC: $176,000 \- $206,000
* Total Target Compensation (TTC): Total Cash Compensation (including base pay, variable pay, commission, bonuses, etc.) Additionally, stock options, paid benefits, and employee perks are part of your total rewards.
**Working at Cleerly takes HEART. Discover our Core Values:**
* H: Humility\- be a servant leader
* E: Excellence\- deliver world\-changing results
* A: Accountability\- do what you say; expect the same from others
* R: Remarkable\- inspire \&amp; innovate with impact
* T: Teamwork\- together we win
 Don’t meet 100 percent of the qualifications? Apply anyway and help us diversify our candidate pool and workforce. We value experience, whether gained formally or informally on the job or through other experiences.
 *Job duties, activities and responsibilities are subject to change by our company.*
***OUR COMPANY IS AN EQUAL OPPORTUNITY EMPLOYER.***
*We do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
 By submitting your application, you agree to receive SMS messages from Cleerly recruiters throughout the interview process. Message frequency may vary. Message and data rates may apply. You can STOP messaging by sending STOP and get more help by sending HELP. For more information see our Privacy Policy (https://cleerlyhealth.com/privacy\-policy). All official emails will come from @cleerlyhealth.com email accounts.
 \#Cleerly</t>
        </is>
      </c>
    </row>
    <row r="136">
      <c r="A136" t="inlineStr">
        <is>
          <t>li-4358754654</t>
        </is>
      </c>
      <c r="B136" t="inlineStr">
        <is>
          <t>Software Engineer II</t>
        </is>
      </c>
      <c r="C136" t="inlineStr">
        <is>
          <t>Microsoft</t>
        </is>
      </c>
      <c r="D136" t="inlineStr">
        <is>
          <t>linkedin</t>
        </is>
      </c>
      <c r="E136">
        <f>HYPERLINK("https://www.linkedin.com/jobs/view/4358754654", "https://www.linkedin.com/jobs/view/4358754654")</f>
        <v/>
      </c>
      <c r="F136">
        <f>HYPERLINK("https://apply.careers.microsoft.com/careers/job/1970393556640969?utm_source=linkedin&amp;domain=microsoft.com&amp;src=LinkedIn&amp;urlHash=_CEf", "https://apply.careers.microsoft.com/careers/job/1970393556640969?utm_source=linkedin&amp;domain=microsoft.com&amp;src=LinkedIn&amp;urlHash=_CEf")</f>
        <v/>
      </c>
      <c r="G136" t="inlineStr">
        <is>
          <t>Redmond, WA</t>
        </is>
      </c>
      <c r="H136" t="inlineStr"/>
      <c r="I136"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Are you passionate about advancing database systems to support the next generation of AI\-powered applications? Do you thrive on building core infrastructure like vector indexing, semantic search, and graph\-aware query engines inside a trusted open\-source database? Join us as we extend PostgreSQL to natively support AI workloads, combining deep systems engineering with meaningful developer impact.
 The Azure PostgreSQL team is building advanced, cloud\-native capabilities that extend PostgreSQL into a trusted platform for AI workloads. This includes native support for vector search, semantic indexing, graph queries, and in\-database model integration. We are looking for a Software Engineer II to design and build foundational systems that enable intelligent applications to run directly inside PostgreSQL with performance, reliability, and scale.
 This is a high\-impact individual contributor role where you will collaborate with experienced engineers, contribute to core infrastructure, and help shape the developer experience for AI\-powered applications built on PostgreSQL.
**About The Team**
 We are a fast\-moving, collaborative team focused on extending PostgreSQL to support AI workloads natively. Our work includes vector indexing, semantic query processing, graph data models, and model\-aware execution capabilities, all built directly on top of the PostgreSQL engine. We operate at the intersection of distributed systems, database internals, and AI infrastructure, with an emphasis on technical rigor and real\-world impact. Our culture values curiosity, deep systems thinking, and inclusive collaboration. We believe the best ideas emerge from engineering craftsmanship, open experimentation, and a shared commitment to excellence.
 We do not just value differences or different perspectives. We seek them out and invite them in so we can tap into the collective power of everyone in the company. As a result, our customers are better served.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implement AI\-native capabilities in PostgreSQL including vector indexing, semantic search operators, and graph query features
* Build high\-performance extensions and core engine integrations in C, C\+\+, or Rust
* Collaborate with senior engineers, product teams, and AI researchers to deliver scalable and intuitive capabilities
* Contribute to end\-to\-end development, including performance tuning, operability, and service integration
* Participate in code reviews, technical design discussions, and the evolution of engineering standards
* Help shape developer experience through APIs, control plane integration, and extensibility
* Stay informed on research and industry trends in AI indexing, graph systems, and database\-AI convergence
* Embody our culture and values
**Qualifications**
**Required Qualification:**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Proficiency in one or more systems programming languages such as C, C\+\+, or Rust
* Experience working with PostgreSQL or similar engines at the extension, indexing, or query execution level
* Demonstrated ability to design and deliver reliable, performant systems in a collaborative environment
* Experience implementing vector indexes, ANN search algorithms, or semantic retrieval systems
* Interest or experience in graph data models or graph\-aware query execution
* Familiarity with embedding workflows, model integration, or retrieval\-augmented generation patterns
* Prior contributions to open\-source databases, search engines, or AI infrastructure projects
* Problem\-solving and communication skills with a collaborative, growth\-oriented mindset
* Commitment to learning, innovation, and inclusive engineering culture
 \#azdat \#azuredata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37">
      <c r="A137" t="inlineStr">
        <is>
          <t>li-3765967704</t>
        </is>
      </c>
      <c r="B137" t="inlineStr">
        <is>
          <t>Senior Software Engineer - C++</t>
        </is>
      </c>
      <c r="C137" t="inlineStr">
        <is>
          <t>Verkada</t>
        </is>
      </c>
      <c r="D137" t="inlineStr">
        <is>
          <t>linkedin</t>
        </is>
      </c>
      <c r="E137">
        <f>HYPERLINK("https://www.linkedin.com/jobs/view/3765967704", "https://www.linkedin.com/jobs/view/3765967704")</f>
        <v/>
      </c>
      <c r="F137" t="inlineStr"/>
      <c r="G137" t="inlineStr">
        <is>
          <t>San Mateo, CA</t>
        </is>
      </c>
      <c r="H137" t="inlineStr"/>
      <c r="I137"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**What You'll Do**
* Work cross\-functionally with hardware team to develop camera features in C\+\+ and Python.
* Lead code reviews, debugging, and bug fixes.
* Experiment/test with new development boards.
* Make regular contributions to existing code base to push new features OTA on a frequent basis.
**What You Bring**
* BS/MS in Computer Science (or similar degree)
* 5\+ years of experience of software development for Linux in System Programming Languages (C, C\+\+, Rust, etc)
* Proficient in modern C\+\+
* Experience in embedded development or experience with low\-level system software development.
* Good knowledge with operating systems and computer architecture.
* Familiar with at least one scripting language (Python, Bash, etc).
* Good communication \&amp; documentation skills.
* Must be willing and able to work onsite five days per week
**Nice to Have**
* Experience in Machine Learning or Computer Vision
* Experience in heterogeneous computing, e.g. GPU, DSP, or other coprocessor / accelerator.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$130,000—$280,000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138">
      <c r="A138" t="inlineStr">
        <is>
          <t>li-4363437637</t>
        </is>
      </c>
      <c r="B138" t="inlineStr">
        <is>
          <t>Software Engineer, GPU</t>
        </is>
      </c>
      <c r="C138" t="inlineStr">
        <is>
          <t>Waymo</t>
        </is>
      </c>
      <c r="D138" t="inlineStr">
        <is>
          <t>linkedin</t>
        </is>
      </c>
      <c r="E138">
        <f>HYPERLINK("https://www.linkedin.com/jobs/view/4363437637", "https://www.linkedin.com/jobs/view/4363437637")</f>
        <v/>
      </c>
      <c r="F138" t="inlineStr"/>
      <c r="G138" t="inlineStr">
        <is>
          <t>Mountain View, CA</t>
        </is>
      </c>
      <c r="H138" t="inlineStr"/>
      <c r="I138"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Compute Team is tasked with a critical and exciting mission: We deliver the compute platform responsible for running the fully autonomous vehicle’s software stack. To achieve our mission, we architect and create high\-performance custom silicon; we develop system\-level compute architectures that push the boundaries of performance, power, and latency; and we collaborate closely with many other teammates to ensure we design and optimize hardware and software for maximum performance. We are a multidisciplinary team seeking curious and talented teammates to work on one of the world’s highest performance automotive compute platforms.
 In this hybrid role, you will report to a Senior Software Engineer.
**You Will**
* Develop high\-performance GPU primitives and abstractions to enable Waymo to scale its accelerator codebase across diverse GPU backends
* Collaborate with Waymo's internal hardware team and external partners on SoC projects with a focus on the GPU portion
* Manage the bring\-up, correctness, and performance of the Waymo onboard stack on new GPU platforms
* Contribute to testing infrastructure that enhances the CI/CD flow for GPUs, detects bugs early, and generates automated alerts to maintain the GPU stack's functionality and performance
* Create profiler and debugger tools for new GPU platforms
**You Have**
* Proven expertise in C\+\+ programming
* Bachelor degrees in EECS, coupled with a minimum of three years of industry experience
* Experience with full\-system simulation frameworks (SystemC, Gem5 or similar)
* Solid understanding of GPU hardware architecture
* Proficiency in utilizing performance analysis tools and debuggers
* Enthusiasm for developing the complete GPU software stack, from the hardware level to real\-world applications
**We Prefer**
* Knowledge of Linux device drivers and embedded firmware
* Experience with diverse GPU deployment environments
* Proficiency in GPU optimization techniques, including memory coalescing, register/shared memory tiling, pinned memory, and warp\-level programming
* Familiarity with GPU libraries such as Thrust, CUB, CUTLASS, or Eigen
* Experience collaborating with external operators to ensure high quality standards
* Experience contributing to open\-source compiler projects such as LLVM or SPIR\-V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39">
      <c r="A139" t="inlineStr">
        <is>
          <t>li-4354677163</t>
        </is>
      </c>
      <c r="B139" t="inlineStr">
        <is>
          <t>Senior Software Engineer II, Agentic AI Systems</t>
        </is>
      </c>
      <c r="C139" t="inlineStr">
        <is>
          <t>Moveworks</t>
        </is>
      </c>
      <c r="D139" t="inlineStr">
        <is>
          <t>linkedin</t>
        </is>
      </c>
      <c r="E139">
        <f>HYPERLINK("https://www.linkedin.com/jobs/view/4354677163", "https://www.linkedin.com/jobs/view/4354677163")</f>
        <v/>
      </c>
      <c r="F139">
        <f>HYPERLINK("https://www.moveworks.com/us/en/company/careers/position?gh_jid=8048552002&amp;gh_src=690c36f92us&amp;urlHash=dlzI", "https://www.moveworks.com/us/en/company/careers/position?gh_jid=8048552002&amp;gh_src=690c36f92us&amp;urlHash=dlzI")</f>
        <v/>
      </c>
      <c r="G139" t="inlineStr">
        <is>
          <t>Mountain View, CA</t>
        </is>
      </c>
      <c r="H139" t="inlineStr"/>
      <c r="I139" t="inlineStr">
        <is>
          <t>**The Role**
 Are you a software engineer who has honed your craft, partnership, and execution over years building and improving production systems, and are looking to apply your skills at the cutting edge of AI agents? This may be the role for you.
 As a senior software engineer on our “agent lab” Natural Language Understanding team, you will play a central part in our mission: to advance the frontier of work that can be entrusted to agents to perform reliably at scale. You will have the opportunity to shape the evolution of the Moveworks AI Assistant platform in several of the following areas: agent orchestration, sandboxed file systems and code execution, latency optimization, agent memory, LLM self\-reflection and improvement, execution environment simulation, enterprise knowledge graphs, and multimodal I/O. You will have all the tools of modern enterprise AI at your disposal, including best\-in\-class LLMs from providers like OpenAI.
 Our team indexes on moving fast on scalable infrastructure, solving challenging product and engineering challenges, and pushing the envelope of value provided to customers.
 If you are looking to do the best work of your career with a bright, dedicated, and impact\-driven team alongside you, we’d love to have a conversation.
**What You Will Do:**
* Take on exciting and difficult engineering challenges (see areas listed above) to build and evolve capable AI agent systems that are reliable in every sense of the word
* Implement frontier AI algorithms and architectures and productionize them at scale
* Use the latest advances in machine learning, LLMs, and AI agents to enhance our products and create delightful user experiences
* Influence roadmap and drive the evolution of engineering areas of increasing scope and impact to create lasting value for all our customers
* Hone your craft in writing robust, extensible, readable, and performant code
* Partner with subject matter experts across the company including in machine learning, security, product, user experience, and customer success, to learn from each other and build the best enterprise AI product the world has ever seen
* Mentor other engineers on the team in how to build, maintain and evolve great software
* Collaborate with machine learning engineers, learn from each other, and build the best AI systems the world has ever seen
**What You Bring To The Table:**
* 4\+ years experience designing, building and improving production systems, ideally at scale
* Ability to think and communicate clearly about complex engineering problems and systems
* Comfort giving and receiving feedback, and in holding yourself and your coworkers accountable to a high standard of operational excellence
* Readiness to hit the ground running in a Mac development environment, programming in Python, Golang, and/or Java
* Desire to ship at a startup pace with a high degree of ownership
* Attention to detail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applied AI
**Nice To Have** 
 :
* Experience building with LLMs, particularly in iterating on prompts, on model selection, on cognitive architecture design, and on latency/correctness tradeoffs in a data\-driven way
* Hands\-on experience driving one or more stages of a machine learning problem\-solving lifecycle, such as experiment setup, dataset curation, model training, offline evaluation and error analysis, deployment, and online evaluation
* Experience in AI fairness, privacy, permission controls, safety, and/or security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140">
      <c r="A140" t="inlineStr">
        <is>
          <t>li-4193938105</t>
        </is>
      </c>
      <c r="B140" t="inlineStr">
        <is>
          <t>Web Software Developer</t>
        </is>
      </c>
      <c r="C140" t="inlineStr">
        <is>
          <t>Viridien</t>
        </is>
      </c>
      <c r="D140" t="inlineStr">
        <is>
          <t>linkedin</t>
        </is>
      </c>
      <c r="E140">
        <f>HYPERLINK("https://www.linkedin.com/jobs/view/4193938105", "https://www.linkedin.com/jobs/view/4193938105")</f>
        <v/>
      </c>
      <c r="F140">
        <f>HYPERLINK("https://cgg.wd103.myworkdayjobs.com/en-US/viridiencareers/job/Houston-United-States-of-America/Web-Software-Developer_JR100684?source=LinkedIn&amp;urlHash=XaH4", "https://cgg.wd103.myworkdayjobs.com/en-US/viridiencareers/job/Houston-United-States-of-America/Web-Software-Developer_JR100684?source=LinkedIn&amp;urlHash=XaH4")</f>
        <v/>
      </c>
      <c r="G140" t="inlineStr">
        <is>
          <t>Houston, TX</t>
        </is>
      </c>
      <c r="H140" t="inlineStr"/>
      <c r="I140" t="inlineStr">
        <is>
          <t>Viridien (www.viridiengroup.com) is an advanced technology, digital and Earth data company that pushes the boundaries of science for a more prosperous and sustainable future. With our ingenuity, drive and deep curiosity we discover new insights, innovations, and solutions that efficiently and responsibly resolve complex natural resource, digital, energy transition and infrastructure challenges.
**Job Description**
 Are you passionate about building innovative web applications that drive collaboration, efficiency, and impact? Viridien is seeking a Web Fullstack Software Developer to design, develop, and maintain enterprise\-scale applications that support both internal operations and client\-facing platforms.
 In this role, you’ll work across the full technology stack – building responsive front\-end interfaces with modern frameworks (React, Angular, Vue), designing robust backend systems with Python, PHP, Node.js, and MySQL, and integrating advanced AI technologies, geospatial tools, and data visualization solutions. You’ll also contribute to DevOps processes, including CI/CD pipelines and containerized deployments, while collaborating with researchers, scientists, machine learning engineers, and business stakeholders to create impactful, user\-focused solutions.
 If you thrive on hands\-on problem solving, enjoy tackling complex technical challenges, and want to see your work have immediate impact, you’ll fit right in at Viridien. We value diverse perspectives and a collaborative mindset, giving you the freedom to innovate and shape the future of our web applications.
**Qualifications**
* Master’s degree in Computer Science or a related field and at least 5 years of relevant work experience; or PhD in Computer Science or a related field and at least 2 years of relevant work experience
* Proficiency in PHP, JavaScript, TypeScript, Python, Ruby, SQL, HTML/CSS
* Strong experience with frontend frameworks (e.g., React, Angular, Vue) and styling / component libraries (e.g., Sass, Tailwind CSS, Bootstrap, Ant Design)
* Hands\-on expertise with backend frameworks and libraries such as Node.js, Express, ORM
* Experience with both SQL (e.g., MySQL, PostgreSQL) and NoSQL (e.g., Elasticsearch) databases
* Knowledge of GIS concepts and libraries, including OpenLayers, Leaflet.js, Three.js, Chart.js
* Familiarity with Docker, CI/CD pipelines, and modern deployment practices
* Strong background in UI/UX design and data visualization
* Experience with Agile methodologies, test\-driven deployment (TDD), unit testing (e.g., Jest, Mocha), and Git\-based workflows
* Experience with cloud platforms such as AWS (EC2, S3, Lambda) or Azure
* Experience with building Machine Learning or LLM\-based applications
**Preferred**
* Experience with data\-intensive, GIS\-driven, or enterprise\-scale applications
* Demonstrated ability to work in interdisciplinary teams bridging engineering, research, and business
* Strong analytical, problem\-solving, and communication skills, with the ability to present technical work to diverse stakeholders
**Houston Perks And Benefits**
* Relocation \&amp; Signing Bonus: Relocation and signing bonuses to kickstart your journey!
* Performance\-Based Bonus: Monthly performance\-based incentives – your potential is limitless!
* Visa \&amp; Green Card Sponsorship: We proudly support international early\-career talent – sponsorship opportunities available based on performance
* Career Growth: Clear promotion pathways and fast\-paced career progression with structured training and mentorship programs
* Hybrid \&amp; Flexible Work: Enjoy up to two remote days per week, giving you the flexibility to manage work and life commitments
* Generous Time Off: Three weeks of vacation to recharge, plus three personal days and eight sick days to use when you need them most
* Retirement Benefits: Excellent 401k match program – contribute up to 5%, and we’ll match up to 7%!
* Comprehensive Healthcare: Medical, dental, vision, and supplemental benefits to support you and your family’s wellbeing
* Parental Support: Paid parental leave for all parents, plus fertility care coverage to support every unique journey
* Wellness \&amp; Wellbeing: EAP and Wellness Program to support mental and emotional wellbeing, with a free, onsite fitness center to help you stay active
* Free Lunches: Take a break from meal prep – we provide lunch three days a week (Tuesdays, Wednesdays, and Thursdays)!
**Our Hiring Process**
 At Viridien, we are committed to delivering a respectful, inclusive, and transparent recruitment experience.
 Due to the high volume of applications we receive, we may not be able to provide individual feedback to every applicant. Only candidates whose qualifications closely match the role criteria will be contacted for an interview. We do, however, aim to share personalized feedback with those who progress to the first round of interviews and beyond.
 We are also dedicated to ensuring that our hiring process accessible to all. If you require any reasonable adjustments to fully participate in the application or interview stages, please don’t hesitate to contact your recruiter directly.
 We see things differently. Diversity fuels our innovation, we value the unique ways in which we differ, and we are committed to equal employment opportunities for all professionals.</t>
        </is>
      </c>
    </row>
    <row r="141">
      <c r="A141" t="inlineStr">
        <is>
          <t>li-4382666501</t>
        </is>
      </c>
      <c r="B141" t="inlineStr">
        <is>
          <t>Software Engineer (Java, API)</t>
        </is>
      </c>
      <c r="C141" t="inlineStr">
        <is>
          <t>Wiraa</t>
        </is>
      </c>
      <c r="D141" t="inlineStr">
        <is>
          <t>linkedin</t>
        </is>
      </c>
      <c r="E141">
        <f>HYPERLINK("https://www.linkedin.com/jobs/view/4382666501", "https://www.linkedin.com/jobs/view/4382666501")</f>
        <v/>
      </c>
      <c r="F141">
        <f>HYPERLINK("https://www.wiraa.com/job-description/usD29ACC0AED90358091694BBD95A768E4?source=Linkedin&amp;urlHash=_f-o", "https://www.wiraa.com/job-description/usD29ACC0AED90358091694BBD95A768E4?source=Linkedin&amp;urlHash=_f-o")</f>
        <v/>
      </c>
      <c r="G141" t="inlineStr"/>
      <c r="H141" t="inlineStr"/>
      <c r="I141" t="inlineStr">
        <is>
          <t>**About The Company**
 Circle is a forward\-thinking financial technology company committed to creating an inclusive and transparent financial future. With a focus on visibility and stability, Circle has established itself as a leader in blockchain and digital payment solutions. The organization values high integrity, innovation, stakeholder engagement, mindfulness, and excellence, fostering a flexible work environment that encourages new ideas and active participation from all employees. As the company expands into prominent jurisdictions worldwide, it continues to drive advancements in blockchain infrastructure, tokenization, and secure digital transactions, positioning itself at the forefront of the evolving financial landscape.
**About The Role**
 The Staff Software Engineer at Circle plays a critical role in extending and enhancing the company's in\-house blockchain systems infrastructure to support global tokenization initiatives. This position involves analyzing complex requirements, troubleshooting system issues, and developing scalable microservices responsible for secure and reliable API integrations across various blockchain and traditional banking protocols. The engineer will collaborate closely with product and engineering teams to design, test, and document system architectures, ensuring high standards of quality and security. Building publicly accessible APIs to facilitate developer integration, connecting platform services with leading financial institutions, and consulting with management on system principles are integral parts of this role. The ideal candidate will bring extensive experience in software development, architecture, and blockchain technology, contributing to Circle's mission of transforming the future of digital finance.
**Qualifications**
* Minimum of 7 years of professional software development experience in object\-oriented languages such as Go or Java.
* Degree in Computer Science or a closely related field (or foreign equivalent).
* Proven technical leadership experience overseeing teams of four or more in architecture and system design.
* Expertise in API design, payments processing, or blockchain technology.
* Deep understanding of architecture, deployment, and scaling of production\-quality software.
* Hands\-on experience with Web3, blockchain, and smart contract business logic.
* Strong knowledge of RESTful API design principles and development practices.
* Experience with cloud services such as AWS, Google Cloud, or Microsoft Azure.
* Familiarity with container orchestration tools like Kubernetes, EKS, or ECS.
* Proficiency in SQL databases and schema design.
* Commitment to coding standards, code quality, and comprehensive test coverage to enable continuous delivery.
* Excellent communication skills, capable of collaborating with remote teams and effectively presenting ideas and concepts.
* Self\-motivated with a curious mindset, able to thrive in a fast\-paced environment with minimal supervision.
**Responsibilities**
* Extend and improve Circle’s blockchain infrastructure to support scalable tokenization solutions worldwide.
* Analyze requirements, troubleshoot system malfunctions, and implement solutions to ensure system stability and security.
* Develop, build, and own microservices responsible for secure API communication across blockchain and banking protocols.
* Design, test, and document system architectures, standards, and procedures to maintain high quality and security standards.
* Create publicly accessible APIs that simplify developer integration with complex payment and blockchain systems.
* Integrate platform services with leading banks and financial technology providers to enhance payment experiences.
* Collaborate with product and engineering teams to shape new features and improve existing systems.
* Consult with management to ensure alignment on system principles and strategic objectives.
* Develop infrastructure components, including data sources (SQL or NoSQL), messaging systems, and APIs, to support robust payment solutions.
* Participate in code reviews, testing, and deployment processes to maintain high standards of quality and reliability.
* Stay updated with emerging trends in blockchain, Web3, and financial technology to inform ongoing development efforts.
**Benefits**
* Competitive salary range of $172,500 \- $227,500, determined based on experience and qualifications.
* Comprehensive health, dental, and vision insurance plans.
* Flexible work environment supporting remote and hybrid work arrangements.
* Opportunities for professional growth and development within a pioneering blockchain organization.
* Participation in innovative projects shaping the future of digital finance.
* Inclusive and diverse workplace culture that values transparency and stakeholder engagement.
 Equal Opportunity
 Circle is an equal opportunity employer. We celebrate diversity and are committed to creating an inclusive environment for all employees. We do not discriminate based on race, religion, color, national origin, gender, sexual orientation, age, marital status, veteran status, disability, or any other protected status as defined by applicable law. We participate in the E\-Verify program where required and are dedicated to providing accommodations or assistance during the interview process for individuals with disabilities. If you require support, please contact accommodations@circle.com. We respect your privacy and will handle all requests confidentially and separately from the hiring process.</t>
        </is>
      </c>
    </row>
    <row r="142">
      <c r="A142" t="inlineStr">
        <is>
          <t>li-4382686157</t>
        </is>
      </c>
      <c r="B142" t="inlineStr">
        <is>
          <t>Senior Software Engineer, Infrastructure</t>
        </is>
      </c>
      <c r="C142" t="inlineStr">
        <is>
          <t>Afresh</t>
        </is>
      </c>
      <c r="D142" t="inlineStr">
        <is>
          <t>linkedin</t>
        </is>
      </c>
      <c r="E142">
        <f>HYPERLINK("https://www.linkedin.com/jobs/view/4382686157", "https://www.linkedin.com/jobs/view/4382686157")</f>
        <v/>
      </c>
      <c r="F142" t="inlineStr"/>
      <c r="G142" t="inlineStr"/>
      <c r="H142" t="inlineStr"/>
      <c r="I142" t="inlineStr">
        <is>
          <t>Afresh is the leading AI company in fresh food—partnering with grocers like Albertsons, Wakefern, Meijer, and Stater Bros to order billions of dollars of fresh food in over 12,000 grocery departments nationwide.
 Following record\-breaking 70% growth in 2025, we’ve expanded our platform to cover all fresh departments, launched our full store suite, and debuted DC Fresh Buying.
 We’re on a mission to eliminate food waste and make fresh food accessible to all. In 2025 alone our software helped save 200M lbs of food waste. If you're looking for a role where your work directly translates into massive scale and social good, and you want to be part of the team that defines the future of fresh, there is no better time to join us.
**About The Role**
 As a
 **Senior Software Engineer, Infrastructure** 
 , you will be a key member of Afresh’s Infrastructure engineering team. You will build and improve the infrastructure and tooling that helps our service\-owning teams ship reliably, operate safely, and move quickly.
 On this team, you will:
* Own and deliver infrastructure projects end\-to\-end, from problem definition and technical design through implementation, rollout, and iteration
* Build and improve platform primitives that make it easier for service teams to deploy, operate, and debug their services
* Improve observability and operational readiness so we can detect issues early, reduce time\-to\-recovery, and prevent repeat incidents
* Identify and implement cost and performance improvements across our cloud infrastructure and developer tooling
* Work closely with Security to implement practical security controls and protect sensitive data (for example, least\-privilege access, secret management, and network controls)
* Participate in our on\-call rotation and continuously improve monitoring and alerting to maintain a low page rate
* Stay current on infrastructure best practices and evaluate improvements with a pragmatic, impact\-focused mindset
 Skills \+ Experience
 We recognize strong engineers come from many backgrounds and advance at different paces.
 For this
 **Senior** 
 role, candidates typically have
 **5\+ years of relevant software engineering experience** 
 (or equivalent experience).
 We’re looking for someone who has repeatedly delivered complex technical work in production environments, can turn ambiguous problems into a plan, and can execute with a high level of ownership and good judgment.
 Technical Skills
* Cloud infrastructure — You have operated and maintained mission\-critical cloud infrastructure with high uptime. You can design and implement scalable infrastructure (Azure preferred, but AWS/GCP are also fine), including core cloud networking (VPC/VNet design, routing, DNS, load balancing, and connectivity), and you can build improvements that make it easier for service owners to manage their own systems.
* Incident response / disaster recovery — You have led or played a key role in high\-severity production incidents. You can troubleshoot complex issues, restore service, and communicate clearly with stakeholders. You write and maintain runbooks and playbooks to reduce MTTR and avoid reliance on individual subject\-matter experts. Preferred: experience implementing automation to reduce manual intervention.
* Languages / tools
+ Proficiency in Terraform — Strong experience writing, maintaining, and operating production Terraform codebases.
+ Proficiency in at least one general\-purpose programming language — Beyond IaC, you can solve problems by writing and maintaining production code (Python preferred, but others are fine).
+ Proficiency with Kubernetes — You can operate and troubleshoot workloads in a Kubernetes cluster and help maintain what we have in place.
+ AI\-assisted development — You actively use AI coding assistants and are comfortable integrating LLM\-based tooling into infrastructure workflows (code generation, log analysis, runbook automation). You stay curious about new AI capabilities and look for practical ways to apply them.
 Soft Skills
* Startup mindset — You prioritize effectively, stay focused on impact, and are comfortable with ambiguity. You can make progress quickly while maintaining a high bar for quality and reliability.
* Relentless delivery focus — You make commitments and deliver. You surface risks early, communicate clearly when tradeoffs are needed, and keep momentum without relying on personal heroics.
* Collaborative teammate — You build strong working relationships, incorporate feedback, and help unblock others. You provide mentorship through code reviews, pairing, and sharing context, and you raise the bar through example.
* Strong self\-management — You invest in your own growth, maintain healthy boundaries, and use time off appropriately.
* Project leadership — You can drive a project or well\-scoped initiative: align with partners on requirements and success criteria, write or contribute to technical designs, and coordinate execution through launch.
* Customer partnership — You communicate well with partner teams, seek to understand their needs, validate solutions early, and know when and how to push back constructively when tradeoffs are required.
**This Position Is Not Eligible For Company Sponsorship.**
 Salary Range in U.S.: $156,000 \- $211,000
 Salary Range in Canada (CAD): $137,000 \- $185,000
**About Afresh**
 Founded in 2017, Afresh is working on the \#1 solution to curb climate change: reducing food waste. By combining human insight and transformative technology, we're helping grocers provide fresher food to customers at more affordable prices.
 Afresh sits at an incredible intersection of positive social impact, rocket ship financial growth, and cutting\-edge technology. Our best\-in\-class AI research has been published in top journals including ICML, and we've raised over $148 million in funding from investors including former co\-CEO of Whole Foods Market Walter Robb and Eric Schmidt's Innovation Endeavors.
 Fresh is the past, present, and future of our food system – the waste we create today will impact our planet for years to come. Join us as we continue to build a vibrant, diverse, and inclusive team that embodies our company’s values of proactivity, kindness, candor, and humility.
**Afresh provides equal employment opportunities (EEO) to all employees and applicants for employment without regard to race, color, religion, sex, national origin, age, disability, genetics, sexual orientation, gender identity/expression, marital status, pregnancy or related condition, or any other basis protected by law.**
**Here at Afresh, many of our employees work remotely provided that they reside in one of the following states: AL, AR, CA, CO, FL, GA, IL, KY, MA, MI, MT, MO, NV, NJ, NY, NC, OR, PA, TX, WA, UT, VA, WI** 
 .</t>
        </is>
      </c>
    </row>
    <row r="143">
      <c r="A143" t="inlineStr">
        <is>
          <t>li-4369000194</t>
        </is>
      </c>
      <c r="B143" t="inlineStr">
        <is>
          <t>Senior Software Engineer II, Core Infrastructure</t>
        </is>
      </c>
      <c r="C143" t="inlineStr">
        <is>
          <t>Moveworks</t>
        </is>
      </c>
      <c r="D143" t="inlineStr">
        <is>
          <t>linkedin</t>
        </is>
      </c>
      <c r="E143">
        <f>HYPERLINK("https://www.linkedin.com/jobs/view/4369000194", "https://www.linkedin.com/jobs/view/4369000194")</f>
        <v/>
      </c>
      <c r="F143" t="inlineStr"/>
      <c r="G143" t="inlineStr">
        <is>
          <t>Mountain View, CA</t>
        </is>
      </c>
      <c r="H143" t="inlineStr"/>
      <c r="I143" t="inlineStr">
        <is>
          <t>**What You Will Do**
* Build out core infrastructure services and microservices that impact our machine learning, frontend, and platform teams.
* Build out core infrastructure for various functionalities such as: distributed configuration management, rate limiting, feature flag, A/B testing, and traffic capture and replay.
* Improve the performance, scalability and observability of the Moveworks cloud infrastructure.
* Deliver deadline sensitive work regularly that is interdependent with other engineering teams.
* Own features end\-to\-end, and regularly influence the infrastructure roadmap.
* This is a highly collaborative, in\-person role, working cross functionally with Core and ML engineering teams, and more.
**What You Bring To The Table**
* 7\+ years of experience designing, building, shipping, and maintaining backend distributed systems.
* Familiarity with Python/Golang/Java/C\+\+.
* Experience with containers/Docker, and with cloud infrastructure like AWS/GCP/Azure.
* Experience working with and operating open source technologies like Kafka, Elasticsearch or Opensearch, Istio, Vector DB, etc. at scale.
* Desire to work at a startup pace with a high degree of ownership.
* Experience solving for performance, optimization, scalability, latency, and monitoring.
* Strong motivation, gumption, and an appetite for continuous, incremental changes and completing challenging projects quickly.
* BS in computer science or a related field.
* High level of curiosity about engineering outside of your immediate discipline and an incessant desire to learn.
**Compensation Range** 
 : $140,000 \- $240,000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144">
      <c r="A144" t="inlineStr">
        <is>
          <t>li-4382686323</t>
        </is>
      </c>
      <c r="B144" t="inlineStr">
        <is>
          <t>Sr. Full Stack Software Engineer - Product Engineering</t>
        </is>
      </c>
      <c r="C144" t="inlineStr">
        <is>
          <t>Betterment</t>
        </is>
      </c>
      <c r="D144" t="inlineStr">
        <is>
          <t>linkedin</t>
        </is>
      </c>
      <c r="E144">
        <f>HYPERLINK("https://www.linkedin.com/jobs/view/4382686323", "https://www.linkedin.com/jobs/view/4382686323")</f>
        <v/>
      </c>
      <c r="F144" t="inlineStr"/>
      <c r="G144" t="inlineStr">
        <is>
          <t>New York, NY</t>
        </is>
      </c>
      <c r="H144" t="inlineStr"/>
      <c r="I144" t="inlineStr">
        <is>
          <t>**About Betterment**
 Betterment is a leading, technology\-driven financial services company that offers investing, savings and retirement solutions for retail investors and investment advisors as well as financial wellness solutions, including a 401(k) for small and medium\-sized businesses. Our team is passionate about our mission, to empower people to build wealth with confidence and ease. We're headquartered in NYC and offer hybrid NY\-based positions (four days/ week in\-office, with no required office days during the summer and winter holidays).
**About the role**
 The Product Engineering teams at Betterment build the applications our customers use when they are logged in to their Betterment accounts. We are looking for Senior Full Stack Engineers to join us in furthering our mission to make people's lives better by providing delightful experiences that have been Betterment's hallmark since inception.
 Our software guides customers through the most important life events in their financial journey. Whether it's saving to buy a house or planning for retirement, hundreds of thousands of people rely on us to invest and save their money. If you are passionate about financial wellness and are driven to solve complex problems that make saving and investing simple, this role is for you.
 As a Senior Full\-Stack Engineer, you'll work collaboratively with our Mobile, Product, and Design functions to guide and delight our customers on their financial journey.
 This role is based out of our NYC office. For jobs based out of our NYC HQ, we require in office attendance Monday through Thursday, weekly. Below, we've reflected the base salary range we would offer for this position. Actual salaries may vary depending on factors including but not limited to location, experience, and performance. The range listed is just one component of Betterment's total compensation package for employees.
* New York City: $170,000 \- $195,000
 We offer a competitive equity package, health, dental and vision benefits, life and AD\&amp;D, short\-term and long\-term disability insurance, EAP, commuter and parking benefits FSA/HSA, and 401(k) with employer match as well as a flexible PTO policy. This job may also be eligible for variable compensation in the form of a company incentive bonus. For jobs based out of our NYC HQ, we require in office attendance Monday through Thursday, weekly.
**A day in the life**
* Lead medium\-to\-large scale initiatives, partnering with teammates and adhering to software development best practices in order to ship high quality software continuously and iteratively.
* Collaborate with our Product \&amp; Design teams to build delightful experiences that help our customers save and invest.
* Balance innovation with the need to maintain application performance and security.
* Maintain a high bar of excellence in your work quality, setting an example for and mentoring less experienced Engineers to do the same.
* Create efficiency. Our software helps customers save time and money. We maintain it through clean code, rigorous testing and pragmatic programming
* Collaborate with purpose. You'll work in small groups with other talented Engineers and figure out how to make Betterment's software better.
* Contribute to an environment of open communication, where engineers feel empowered to share ideas and take initiative to solve problems that contribute to achieving company objectives.
**What we're looking for**
* Strong experience in object\-oriented programming; Ruby on Rails is preferred. Experience with Java, Python, C\#, or Node.js is welcomed.
* Proficiency in building frontend applications using React.js or a similar framework
* Experience building APIs using GraphQL.
* Proficiency with relational databases, including designing schemas and writing detailed SQL queries.
* A strong command of fundamental algorithms and data structures.
* Proven ability to lead and manage projects that span one or more teams, considering tradeoffs to ensuring on\-time delivery while maintaining high standards of quality, performance and security.
* Passion for building delightful front end interfaces and components.
* Passion for ongoing learning and knowledge\-sharing.
* Adept at approaching complex engineering challenges with innovative and unconventional solutions.
**What being at Betterment means for you**
**We change lives**
 Join a community of innovators working to transform financial outcomes for real people. Your work will make an impact, always laddering up to our mission: making people's lives better.
**We set audacious goals**
 We set them for the company, our customers, and ourselves—and we won't stop until we reach them. We don't just show up; we give our all, then celebrate our wins.
**We value all perspectives**
 When we collaborate, we're at our best. We believe diverse perspectives lead to better outcomes and strive to uphold our supportive and inclusive community.
**We invest in you with:**
* A competitive suite of benefits, including: medical, dental, and vision insurance; life and AD\&amp;D insurance; STD and LTD benefits, including infertility support and World Professional Association for Transgender Health approved benefits; and generous parental leave.
* Flexible paid time off (and encouragement to use it!)
* Meaningful opportunity for community building through our 7 Employee Resource Groups
* Empowerment to own and lead change and affect the business
* Dedicated professional development opportunities
* Lunch from our in\-house chef at our NYC headquarters
**What happens next**
 We'll take a few weeks to review all applications. If we'd like to spend more time with you, we'll reach out to arrange next steps, which will include 3\-4 sets of meetings with your future colleagues.
 In the interview process, we'll look to learn more about your skills, experiences, capabilities, and motivators. Many of our questions will be aimed at understanding how you might operate here at Betterment. Depending on the role, we may ask you to complete a case study exercise or technical assessments, as we want to collect a robust set of data points to better inform our decisions.
 On average, it takes us around 3\-5 weeks to make a hiring decision, depending on your availability and sense of urgency. As a best practice, we aim to interview at least 2\-3 final round candidates before making a hiring decision. Please note that, as we usually receive an overwhelming number of applications for open positions, we're unable to offer individual feedback during the interview process.
 We recognize that interviewing for a new role is a big deal. We appreciate you considering Betterment as the next step in your career, and our Recruiting Team is here to support and advocate for you through the interview process!
*Betterment is dedicated to providing accommodations to candidates upon request. If you need accommodations at any point throughout the interview process, please reach out to your recruiter.*
*Please note that in any materials you submit, you may redact or remove age\-identifying information such as age, date of birth, or dates of school attendance or graduation. You will not be penalized for redacting or removing this information.*
**Come join us!**
*We're an equal opportunity employer and comply with all applicable federal, state, and local fair employment practices laws. We strictly prohibit and do not tolerate discrimination against employees, applicants, or any other covered persons because of race, color, religion, creed, national origin or ancestry, ethnicity, sex, gender (including gender nonconformity and status as a transgender or transsexual individual), sexual orientation, marital status, age, physical or mental disability, citizenship, past, current or prospective service in the uniformed services, predisposing genetic characteristic, domestic violence victim status, arrest records, or any other characteristic protected under applicable federal, state or local law.*
**E\-Verify Statement**
*Betterment participates in E\-Verify. We will provide the Social Security Administration, and if necessary, the Department of Homeland Security, with information from each new employee's Form I\-9 to confirm work authorization. Please note that we do not use this information to pre\-screen job applicants.
 E\-Verify Notice
 E\-Verify Notice (Spanish)
 Right to Work Notice
 Right to Work Notice (Spanish)*
**CPRA Language \- CA Applicants ONLY**
*We collect and store personal information for the purposes of candidate tracking (for this role and future opportunities). The information you provide in the course of completing your application will be kept for up to 24 months. We use tools provided by third\-party service providers but do not share candidate information for any purpose other than for recruiting. To access the data that is collected, request deletion or to make updates to your candidate profile, please email* 
*team.hire@betterment.com* 
*.*</t>
        </is>
      </c>
    </row>
    <row r="145">
      <c r="A145" t="inlineStr">
        <is>
          <t>li-4307553696</t>
        </is>
      </c>
      <c r="B145" t="inlineStr">
        <is>
          <t>Principal Software Engineer - (C# and the .NET Core ecosystem, Python) - Hybrid</t>
        </is>
      </c>
      <c r="C145" t="inlineStr">
        <is>
          <t>FactSet</t>
        </is>
      </c>
      <c r="D145" t="inlineStr">
        <is>
          <t>linkedin</t>
        </is>
      </c>
      <c r="E145">
        <f>HYPERLINK("https://www.linkedin.com/jobs/view/4307553696", "https://www.linkedin.com/jobs/view/4307553696")</f>
        <v/>
      </c>
      <c r="F145">
        <f>HYPERLINK("https://factset.wd108.myworkdayjobs.com/FactSetCareers/job/United-States-New-York-111-West-33rd-Street/Principal-Software-Engineer\u002d\u002d\u002d\u002dC\u002d\u002dand-the-NET-Core-ecosystem\u002d\u002dPython\u002d\u002d\u002d\u002dHybrid_R29455?source=LinkedIn&amp;urlHash=fkSy", "https://factset.wd108.myworkdayjobs.com/FactSetCareers/job/United-States-New-York-111-West-33rd-Street/Principal-Software-Engineer\u002d\u002d\u002d\u002dC\u002d\u002dand-the-NET-Core-ecosystem\u002d\u002dPython\u002d\u002d\u002d\u002dHybrid_R29455?source=LinkedIn&amp;urlHash=fkSy")</f>
        <v/>
      </c>
      <c r="G145" t="inlineStr"/>
      <c r="H145" t="inlineStr"/>
      <c r="I145"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We are seeking an accomplished
 **Principal Software Engineer** 
 to join the core team responsible for our mission\-critical Investment Book of Record (IBOR). This platform is the definitive source of truth for all positions, transactions, and cash. You will be a key technical contributor, responsible for designing, building, and enhancing the services and interfaces that make our IBOR reliable, scalable, and performant.
**Key Responsibilities**
* Hands\-On Development: Design, develop, and maintain robust backend services and APIs using C\# (.NET Core), focusing on high throughput and low latency.
* Data \&amp; Analytics Tooling: Build data processing pipelines, reconciliation tools, and analytical scripts using Python, leveraging libraries like Pandas and NumPy.
* System Architecture: Contribute to architectural and design decisions, ensuring our solutions are scalable, resilient, and maintainable. Participate in code reviews to maintain high standards of quality.
* Database Management: Work with our database systems (MongoDB and MySQL) to ensure data integrity and performance.
* Collaboration: Work closely with Product Managers to understand requirements.
* Mentorship: Guide and mentor junior engineers.
**Required Qualifications \&amp; Experience**
**Minimum Requirements:**
* 10\+ years of professional software engineering experience.
**Critical Skills**
* Expert\-level proficiency in C\# and the .NET Core ecosystem for building enterprise\-grade backend systems.
* Strong professional experience with Python for data analysis, scripting, or backend services.
* Significant experience in the financial services industry, with a strong grasp of the trade lifecycle, financial instruments (equities, fixed income, derivatives), and position management concepts.
* Experience building and consuming RESTful APIs and a solid understanding of software design patterns.
**Preferred Qualifications**
* Direct experience working on an IBOR or Portfolio Management System
* Experience with cloud platforms (AWS) and containerisation technologies (Docker/ ECS).
* Experience working with ServiceStack
**Education**
* Bachelor's degree in Computer Science, Engineering, Mathematics, or a related field.
 The budgeted salary range for this position in the states of Connecticut and New York is
 **$165,000\.00 \- 215,000\.00**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146">
      <c r="A146" t="inlineStr">
        <is>
          <t>li-4358154885</t>
        </is>
      </c>
      <c r="B146" t="inlineStr">
        <is>
          <t>Senior Software Engineer II, Agentic AI Systems</t>
        </is>
      </c>
      <c r="C146" t="inlineStr">
        <is>
          <t>Moveworks</t>
        </is>
      </c>
      <c r="D146" t="inlineStr">
        <is>
          <t>linkedin</t>
        </is>
      </c>
      <c r="E146">
        <f>HYPERLINK("https://www.linkedin.com/jobs/view/4358154885", "https://www.linkedin.com/jobs/view/4358154885")</f>
        <v/>
      </c>
      <c r="F146">
        <f>HYPERLINK("https://www.moveworks.com/us/en/company/careers/position?gh_jid=8165614002&amp;gh_src=690c36f92us&amp;urlHash=Dcc-", "https://www.moveworks.com/us/en/company/careers/position?gh_jid=8165614002&amp;gh_src=690c36f92us&amp;urlHash=Dcc-")</f>
        <v/>
      </c>
      <c r="G146" t="inlineStr">
        <is>
          <t>San Francisco, CA</t>
        </is>
      </c>
      <c r="H146" t="inlineStr"/>
      <c r="I146" t="inlineStr">
        <is>
          <t>**The Role**
 Are you a software engineer who has honed your craft, partnership, and execution over years building and improving production systems, and are looking to apply your skills at the cutting edge of AI agents? This may be the role for you.
 As a senior software engineer on our “agent lab” Natural Language Understanding team, you will play a central part in our mission: to advance the frontier of work that can be entrusted to agents to perform reliably at scale. You will have the opportunity to shape the evolution of the Moveworks AI Assistant platform in several of the following areas: agent orchestration, sandboxed file systems and code execution, latency optimization, agent memory, LLM self\-reflection and improvement, execution environment simulation, enterprise knowledge graphs, and multimodal I/O. You will have all the tools of modern enterprise AI at your disposal, including best\-in\-class LLMs from providers like OpenAI.
 Our team indexes on moving fast on scalable infrastructure, solving challenging product and engineering challenges, and pushing the envelope of value provided to customers.
 If you are looking to do the best work of your career with a bright, dedicated, and impact\-driven team alongside you, we’d love to have a conversation.
**What You Will Do:**
* Take on exciting and difficult engineering challenges (see areas listed above) to build and evolve capable AI agent systems that are reliable in every sense of the word
* Implement frontier AI algorithms and architectures and productionize them at scale
* Use the latest advances in machine learning, LLMs, and AI agents to enhance our products and create delightful user experiences
* Influence roadmap and drive the evolution of engineering areas of increasing scope and impact to create lasting value for all our customers
* Hone your craft in writing robust, extensible, readable, and performant code
* Partner with subject matter experts across the company including in machine learning, security, product, user experience, and customer success, to learn from each other and build the best enterprise AI product the world has ever seen
* Mentor other engineers on the team in how to build, maintain and evolve great software
* Collaborate with machine learning engineers, learn from each other, and build the best AI systems the world has ever seen
**What You Bring To The Table:**
* 4\+ years experience designing, building and improving production systems, ideally at scale
* Ability to think and communicate clearly about complex engineering problems and systems
* Comfort giving and receiving feedback, and in holding yourself and your coworkers accountable to a high standard of operational excellence
* Readiness to hit the ground running in a Mac development environment, programming in Python, Golang, and/or Java
* Desire to ship at a startup pace with a high degree of ownership
* Attention to detail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applied AI
**Nice To Have** 
 :
* Experience building with LLMs, particularly in iterating on prompts, on model selection, on cognitive architecture design, and on latency/correctness tradeoffs in a data\-driven way
* Hands\-on experience driving one or more stages of a machine learning problem\-solving lifecycle, such as experiment setup, dataset curation, model training, offline evaluation and error analysis, deployment, and online evaluation
* Experience in AI fairness, privacy, permission controls, safety, and/or security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147">
      <c r="A147" t="inlineStr">
        <is>
          <t>li-4321344985</t>
        </is>
      </c>
      <c r="B147" t="inlineStr">
        <is>
          <t>Software Engineer (Mid-Level, Backend)</t>
        </is>
      </c>
      <c r="C147" t="inlineStr">
        <is>
          <t>Spatial Front, Inc</t>
        </is>
      </c>
      <c r="D147" t="inlineStr">
        <is>
          <t>linkedin</t>
        </is>
      </c>
      <c r="E147">
        <f>HYPERLINK("https://www.linkedin.com/jobs/view/4321344985", "https://www.linkedin.com/jobs/view/4321344985")</f>
        <v/>
      </c>
      <c r="F147" t="inlineStr"/>
      <c r="G147" t="inlineStr"/>
      <c r="H147" t="inlineStr"/>
      <c r="I147" t="inlineStr">
        <is>
          <t>Job Type
 Full\-time
**Description**
 Spatial Front, Inc. (SFI), a two\-time USAToday Top Workplaces awardee and Washington Top Workplaces honoree, is seeking a results\-driven
 **Backend Software Engineer** 
 to support a high\-visibility federal program focused on modernizing data\-driven processes that evaluate vehicle safety performance. This role supports the development and maintenance of scalable, secure web applications and APIs that power a mission\-critical data platform used by government stakeholders and external partners.
 The ideal candidate is a collaborative engineer with strong backend development experience, a passion for clean and maintainable code, and comfort working in Agile and DevSecOps environments.
**Key Responsibilities**
* Design and architect backend software applications supporting a modern, data\-centric platform
* Develop, maintain, and optimize scalable, high\-performance applications using Node.js
* Build and maintain RESTful APIs and integrate with external data sources
* Implement reusable, modular components and support state management strategies
* Perform unit and end\-to\-end testing using tools such as Postman
* Participate in peer code reviews, ensuring adherence to coding standards and best practices
* Collaborate closely with senior engineers, UI/UX designers, QA teams, and stakeholders in an Agile/Scrum environment
* Debug, troubleshoot, and resolve complex technical issues
* Contribute to technical documentation, including system design, APIs, and workflows
* Support CI/CD pipelines using tools such as Jenkins and GitHub Actions
**Requirements**
**Education**
* Bachelor’s degree in Computer Science or a related field OR
* Six (6\) years of equivalent professional experience in place of a degree
**Required Qualifications**
* Minimum 3 years of experience as a backend Software Engineer
* Proficiency with Node.js, RESTful APIs, GitHub, AWS, and API Gateway
* Experience working in Agile/Scrum and DevSecOps environments
* Hands\-on experience with Jira and Confluence
* Strong analytical, problem\-solving, and troubleshooting skills
* Excellent written and verbal communication skills
* Ability to obtain and maintain a U.S. Public Trust clearance (fingerprinting required)
**Desired Qualifications**
* Experience developing APIs using Node.js and Express
* Familiarity with AWS services such as S3, Lambda, DynamoDB, and API Gateway
* Exposure to Docker and container orchestration tools like Kubernetes
* Understanding of application security best practices, including OAuth and JWT
* Familiarity with CI/CD pipelines, DevOps practices, and Infrastructure as Code (IaC)
* Prior experience supporting federal government projects
**Additional Information**
* Clearance: Must be authorized to work in the U.S. and able to obtain a Public Trust clearance. Background checks may include Criminal History, Education Verification, Employment Verification, Professional Certifications, and Credit History. (Public Trust investigations typically take 4–8 weeks and require fingerprinting.)
* Work Environment: Flexible/remote, with occasional on\-site support as needed.
* Salary Range: $80,000 – $130,000 annually
* Benefits: SFI offers a comprehensive benefits package. Details available at SFI Careers.
* This is a full\-time, W2 position.
* No agencies, third parties, or Corp\-to\-Corp submissions.
* Spatial Front Inc. is an Equal Opportunity Employer — all qualified applicants will receive consideration for employment without regard to race, color, religion, sex, sexual orientation, gender identity, national origin, or protected veteran status.
* SFI participates in E\-Verify.
 Salary Description
 $80,000 – $130,000 annually</t>
        </is>
      </c>
    </row>
    <row r="148">
      <c r="A148" t="inlineStr">
        <is>
          <t>li-4365585307</t>
        </is>
      </c>
      <c r="B148" t="inlineStr">
        <is>
          <t>Frontend Engineer</t>
        </is>
      </c>
      <c r="C148" t="inlineStr">
        <is>
          <t>Vultr</t>
        </is>
      </c>
      <c r="D148" t="inlineStr">
        <is>
          <t>linkedin</t>
        </is>
      </c>
      <c r="E148">
        <f>HYPERLINK("https://www.linkedin.com/jobs/view/4365585307", "https://www.linkedin.com/jobs/view/4365585307")</f>
        <v/>
      </c>
      <c r="F148">
        <f>HYPERLINK("https://www.vultr.com/company/careers/?ashby_jid=067c12ee-c786-4df2-b2bb-767a94959598&amp;utm_source=nMNKlo6LA9&amp;src=linkedin&amp;urlHash=kTp4", "https://www.vultr.com/company/careers/?ashby_jid=067c12ee-c786-4df2-b2bb-767a94959598&amp;utm_source=nMNKlo6LA9&amp;src=linkedin&amp;urlHash=kTp4")</f>
        <v/>
      </c>
      <c r="G148" t="inlineStr"/>
      <c r="H148" t="inlineStr"/>
      <c r="I148" t="inlineStr">
        <is>
          <t>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**Vultr Cares**
* 100% company\-paid insurance premiums for employee medical, dental and vision plans.
* 401(k) plan that matches 100% up to 4%, with immediate vesting
* Professional Development Reimbursement of $2,500 each year
* 11 Holidays \+ Paid Time Off Accrual \+ Rollover Plan
* Commitment matters to Vultr! Increased PTO at 3 year and 10 year anniversary \+ 1 month paid sabbatical every 5 years \+ Anniversary Bonus each year
* $500 stipend for remote office setup in first year \+ $400 each following year
* Internet reimbursement up to $75 per month
* Gym membership reimbursement up to $50 per month
* Company paid Wellable subscription
**Join Vultr**
 The Engineering team is a central pillar of our growth strategy, and we are looking for a
 **Frontend Engineer** 
 to help build out our members' portal and convert it into React. You’ll be creative, detail\-oriented, and excited to help drive revenue through working on our members’ portal, building the UI for all of our emerging products. Our team’s mission is to put our best foot forward for our prospective and existing customers, and we believe that user experience is at the forefront of everything we do. This is your opportunity to join this growing team and leave your mark on Constant and the future of Cloud Infrastructure.
**Key Responsibilities**
* Work to build out our members portal for our products
* Help convert our legacy code into React in our members portal
* Work with other engineering teams and the UX director to create modern UIs
* Contribute to our evolving design toolkit
**Qualifications**
* Experience with HTML templating languages like Twig, Pug, or Jinja
* Experience working with a CSS framework like Bootstrap or Tailwind
* Experience with Javascript frameworks like React
* Comfort working with Webpack for building JavaScript dependencies
* Experience working with backend languages such as PHP
**Compensation**
 $80,000\-$95,000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t>
        </is>
      </c>
    </row>
    <row r="149">
      <c r="A149" t="inlineStr">
        <is>
          <t>li-4090592894</t>
        </is>
      </c>
      <c r="B149" t="inlineStr">
        <is>
          <t>Senior Software Engineer, Filesystem (East Coast, US)</t>
        </is>
      </c>
      <c r="C149" t="inlineStr">
        <is>
          <t>WEKA</t>
        </is>
      </c>
      <c r="D149" t="inlineStr">
        <is>
          <t>linkedin</t>
        </is>
      </c>
      <c r="E149">
        <f>HYPERLINK("https://www.linkedin.com/jobs/view/4090592894", "https://www.linkedin.com/jobs/view/4090592894")</f>
        <v/>
      </c>
      <c r="F149">
        <f>HYPERLINK("https://www.weka.io/company/careers/?gh_jid=4594856007&amp;urlHash=tt6M", "https://www.weka.io/company/careers/?gh_jid=4594856007&amp;urlHash=tt6M")</f>
        <v/>
      </c>
      <c r="G149" t="inlineStr"/>
      <c r="H149" t="inlineStr"/>
      <c r="I149" t="inlineStr">
        <is>
          <t>WEKA is architecting a new approach to the enterprise data stack built for the age of reasoning.
 **NeuralMesh by WEKA** 
 sets the standard for agentic AI data infrastructure with a cloud and AI\-native software solution that can be deployed anywhere. It transforms legacy data silos into data pipelines that dramatically increase GPU utilization and make AI model training and inference, machine learning, and other compute\-intensive workloads run faster, work more efficiently, and consume less energy.
 WEKA is a pre\-IPO, growth\-stage company on a hyper\-growth trajectory. We’ve raised $375M in capital with dozens of world\-class venture capital and strategic investors. We help the world’s largest and most innovative enterprises and research organizations, including 12 of the Fortune 50, achieve discoveries, insights, and business outcomes faster and more sustainably. We’re passionate about solving our customers’ most complex data challenges to accelerate intelligent innovation and business value. If you share our passion, we invite you to join us on this exciting journey.
**What You'll Be Doing**
* ]:pointer\-events\-auto scroll\-mt\-\[calc(var(\-\-header\-height)\+min(200px,max(70px,20svh)))]" data\-turn\-id\="request\-WEB:8d80a912\-3bc6\-454e\-a50c\-204e8a27bedb\-4" data\-testid\="conversation\-turn\-10" data\-scroll\-anchor\="true" data\-turn\="assistant"\&gt;
 The Filesystem Team on the East Coast (US) is a high\-powered team responsible for implementing algorithms at scales of 100s of PBs. The team also manages the core filesystem components, including blocks and metadata management, snapshots, RAID logic, object\-store tiering, unique cloud disaster recovery features, and more. And most importantly, they skillfully handle the most delicate part of the Weka solution – our customers’ data.
**As a Senior Software Engineer, You’ll**
* Design and develop distributed file system components to support data management features such as snapshots, replication, tiering, and advanced data reduction algorithms;
* Participate in the design, architecture, and implementation of next\-generation storage architecture;
* Assist in technically managing initial storage implementations including proofs\-of\-concept;
* Diagnose bottlenecks and implement clean and performant solutions to achieve unbeatable performance;
* Design algorithms and data structures to make sure customer data is safe and coherent across our solution in a wide variety of failure modes; and
* Constantly revisit the architecture, algorithms, and methodologies to improve productivity, reliability, and maintainability.
**Requirements**
* Mastery of low\-level and performant programming in C or C\+\+/ Rust
* A thorough understanding of concurrency, inter\-process communication, threading models, and synchronization concepts, including significant experience with complex multithreaded software design
* Experience identifying, reproducing, and resolving complex software defects, including root cause isolation, tracing through large source codebases, and implementing long\-term fixes as well as short\-term workarounds
* 8\+ years of hands\-on experience with Linux development and debugging, along with a broad knowledge and understanding of Linux internals
**It's Nice If You Have**
* Experience in data\-path design and development
* Experience with development of highly\-distributed systems
* Deep familiarity with concepts and features from the storage industry, including snapshots, replication, transparent data migration, and data reduction techniques
* Experience with ZFS, XFS, or other file systems or with enterprise storage solutions
* Experience working with the Linux filesystem community
* Contribution, upstreaming, or maintaining of filesystem code
* Experience playing a significant role in the implementation of a concurrent, long\-running performant server
**The WEKA Way**
* We are Accountable: We take full ownership, always–even when things don’t go as planned. We lead with integrity, show up with responsibility \&amp; ownership, and hold ourselves and each other to the highest standards.
* We are Brave: We question the status quo, push boundaries, and take smart risks when needed. We welcome challenges and embrace debates as opportunities for growth, turning courage into fuel for innovation.
* We are Collaborative: True collaboration isn’t only about working together. It’s about lifting one another up to succeed collectively. We are team\-oriented and communicate with empathy and respect. We challenge each other and conduct positive conflict resolution. We are being transparent about our goals and results. And together, we’re unstoppable.
* We are Customer Centric: Our customers are at the heart of everything we do. We actively listen and prioritize the success of our customers, and every decision we make is driven by how we can better serve, support, and empower them to succeed. When our customers win, we win.
 Concerned that you don’t meet every qualification above?
*Studies have shown that women and people of color may be less likely to apply for jobs if they don’t meet every qualification specified. At WEKA, we are committed to building a diverse, inclusive and authentic workplace. If you are excited about this position but are concerned that your past work experience doesn’t match up perfectly with the job description, we encourage you to apply anyway – you may be just the right candidate for this or other roles at WEKA.*
*WEKA is an equal opportunity employer that prohibits discrimination and harassment of any kind. We provide equal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150">
      <c r="A150" t="inlineStr">
        <is>
          <t>li-4370981700</t>
        </is>
      </c>
      <c r="B150" t="inlineStr">
        <is>
          <t>Senior Software Engineer</t>
        </is>
      </c>
      <c r="C150" t="inlineStr">
        <is>
          <t>Microsoft</t>
        </is>
      </c>
      <c r="D150" t="inlineStr">
        <is>
          <t>linkedin</t>
        </is>
      </c>
      <c r="E150">
        <f>HYPERLINK("https://www.linkedin.com/jobs/view/4370981700", "https://www.linkedin.com/jobs/view/4370981700")</f>
        <v/>
      </c>
      <c r="F150" t="inlineStr"/>
      <c r="G150" t="inlineStr">
        <is>
          <t>Redmond, WA</t>
        </is>
      </c>
      <c r="H150" t="inlineStr"/>
      <c r="I150" t="inlineStr">
        <is>
          <t>**Overview**
 Microsoft is a company where passionate innovators come to collaborate, envision what can be and take their careers to levels they cannot achieve anywhere else. This is a world of more possibilities, more innovation, and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**Senior Software Engineer** 
 to join our team!
 This is an incredible time to be part of our team and contribute to a highly strategic initiative for Microsoft. Power Platform brings together multiple products designed to empower customers in their digital transformation journey. In this role, you’ll help build scalable, reliable, secure, and compliant AI infrastructure that powers every product across Power Platform. You’ll work alongside a passionate team of engineers who thrive on solving complex challenges at scale while delivering exceptional quality. If you’re excited about driving innovation and shaping the future of AI\-powered solutions, we’d love to have you on board.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build, and operate cloud\-scale, multi\-tenant infrastructure platforms with a strong focus on reliability, security, scalability, and operational excellence.
* Lead the design and implementation of Kubernetes\-based infrastructure, including cluster architecture, networking, storage, and workload isolation strategies.
* Build and evolve Infrastructure as Code (IaC) solutions (e.g., ARM, Bicep, Terraform, Helm) to enable repeatable, auditable, and automated infrastructure provisioning and lifecycle management.
* Apply systems thinking to design for failure domains, including regional isolation, availability zone strategies, dependency management, and blast\-radius reduction.
* Drive resiliency and reliability improvements through proactive design reviews, fault modeling, chaos testing, and post\-incident learning.
* Build tooling and automation to detect, diagnose, and self\-heal infrastructure and platform issues, enabling customers and support teams to self\-resolve problems.
* Identify recurring operational issues and escalation patterns, and drive engineering solutions such as self\-healing mechanisms, automation, guardrails, and platform abstractions.
* Partner closely with product, SRE, and Azure platform teams to define regional deployment strategies, capacity planning, and safe rollout patterns.
* Contribute to product and platform improvements by filing impactful bugs, proposing design changes, and shipping fixes to production to prevent customer impact.Communicate complex technical issues and recommendations clearly and concisely, influencing cross\-team decisions and driving measurable business outcomes.
* Embody Microsoft’s culture and values, contributing to a collaborative, inclusive, and growth\-oriented engineering environment.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Hands\-on experience with Kubernetes or container orchestration platforms in production environments.
* Experience with Infrastructure as Code (IaC) tools such as ARM, Bicep, Terraform, or similar.Strong understanding of distributed systems concepts, including failure domains, consistency, availability, and fault tolerance.
* Experience designing for high availability, regional resiliency, and disaster recovery in cloud environments.Familiarity with cloud networking, storage, and security fundamentals, including identity, access control, and isolation boundaries.
* Experience operating large\-scale services with an emphasis on reliability engineering, incident response, and postmortem\-driven improvements.
* Ability to reason about blast radius, dependency management, and safe rollout strategies in complex systems.
 \#BICJOBS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1">
      <c r="A151" t="inlineStr">
        <is>
          <t>li-4345865421</t>
        </is>
      </c>
      <c r="B151" t="inlineStr">
        <is>
          <t>Embedded Software Engineer</t>
        </is>
      </c>
      <c r="C151" t="inlineStr">
        <is>
          <t>Lockheed Martin</t>
        </is>
      </c>
      <c r="D151" t="inlineStr">
        <is>
          <t>linkedin</t>
        </is>
      </c>
      <c r="E151">
        <f>HYPERLINK("https://www.linkedin.com/jobs/view/4345865421", "https://www.linkedin.com/jobs/view/4345865421")</f>
        <v/>
      </c>
      <c r="F151">
        <f>HYPERLINK("https://sjobs.brassring.com/TGnewUI/Search/home/HomeWithPreLoad?PageType=JobDetails&amp;partnerid=25037&amp;siteid=5010&amp;jobId=834660&amp;codes=ZA646&amp;utm_campaign=LM_Space&amp;utm_term=rm&amp;utm_source=LinkedIn&amp;utm_medium=Internet-Board&amp;urlHash=psQJ", "https://sjobs.brassring.com/TGnewUI/Search/home/HomeWithPreLoad?PageType=JobDetails&amp;partnerid=25037&amp;siteid=5010&amp;jobId=834660&amp;codes=ZA646&amp;utm_campaign=LM_Space&amp;utm_term=rm&amp;utm_source=LinkedIn&amp;utm_medium=Internet-Board&amp;urlHash=psQJ")</f>
        <v/>
      </c>
      <c r="G151" t="inlineStr">
        <is>
          <t>Huntsville, AL</t>
        </is>
      </c>
      <c r="H151" t="inlineStr"/>
      <c r="I151" t="inlineStr">
        <is>
          <t>**Basic Qualifications**
* Embedded Software Engineer utilizing C/C\+\+, Python
 Experience with programming languages such as C, C\+\+
* Real Time Operating System (RTOS) experience – (GreenHill or VxWorks)
* Standard teaming: Ability to work with multi\-disciplined teams
* Experience with full software life cycle development including SW design, architecture and integration \&amp; test
* Bachelor’s degree in computer science, Aerospace Engineering or other related degree program from an accredited college/university
* Active/Final Secret Clearance
**Job Description**
 We will be hosting a hiring event on February 19th in Huntsville, AL. If chosen for an interview, you will have an interview time and location.
 We will be interviewing levels 2, 3 and 4 for at this hiring event. The positions are on\-site 100% of the time.
 By applying to this job, you are expressing interest in this position and could be considered for other career opportunities where similar skills and requirements have been identified as a match. Should this match be identified you may be contacted for this and future openings.
**Desired Skills**
* Knowledge of Agile Software Development
* Excellent written and verbal communication skills
* Knowledge of Model Base Systems Engineering (MBSE)
* Previous experience writing and designing to software requirements
 \#Spaceembeddedsw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152">
      <c r="A152" t="inlineStr">
        <is>
          <t>li-4369727848</t>
        </is>
      </c>
      <c r="B152" t="inlineStr">
        <is>
          <t>Software Engineer II - Gen AI &amp; Agents</t>
        </is>
      </c>
      <c r="C152" t="inlineStr">
        <is>
          <t>Microsoft</t>
        </is>
      </c>
      <c r="D152" t="inlineStr">
        <is>
          <t>linkedin</t>
        </is>
      </c>
      <c r="E152">
        <f>HYPERLINK("https://www.linkedin.com/jobs/view/4369727848", "https://www.linkedin.com/jobs/view/4369727848")</f>
        <v/>
      </c>
      <c r="F152" t="inlineStr"/>
      <c r="G152" t="inlineStr">
        <is>
          <t>Redmond, WA</t>
        </is>
      </c>
      <c r="H152" t="inlineStr"/>
      <c r="I152"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As a part of this role as a Software Engineer II , you will work with the Microsoft Security organization. This team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team builds world class, first in market, Enterprise AI Agents to help customers reach their security goals \- faster and stay secure following Microsoft Zero Trust principles.
 You can find more details: https://learn.microsoft.com/en\-us/entra/identity/conditional\-access/agent\-optimization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**Design, Develop, and Maintain AI Agent Systems**
* Build robust, scalable, and secure AI agent frameworks and applications that automate business processes and deliver high\-quality customer experiences. This includes writing high\-quality code, designing systems with AI and safety in mind, and integrating with enterprise platforms like Azure AI and Microsoft 365\.
**Collaborate Across Teams and Products**
* Work closely with cross\-functional teams—including product managers, researchers, and other engineers—to define, design, and ship new features for AI agents. Foster a collaborative environment to deliver unified “One Microsoft” experiences and ensure solutions meet customer security goals.
**Integrate Enterprise Data and Ensure Compliance**
* Connect AI agents with internal and external knowledge sources, ensuring data privacy, compliance, and responsible AI practices. Support enterprise readiness by adhering to Microsoft’s Zero Trust principles and industry regulations.
**Troubleshoot, Support, and Optimize Agent Operations**
* Perform on\-call duties on a rotation basis to support and resolve issues in production environments. Continuously monitor agent performance, identify trends, correct mistakes, and improve efficiency through feedback and automation.
**Contribute to Innovation and Continuous Improvement**
* Stay current with the latest AI technologies, development practices, and security standards. Participate in code reviews, contribute to process improvements, and help create a diverse and inclusive culture that encourages learning and innovation.
 Embody our culture and values
**Qualifications**
**Required Minimum Qualifications:**
 Bachelor's Degree in Computer Science or related technical field AND 2\+ years technical engineering experience with coding in languages including, but not limited to, C, C\+\+, C\#, Java, JavaScript, or Python OR equivalent experience.
 2\+ year of experience with Distributed Services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3">
      <c r="A153" t="inlineStr">
        <is>
          <t>li-4365576577</t>
        </is>
      </c>
      <c r="B153" t="inlineStr">
        <is>
          <t>Software Engineer III, Infrastructure, Google Cloud AI</t>
        </is>
      </c>
      <c r="C153" t="inlineStr">
        <is>
          <t>Google</t>
        </is>
      </c>
      <c r="D153" t="inlineStr">
        <is>
          <t>linkedin</t>
        </is>
      </c>
      <c r="E153">
        <f>HYPERLINK("https://www.linkedin.com/jobs/view/4365576577", "https://www.linkedin.com/jobs/view/4365576577")</f>
        <v/>
      </c>
      <c r="F153">
        <f>HYPERLINK("https://careers.google.com/jobs/results/93417679548752582-software-engineer-iii/?src=Online/LinkedIn/linkedin_us&amp;utm_source=linkedin&amp;utm_medium=jobposting&amp;utm_campaign=contract&amp;urlHash=6mhL", "https://careers.google.com/jobs/results/93417679548752582-software-engineer-iii/?src=Online/LinkedIn/linkedin_us&amp;utm_source=linkedin&amp;utm_medium=jobposting&amp;utm_campaign=contract&amp;urlHash=6mhL")</f>
        <v/>
      </c>
      <c r="G153" t="inlineStr">
        <is>
          <t>Sunnyvale, CA</t>
        </is>
      </c>
      <c r="H153" t="inlineStr"/>
      <c r="I15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
 **Minimum qualifications:**
* Bachelor’s degree or equivalent practical experience.
* 2 years of experience programming in C\+\+, Python or Go.
* 2 years of experience with developing large \- 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4">
      <c r="A154" t="inlineStr">
        <is>
          <t>li-4239979661</t>
        </is>
      </c>
      <c r="B154" t="inlineStr">
        <is>
          <t>Software Engineer, Growth &amp; Monetization</t>
        </is>
      </c>
      <c r="C154" t="inlineStr">
        <is>
          <t>Figma</t>
        </is>
      </c>
      <c r="D154" t="inlineStr">
        <is>
          <t>linkedin</t>
        </is>
      </c>
      <c r="E154">
        <f>HYPERLINK("https://www.linkedin.com/jobs/view/4239979661", "https://www.linkedin.com/jobs/view/4239979661")</f>
        <v/>
      </c>
      <c r="F154">
        <f>HYPERLINK("https://boards.greenhouse.io/figma/jobs/5552560004?gh_jid=5552560004&amp;gh_src=28109e334us&amp;source=LinkedIn&amp;urlHash=7z-j", "https://boards.greenhouse.io/figma/jobs/5552560004?gh_jid=5552560004&amp;gh_src=28109e334us&amp;source=LinkedIn&amp;urlHash=7z-j")</f>
        <v/>
      </c>
      <c r="G154" t="inlineStr"/>
      <c r="H154" t="inlineStr"/>
      <c r="I154"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We’re looking for experienced full\-stack engineers to join teams across Figma’s
 **Growth and Monetization Engineering** 
 organization! This group spans several teams—including Growth, Billing, Enterprise, and Discovery—each focused on solving complex challenges that help millions of users, from startups to Fortune 500 companies, get the most out of Figma. Depending on the team, you might design billing infrastructure at global scale, build secure enterprise access systems, improve how users discover and organize their work, or drive product\-led growth and monetization initiatives.
 As part of these teams, you’ll design and scale reliable, secure, and intuitive systems that power collaboration across Figma’s product suite. Playing a key role in driving our rapid growth, global expansion, and evolving product surface area—while working closely with cross\-functional partners to ensure our technology meets the needs of our most sophisticated customers.
 This is a full\-time role that can be held from one of our US hubs or remotely in the United States.
**What you’ll do at Figma:**
* Design, build, test, and ship high\-quality features across the stack, using technologies like TypeScript, React, Ruby, Go, C\+\+, and more.
* Own key parts of the product that impact user experience, internal productivity, or revenue operations.
* Collaborate with cross\-functional partners in product, design, data science, support, and sales to shape product direction and solve complex problems.
* Operate and monitor the systems you build, with a strong focus on reliability, security, performance, and user experience.
* Contribute to team culture by mentoring peers, providing feedback, and helping foster a collaborative and inclusive engineering environment.
**We’d Love to Hear From You If You Have:**
* 4\+ years of professional software engineering experience, with a track record of shipping and maintaining complex systems or products in production.
* Full\-stack experience with modern front\-end frameworks (e.g., React/TypeScript) and back\-end technologies (e.g., Ruby, Python, Go, PostgreSQL).
* Strong collaboration and communication skills, with experience working effectively across functions.
**While it’s not required, it’s an added plus if you also have:**
* Experience with B2B SaaS, billing/payments infrastructure, developer platforms, or enterprise\-scale systems.
* Familiarity with technologies such as Stripe, Salesforce, NetSuite, Snowflake, SCIM, SAML, or WebAssembly.
* A background in experimentation, observability, compliance automation, or internal tools development.
* Prior work on extensibility platforms (plugins, APIs, widgets), or experience contributing to open source developer communities.
* Passion for crafting excellent developer or user experiences, and an eye for elegant, maintainable architecture.
* Enthusiasm for learning and teaching—whether mentoring teammates, leading initiatives, or sharing knowledge in code reviews or pairing sessions.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$149,000—$350,000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155">
      <c r="A155" t="inlineStr">
        <is>
          <t>li-4341933085</t>
        </is>
      </c>
      <c r="B155" t="inlineStr">
        <is>
          <t>Senior Software Engineer - Core Financial Data</t>
        </is>
      </c>
      <c r="C155" t="inlineStr">
        <is>
          <t>Bloomberg</t>
        </is>
      </c>
      <c r="D155" t="inlineStr">
        <is>
          <t>linkedin</t>
        </is>
      </c>
      <c r="E155">
        <f>HYPERLINK("https://www.linkedin.com/jobs/view/4341933085", "https://www.linkedin.com/jobs/view/4341933085")</f>
        <v/>
      </c>
      <c r="F155">
        <f>HYPERLINK("https://click.appcast.io/t/AJVppMEKF_uUsKEC40Msu88t8yGUKGFe3gewkouhS3k3cB6iI5h4Q6-y9y_wozNl?src=LinkedIn&amp;urlHash=jeof", "https://click.appcast.io/t/AJVppMEKF_uUsKEC40Msu88t8yGUKGFe3gewkouhS3k3cB6iI5h4Q6-y9y_wozNl?src=LinkedIn&amp;urlHash=jeof")</f>
        <v/>
      </c>
      <c r="G155" t="inlineStr">
        <is>
          <t>New York, NY</t>
        </is>
      </c>
      <c r="H155" t="inlineStr"/>
      <c r="I155" t="inlineStr">
        <is>
          <t>Location
 New York
 Business Area
 Engineering and CTO
 Ref \#
 10047697
**Description \&amp; Requirements**
 Bloomberg is a global leader in business and financial information, delivering trusted data to clients worldwide to bring transparency, efficiency and fairness to markets. We deliver billions of data points to our customers covering all aspects of financial domains every day. The Core Financial Data (CFD) department acts as an integral role within Bloomberg to take the ownership of various domains including entities, company fundamentals, alternative datasets, global benchmarks and macroeconomic indicators. We design and build the systems that power financial and economic data for clients, investors, and institutions worldwide to make prudent investment decisions.
**The CFD Department Is Made Up Of 5 Teams**
 The
 **Entities \&amp; Equities and Company Financials** 
 teams provide the backbone of structured corporate data, ensuring accurate financials, consistent identifiers, and clear linkages across companies, securities, and markets.
 The
 **Alternative Data \&amp; Sustainable Finance Solutions** 
 team builds on this foundation by sourcing high\-value alternative datasets that generate insights and predictive analytics on individual company performance. They also develop derived analytics that assess a company’s performance on key environmental, social, and governance (ESG) indicators, both over time and relative to peers.
 The
 **Managed Investments \&amp; Benchmarks** 
 team curates comprehensive data on funds, benchmark indices, and ownership structures. This data underpins portfolio construction, benchmarking, and performance attribution, enabling investors and asset managers to measure outcomes, compare strategies and make informed investment decisions.
 The
 **Macro Data \&amp; BNEF** 
 team delivers critical insights into global economic trends and the energy transition. Their work includes timely economic indicators, market signals, and forward\-looking analysis that help clients understand macroeconomic dynamics and the evolving landscape of sustainable energy.
**What You Will Do**
 As a member of our department, you will have the opportunity to research, design and develop high quality, low latency, distributed, and scalable self\-service platforms and mission\-critical applications. This includes developing innovative solutions to provide automation as well as manual processing utilizing a variety of proprietary and open source technologies on microservices\-based architecture with generic and extensible data models stored in big data platforms. You will work closely with Business, Data, and other Engineering teams globally in a hybrid environment on all phases of software development using Agile methodologies. You will take full ownership of products and collaborate with team members and stakeholders to shape the team's direction, culture, and vision.
**You’ll Need To Have**
* 4\+ years hands\-on software development experience in building well designed and robust client/server\-side applications
* Solid understanding of object\-oriented design, data structures, algorithms and full cycle of software development. This experience can be in any object\-oriented programming languages, but open to working with C/C\+\+ and Python
* Experiences with database design and implementations (SQL and/or NoSQL)
* An aptitude for analytical problem solving, strong communication skills and ability to collaborate across interdisciplinary teams
**Nice To Have (you Will Have Opportunity To Learn)**
* Financial domain knowledge and experience
* Experience in building pipelines of data extraction from un\-structured source documents to structured data stores for downstream consumption with an emphasis on automation over manual remediation
* Functional understanding of complex distributed systems architecture, high performance systems, scalable platforms, search databases, point\-in\-time historical data systems, macro and micro analytics, data query and manipulation languages, and time series analytics
* Working experiences of Apache Solr, PostgreSQL, Cassandra, HBase, Kafka, Redis and microservice\-based architecture
* Familiarity with TypeScript and UI development framework
* Project leadership experience
 Salary Range \= 160000 \- 240000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156">
      <c r="A156" t="inlineStr">
        <is>
          <t>li-4333093148</t>
        </is>
      </c>
      <c r="B156" t="inlineStr">
        <is>
          <t>Senior Backend Engineer</t>
        </is>
      </c>
      <c r="C156" t="inlineStr">
        <is>
          <t>Abridge</t>
        </is>
      </c>
      <c r="D156" t="inlineStr">
        <is>
          <t>linkedin</t>
        </is>
      </c>
      <c r="E156">
        <f>HYPERLINK("https://www.linkedin.com/jobs/view/4333093148", "https://www.linkedin.com/jobs/view/4333093148")</f>
        <v/>
      </c>
      <c r="F156" t="inlineStr"/>
      <c r="G156" t="inlineStr">
        <is>
          <t>San Francisco, CA</t>
        </is>
      </c>
      <c r="H156" t="inlineStr"/>
      <c r="I156" t="inlineStr">
        <is>
          <t>**About Abridge**
 Abridge was founded in 2018 with the mission of powering deeper understanding in healthcare. Our AI\-powered platform was purpose\-built for medical conversations, improving clinical documentation efficiencies while enabling clinicians to focus on what matters most—their patients.
 Our enterprise\-grade technology transforms patient\-clinician conversations into structured clinical notes in real\-time, with deep EMR integrations. Powered by Linked Evidence and our purpose\-built, auditable AI, we are the only company that maps AI\-generated summaries to ground truth, helping providers quickly trust and verify the output. As pioneers in generative AI for healthcare, we are setting the industry standards for the responsible deployment of AI across health systems.
 We are a growing team of practicing MDs, AI scientists, PhDs, creatives, technologists, and engineers working together to empower people and make care make more sense. We have offices located in the Mission District in San Francisco, the SoHo neighborhood of New York, and East Liberty in Pittsburgh.
**The Role**
 Our generative AI\-powered products are bringing joy back to the practice of medicine, and we’re looking for experienced backend software engineers to join our growing US\-based engineering team. You’ll be an inaugural member of a new team forming to build the data \+ processing foundations we need to support our continued growth. You’ll work primarily in Typescript and Node, and you’ll deploy on platforms like Kubernetes and Temporal.
**What You'll Do**
* Design, build, and support the robust cloud\-native applications, services, and APIs we need for our rapidly\-growing business. Sample projects might include building a new processing pipeline or overhauling our data storage services to support increasing scale.
* Research commercial and open\-source solutions, and make build vs buy recommendations to bring new capabilities into the technology organization.
* Enhance existing systems to add new functionality, and to improve performance, stability, quality, and security. Make quality\-of\-life improvements to the codebase, and help limit the growth of technical debt.
* Build deep user empathy and maintain a user\-centric mindset
* Communicate regularly and effectively within and on behalf of our cross\-functional product delivery teams. You’ll work with other disciplines including product, machine learning, and platform engineering, and will have opportunities to learn from and contribute to projects across the company.
**What You’ll Bring**
* 7\+ years of software engineering experience with either: (1\) Proven track record of rapidly mastering new technologies and languages \- you're the engineer who can pick up TypeScript/Node and be productive quickly, or (2\) Deep specialization in Node.js backend development \- you've built complex, scalable Node\-based systems and know the ecosystem inside and out
* Passion for engineering excellence, and a love for data and architecture
* Experience building and deploying a complex backend system utilizing Temporal or Kafka at scale
* Several years of experience building software for a regulated environment, and understand the tradeoffs that can be required to ensure compliance with regulations and frameworks such as HIPAA, SOC 2, and HITRUST
* Knowledge of industry best\-practices and trends, and an enjoyment of learning new things
* Willing to pitch in wherever needed \- as a fast\-moving startup we need to do good work, quickly
* Strong plus for ability and desire to work in San Francisco or New York on a hybrid working basis
**Must be willing to work from our SF office at least 3x per week**
 This position requires a commitment to a hybrid work model, with the expectation of coming into the office a minimum of (3\) three times per week. Relocation assistance is available for candidates willing to move to San Francisco.
 We value people who want to learn new things, and we know that great team members might not perfectly match a job description. If you’re interested in the role but aren’t sure whether or not you’re a good fit, we’d still like to hear from you.
**Why Work at Abridge?**
 At Abridge, we’re transforming healthcare delivery experiences with generative AI, enabling clinicians and patients to connect in deeper, more meaningful ways. Our mission is clear: to power deeper understanding in healthcare. We’re driving real, lasting change, with millions of medical conversations processed each month.
 Joining Abridge means stepping into a fast\-paced, high\-growth startup where your contributions truly make a difference. Our culture requires extreme ownership—every employee has the ability to (and is expected to) make an impact on our customers and our business.
 Beyond individual impact, you will have the opportunity to work alongside a team of curious, high\-achieving people in a supportive environment where success is shared, growth is constant, and feedback fuels progress. At Abridge, it’s not just what we do—it’s how we do it. Every decision is rooted in empathy, always prioritizing the needs of clinicians and patients.
 We’re committed to supporting your growth, both professionally and personally. Whether it's flexible work hours, an inclusive culture, or ongoing learning opportunities, we are here to help you thrive and do the best work of your life.
 If you are ready to make a meaningful impact alongside passionate people who care deeply about what they do, Abridge is the place for you.
**How we take care of Abridgers:**
* Generous Time Off: 14 paid holidays, flexible PTO for salaried employees, and accrued time off for hourly employees
* Comprehensive Health Plans: Medical, Dental, and Vision coverage for all full\-time employees and their families.
* Generous HSA Contribution: If you choose a High Deductible Health Plan, Abridge makes monthly contributions to your HSA.
* Paid Parental Leave: Generous paid parental leave for all full\-time employees.
* Family Forming Benefits: Resources and financial support to help you build your family.
* 401(k) Matching: Contribution matching to help invest in your future.
* Personal Device Allowance: Tax free funds for personal device usage.
* Pre\-tax Benefits: Access to Flexible Spending Accounts (FSA) and Commuter Benefits.
* Lifestyle Wallet: Monthly contributions for fitness, professional development, coworking, and more.
* Mental Health Support: Dedicated access to therapy and coaching to help you reach your goals.
* Sabbatical Leave: Paid Sabbatical Leave after 5 years of employment.
* Compensation and Equity: Competitive compensation and equity grants for full time employees.
* ... and much more!
**Equal Opportunity Employer**
 Abridge is an equal opportunity employer and considers all qualified applicants equally without regard to race, color, religion, sex, sexual orientation, gender identity, national origin, veteran status, or disability.
**Staying safe \- Protect yourself from recruitment fraud**
 We are aware of individuals and entities fraudulently representing themselves as Abridge recruiters and/or hiring managers. Abridge will never ask for financial information or payment, or for personal information such as bank account number or social security number during the job application or interview process. Any emails from the Abridge recruiting team will come from an @abridge.com email address. You can learn more about how to protect yourself from these types of fraud by referring to this article. Please exercise caution and cease communications if something feels suspicious about your interactions.
 Compensation Range: $210\.8K \- $248K</t>
        </is>
      </c>
    </row>
    <row r="157">
      <c r="A157" t="inlineStr">
        <is>
          <t>li-4350895785</t>
        </is>
      </c>
      <c r="B157" t="inlineStr">
        <is>
          <t>Sr. Software Engineer - .NET/React</t>
        </is>
      </c>
      <c r="C157" t="inlineStr">
        <is>
          <t>SHI International Corp.</t>
        </is>
      </c>
      <c r="D157" t="inlineStr">
        <is>
          <t>linkedin</t>
        </is>
      </c>
      <c r="E157">
        <f>HYPERLINK("https://www.linkedin.com/jobs/view/4350895785", "https://www.linkedin.com/jobs/view/4350895785")</f>
        <v/>
      </c>
      <c r="F157">
        <f>HYPERLINK("https://shi.wd12.myworkdayjobs.com/shicareers/job/US\u002d\u002d-TX\u002d\u002d-Home-Office/ASG-Sr-Software-Engineer\u002d\u002d-NET-React_JR2336?source=LinkedIn&amp;urlHash=-B6s", "https://shi.wd12.myworkdayjobs.com/shicareers/job/US\u002d\u002d-TX\u002d\u002d-Home-Office/ASG-Sr-Software-Engineer\u002d\u002d-NET-React_JR2336?source=LinkedIn&amp;urlHash=-B6s")</f>
        <v/>
      </c>
      <c r="G157" t="inlineStr">
        <is>
          <t>Texas, United States</t>
        </is>
      </c>
      <c r="H157" t="inlineStr"/>
      <c r="I157" t="inlineStr">
        <is>
          <t>**About Us**
**Since 1989, SHI International Corp. has helped organizations change the world through technology. We’ve grown every year since, and today we’re proud to be a $16 billion global provider of IT solutions and services.**
 Over 17,000 Organizations Worldwide Rely On SHI’s Concierge Approach To Help Them Solve What’s Next. But The Heartbeat Of SHI Is Our Employees – All 7,000 Of Them. If You Join Our Team, You’ll Enjoy
* Our commitment to diversity, as the largest minority\- and woman\-owned enterprise in the U.S.
* Continuous professional growth and leadership opportunities.
* Health, wellness, and financial benefits to offer peace of mind to you and your family.
* World\-class facilities and the technology you need to thrive – in our offices or yours.
**Job Summary**
 SHI is seeking a highly motivated Senior Software Engineer join our Customer Experience Development Team. In this role, you will help develop a digital platform that integrates eCommerce capabilities with robust tools for managing IT assets, cloud environments, and SHI services. Our ideal candidate is someone who loves to ship product, raise the bar for those around them, and own outcomes end\-to\-end.
 As a Senior Software Engineer, you will collaborate closely with product managers, software architects, and fellow engineers to deliver impactful solutions using a modern stack centered on C\#, ASP.NET Core, and React.
 Senior Software Engineers at SHI are expected to take extreme ownership of their work and promote the success of their team. You will be hands\-on in technical delivery, mentor and support teammates, enforce best practices, influence architectural decisions, and help set a high bar for software quality and team culture.
**Role Description**
* Design, implement, and maintain reliable, scalable software solutions, primarily using C\#, ASP.NET Core, React, and SQL databases.
* Own software development life cycle from ideation to deployment. Drive projects from initial design through testing and launch while focusing on clean code, scalability, and performance.
* Collaborate with cross\-functional teams to solve complex challenges and deliver high\-quality features to customers.
* Guide and mentor other developers, providing technical leadership and code reviews that focus on SOLID principles and domain driven design.
* Evangelize and enforce software engineering best practices, including automated testing, code quality, and effective documentation.
* Participate actively in Agile ceremonies, contributing to continuous improvement of team processes and efficient delivery of work.
* Stay current with emerging technologies, identifying opportunities to improve our platform.
* Contribute to the architecture and design of distributed, cloud\-native systems.
**Behaviors and Competencies**
* Communication: Can effectively communicate complex ideas and information to diverse audiences and can facilitate effective communication between others.
* Listening: Can actively engage in listening by asking clarifying questions and providing feedback that shows a deep understanding of the conversation.
* Presenting: Can design and deliver engaging presentations, adapting the content and style to suit the audience, context, and medium.
* Adaptability: Can proactively adapt to challenging situations, anticipate changes, and make modifications to meet the demands of changing circumstances.
* Problem\-Solving: Can proactively identify potential problems, initiate preventive measures, and propose and contribute to innovative solutions.
* Initiative: Can proactively seek out challenges, initiate projects, and contribute to innovative ideas.
* Prioritization: Can proactively identify high\-impact tasks, initiate action plans, and contribute to process improvements.
* Time Management: Can consistently use time effectively, balance multiple tasks, and meet deadlines.
* Technical Expertise: Can apply technical knowledge and skills effectively in complex situations and can guide others in the application of technical knowledge and skills.
* Teamwork: Can lead a team effectively, facilitating cooperation, sharing information, and ensuring that all team members are able to contribute to their full potential.
**Skill Level Requirements**
* The ability to understand and utilize cloud computing technologies, including virtualization, IaaS, PaaS, and SaaS delivery models, to implement and manage scalable cloud solutions. \- Intermediate
* The ability to write, debug, and maintain code in various scripting and programming languages to automate tasks and develop software solutions. \- Intermediate
* The ability to define, design, build, and maintain robust systems and solutions by leveraging systems and infrastructure effectively. \- Intermediate
* The ability to systematically identify, document, and manage the technical needs and specifications of a project by engaging with stakeholders and analyzing business objectives to ensure successful project outcomes. \- Intermediate
* Proficiency in implementing and managing DevOps practices, including continuous integration, continuous delivery, infrastructure as code, and monitoring to enhance the collaboration between development and operations teams \- Intermediate
* Proficiency in using SQL for database management, including tasks such as querying, updating, and managing relational databases to efficiently handle data retrieval and manipulation \- Intermediate
* Proficiency in utilizing Platforms as a Service (PaaS) for deploying, managing, and scaling applications, including tasks such as application hosting, database integration, and development tool support; Microsoft Azure or Amazon Web Services highly preferred \- Intermediate
* Proficiency in using Object\-Relational Mapping (ORM) frameworks for database interaction, including tasks such as mapping objects to database tables, managing database schemas, and performing CRUD operations efficiently \- Intermediate
* Proficiency in using Test\-Driven Development (TDD) methodologies, including tasks such as writing automated test cases before code implementation, ensuring code quality, and facilitating continuous integration and deployment \- Intermediate
**Other Requirements**
* Bachelor's degree in Computer Science, Software Engineering, or a related field, or relevant work experience required
* 5\+ years of professional experience building modern web applications with C\# and ASP.NET Core
* 3\-5 years of software development experience
* Experience with React or other modern JavaScript frameworks.
* Strong grasp of object\-oriented programming, design patterns, and software architecture.
* Proven experience mentoring other engineers and driving cross\-team technical initiatives.
* Experience with relational database design (SQL Server, Postgres).
* Comfortable working in an agile, CI/CD, Git\-centric environment.
* Advanced AWS or Azure Certification preferred
* Ability to travel 10%
 The estimated annual pay range for this position is $130,000 \- $180,000 which includes a base salary. The compensation for this position is dependent on job\-related knowledge, skills, experience, and market location and, therefore, will vary from individual to individual. Benefits may include, but are not limited to, medical, vision, dental, 401K, and flexible spending.
 Equal Employment Opportunity – M/F/Disability/Protected Veteran Status</t>
        </is>
      </c>
    </row>
    <row r="158">
      <c r="A158" t="inlineStr">
        <is>
          <t>li-4365590560</t>
        </is>
      </c>
      <c r="B158" t="inlineStr">
        <is>
          <t>Senior Software Engineer, Assets Core</t>
        </is>
      </c>
      <c r="C158" t="inlineStr">
        <is>
          <t>Paxos</t>
        </is>
      </c>
      <c r="D158" t="inlineStr">
        <is>
          <t>linkedin</t>
        </is>
      </c>
      <c r="E158">
        <f>HYPERLINK("https://www.linkedin.com/jobs/view/4365590560", "https://www.linkedin.com/jobs/view/4365590560")</f>
        <v/>
      </c>
      <c r="F158" t="inlineStr"/>
      <c r="G158" t="inlineStr"/>
      <c r="H158" t="inlineStr"/>
      <c r="I158" t="inlineStr">
        <is>
          <t>**About Paxos**
 Today’s financial infrastructure is archaic, expensive, inefficient and risky — supporting a system that leaves out more people than it lets in. So we’re rebuilding it.
 We’re on a mission to open the world’s financial system to everyone by enabling the instant movement of any asset, any time, in a trustworthy way. For over a decade, we’ve built blockchain infrastructure that tokenizes, custodies, trades and settles assets for the world’s leading financial institutions, like Mastercard, Visa, Robinhood, and PayPal.
**About The Role**
 As a Senior Software Engineer on the Assets Core team, you will be responsible for modernizing the foundational infrastructure that represents and secures all assets on the Paxos platform. Your work will be critical to transforming our brittle, fragmented treasury systems into a scalable, resilient, and intent\-driven platform, directly addressing the core challenges of converging hot, warm, and cold asset movement flows.
**What You’ll Do**
* Design and build the core primitives of our asset movement strategy, including transactional signing ceremony execution and wallet balance reservation systems.
* Decompose legacy systems to decouple business logic from execution, reducing manual break\-fixes and improving system observability.
* Architect and implement solutions for ensuring data consistency and fault tolerance to prevent race conditions across concurrent asset movement workflows (e.g., Rebalancer, Tokenization, Signing Ceremony).
* Drive the development of a robust, modern testing framework for our mission\-critical assets core services to improve confidence and development velocity.
* Collaborate with platform and product teams to build the foundational components required to launch new assets and products with greater speed and reliability.
**About You**
* 5\+ years of software engineering experience, with proven track record of delivering complex technical solutions
* Strong expertise in building scalable backend services and RESTful APIs
* Experience with modern web technologies and cloud infrastructure (AWS preferred)
* Track record of writing clean, maintainable code with comprehensive test coverage
* Strong understanding of security best practices and experience building secure systems
* Excellent problem\-solving skills and ability to break down complex requirements into manageable tasks
* Experience with workflow engines and state management systems is a plus
* Knowledge of regulatory compliance and KYC/AML processes is a plus
* Demonstrated experience using AI tools to improve how you work
* Strong communication skills and ability to work effectively with cross\-functional teams
**Important Notice for Paxos Applicants**
 We’ve become aware of fraudulent accounts posting as Paxos recruiters on LinkedIn and other platforms. These scammers attempt to deceive applicants into paying for job opportunities or providing personal financial information.
**To Verify a Legitimate Paxos Recruiter**
* We only use @paxos.com email addresses
* We never ask for payment or financial details to apply, interview, or work here
* For technical roles, we do not perform a coding interview without prior screening by our engineering team
 Thanks for your interest in Paxos!
 Compensation Range: $188,000 \- $215,475</t>
        </is>
      </c>
    </row>
    <row r="159">
      <c r="A159" t="inlineStr">
        <is>
          <t>li-4377062843</t>
        </is>
      </c>
      <c r="B159" t="inlineStr">
        <is>
          <t>Senior Software Engineer, DevOps</t>
        </is>
      </c>
      <c r="C159" t="inlineStr">
        <is>
          <t>Moveworks</t>
        </is>
      </c>
      <c r="D159" t="inlineStr">
        <is>
          <t>linkedin</t>
        </is>
      </c>
      <c r="E159">
        <f>HYPERLINK("https://www.linkedin.com/jobs/view/4377062843", "https://www.linkedin.com/jobs/view/4377062843")</f>
        <v/>
      </c>
      <c r="F159">
        <f>HYPERLINK("https://www.moveworks.com/us/en/company/careers/position?gh_jid=8222710002&amp;gh_src=690c36f92us&amp;urlHash=UQtO", "https://www.moveworks.com/us/en/company/careers/position?gh_jid=8222710002&amp;gh_src=690c36f92us&amp;urlHash=UQtO")</f>
        <v/>
      </c>
      <c r="G159" t="inlineStr">
        <is>
          <t>Mountain View, CA</t>
        </is>
      </c>
      <c r="H159" t="inlineStr"/>
      <c r="I159" t="inlineStr">
        <is>
          <t>What You Will Do:
 As a member of the DevOps team, you will be responsible for building and scaling the Moveworks AI cloud infrastructure and developer platform. As Moveworks grows fast, the infrastructure team is tasked with designing and operating reliable and resilient foundational services as well as frameworks that allow our product to scale seamlessly and our engineering teams to build customer facing features very rapidly.
 We’re building a team that indexes on moving fast, solving challenging product/engineering problems and providing value to our customers. To be successful, you'll be partnering with machine learning, search, product, data, and full stack teams to identify, define and build elegant solutions. This is an opportunity to play an integral role at the fastest\-growing AI startup in its space.
* Closely work with platform, machine learning, search, data, and frontend teams, understand their DevOps and infrastructure needs, influence DevOps roadmap, and lead as well as execute on various projects
* Design, build, and manage the Moveworks cloud infrastructure across many regions / clouds ensuring security, scalability, performance, observability, resilience, and cost optimization
* Build and manage CI/CD pipelines with infrastructure as code and full automation to provision and manage Moveworks application stack across different environments
* Work with Moveworks’ security team on enhancing the security posture of the infrastructure
 What you bring to the table:
* Hands on technical member with a strong sense of ownership \- proactively leading complex platform and infrastructure initiatives from conception through delivery and measurement
* 7\+ years of experience in DevOps engineering
* Strong technical expertise in designing and building AWS (or other) cloud infrastructure with extensive experience in managing AWS security groups, IAM roles, Elastic Load Balancers, Cloud Formation, and other cloud services
* Strong knowledge of VPN, AWS VPC, DNS, etc. and experience in troubleshooting network issues
* Experience with deploying and managing Kubernetes clusters, Istio, etc.
* Working knowledge of disaster recovery process and security areas such as data backup and recovery, replication, AWS KMS, certificate management, encryption, penetration testing, vulnerability scanning, security tools, etc.
* Comfortability with tools such as Jenkins, Terraform, Ansible, Helm, etc.
* An appetite for working at a startup pace on challenging problems with a high degree of ownership
**Compensation Range:** 
 $143,200\-243,400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160">
      <c r="A160" t="inlineStr">
        <is>
          <t>li-4071853860</t>
        </is>
      </c>
      <c r="B160" t="inlineStr">
        <is>
          <t>Software Engineer - Windows Application Developer</t>
        </is>
      </c>
      <c r="C160" t="inlineStr">
        <is>
          <t>Versa Networks</t>
        </is>
      </c>
      <c r="D160" t="inlineStr">
        <is>
          <t>linkedin</t>
        </is>
      </c>
      <c r="E160">
        <f>HYPERLINK("https://www.linkedin.com/jobs/view/4071853860", "https://www.linkedin.com/jobs/view/4071853860")</f>
        <v/>
      </c>
      <c r="F160" t="inlineStr"/>
      <c r="G160" t="inlineStr">
        <is>
          <t>Santa Clara, CA</t>
        </is>
      </c>
      <c r="H160" t="inlineStr"/>
      <c r="I160" t="inlineStr">
        <is>
          <t>**Description**
 About Us
 Versa Networks, Inc. is a leading vendor of next\-generation Software Defined solutions and architectures, called SASE (Secure Access Service Edge). Versa is providing an end\-to\-end solution that both simplifies and secures the WAN/branch office network.
 The Goal Of Versa Networks Is To Provide Unprecedented Business Advantages Through a Software\-based Approach That Allows For Unmatched Agility, Cost Savings And Flexibility. We Have Created a Feature\-rich, Scalable Yet Simple To Use Software Platform To Implement Many Different Enterprise And Service Provider Use Cases, Including
* Full software\-defined branch for enterprise customers.
* Secure SD\-WAN for enterprises with layered security.
* Next\-generation managed services for service providers.
 We are looking for a passionate Software Engineer with extensive development experience in developing desktop application for Microsoft Windows 10, 8 and 7\.
 Job Responsibilities
* Develop Windows components and libraries to be used in .NET based applications.
* Lead the development of proof\-of\-concepts that will focus on brand new technologies.
* Analyze, debug, and fix complex issues, continuously drive innovations by working with cross functional teams.
* To provide technical direction, oversight, and execution guidance for several new Windows applications across various windows platforms.
* To champion the development best practices for building secure applications from the ground\-up.
* Conduct security reviews from high\-level application architecture to OS\-level parameters and complex interactions with BIOS and drivers to meet security \&amp; business goals.
**Qualifications \&amp; Skills**
* 8\+ years of hands\-on experience in designing and developing scalable applications on various Windows Application Platforms.
* The candidate should have successfully delivered multiple projects with one or more of the below Windows Application Platforms
+ Windows Presentation Foundation (WPF)
+ Windows Forms (.NET)
+ Win32
+ Windows Service
* C\+\+, C\#, XML
* Architectural knowledge of Microsoft Windows Application Platforms such as WPF, XAML, .NET, Win32 App, WCF, Windows Services, IPC etc
* Good understanding of Windows internals.
* Application packaging.
* Familiarity with Networking and Security on Windows Desktops.
* Familiarity of various avenues for delivery of Microsoft Applications
* Must have very strong debugging and troubleshooting skills.
* Bachelor’s degree in Computer Science or Equivalent
* Team player, can\-do attitude and takes initiative.
* Ability to work independently as well as in a team.
* Good communication skills to work with cross\-functional groups.
* Strong skills in large\-scale software design and development.
* Excellent verbal and written communication skills.
 Location: Santa Clara, CA
* Applicants must be authorized to work in the US
 The pay range for this position at commencement of employment in California, Washington, or New York City is expected in the range below.
* $140,000 \- $170,000
 Our Benefits
 Versa Networks is a small but rapidly growing organization. It is built by people with vast experience in the networking industry. We are a pragmatic team with a healthy work\-life balance. We offer competitive compensation packages with pre\-IPO equity. Additionally, we offer a quality of life benefit to everyone in an inspiring environment with skilled and passionate co\-workers. Our exciting company culture offers a great place to work and most important, to have fun.</t>
        </is>
      </c>
    </row>
    <row r="161">
      <c r="A161" t="inlineStr">
        <is>
          <t>li-4365586666</t>
        </is>
      </c>
      <c r="B161" t="inlineStr">
        <is>
          <t>Software Engineer, Asset Orchestration</t>
        </is>
      </c>
      <c r="C161" t="inlineStr">
        <is>
          <t>Paxos</t>
        </is>
      </c>
      <c r="D161" t="inlineStr">
        <is>
          <t>linkedin</t>
        </is>
      </c>
      <c r="E161">
        <f>HYPERLINK("https://www.linkedin.com/jobs/view/4365586666", "https://www.linkedin.com/jobs/view/4365586666")</f>
        <v/>
      </c>
      <c r="F161" t="inlineStr"/>
      <c r="G161" t="inlineStr"/>
      <c r="H161" t="inlineStr"/>
      <c r="I161" t="inlineStr">
        <is>
          <t>**About Paxos**
 Today’s financial infrastructure is archaic, expensive, inefficient and risky — supporting a system that leaves out more people than it lets in. So we’re rebuilding it.
 We’re on a mission to open the world’s financial system to everyone by enabling the instant movement of any asset, any time, in a trustworthy way. For over a decade, we’ve built blockchain infrastructure that tokenizes, custodies, trades and settles assets for the world’s leading financial institutions, like PayPal, Venmo, Mastercard and Interactive Brokers.
**About The Team**
 The mission of Asset Orchestration is to grow adoption of Paxos assets by abstracting away the complexity of using assets for money movement solutions. We do this by empowering developers with a single, intuitive API that unifies and simplifies money movement and asset conversion—eliminating trad\-finance and blockchain complexities while leveraging Paxos's proven strengths.
**About The Role**
 As a Software Engineer on the Asset Orchestration team, you will be directly responsible for building the products that hundreds of millions of people will interact with to transact and transfer assets on/off platforms like Paypal and Venmo. You’ll have the opportunity to work in a fast\-paced, mission driven organization that rewards ownership. At Paxos we are highly collaborative and every engineer works closely with our product team and external stakeholders to shape our roadmap and tech strategy.
**What You’ll Do**
* Join a highly collaborative team with direct impact on the company revenue
* Own feature development from design to implementation to testing to deployment
* Develop, maintain and improve platform capabilities that hundreds of millions of customers depend on
* Work across a cloud\-native stack incorporating the latest technologies
* Scale our existing services to power the global adoption of crypto/stablecoins
**About You**
* 3\+ years in software engineering
* Strong computer science and programming fundamentals (data structures, algorithms)
* Experience designing, developing, maintaining production services
* Effective collaboration with stakeholders
* The ability to write high\-quality, well\-tested code
* Eagerness to disrupt the status quo and democratize access to the financial system
**Important Notice for Paxos Applicants**
 We’ve become aware of fraudulent accounts posting as Paxos recruiters on LinkedIn and other platforms. These scammers attempt to deceive applicants into paying for job opportunities or providing personal financial information.
**To Verify a Legitimate Paxos Recruiter**
* We only use @paxos.com email addresses
* We never ask for payment or financial details to apply, interview, or work here
* For technical roles, we do not perform a coding interview without prior screening by our engineering team
 Thanks for your interest in Paxos!
 Compensation Range: $174,000 \- $199,875</t>
        </is>
      </c>
    </row>
    <row r="162">
      <c r="A162" t="inlineStr">
        <is>
          <t>li-4365584231</t>
        </is>
      </c>
      <c r="B162" t="inlineStr">
        <is>
          <t>Software Engineer, Mobile, Android, Platforms and Devices</t>
        </is>
      </c>
      <c r="C162" t="inlineStr">
        <is>
          <t>Google</t>
        </is>
      </c>
      <c r="D162" t="inlineStr">
        <is>
          <t>linkedin</t>
        </is>
      </c>
      <c r="E162">
        <f>HYPERLINK("https://www.linkedin.com/jobs/view/4365584231", "https://www.linkedin.com/jobs/view/4365584231")</f>
        <v/>
      </c>
      <c r="F162" t="inlineStr"/>
      <c r="G162" t="inlineStr">
        <is>
          <t>Kirkland, WA</t>
        </is>
      </c>
      <c r="H162" t="inlineStr"/>
      <c r="I16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**Minimum qualifications:**
* Bachelor’s degree or equivalent practical experience.
* 2 years of experience programming in Java and Kotlin.
* 2 years of experience with Android application development.
**Preferred qualifications:**
* Master's degree or PhD in Computer Science or related technical field.
* 2 years of experience with data structures or algorithms in either an academic or industry setting.
* 2 years of experience with performance, large\-scale systems data analysis, visualization tools, or debugging.
* Experience developing accessible technologies.
* Experience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goal for Android Auto is to provide a connected and seamless experience in every car by enabling media, communication, navigation, and other scenarios on your phone or on your car’s screen. The connectivity team is responsible for defining, implementing the set of technologies, protocols and tools used for the phone to communicate with the car, from initial pairing to providing a fast and reliable startup every drive.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3">
      <c r="A163" t="inlineStr">
        <is>
          <t>li-4365578468</t>
        </is>
      </c>
      <c r="B163" t="inlineStr">
        <is>
          <t>Software Engineer III, Infrastructure, AI and Infrastructure</t>
        </is>
      </c>
      <c r="C163" t="inlineStr">
        <is>
          <t>Google</t>
        </is>
      </c>
      <c r="D163" t="inlineStr">
        <is>
          <t>linkedin</t>
        </is>
      </c>
      <c r="E163">
        <f>HYPERLINK("https://www.linkedin.com/jobs/view/4365578468", "https://www.linkedin.com/jobs/view/4365578468")</f>
        <v/>
      </c>
      <c r="F163" t="inlineStr"/>
      <c r="G163" t="inlineStr">
        <is>
          <t>Kirkland, WA</t>
        </is>
      </c>
      <c r="H163" t="inlineStr"/>
      <c r="I16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Sunnyvale, CA, USA; Seattle, WA, USA** 
 .
 **Minimum qualifications:**
* Bachelor’s degree or equivalent practical experience.
* 2 years of experience programming in C\+\+, Python or Go.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4">
      <c r="A164" t="inlineStr">
        <is>
          <t>li-4370934548</t>
        </is>
      </c>
      <c r="B164" t="inlineStr">
        <is>
          <t>Software Engineer II</t>
        </is>
      </c>
      <c r="C164" t="inlineStr">
        <is>
          <t>Cox Automotive Inc.</t>
        </is>
      </c>
      <c r="D164" t="inlineStr">
        <is>
          <t>linkedin</t>
        </is>
      </c>
      <c r="E164">
        <f>HYPERLINK("https://www.linkedin.com/jobs/view/4370934548", "https://www.linkedin.com/jobs/view/4370934548")</f>
        <v/>
      </c>
      <c r="F164">
        <f>HYPERLINK("https://click.appcast.io/t/cF31Ir1FYKqUYEjG8xF-2g7pFDRpz53JFTed7UQaiGAouthGMHxYoz9YyBpXciPp&amp;urlHash=LEO2", "https://click.appcast.io/t/cF31Ir1FYKqUYEjG8xF-2g7pFDRpz53JFTed7UQaiGAouthGMHxYoz9YyBpXciPp&amp;urlHash=LEO2")</f>
        <v/>
      </c>
      <c r="G164" t="inlineStr">
        <is>
          <t>Atlanta, GA</t>
        </is>
      </c>
      <c r="H164" t="inlineStr"/>
      <c r="I164" t="inlineStr">
        <is>
          <t>**Job Summary**
 As part of the Cox Automotive family, Central Dispatch is evolving the nation's largest self\-managed auto transportation platform. Our logistics solutions connect shippers with a nationwide network of carriers, enabling vehicles to move efficiently across the country. Our primary technologies are C\#, .NET, Angular, REACT and JavaScript among others.
 The Software Engineer II applies secure software engineering principles to the design, development, testing, maintenance, and evaluation of software and cloud infrastructure. This role collaborates closely with teammates to understand business requirements, contribute to architectural discussions, and deliver scalable, resilient, and secure systems. It also incorporates the responsible use of AI\-assisted development tools to streamline coding, testing, troubleshooting, and documentation activities across the SDLC.
**Primary Duties And Key Responsibilities**
* Contribute technical and procedural expertise to support team development efforts across assigned applications or system components, including appropriate use of AI\-assisted tools during daily engineering tasks.
* Participate in design and development discussions, using both personal analysis and AI\-supported exploration to help clarify technical options and desired outcomes.
* Write high\-quality code along with unit, integration, and system tests for business\-critical components, using AI assistance to increase test coverage and reduce repetitive work while validating all AI\-generated output.
* Ensure quality, performance, security, and adherence to specifications for assigned feature development and adjacent system interactions, leveraging AI to analyze code quality or identify potential issues.
* Support troubleshooting and root\-cause analysis by combining traditional debugging techniques with AI\-guided investigation to accelerate discovery and remediation.
* Contribute to the modernization of legacy components through refactoring, migration planning, and use of AI tools to analyze existing patterns and propose alternatives.
* Apply secure coding practices and use AI\-enabled scanning or analysis tools to help identify vulnerabilities or improvement opportunities.
* Participate in identifying software, server, or network bottlenecks by gathering diagnostics and evaluating potential fixes, including the use of AI tools to explore optimization options.
**Required Experience, Knowledge, And Skills**
* Applicants must currently be authorized to work in the United States for any employer without current or future sponsorship. No OPT, CPT, STEM/OPT or visa sponsorship now or in future.
* Bachelor's degree in a related discipline and 2 years of experience in a related field, or equivalent combinations such as a master's degree and up to 2 years of experience, or 14 years of experience with no degree.
* Experience in developing in C\#,. NET, Angular, REACT and JavaScript.
* Hands\-on experience developing software using modern programming languages, frameworks, and cloud technologies.
* Ability to evaluate technical requirements, follow architectural patterns, and contribute to maintainable and scalable implementations.
* Skilled in building partnerships, driving innovation, focusing on execution, and striving for excellence in engineering work.
 USD 89,400\.00 \- 134,000\.00 per year
**Compensation**
 Compensation includes a base salary of $89,400\.00 \- $134,000\.00\.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165">
      <c r="A165" t="inlineStr">
        <is>
          <t>li-4358390955</t>
        </is>
      </c>
      <c r="B165" t="inlineStr">
        <is>
          <t>Staff Software Engineer, Search Infrastructure</t>
        </is>
      </c>
      <c r="C165" t="inlineStr">
        <is>
          <t>Moveworks</t>
        </is>
      </c>
      <c r="D165" t="inlineStr">
        <is>
          <t>linkedin</t>
        </is>
      </c>
      <c r="E165">
        <f>HYPERLINK("https://www.linkedin.com/jobs/view/4358390955", "https://www.linkedin.com/jobs/view/4358390955")</f>
        <v/>
      </c>
      <c r="F165" t="inlineStr"/>
      <c r="G165" t="inlineStr">
        <is>
          <t>Mountain View, CA</t>
        </is>
      </c>
      <c r="H165" t="inlineStr"/>
      <c r="I165" t="inlineStr">
        <is>
          <t>**What You Will Do**
* Build out core infrastructure services and microservices that impact our machine learning, frontend, and platform teams.
* Build out core infrastructure for various functionalities such as: distributed configuration management, rate limiting, feature flag, A/B testing, and traffic capture and replay.
* Improve the performance, scalability and observability of the Moveworks cloud infrastructure.
* Deliver deadline sensitive work regularly that is interdependent with other engineering teams.
* Own features end\-to\-end, and regularly influence the infrastructure roadmap.
* This is a highly collaborative, in\-person role, working cross functionally with Core and ML engineering teams, and more.
**What You Bring To The Table**
* 8\+ years of experience designing, building, shipping, and maintaining backend distributed systems.
* Familiarity with Python/Golang/Java/C\+\+.
* Experience with containers/Docker, and with cloud infrastructure like AWS/GCP/Azure.
* Experience working with and operating open source technologies like Kafka, Elasticsearch or Opensearch, Istio, Vector DB, etc. at scale.
* Desire to work at a startup pace with a high degree of ownership.
* Experience solving for performance, optimization, scalability, latency, and monitoring.
* Strong motivation, gumption, and an appetite for continuous, incremental changes and completing challenging projects quickly.
* BS in computer science or a related field.
* High level of curiosity about engineering outside of your immediate discipline and an incessant desire to learn.
**Compensation Range:** 
 $163,000\-286,000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166">
      <c r="A166" t="inlineStr">
        <is>
          <t>li-4365188505</t>
        </is>
      </c>
      <c r="B166" t="inlineStr">
        <is>
          <t>Staff Software Engineer, Agentic AI Systems</t>
        </is>
      </c>
      <c r="C166" t="inlineStr">
        <is>
          <t>Moveworks</t>
        </is>
      </c>
      <c r="D166" t="inlineStr">
        <is>
          <t>linkedin</t>
        </is>
      </c>
      <c r="E166">
        <f>HYPERLINK("https://www.linkedin.com/jobs/view/4365188505", "https://www.linkedin.com/jobs/view/4365188505")</f>
        <v/>
      </c>
      <c r="F166" t="inlineStr"/>
      <c r="G166" t="inlineStr">
        <is>
          <t>Mountain View, CA</t>
        </is>
      </c>
      <c r="H166" t="inlineStr"/>
      <c r="I166" t="inlineStr">
        <is>
          <t>**The Role**
 Are you a software engineer who has honed your craft, technical leadership, and execution over years building and improving production systems, and are looking to apply your skills at the cutting edge of AI agents? This may be the role for you.
 As a staff software engineer on our “agent lab” Natural Language Understanding team, you will play a central role in our mission: to advance the frontier of work that can be entrusted to agents to perform reliably at scale. You will have the opportunity to lead the evolution of the Moveworks AI Assistant platform in several of the following areas: agent orchestration, sandboxed file systems and code execution, latency optimization, agent memory, LLM self\-reflection and improvement, execution environment simulation, enterprise knowledge graphs, and multimodal I/O.
 You will have all the tools of modern enterprise AI at your disposal, including best\-in\-class LLMs from providers like OpenAI. Our team indexes on moving fast on scalable infrastructure, solving challenging product and engineering challenges, and pushing the envelope of value provided to customers. If you are looking to do the best work of your career with a bright, dedicated, and impact\-driven team alongside you, we’d love to have a conversation.
**What You Will Do:**
* Lead and take on exciting and difficult engineering challenges (see areas listed above) to build and evolve capable AI agent systems that are reliable in every sense of the word
* Define, drive, and deliver frontier AI distributed systems and ensure they are productionized at scale, or use the latest advances in machine learning, LLMs, and AI agents to enhance our products and create delightful user experiences
* Set technical direction, influence roadmap, and drive the evolution of engineering areas of broad scope and impact to create lasting value for all our customers
* Set a high bar for writing robust, extensible, readable, and performant code, and raise the engineering standard for the team
* Partner with senior subject matter experts across the company including in machine learning, security, product, user experience, and customer success, to align teams and build the best enterprise AI products the world has ever seen
* Mentor and develop engineers on the team, including coaching on technical design, execution, and engineering excellence
* Collaborate deeply with machine learning engineers to define end\-to\-end system architecture and help build world\-class AI systems
**What You Bring To The Table:**
* 6\+ years experience designing, building, and improving production systems, ideally at scale
* Demonstrated ability to lead technical design and execution across multiple projects and stakeholders
* Ability to think and communicate clearly about complex engineering problems and systems, and to drive alignment across teams
* Comfort giving and receiving feedback, and in holding yourself and your coworkers accountable to a high standard of operational excellence
* Readiness to hit the ground running in a Mac development environment, programming in Python, Golang, and/or Java
* Desire to ship at a startup pace with a high degree of ownership
* Strong attention to detail and a track record of shipping high\-quality, production\-grade systems
* Strong appetite for continuous incremental wins and completing challenging projects fast
* High level of curiosity about engineering outside of immediate discipline and ongoing desire to learn and stay at the cutting edge of applied AI
**Nice To Have** 
 :
* Experience building with LLMs, particularly in iterating on prompts, on model selection, on cognitive architecture design, and on latency/correctness tradeoffs in a data\-driven way
* Hands\-on experience driving one or more stages of a machine learning problem\-solving lifecycle, such as experiment setup, dataset curation, model training, offline evaluation and error analysis, deployment, and online evaluation
* Experience in AI fairness, privacy, permission controls, safety, and/or security
* Experience designing and operating large\-scale, high\-reliability systems with strong observability, SLOs, and on\-call excellence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167">
      <c r="A167" t="inlineStr">
        <is>
          <t>li-4365180604</t>
        </is>
      </c>
      <c r="B167" t="inlineStr">
        <is>
          <t>Staff Software Engineer, Agentic AI Systems</t>
        </is>
      </c>
      <c r="C167" t="inlineStr">
        <is>
          <t>Moveworks</t>
        </is>
      </c>
      <c r="D167" t="inlineStr">
        <is>
          <t>linkedin</t>
        </is>
      </c>
      <c r="E167">
        <f>HYPERLINK("https://www.linkedin.com/jobs/view/4365180604", "https://www.linkedin.com/jobs/view/4365180604")</f>
        <v/>
      </c>
      <c r="F167" t="inlineStr"/>
      <c r="G167" t="inlineStr">
        <is>
          <t>San Francisco, CA</t>
        </is>
      </c>
      <c r="H167" t="inlineStr"/>
      <c r="I167" t="inlineStr">
        <is>
          <t>**The Role**
 Are you a software engineer who has honed your craft, technical leadership, and execution over years building and improving production systems, and are looking to apply your skills at the cutting edge of AI agents? This may be the role for you.
 As a staff software engineer on our “agent lab” Natural Language Understanding team, you will play a central role in our mission: to advance the frontier of work that can be entrusted to agents to perform reliably at scale. You will have the opportunity to lead the evolution of the Moveworks AI Assistant platform in several of the following areas: agent orchestration, sandboxed file systems and code execution, latency optimization, agent memory, LLM self\-reflection and improvement, execution environment simulation, enterprise knowledge graphs, and multimodal I/O.
 You will have all the tools of modern enterprise AI at your disposal, including best\-in\-class LLMs from providers like OpenAI. Our team indexes on moving fast on scalable infrastructure, solving challenging product and engineering challenges, and pushing the envelope of value provided to customers. If you are looking to do the best work of your career with a bright, dedicated, and impact\-driven team alongside you, we’d love to have a conversation.
**What You Will Do:**
* Lead and take on exciting and difficult engineering challenges (see areas listed above) to build and evolve capable AI agent systems that are reliable in every sense of the word
* Define, drive, and deliver frontier AI distributed systems and ensure they are productionized at scale, or use the latest advances in machine learning, LLMs, and AI agents to enhance our products and create delightful user experiences
* Set technical direction, influence roadmap, and drive the evolution of engineering areas of broad scope and impact to create lasting value for all our customers
* Set a high bar for writing robust, extensible, readable, and performant code, and raise the engineering standard for the team
* Partner with senior subject matter experts across the company including in machine learning, security, product, user experience, and customer success, to align teams and build the best enterprise AI products the world has ever seen
* Mentor and develop engineers on the team, including coaching on technical design, execution, and engineering excellence
* Collaborate deeply with machine learning engineers to define end\-to\-end system architecture and help build world\-class AI systems
**What You Bring To The Table:**
* 6\+ years experience designing, building, and improving production systems, ideally at scale
* Demonstrated ability to lead technical design and execution across multiple projects and stakeholders
* Ability to think and communicate clearly about complex engineering problems and systems, and to drive alignment across teams
* Comfort giving and receiving feedback, and in holding yourself and your coworkers accountable to a high standard of operational excellence
* Readiness to hit the ground running in a Mac development environment, programming in Python, Golang, and/or Java
* Desire to ship at a startup pace with a high degree of ownership
* Strong attention to detail and a track record of shipping high\-quality, production\-grade systems
* Strong appetite for continuous incremental wins and completing challenging projects fast
* High level of curiosity about engineering outside of immediate discipline and ongoing desire to learn and stay at the cutting edge of applied AI
**Nice To Have** 
 :
* Experience building with LLMs, particularly in iterating on prompts, on model selection, on cognitive architecture design, and on latency/correctness tradeoffs in a data\-driven way
* Hands\-on experience driving one or more stages of a machine learning problem\-solving lifecycle, such as experiment setup, dataset curation, model training, offline evaluation and error analysis, deployment, and online evaluation
* Experience in AI fairness, privacy, permission controls, safety, and/or security
* Experience designing and operating large\-scale, high\-reliability systems with strong observability, SLOs, and on\-call excellence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168">
      <c r="A168" t="inlineStr">
        <is>
          <t>li-4338224153</t>
        </is>
      </c>
      <c r="B168" t="inlineStr">
        <is>
          <t>Senior Fullstack Engineer (Backend) — AI Products</t>
        </is>
      </c>
      <c r="C168" t="inlineStr">
        <is>
          <t>Rippling</t>
        </is>
      </c>
      <c r="D168" t="inlineStr">
        <is>
          <t>linkedin</t>
        </is>
      </c>
      <c r="E168">
        <f>HYPERLINK("https://www.linkedin.com/jobs/view/4338224153", "https://www.linkedin.com/jobs/view/4338224153")</f>
        <v/>
      </c>
      <c r="F168" t="inlineStr"/>
      <c r="G168" t="inlineStr">
        <is>
          <t>New York, NY</t>
        </is>
      </c>
      <c r="H168" t="inlineStr"/>
      <c r="I168"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Join us in founding a new team building AI\-first products and experiences that will become core to how our customers manage and grow their businesses. As a Senior Fullstack Software Engineer, you’ll be one of the early members helping define the architecture, systems, and product experience. You’ll work closely with product, design, and other engineering teams to bring the products from idea to scale. This is a rare chance to own and influence a zero\-to\-one product, shaping the direction of both the technology and the user experience. We're looking for engineers who are comfortable with ambiguity, enjoy fast\-paced development, and care deeply about building fantastic products that sit on top of reliable and reusable systems. This role will be part of Rippling’s core AI initiatives so an interest in the intersection of AI and UX is a plus.
 This is an opportunity to build a product from the ground up: you’ll collaborate closely with design and product to take ideas from whiteboard to production, move fast in tight feedback loops, and make smart technical decisions that stand the test of scale. We're looking for someone who thrives in ambiguity, cares about the craft of software, and is excited to build systems that are both delightful to use and reliable under the hood.
 You’ll have significant ownership, a voice in what we build and how we build it, and a chance to influence the foundation of something ambitious.
**What You Will Do**
* Design and implement fullstack features with minimal oversight
* Translate product requirements into technical solutions across the stack
* Help define and build the foundational architecture of the new product
* Collaborate with other teams across engineering and go\-to\-market to understand requirements and integrate with Rippling’s platform
* Write high\-quality, well\-tested code and contribute to technical documentation
* Participate in code reviews and help establish engineering best practices for the team
**What You Will Need**
* A minimum 5 years of experience as a software engineer
* Experience building and shipping production software in a fullstack environment
* Familiarity with technologies like Python, Django, React, Postgres, MongoDB, and AWS (or similar stacks)
* Ability to independently break down complex problems and drive them to completion
* Strong product instincts and a track record of working effectively with cross\-functional teams
* Comfort working in an early\-stage environment where priorities may shift quickly
**The pay range for this role is:**
 159,000 \- 278,250 USD per year(US Tier 1\)</t>
        </is>
      </c>
    </row>
    <row r="169">
      <c r="A169" t="inlineStr">
        <is>
          <t>li-4324732581</t>
        </is>
      </c>
      <c r="B169" t="inlineStr">
        <is>
          <t>Sr Frontend Engineer</t>
        </is>
      </c>
      <c r="C169" t="inlineStr">
        <is>
          <t>Prestige Staffing</t>
        </is>
      </c>
      <c r="D169" t="inlineStr">
        <is>
          <t>linkedin</t>
        </is>
      </c>
      <c r="E169">
        <f>HYPERLINK("https://www.linkedin.com/jobs/view/4324732581", "https://www.linkedin.com/jobs/view/4324732581")</f>
        <v/>
      </c>
      <c r="F169" t="inlineStr"/>
      <c r="G169" t="inlineStr">
        <is>
          <t>Atlanta, GA</t>
        </is>
      </c>
      <c r="H169" t="inlineStr"/>
      <c r="I169" t="inlineStr">
        <is>
          <t>Senior Frontend Engineer
 Pay
 $150,000 \- $175,000 annually
 Location
 Dunwoody, GA (Hybrid \- Remote options available)
**Summary**
 Join a dynamic team as a Senior Frontend Engineer and play a pivotal role in developing cutting\-edge SaaS solutions. This role offers the opportunity to work in a collaborative environment, leveraging modern technologies to build scalable, high\-performance web applications. You will contribute to a fast\-paced, innovative company committed to continuous growth and engineering excellence, with a focus on delivering impactful results and advancing your career.
**Requirements**
* Bachelor’s degree in Computer Science or related field, or equivalent practical experience
* 5\+ years of experience in frontend development with expertise in browser\-based applications
* Proficiency in modern JavaScript/TypeScript and frameworks such as React and Next.js
* Strong understanding of HTML, CSS, and responsive design principles
* Experience with automated testing frameworks like Jest or Cyprus
* Familiarity with version control systems (e.g., Git) and best practices
* Excellent problem\-solving and communication skills
* Knowledge of web accessibility standards and software engineering principles
* Experience with AI coding tools and Web Components is a plus
* Additional expertise in back\-end technologies, CI/CD pipelines, or open\-source contributions is advantageous
**Responsibilities**
* Develop and maintain complex, responsive user interfaces using modern JavaScript frameworks
* Collaborate with designers and engineers to translate wireframes into functional interfaces
* Write clean, efficient, and maintainable code adhering to current web standards
* Conduct code reviews and provide constructive feedback within the team
* Troubleshoot and debug across multiple browsers and devices
* Optimize applications for performance and scalability
* Stay current with technology trends and incorporate best practices into development processes
* Contribute to the company’s Web Component library to ensure consistency and efficiency
* Participate in Agile ceremonies and contribute to continuous improvement initiatives
**Benefits**
* Growth opportunities in a rapidly expanding company
* Flexible PTO, including holidays and your birthday off
* Employer\-matched 401(k) plan
* Comprehensive health benefits with multiple plans
* Sabbatical after five years of service
* Casual in\-office environment with catered weekly lunches
* Signing stipend for remote work setup
* Free gym membership
* $2,000 annual development stipend
* Parental leave and fertility/adoption assistance
* Annual tutoring stipend for children
* Mentorship program
* Regular team outings
* Advancement opportunities based on performance
* Inclusive culture driven by our REDI Committee
 \#Dice \#ZR\-Pro</t>
        </is>
      </c>
    </row>
    <row r="170">
      <c r="A170" t="inlineStr">
        <is>
          <t>li-4381529075</t>
        </is>
      </c>
      <c r="B170" t="inlineStr">
        <is>
          <t>Software Engineer</t>
        </is>
      </c>
      <c r="C170" t="inlineStr">
        <is>
          <t>Haystack</t>
        </is>
      </c>
      <c r="D170" t="inlineStr">
        <is>
          <t>linkedin</t>
        </is>
      </c>
      <c r="E170">
        <f>HYPERLINK("https://www.linkedin.com/jobs/view/4381529075", "https://www.linkedin.com/jobs/view/4381529075")</f>
        <v/>
      </c>
      <c r="F170" t="inlineStr"/>
      <c r="G170" t="inlineStr"/>
      <c r="H170" t="inlineStr"/>
      <c r="I170" t="inlineStr">
        <is>
          <t>**Analytics Developer \| Columbia, MD \| Hybrid \| $61,720 \- $108,334** 
 We're working with America's largest healthcare educator on this exciting opportunity to bridge the gap between complex data and student success. As an Analytics Developer, you will leverage Power BI, SQL, and cloud technologies to build enterprise\-grade intelligence solutions that empower over 97,000 students across five accredited institutions.
 This is a high\-impact role where you will transform raw data into actionable knowledge, optimizing everything from source data profiling to high\-end visualization within a collaborative, fast\-paced hybrid environment. If you are passionate about using data to solve real\-world problems in healthcare and education, this is the platform for your career to thrive.
**The Role** 
 • Design, develop, and maintain high\-performance Power BI dashboards and datasets, ensuring data integrity and user trust across the enterprise.
 • Lead the technical specification process by translating complex business requirements into scalable BI and reporting applications.
 • Architect and optimize expert\-level SQL queries and data models using Relational Database Management Systems (RDBMS) and Snowflake.
 • Perform deep\-dive source data analysis, including data profiling, logical modeling, and validation to ensure data suitability for executive reporting.
 • Drive innovation through the application of advanced DAX calculations, Power Query (M), and automated dataflows to streamline business intelligence pipelines.
**What You'll Need** 
 • 5\+ years of total experience in Business Intelligence (BI) with a minimum of 2 years specifically focused on Power BI development.
 • Advanced proficiency in SQL for relational databases and experience working with cloud data warehouses like Snowflake or AWS.
 • Strong technical foundation in data modeling patterns, entity relationship diagrams (ERDs), and Agile methodology.
 • Mastery of the Power BI ecosystem, including security settings, portal management, data connection configurations, and refresh frequency optimization.
 • Bachelor’s degree in Computer Science, Engineering, or Information Systems; Power BI Certification is highly preferred.
**What's On Offer** 
 • Competitive salary range ($61,720 \- $108,334\) with an annual performance\-based incentive program.
 • Comprehensive benefits package including health, dental, vision, life, and disability insurance.
 • Generous 401k retirement program with a 6% employer match to secure your financial future.
 • Flexible Time Off (FTO) policy plus 12 paid holidays, fostering a healthy work\-life balance within a high\-growth sector.
**Apply via Haystack today!**</t>
        </is>
      </c>
    </row>
    <row r="171">
      <c r="A171" t="inlineStr">
        <is>
          <t>li-4334750068</t>
        </is>
      </c>
      <c r="B171" t="inlineStr">
        <is>
          <t>Android Software Engineer</t>
        </is>
      </c>
      <c r="C171" t="inlineStr">
        <is>
          <t>DataAnnotation</t>
        </is>
      </c>
      <c r="D171" t="inlineStr">
        <is>
          <t>linkedin</t>
        </is>
      </c>
      <c r="E171">
        <f>HYPERLINK("https://www.linkedin.com/jobs/view/4334750068", "https://www.linkedin.com/jobs/view/4334750068")</f>
        <v/>
      </c>
      <c r="F171" t="inlineStr"/>
      <c r="G171" t="inlineStr">
        <is>
          <t>California, United States</t>
        </is>
      </c>
      <c r="H171" t="inlineStr"/>
      <c r="I171"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172">
      <c r="A172" t="inlineStr">
        <is>
          <t>li-4381522436</t>
        </is>
      </c>
      <c r="B172" t="inlineStr">
        <is>
          <t>Founding Backend Engineer</t>
        </is>
      </c>
      <c r="C172" t="inlineStr">
        <is>
          <t>Jobright.ai</t>
        </is>
      </c>
      <c r="D172" t="inlineStr">
        <is>
          <t>linkedin</t>
        </is>
      </c>
      <c r="E172">
        <f>HYPERLINK("https://www.linkedin.com/jobs/view/4381522436", "https://www.linkedin.com/jobs/view/4381522436")</f>
        <v/>
      </c>
      <c r="F172" t="inlineStr"/>
      <c r="G172" t="inlineStr">
        <is>
          <t>San Francisco, CA</t>
        </is>
      </c>
      <c r="H172" t="inlineStr"/>
      <c r="I172" t="inlineStr">
        <is>
          <t>This role is part of the
 **Jobright TNT** 
 \- the private hiring network connecting top talent with top AI startups like
 **Perplexity, Mercor, Cresta, Suno and 150 more.** 
 This is
 **not a mass job posting** 
 . Only select, high\-signal candidates are invited to Jobright TNT and recommended directly to hiring teams
**Hiring Company:** 
 Plaud
**One\-liner:** 
 Plaud is a rapidly scaling AI hardware company with $180M ARR, 10× YoY growth, and 1M\+ users worldwide.
 Why Join Us:
**Role Responsibilities** 
* Take full ownership of the technical strategy and execution for our "Plaud for Teams" product roadmap, ensuring it stays tightly aligned with business goals and evolving customer needs
* Guide the complete lifecycle of our "for Team" stack—from initial vision through to product launch—by setting clear, measurable milestones guided by Product Led Growth (PLG) principles
* Architect and deliver scalable permission and collaboration systems and API integrations that enrich functionality and user experience, all while upholding the highest standards for privacy, security, and quality
* Continuously explore, evaluate, and implement cutting\-edge AI technologies that advance the capabilities of our agentic platforms
* Clearly communicate technical direction, tradeoffs, and progress to leadership, cross\-functional collaborators, and stakeholders across all levels of technical fluency
* Build and lead a top\-tier engineering team by recruiting, mentoring, and inspiring a culture of innovation, ownership, and hands\-on problem solving
* Foster seamless collaboration and alignment across U.S. and international teams to ensure fast, focused execution across disciplines
**Qualifications** 
 Required
* 3\+ years of experience in building and scaling productivity SaaS tools
* Experience with Python, FastAPI, Go, PostgreSQL, or similar technology
* Familiar with cloud\-based infrastructure like Azure, AWS, or GCP
* Experience envisioning and delivering an effectively zero\-to\-one product to global customers
* A deep understanding of LLMs, their capabilities, limitations, and potential applications
* Demonstrated proficiency in a variety of technologies with the ability to quickly learn and adapt to new tools and languages
* Ideal candidate will have previously been the first technical lead at an early\-stage high\-growth startup, with an emphasis on owning a project from conception to deployment
* Strong leadership and team\-building skills with a collaborative approach
* Excellent strategic thinking and problem\-solving abilities
* Bachelor's or Master's degree in a technical field (Computer Science, Engineering or a related discipline)
* Interested in agentic team collaboration software, SaaS, AI, and LLMs
* Solid understanding of core application security concepts and threat mitigation strategies
* Solid understanding of permission systems and design principles
* Ability to thrive in a fast\-paced, startup environment
* Experience managing or collaborating with international teams
* "Always Day 1" entrepreneurship drive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t>
        </is>
      </c>
    </row>
    <row r="173">
      <c r="A173" t="inlineStr">
        <is>
          <t>li-4344837850</t>
        </is>
      </c>
      <c r="B173" t="inlineStr">
        <is>
          <t>Sr. Software Engineer Infotainment Software</t>
        </is>
      </c>
      <c r="C173" t="inlineStr">
        <is>
          <t>Rivian and Volkswagen Group Technologies</t>
        </is>
      </c>
      <c r="D173" t="inlineStr">
        <is>
          <t>linkedin</t>
        </is>
      </c>
      <c r="E173">
        <f>HYPERLINK("https://www.linkedin.com/jobs/view/4344837850", "https://www.linkedin.com/jobs/view/4344837850")</f>
        <v/>
      </c>
      <c r="F173" t="inlineStr"/>
      <c r="G173" t="inlineStr">
        <is>
          <t>Palo Alto, CA</t>
        </is>
      </c>
      <c r="H173" t="inlineStr"/>
      <c r="I173"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 sustainable for everyone.
**Role Summary**
 We are seeking a highly motivated Sr. Build and Release Engineer to join our Infotainment and Connectivity Platform Software team. In this role, you will play a key part in supporting and enhancing our build system infrastructure, primarily focused on the Yocto Project, Bitbake, and Android build system.
 You will own and drive initiatives that optimize build times, improve caching, streamline software packaging, and enhance the overall developer experience for our in\-vehicle infotainment and telematics systems.
 This role would help the team solve some of their biggest development bottlenecks, by improving our caching infrastructure, streamlining our software packaging, and hardening our build system against intermittent errors. You will also have a hand in supporting development teams by upgrading system software, or by enforcing best practices in the build system.
**Responsibilities**
* Develop and maintain a stable and fast Linux and Android build environment that seamlessly scales across multiple brands, vehicle models and variants of the Rivian\-Volkswagen Joint venture.
* Use tools such as repo tools and Bazel to build, manage and distribute a large scale, distributed codebase across the entire Joint Venture
* Design, implement and evolve our CI/CD pipelines to enhance developer experience and to meet the organization’s CI/CD goals
* Review bitbake recipes and other build system software for best practices
* Develop and maintain dashboards to track build metrics
* Support developers with build system changes and package upgrades
**Qualifications**
* Bachelor’s degree in Computer Science, Software Engineering, Applied Mathematics, Electrical Engineering, Computer Engineering, or related field.
* Experience with the Yocto Project, Bitbake and Android build system
* Proficiency with Python and Bash scripting for build automation and tooling
* Understanding of embedded system development workflows, cross\-compilation, and debugging tools
* Solid understanding of Linux operating systems and command\-line tools
* Experience with GitLab or Jenkins CI/CD pipelines (GitLab preferred)
* Familiarity with Bazel
**Bonus Qualifications**
* Experience with large\-scale monorepos and strategies for code segregation
* Experience with Qualcomm platforms
**Pay Disclosure**
**Salary Range for Palo Alto Based Applicants:** 
 147,000 USD \- 184,000 USD
 The posted salary represents the lowest and highest ranges RV Tech reasonably and in good faith expects to pay for the position. Any posted salary range pertains only to the estimated starting pay for the role. Actual starting pay is based on a number of factors, including, but not limited to, the candidate’s experience, skillset, qualifications, specific competencies, relevant education, and location.
**Total Rewards**
 Total compensation packages for this position include base salary, eligibility for an annual performance bonus, and eligibility for equity.
 In addition, our benefits package has been designed to support the health and wellness of our employees. Benefit offerings include Flex Time Off, retirement savings plans as well as medical, vision and dental coverage. For more information on RV Tech’s comprehensive benefits package for full\-time employees, check out our Global Benefits Site.
 External candidates can apply for this role through the RV Tech Careers site (https://rivianvw.tech/\#careers). If you are a current employee, please apply through our internal job board (https://internal\-careers\-rivian.icims.com/).
**Equal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this job posting represents an open, active vacancy. Additionally, we are currently not accepting applications from third party application services.*</t>
        </is>
      </c>
    </row>
    <row r="174">
      <c r="A174" t="inlineStr">
        <is>
          <t>li-4365580378</t>
        </is>
      </c>
      <c r="B174" t="inlineStr">
        <is>
          <t>Software Engineer, BigQuery AI Developer Experience</t>
        </is>
      </c>
      <c r="C174" t="inlineStr">
        <is>
          <t>Google</t>
        </is>
      </c>
      <c r="D174" t="inlineStr">
        <is>
          <t>linkedin</t>
        </is>
      </c>
      <c r="E174">
        <f>HYPERLINK("https://www.linkedin.com/jobs/view/4365580378", "https://www.linkedin.com/jobs/view/4365580378")</f>
        <v/>
      </c>
      <c r="F174">
        <f>HYPERLINK("https://careers.google.com/jobs/results/85809587231302342-software-engineer/?src=Online/LinkedIn/linkedin_us&amp;utm_source=linkedin&amp;utm_medium=jobposting&amp;utm_campaign=contract&amp;urlHash=vwWh", "https://careers.google.com/jobs/results/85809587231302342-software-engineer/?src=Online/LinkedIn/linkedin_us&amp;utm_source=linkedin&amp;utm_medium=jobposting&amp;utm_campaign=contract&amp;urlHash=vwWh")</f>
        <v/>
      </c>
      <c r="G174" t="inlineStr">
        <is>
          <t>Seattle, WA</t>
        </is>
      </c>
      <c r="H174" t="inlineStr"/>
      <c r="I174"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Seattle, WA, USA** 
 .
 **Minimum qualifications:**
* Bachelor’s degree or equivalent practical experience.
* 2 years of experience with software development or 1 year of experience with an advanced degree in an industry setting.
* 2 years of experience building developer\-facing products, integrated development environments or command line tools.
* Experience in Full\-Stack Development, Integrated Development Environment (IDE) or extension development (VS Code/IntelliJ) across TypeScript/Java/Go/Python.
* Experience with Agentic AI frameworks and LLMs.
* Experience with API design, UI/UX integration for developer tools, and with large\-scale distributed systems.
**Preferred qualifications:**
* Master's degree or PhD in Computer Science or related technical fields.
* Experience with Large Language Models for code (e.g., Gemini or similar), modern cloud infrastructure (e.g., GCP or similar), and industry\-standard developer tool frameworks.
* Experience in Human\-Computer Interaction (HCI).
* Knowledge of data warehousing concepts, and developer productivity metrics.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Software Engineer for Developer Experiences, you will re\-imagine how the world interacts with data at scale. We are building a future where the developer environment is AI\-native by default
 **.**
 Following the launch of BigQuery Studio and the innovations such as Data Canvas, we are now going after the goal of enabling every developer with AI assistants. You will be at the forefront in this evolution, building the surfaces and tools that make data development intuitive, fast, and seamless. Your work will influence how millions of developers write, debug, and deploy data workloads using AI agents. You will collaborate with product managers, engineers, scientists, and designers to create a unified, AI\-accelerated developer experience that redefines the boundaries of how humans and AI collaborate on code and data.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Implement and re\-imagine AI\-native developer surfaces across BigQuery Studio, Integrated Development Environment (IDE), and Command\-line Interface (CLI) tools.
* Design Developer Agents that accelerate development life\-cycle through autonomous code generation, SQL optimization, pipeline generation, automated debugging, schema suggestion and more.
* Develop full\-stack solutions that bridge the gap between complex backend AI services and intuitive, high\-performance user interfaces.
* Partner with UX, Product, and Science to prototype and productionize new interaction paradigms (e.g., natural language to complex DDL/DML).
* Drive engineering standards for developer tooling, focusing on latency, reliability, and seamless multi\-surface experiences.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5">
      <c r="A175" t="inlineStr">
        <is>
          <t>li-4321363973</t>
        </is>
      </c>
      <c r="B175" t="inlineStr">
        <is>
          <t>Software Developer (Entry Level)</t>
        </is>
      </c>
      <c r="C175" t="inlineStr">
        <is>
          <t>Epic</t>
        </is>
      </c>
      <c r="D175" t="inlineStr">
        <is>
          <t>linkedin</t>
        </is>
      </c>
      <c r="E175">
        <f>HYPERLINK("https://www.linkedin.com/jobs/view/4321363973", "https://www.linkedin.com/jobs/view/4321363973")</f>
        <v/>
      </c>
      <c r="F175" t="inlineStr"/>
      <c r="G175" t="inlineStr">
        <is>
          <t>La Crosse, WI</t>
        </is>
      </c>
      <c r="H175" t="inlineStr"/>
      <c r="I175"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76">
      <c r="A176" t="inlineStr">
        <is>
          <t>li-4321335492</t>
        </is>
      </c>
      <c r="B176" t="inlineStr">
        <is>
          <t>Software Developer (Entry Level)</t>
        </is>
      </c>
      <c r="C176" t="inlineStr">
        <is>
          <t>Epic</t>
        </is>
      </c>
      <c r="D176" t="inlineStr">
        <is>
          <t>linkedin</t>
        </is>
      </c>
      <c r="E176">
        <f>HYPERLINK("https://www.linkedin.com/jobs/view/4321335492", "https://www.linkedin.com/jobs/view/4321335492")</f>
        <v/>
      </c>
      <c r="F176">
        <f>HYPERLINK("https://epic.avature.net/Careers/ApplyFlowCheck?folderId=740&amp;source=LinkedIn&amp;urlHash=fKwC", "https://epic.avature.net/Careers/ApplyFlowCheck?folderId=740&amp;source=LinkedIn&amp;urlHash=fKwC")</f>
        <v/>
      </c>
      <c r="G176" t="inlineStr">
        <is>
          <t>Elgin, IL</t>
        </is>
      </c>
      <c r="H176" t="inlineStr"/>
      <c r="I176"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77">
      <c r="A177" t="inlineStr">
        <is>
          <t>li-4347151446</t>
        </is>
      </c>
      <c r="B177" t="inlineStr">
        <is>
          <t>Staff Software Engineer</t>
        </is>
      </c>
      <c r="C177" t="inlineStr">
        <is>
          <t>CoreWeave</t>
        </is>
      </c>
      <c r="D177" t="inlineStr">
        <is>
          <t>linkedin</t>
        </is>
      </c>
      <c r="E177">
        <f>HYPERLINK("https://www.linkedin.com/jobs/view/4347151446", "https://www.linkedin.com/jobs/view/4347151446")</f>
        <v/>
      </c>
      <c r="F177">
        <f>HYPERLINK("https://coreweave.com/careers/job?4603505006&amp;board=coreweave&amp;gh_jid=4603505006&amp;urlHash=UQPB", "https://coreweave.com/careers/job?4603505006&amp;board=coreweave&amp;gh_jid=4603505006&amp;urlHash=UQPB")</f>
        <v/>
      </c>
      <c r="G177" t="inlineStr">
        <is>
          <t>Manhattan, NY</t>
        </is>
      </c>
      <c r="H177" t="inlineStr"/>
      <c r="I177"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As a Staff Software Engineer, you’ll shape the backbone of our GPU\-driven data centers—powering some of the most advanced workloads in AI and large\-scale computing. This isn’t just about keeping the lights on; it’s about architecting the next generation of reliable, secure, and massively scalable infrastructure.
 The METALDEV team builds and operates a suite of Go\-based services that power large\-scale datacenter deployments. These platforms automate complex workflows while providing deep observability and monitoring for tens of thousands of GPU servers and diverse infrastructure components—including CDUs, PDUs, and NVLink switches. Our tooling is designed for next\-generation rack systems like NVIDIA GB200 and GB300, as well as a broad range of GPU server platforms.
* Provide technical leadership in designing, architecting, and operating large\-scale infrastructure services for GPU servers, with a focus on security, reliability, and scalability.
* Build and enhance infrastructure services and automation, including inventory management systems and lifecycle management solutions using open source technologies.
* Drive strategic direction for infrastructure automation, lifecycle management, and service orchestration, making MetalDev core services more scalable and resilient.
* Define best practices for API development (REST/gRPC), distributed databases, and Kubernetes orchestration—while mentoring engineers to follow your lead.
* Partner with hardware, software, and operations teams to align infrastructure with business impact.
* Contribute to open source communities (e.g., Go, Redfish) through collaboration and technical thought leadership.
* Lead and improve CI/CD pipelines for hardware compliance, firmware management, and data systems.
* Champion reliability and operational excellence by driving observability (Prometheus/Grafana), production incident response, and continuous service improvement.
**Who You Are**
* B.S., M.S., or PhD in Computer Science or related field, or equivalent experience.
* 8\+ years of software engineering experience with a strong focus on infrastructure, cloud engineering, and distributed databases—particularly within large\-scale datacenter and cloud environments.
* Expertise in Go and proven experience building REST/gRPC APIs for mission\-critical platforms.
* Strong background in architecting and scaling cloud\-native Kubernetes infrastructure and distributed services.
* Proven success in mentoring engineers, leading technical projects, and influencing engineering strategy across teams.
* Experience contributing to and collaborating with open source communities.
* Skilled in applying a data\-driven approach to reliability, optimization, and continuous improvement.
* Excellent communicator able to work effectively with both technical and non\-technical stakeholders.
* Hands\-on experience with observability stacks (Prometheus, Grafana, PromQL), CI/CD pipelines, and operating large fleets of GPU servers.
* Track record of leading incident response, postmortems, and driving robust service reliability.
**Preferred**
* Working knowledge of Kafka, ClickHouse and CRDB.
* DMTF, RedFish APIs, and GPU servers.
**Wondering if you’re a good fit?** 
**We believe in investing in our people, and value candidates who can bring their own diversified experiences to our teams – even if you aren't a 100% skill or experience match.**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$188,000 to $275,000\.**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78">
      <c r="A178" t="inlineStr">
        <is>
          <t>li-4343416706</t>
        </is>
      </c>
      <c r="B178" t="inlineStr">
        <is>
          <t>Software Engineer (Event Sourcing &amp; Stream Processing)</t>
        </is>
      </c>
      <c r="C178" t="inlineStr">
        <is>
          <t>Tenable</t>
        </is>
      </c>
      <c r="D178" t="inlineStr">
        <is>
          <t>linkedin</t>
        </is>
      </c>
      <c r="E178">
        <f>HYPERLINK("https://www.linkedin.com/jobs/view/4343416706", "https://www.linkedin.com/jobs/view/4343416706")</f>
        <v/>
      </c>
      <c r="F178" t="inlineStr"/>
      <c r="G178" t="inlineStr">
        <is>
          <t>Columbia, MD</t>
        </is>
      </c>
      <c r="H178" t="inlineStr"/>
      <c r="I178" t="inlineStr">
        <is>
          <t>**Who is Tenable?**
 Tenable® is the Exposure Management company. 44,000 organizations around the globe rely on Tenable to understand and reduce cyber risk. Our global employees support 65 percent of the Fortune 500, 45 percent of the Global 2000, and large government agencies. Come be part of our journey!
**What makes Tenable such a great place to work?**
 Ask a member of our team and they’ll answer, “Our people!” We work together to build and innovate best\-in\-class cybersecurity solutions for our customers; all while creating a culture of belonging, respect, and excellence where we can be our best selves. When you’re part of our \#OneTenable team, you can expect to partner with some of the most talented and passionate people in the industry, and have the support and resources you need to do work that truly matters. We deliver results that exceed expectations and we win together!
**Applicants must be authorized to work for any employer in the U.S. without sponsorship. We are unable to provide sponsorship for work visas of any kind at the time of hire, or at any point during employment. This includes, but is not limited to: F1\-OPT, F1\-CPT, H\-1B, TN, J\-1, etc.**
**Your Role**
 Tenable is looking for a Software Engineer to join our Data Processing team, a core component of our product engineering organization. This team is focused on the complex and critical backend systems that power Tenable's Vulnerability Management solutions. You'll be working on designing, developing, and maintaining the distributed, cloud\-based services responsible for ingesting and processing massive amounts of data from all of Tenable's products. As a Software Engineer on the team, you will have the opportunity to make a significant impact on our most central and highly scaled systems.
 To be considered for this role, you must meet one of the following criteria:
* Hybrid: Ability to commute to our Columbia, MD/Northern VA office.
* Hybrid: Ability to commute to our Boston, MA office.
* Remote: Currently reside in the San Francisco Bay Area, CA
**Your Opportunity**
* You'll be tackling the challenge of processing and analyzing huge volumes of data to provide our customers with critical insights into their security posture.
* Our team is responsible for the core logic of Tenable VM, including asset/finding state calculation, asset identification, VM asset age out, finding recast, and more.
* While our primary focus is the VM business, we have elements of a platform team, handling traffic from all of our products and providing foundational services.
* Become a key member of an engineering team, driving the ongoing innovation of our global cloud architecture and distributed systems that serve our broad customer base with the latest cybersecurity technologies.
* We provide a training budget for you to attend conferences or workshops to continue to grow your skills.
* We are always looking for ways to improve ourselves, our tech stack, and our product’s features. Bring your ideas and experiences to the table and help make a lasting impact.
* Work closely with Product Managers, other engineers, designers, and stakeholders to continuously iterate on our products and drive consensus. You will have the opportunity to support and mentor your peers inside and outside your team.
**What You'll Need**
* B.S. degree in Computer Science or a directly related field, or equivalent work experience.
* 2\+ years of software development experience in enterprise\-level, backend systems.
* Solid experience with distributed systems and microservice architectures deployed in a cloud environment.
* Proficiency in a JVM language, Kotlin is ideal, and a willingness to learn new languages as needed.
* To be considered for this role, you must meet one of the following criteria: Hybrid with the ability to commute to our Columbia, MD/Northern VA office, Hybrid with the ability to commute to our Boston, MA office, or Remote: Currently reside in the San Francisco Bay Area, CA
* Hands\-on experience with Kafka for building real\-time data pipelines.
* Experience with AWS services, including S3, DynamoDB, EC2, and Aurora.
* Experience designing features end to end, including rollout and monitoring.
* A good understanding of SQL and experience with relational databases.
* Experience with REST API best practices.
* Knowledge of dependency injection frameworks like Guice.
* Experience with CI/CD pipelines and tools like Jenkins.
* Proficiency with Git for version control.
* Accountability for the behavior of your software in production.
* Experience coaching and leading mid\-level and junior staff in the design, implementation, and execution of highly technical development projects.
* Experience in working in an Agile team, and an enthusiasm for working collaboratively within and across product teams.
* The ability to work independently and as a part of a team, and to lead/drive projects as necessary.
* The desire to continuously learn and be exposed to new technologies.
**And Ideally**
* Prior experience working on on\-prem applications or security\-focused tools
* Exposure to web application security scanning (WAS) tools
 This is the base pay range for this position. Compensation for the role will depend on a number of factors, including the candidate's qualifications, skills, competencies, location and experience, and may fall outside of the range shown. Employees are also eligible for variable compensation in addition to base pay (commission for sales roles, bonus for non\-sales roles), depending on company and individual performance. Tenable also offers a variety of comprehensive and competitive benefits which include: medical, dental, vision, disability and life insurance; 401(k) retirement savings with company match; an employee stock purchase plan; an employee referral program; flexible spending accounts; an Employee Assistance Program (EAP); education assistance; parental leave; paid time off (PTO); company\-paid holidays; health and wellness events; and community programs.
 US Pay Range
 $114,500—$152,500 USD
*We’re committed to promoting Equal Employment Opportunity (EEO) at Tenable \- through all equal employment opportunity laws and regulations at the international, federal, state and local levels. If you need a reasonable accommodation due to a disability during the application or recruiting process, please contact* 
*Recruiting@Tenable.com* 
*for further assistance.*
**Tenable Data Consent Statement**
 Tenable is committed to protecting the privacy and security of your personal data. This Notice describes how we collect and use your personal data during and after your working relationship with us, in accordance with the General Data Protection Regulation (“GDPR”). Please click here to review.
 For California Residents: The California Consumer Privacy Act (CCPA) requires that Tenable advise you of certain rights related to the collection of your private information. Please click here to review.</t>
        </is>
      </c>
    </row>
    <row r="179">
      <c r="A179" t="inlineStr">
        <is>
          <t>li-4312549782</t>
        </is>
      </c>
      <c r="B179" t="inlineStr">
        <is>
          <t>Staff Full Stack Engineer (Backend) - ATS</t>
        </is>
      </c>
      <c r="C179" t="inlineStr">
        <is>
          <t>Rippling</t>
        </is>
      </c>
      <c r="D179" t="inlineStr">
        <is>
          <t>linkedin</t>
        </is>
      </c>
      <c r="E179">
        <f>HYPERLINK("https://www.linkedin.com/jobs/view/4312549782", "https://www.linkedin.com/jobs/view/4312549782")</f>
        <v/>
      </c>
      <c r="F179" t="inlineStr"/>
      <c r="G179" t="inlineStr">
        <is>
          <t>San Francisco, CA</t>
        </is>
      </c>
      <c r="H179" t="inlineStr"/>
      <c r="I179"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We are looking for a Staff Engineer to join the Applicant Tracking System (ATS) team and lead the vision and execution of AI\-powered capabilities across our product. As the dedicated AI owner for ATS, you will be responsible for designing and building features that help hiring teams identify and engage with the best candidates more effectively.
 This is a highly visible and impactful role where you will partner closely with product managers, designers, and other engineers to bring intelligence into every step of the recruiting process. You will navigate ambiguous problem spaces, translate customer needs into scalable technical solutions, and serve as the go\-to expert for AI within ATS.
 In this role, you will shape the future of how recruiting teams use AI to make better decisions, streamline workflows, and unlock insights from the rich data inside Rippling.
**What You Will Do**
* Take ownership of all AI\-driven capabilities within the ATS product, from concept through delivery.
* Collaborate closely with product managers, designers, and cross\-functional partners to identify opportunities where AI can meaningfully improve the recruiting experience.
* Design and build scalable systems that leverage large volumes of structured and unstructured recruiting data, including resumes, applications, interview feedback, and candidate interactions.
* Drive clarity in ambiguous problem spaces, creating actionable technical plans and delivering solutions that meet customer needs.
* Mentor other engineers on best practices for building and integrating AI\-powered features.
* Partner with go\-to\-market and customer\-facing teams to gather feedback, validate assumptions, and iterate quickly on new capabilities.
* Champion AI\-first thinking within ATS and act as the subject matter expert for all AI\-related initiatives
**What You Will Need**
* 8\+ years of professional software engineering experience, including several years building production systems at scale.
* Proven experience delivering end\-to\-end product features, from technical design to customer impact.
* Strong system design and architecture skills, with the ability to think across multiple domains (product, data, and infrastructure).
* Hands\-on experience working with both structured and unstructured data, ideally within data\-heavy or ML\-driven products.
* Familiarity with AI and ML technologies such as embeddings, semantic search, LLMs, or NLP\-based systems.
* A strong product mindset and a track record of using engineering to create customer value.
* Excellent communication and collaboration skills, especially when working with cross\-functional partners.
* A willingness to operate in ambiguous spaces, make pragmatic tradeoffs, and move quickly while maintaining technical excellence.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180,000 \- 315,000 USD per year(US San Francisco Bay Area)</t>
        </is>
      </c>
    </row>
    <row r="180">
      <c r="A180" t="inlineStr">
        <is>
          <t>li-4321306203</t>
        </is>
      </c>
      <c r="B180" t="inlineStr">
        <is>
          <t>Software Developer (Entry Level)</t>
        </is>
      </c>
      <c r="C180" t="inlineStr">
        <is>
          <t>Epic</t>
        </is>
      </c>
      <c r="D180" t="inlineStr">
        <is>
          <t>linkedin</t>
        </is>
      </c>
      <c r="E180">
        <f>HYPERLINK("https://www.linkedin.com/jobs/view/4321306203", "https://www.linkedin.com/jobs/view/4321306203")</f>
        <v/>
      </c>
      <c r="F180">
        <f>HYPERLINK("https://epic.avature.net/Careers/ApplyFlowCheck?folderId=740&amp;source=LinkedIn&amp;urlHash=fKwC", "https://epic.avature.net/Careers/ApplyFlowCheck?folderId=740&amp;source=LinkedIn&amp;urlHash=fKwC")</f>
        <v/>
      </c>
      <c r="G180" t="inlineStr">
        <is>
          <t>Macomb, IL</t>
        </is>
      </c>
      <c r="H180" t="inlineStr"/>
      <c r="I180"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81">
      <c r="A181" t="inlineStr">
        <is>
          <t>li-4365632275</t>
        </is>
      </c>
      <c r="B181" t="inlineStr">
        <is>
          <t>Senior Software Engineer - Java (Remote)</t>
        </is>
      </c>
      <c r="C181" t="inlineStr">
        <is>
          <t>First Citizens Bank</t>
        </is>
      </c>
      <c r="D181" t="inlineStr">
        <is>
          <t>linkedin</t>
        </is>
      </c>
      <c r="E181">
        <f>HYPERLINK("https://www.linkedin.com/jobs/view/4365632275", "https://www.linkedin.com/jobs/view/4365632275")</f>
        <v/>
      </c>
      <c r="F181">
        <f>HYPERLINK("https://jobs.firstcitizens.com/jobs/31915?lang=en-us&amp;iis=Social+Media/Job+Boards&amp;iisn=LinkedIn&amp;urlHash=-2ni", "https://jobs.firstcitizens.com/jobs/31915?lang=en-us&amp;iis=Social+Media/Job+Boards&amp;iisn=LinkedIn&amp;urlHash=-2ni")</f>
        <v/>
      </c>
      <c r="G181" t="inlineStr">
        <is>
          <t>Raleigh, NC</t>
        </is>
      </c>
      <c r="H181" t="inlineStr"/>
      <c r="I181" t="inlineStr">
        <is>
          <t>**Overview**
 This is a remote role that may only be hired in the following location(s): AZ, FL, GA, NE, NC and TX.
 We are looking for a hands\-on Senior Software Engineer to join our growing SVB Go Online Banking delivery team, which provides technology solutions and integration services in following areas: Digital Banking, Core banking, Credit/Charge/Debit Cards, and Foreign Exchange. The ideal candidate should have the necessary skills and experience to provide technical guidance, estimation of efforts, understanding and deciding upon the optimal technology solution to achieve the desired business needs, day to day application support, should be able to navigate differing levels of gray/unknowns, and have excellent communication skills with other IT management levels, individual contributors and business stakeholders. They must be able to move at a rapid rate of execution to deliver requests and take advantage of any opportunities as they present themselves and navigate through any resource constraints. They must have both the short\- and long\-term strategic view when deciding on the best technical approach. They must be able to develop code and effectively oversee distributed development team members.
 As a Sr. Software Engineer, primary responsibility will be towards the development and support of Digital Banking solutions/projects. The Senior Software engineer will be responsible for all software aspects within the team including research, design, technology insertion, development, testing and supporting them.
**Responsibilities**
* Design and develop technical solutions that meet user needs with respect to functionality, performance, scalability, and reliability.
* Oversee proactive maintenance on our existing Iaas/SaaS and on\-premise applications within the Digital Banking, Mobile and integrating with Cards, Merchant Services, Payments, Foreign Exchange, Core banking and Trade Finance space to ensure our mission critical systems remain stable, are able to scale as our business grows, and remain fit\-for\-purpose.
* Coordinate and assist with troubleshooting of code defects, data errors and configuration problems to determine the origin of application error.
* Strong experience in supporting Business critical/ complex applications.
* Exercises Judgement within defined procedures and practices to determine appropriate action.
* Nice to have technical lead experience for small to medium sized projects.
* Drive departmental best practices, guidelines implementation and adhere to standards.
* Demonstrated expertise in designing and developing real\-time integrations, file\-based integrations and be able to optimize the use of database level processing.
* Empathy with developers. Innate desire to create a superlative developer experience down to the last detail.
* Deep love of building elegant, maintainable, well\-documented, secure code.
* Abstracting and refactoring should be a passion, not a chore.
* Drive to learn new things and go above and beyond the call of duty.
* Always working to improve yourself and constructively support the team around you.
* May mentor junior engineers and contribute to the team's technical growth.
**Qualifications**
 Bachelor's Degree and 4 years of experience in Software application development and maintenance OR High School Diploma or GED and 8 years of experience in Software application development and maintenance
**Preferred Skills**
* Excellent ability to communicate technical information clearly and work effectively with cross\-functional teams
* Strong design \&amp; development experience with JEE \&amp; Enterprise Technologies: JMS, JDBC, Web development, Transactions, WS\-\*, JVM, JSP, Servlets, EJB, JNDI, JMX, JTA, Spring, JUnit, Hibernate.
* Strong analytical and problem\-solving skills
* Experience building SpringBoot Microservices.
* Experience building applications using container architecture with Kubernetes orchestration.
* Preferred experience on public API development and using API Gateway like APIGEE.
* In\-depth understanding of JavaScript, including ES6\+ features, Loopback, closures and asynchronous programming
* Worked on Agile projects and has complete knowledge of day to day Agile routines.
* Proven experience in building user interfaces with React.js
* Familiarity with state management libraries like Redux or MobX
* Understanding of the React component lifecycle and its best practices
* Experience with testing frameworks like Jest or Mocha
* Ability to interact with REST APIs and handle data fetching and manipulation
* Proficient in using GITLAB for version control
* Experience with Jira, Confluence and ORACLE Database systems
* Understanding of basic UI/UX design principles
* Prior experience with regulated financial organization is a plus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182">
      <c r="A182" t="inlineStr">
        <is>
          <t>li-4365590131</t>
        </is>
      </c>
      <c r="B182" t="inlineStr">
        <is>
          <t>Software Engineer, PhD, Early Career, Embedded Systems and Firmware, 2026 Start</t>
        </is>
      </c>
      <c r="C182" t="inlineStr">
        <is>
          <t>Google</t>
        </is>
      </c>
      <c r="D182" t="inlineStr">
        <is>
          <t>linkedin</t>
        </is>
      </c>
      <c r="E182">
        <f>HYPERLINK("https://www.linkedin.com/jobs/view/4365590131", "https://www.linkedin.com/jobs/view/4365590131")</f>
        <v/>
      </c>
      <c r="F182">
        <f>HYPERLINK("https://careers.google.com/jobs/results/96957711316329158-software-engineer/?src=Online/LinkedIn/linkedin_us&amp;utm_source=linkedin&amp;utm_medium=jobposting&amp;utm_campaign=contract&amp;urlHash=uFfD", "https://careers.google.com/jobs/results/96957711316329158-software-engineer/?src=Online/LinkedIn/linkedin_us&amp;utm_source=linkedin&amp;utm_medium=jobposting&amp;utm_campaign=contract&amp;urlHash=uFfD")</f>
        <v/>
      </c>
      <c r="G182" t="inlineStr">
        <is>
          <t>Los Angeles, CA</t>
        </is>
      </c>
      <c r="H182" t="inlineStr"/>
      <c r="I182" t="inlineStr">
        <is>
          <t>Applicants in the County of Los Angeles: Qualified applications with arrest or conviction records will be considered for employment in accordance with the Los Angeles County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Atlanta, GA, USA; Kirkland, WA, USA; Los Angeles, CA, USA; Mountain View, CA, USA; New York, NY, USA; Raleigh, NC, USA; Durham, NC, USA; Seattle, WA, USA** 
 .
 **Minimum qualifications:**
* PhD degree in Computer Science, or a related field, or equivalent practical experience.
* Experience in embedded systems/firmware design.
* Experience coding in C or C\+\+.
**Preferred qualifications:**
* Knowledge of one or more of the following: Microcontrollers, SoC, device drivers, hardware, power management, ARM processors, performance optimization, file systems, bootloading, firmware, x86 assembly, system BIOS, or hardware/software integration.
* Knowledge of Unix/Linux environments and kernel development.
* Ability to start full\-time role in 2026\.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PhD graduate, your research expertise is invaluable to us. Explore a variety of projects, collaborate with various teams, and contribute to products that are changing the world, across many product areas, including AI \&amp; Infrastructure , Cloud , and more!
 Our Engineering teams include thousands of PhDs who bring their deep knowledge and research experience to enhance our systems and products. As a Google PhD Software Engineer, you will work on critical projects, with many opportunities to learn and follow your interests. We expect our engineers to be creative and versatile, leading and identifying new problems to push the field and Google technology forward.
 Google is one of the world’s leading suppliers and consumers of ML and AI technology, with decades of experience in designing, deploying, and using ML software and custom ML hardware infrastructure at massive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Participate in or lead team projects to carry out design, analysis, and development of advanced systems across the stack, particularly embedded systems.
* Develop code and review code developed by other developers, and provide feedback to ensure best practices (e.g., style guidelines, accuracy, testability, and efficiency).
* Write documents that set new technical directions. Contribute to existing documentation or educational content and adapt content based on product/program updates and user feedback.
* Study, diagnose and resolve complex technical issues by analyzing the sources of the issues and the impact on software,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3">
      <c r="A183" t="inlineStr">
        <is>
          <t>li-4321394021</t>
        </is>
      </c>
      <c r="B183" t="inlineStr">
        <is>
          <t>Software Developer (Entry Level)</t>
        </is>
      </c>
      <c r="C183" t="inlineStr">
        <is>
          <t>Epic</t>
        </is>
      </c>
      <c r="D183" t="inlineStr">
        <is>
          <t>linkedin</t>
        </is>
      </c>
      <c r="E183">
        <f>HYPERLINK("https://www.linkedin.com/jobs/view/4321394021", "https://www.linkedin.com/jobs/view/4321394021")</f>
        <v/>
      </c>
      <c r="F183" t="inlineStr"/>
      <c r="G183" t="inlineStr">
        <is>
          <t>Madison, WI</t>
        </is>
      </c>
      <c r="H183" t="inlineStr"/>
      <c r="I183"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84">
      <c r="A184" t="inlineStr">
        <is>
          <t>li-4323574778</t>
        </is>
      </c>
      <c r="B184" t="inlineStr">
        <is>
          <t>Senior Software Engineer - Game Engine Network (C++)</t>
        </is>
      </c>
      <c r="C184" t="inlineStr">
        <is>
          <t>Roblox</t>
        </is>
      </c>
      <c r="D184" t="inlineStr">
        <is>
          <t>linkedin</t>
        </is>
      </c>
      <c r="E184">
        <f>HYPERLINK("https://www.linkedin.com/jobs/view/4323574778", "https://www.linkedin.com/jobs/view/4323574778")</f>
        <v/>
      </c>
      <c r="F184" t="inlineStr"/>
      <c r="G184" t="inlineStr">
        <is>
          <t>San Mateo, CA</t>
        </is>
      </c>
      <c r="H184" t="inlineStr"/>
      <c r="I184"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**Engine Networking Team** 
 pulls the players together by ensuring the communication of the game state to all. As a Principal Network Transport Engineer you will help the players experience the game as a nearly synchronous world. Just as the nerves in our bodies coordinate our actions, the network system coordinates all the computers involved into a smooth experience for the players. You will work in all areas of the game platform in your quest for real\-time communication of every part of Roblox.
**You Have**
* Worked on a powerful user\-space network stack, solving problems related to scale, performance, latency, and throughput in client/server environments.
* Worked on a very large multithreaded distributed system that connects millions of users worldwide.
* Worked on all the devices Roblox supports \- from desktop clients to mobile phone clients to console clients
* Worked on a game engine and understand how a game engine works
**You Are**
* A software engineer with 4\+ years of experience with Game networking coming from a Game Engine/Studio
* A deep understanding of Network Stack with a passion for working with open source
* Strong systems\-level C\+\+ programming experience and fascinated by the actual work the CPU does when you use smart pointers, templates, virtual functions, and blocks of memory, both structured and raw
* Experience with Linux networking and have a good understanding of common network protocols
* Keen to each millisecond of the network exchanges: You know where the time goes and how to reduce the waste
* Understanding of what happens on the operating systems level when certain code is completed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85">
      <c r="A185" t="inlineStr">
        <is>
          <t>li-4208937920</t>
        </is>
      </c>
      <c r="B185" t="inlineStr">
        <is>
          <t>Sr. Software Engineer - Hybrid In Michigan Only</t>
        </is>
      </c>
      <c r="C185" t="inlineStr">
        <is>
          <t>Credibly</t>
        </is>
      </c>
      <c r="D185" t="inlineStr">
        <is>
          <t>linkedin</t>
        </is>
      </c>
      <c r="E185">
        <f>HYPERLINK("https://www.linkedin.com/jobs/view/4208937920", "https://www.linkedin.com/jobs/view/4208937920")</f>
        <v/>
      </c>
      <c r="F185" t="inlineStr"/>
      <c r="G185" t="inlineStr">
        <is>
          <t>Southfield, MI</t>
        </is>
      </c>
      <c r="H185" t="inlineStr"/>
      <c r="I185" t="inlineStr">
        <is>
          <t>**Description**
**Who We Are:**
 A Top Place to Work!
 We believe in small businesses and the people who grow them. At Credibly, we leverage cutting\-edge data science, technology, partner relations, and customer support to provide business owners with accelerated access to right\-sized capital solutions. From working capital loans and merchant cash advances to lines of credit, we offer a suite of financing products that can accommodate nearly any stage of business development or credit profile.
 Founded in 2010 with offices in Michigan, New York, and Arizona, we have provided access to over $1 billion to more than 20,000 small businesses nationwide. On top of being nominated as one of Crain’s 50 fastest growing companies in New York and making several appearances on the Inc. 500 list, Credibly is annually recognized for having one of the "Best Blogs For Small Businesses" by several media outlets.
**The Opportunity**
 The Sr. Software Engineer (SE III) role is responsible for design and implementation of major components of our financial origination, servicing, and reporting system. This is done through both personal hands\-on development and mentoring / leading more junior team members of the team. Our technology is a microservices architecture purpose built for AWS cloud on an open\-source stack using Python, React, DynamoDB, MySQL, Linux, Docker, DataRobot, Large Language Models and Generative AI.
**What You Will Do**
* Work as part of an Agile development team, including stand\-up meetings, story pointing, demo meetings, and retrospectives.
* Decompose product\-led Features into engineering\-led Stories.
* Create stories for, and provide technical leadership and guidance to, more junior developers working under you.
* Work with the engineering, product and data science teams and business stakeholders to create innovative and effective solutions that support the needs of the business.
* Use agentic generative AI tools to accelerate and improve documentation, development and testing.
* Lead the design and development of new software products and major enhancements to existing software for clients and business partners.
* Analyze, vet and review code that support standard database and software solutions on an enterprise software platform hosted on AWS.
**Required Experience**
* 6\+ years of enterprise technical leadership in software architecture and development, supporting service and event based ecosystems
* Some experience in Python
* Experience mentoring and providing technical leadership to more junior developers.
* Experience working with SQL and NoSQL based data stores
* Experience improving quality through thoughtful code reviews, appropriate testing, proper rollout, monitoring, and proactive changes
* Experience working on distributed applications that are deployed to and interact with cloud\-based services
**Preferred Experience**
* In addition to Python, experience with languages like Javascript, Typescript, Java
* Experience with Flask and SqlAlchemy ORM
* Experience in application containerization tools (Docker, EC2\)
* Experience developing prompts, and prompt frameworks to successfully leverage generative AI
* Experience working with financial services applications
* Experience with Cybersecurity best practices
**How You Will Benefit**
* Flexible working conditions, via hybrid remote/in\-office work
* Generous PTO package
* 8 Paid Company Holidays
* Paid Parental Leave, Bereavement, and Jury Duty
* 401k with company match (and 100% vesting after 2 years)
* Medical insurance through BCBSM or BCN
* Dental and Vision provided by BCBS?
* HSA and FSA available, including LPFSA and Dependent Care
* Company paid life insurance and short\-term disability
* Additional optional insurances</t>
        </is>
      </c>
    </row>
    <row r="186">
      <c r="A186" t="inlineStr">
        <is>
          <t>li-4365059116</t>
        </is>
      </c>
      <c r="B186" t="inlineStr">
        <is>
          <t>Principal Software Engineer - Identity</t>
        </is>
      </c>
      <c r="C186" t="inlineStr">
        <is>
          <t>Microsoft</t>
        </is>
      </c>
      <c r="D186" t="inlineStr">
        <is>
          <t>linkedin</t>
        </is>
      </c>
      <c r="E186">
        <f>HYPERLINK("https://www.linkedin.com/jobs/view/4365059116", "https://www.linkedin.com/jobs/view/4365059116")</f>
        <v/>
      </c>
      <c r="F186">
        <f>HYPERLINK("https://apply.careers.microsoft.com/careers/job/1970393556623151?utm_source=linkedin&amp;domain=microsoft.com&amp;src=LinkedIn&amp;urlHash=JaUe", "https://apply.careers.microsoft.com/careers/job/1970393556623151?utm_source=linkedin&amp;domain=microsoft.com&amp;src=LinkedIn&amp;urlHash=JaUe")</f>
        <v/>
      </c>
      <c r="G186" t="inlineStr">
        <is>
          <t>Redmond, WA</t>
        </is>
      </c>
      <c r="H186" t="inlineStr"/>
      <c r="I186"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mission for the Identity for Services (ID4S) Team, part of Microsoft Entra is to make it hard to get authentication and authorization wrong. We believe the tasks to get authentication and authorization right, actively preventing security incidents, and always being updated for a service should be straightforward and at the same time provide operational insights part of the platform. As a team we take meaningful steps daily to achieve our mission supporting developers, (security) operations and administrators. Our solution is used across thousands of internal Microsoft Services, and several of our components making up the solution are available as open source in GitHub. Our goal is to bring all our learnings from running services across Microsoft to everyone through GitHub, Entra, Azure, and beyond.
 We are looking to hire an experienced Principal Software Engineer who knows how to build and nurture a high performing team. The role requires experience building seamlessly integrated components which are running in high scale services where elements such as security, resilience, memory, and performance are motivation to get up every day. You work effectively across a large set of organizations and teams across the company operating with a customer first mindset. As a team we work on ensuring our solution utilizes as few resources as possible and we enjoy scrutinizing allocations, we also ensure our APIs are no touch (configuration only) and extensible, and we collect telemetry allowing us and service owner with key insights to effectively operate the service.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Build and nurture a high performing team.
* Develop and maintain authentication and authorization components for various platforms, including .NET, Rust, Java, Golang, Python, Node.JS.
* Collaborate with cross\-functional teams such as leadership teams, product managers, service owners and platform teams.
* Make data\-driven decisions (quantitative and qualitative).
* Support service owners ensuring seamless integration.
* Participate in code reviews, design discussions, and contribute to the overall improvement of the solution.
* 
+ Embody our culture and values
**Qualifications**
**Required/minimum qualifications**
* Bachelor's Degree in Computer Science or related technical field AND 6\+ years technical engineering experience with coding in languages including, but not limited to, C, C\+\+, C\#, Java, JavaScript, or Python
+ OR equivalent experience.
* 6\+ years of experience designing, building, and supporting client applications and tools using frameworks such as .NET.
* 3\+ years of experience designing, developing, or maintaining secure software systems, with applied knowledge of authentication, data protection, access control, and secure coding practices
* 2\+ years of experience programming for services and clients each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background and Microsoft Cloud background check upon hire/transfer and every two years thereafter.
**Additional Or Preferred Qualifications**
*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 OR equivalent experience.
* 7\+ years of experience designing, developing, or maintaining secure software systems, with applied knowledge of authentication, data protection, access control, and secure coding practices
* 7\+ years of experience building systems with emphasis on reliability, durability, and operational efficiency, including experience with live site operations, incident response, and performance optimization.
* 4\+ years of experience applying distributed systems concepts such as concurrency, conflict resolution, and consensus algorithms to build resilient and maintainable back\-end architectures.
* Demonstrated ability to own and deliver projects and results of increasing technical complexity
* Proficient program management skills for organizing information, breaking down complex problems, and working effectively in situations involving uncertainty
* Demonstrated ability to communicate business and technical ideas to varied audiences across disciplines, including peer engineers, product managers and management
* Candidate will have experience building developer libraries and tools with an eye to creating a developer\-friendly experience.
 \#MSFTSecurity, \#Identity \#MSCareerEvents25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87">
      <c r="A187" t="inlineStr">
        <is>
          <t>li-4365586248</t>
        </is>
      </c>
      <c r="B187" t="inlineStr">
        <is>
          <t>Software Engineer, Systems Research, PhD, Early Career</t>
        </is>
      </c>
      <c r="C187" t="inlineStr">
        <is>
          <t>Google</t>
        </is>
      </c>
      <c r="D187" t="inlineStr">
        <is>
          <t>linkedin</t>
        </is>
      </c>
      <c r="E187">
        <f>HYPERLINK("https://www.linkedin.com/jobs/view/4365586248", "https://www.linkedin.com/jobs/view/4365586248")</f>
        <v/>
      </c>
      <c r="F187" t="inlineStr"/>
      <c r="G187" t="inlineStr">
        <is>
          <t>Seattle, WA</t>
        </is>
      </c>
      <c r="H187" t="inlineStr"/>
      <c r="I18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Seattle, WA, USA** 
 .
 **Minimum qualifications:**
* PhD degree in Computer Science, or a related technical field, or equivalent practical experience.
* Experience coding in one of the following programming languages including but not limited to: C, C\+\+, Java, JavaScript, Python, or Golang.
* Research experience in an area of computer systems design and implementation.
**Preferred qualifications:**
* PhD degree in Computer Science, Computer Engineering, Electrical Engineering, or a related field.
* Experience in Research areas such as storage systems, memory systems, distributed systems and networks, novel I/O systems, computer architecture and accelerators, databases and analytics, cloud computing, sustainability, privacy, or other emerging technologies.
* Experience in authoring/co\-authoring of papers in venues in the systems field (e.g., SOSP, OSDI, ISCA, ASPLOS, MICRO, ASPLOS, PLDI, SIGCOMM, NSDI, SIGMOD, etc.).
* Experience in systems for Machine Learning (ML).
* Experience designing and implementing an experimental system in a research or product development environment.
**About The Job**
 Researchers across Google are working to advance the state of the art in computing and build the next generation of intelligent systems for all Google products. To achieve this, we invest in foundational research and work on projects that utilize the latest computer science techniques developed by skilled software developers and research scientists. Whether we're shaping the future of sustainability, optimizing algorithms, or pioneering AI systems, our teams strive to continuously progress science, advance society, and improve the lives of billions of people.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Explore emerging technologies and systems as an individual contributor in the research and development team.
* Participate in team projects to carry out system design, analysis, and building of prototypes to demonstrate advantages and reveal challenges of these technologies for a broad range of applications in the data center and modern Cloud environments, including machine learning.
* Create strategies that will lead to innovative projects and follow\-on products for the future.
* Operate across research and engineering teams in order to influence products or integrate research results into products.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8">
      <c r="A188" t="inlineStr">
        <is>
          <t>li-4280098644</t>
        </is>
      </c>
      <c r="B188" t="inlineStr">
        <is>
          <t>Lead Software Engineer</t>
        </is>
      </c>
      <c r="C188" t="inlineStr">
        <is>
          <t>Fitch Solutions</t>
        </is>
      </c>
      <c r="D188" t="inlineStr">
        <is>
          <t>linkedin</t>
        </is>
      </c>
      <c r="E188">
        <f>HYPERLINK("https://www.linkedin.com/jobs/view/4280098644", "https://www.linkedin.com/jobs/view/4280098644")</f>
        <v/>
      </c>
      <c r="F188" t="inlineStr"/>
      <c r="G188" t="inlineStr">
        <is>
          <t>Chicago, IL</t>
        </is>
      </c>
      <c r="H188" t="inlineStr"/>
      <c r="I188" t="inlineStr">
        <is>
          <t>**Fitch Group is currently seeking a LeadSoftware Engineere based out of our Chicago or New York office.**
 As a leading, global financial information services provider, Fitch Group delivers vital credit and risk insights, robust data, and dynamic tools to champion more efficient, transparent financial markets. With over 100 years of experience and colleagues in over 30 countries, Fitch Group’s culture of credibility, independence, and transparency is embedded throughout its structure, which includes Fitch Ratings, one of the world’s top three credit ratings agencies, and Fitch Solutions, a leading provider of insights, data and analytics. With dual headquarters in London and New York, Fitch Group is owned by Hearst.
 Fitch's Technology \&amp; Data Team is a dynamic department where innovation meets impact. Our team includes the Chief Data Office, Chief Software Office, Chief Technology Office, Emerging Technology, Shared Technology Services, Technology, Risk and the Executive Program Management Office (EPMO). Driven by our investment in cutting\-edge technologies like AI and cloud solutions, we’re home to a diverse range of roles and backgrounds united by a shared passion for leveraging modern technology to drive projects that matter to our organization and clients. We are also proud to be recognized by Built In as a “Best Place to Work in Technology” 3 years in a row. Whether you're an experienced professional or just starting your career, we offer an exciting and supportive environment where you can grow, innovate, and make a difference.
 Want to learn more about a career in technology and data at Fitch?
 Visit: https://careers.fitch.group/content/Technology\-and\-Data/
**How You’ll Make An Impact**
* Contribute to the development (Front\-End and Backend Services), design, and non\-functional requirements (high availability, scalability, performance, service uptime and monitoring) of Marketing Websites, by utilizing the latest technologies and industry best practices.
* As a Senior Technical team member, mentor Junior Developers and do PR reviews of other team members.
* Monitor metrics for engineering quality and work with Cloud Engineering Team to establish optimum infra, for the various services as per scalability requirements.
* Collaborate with service provider teams like IAM, InfoSec and Data Technology.
* Collaborate with Marketing Websites Product Owner, Stakeholders and technology partner organizations to execute the product roadmap.
* Contribute towards technical debt reduction, strategic initiatives, and innovation projects to align with organizational goals and deliver impactful outcomes.
**You May Be a Good Fit If**
* You are a full stack software engineer, with extensive experience in engineering and development, including building large\-scale web applications (10\+ years of experience preferred).
* Expertise in software engineering practices, specifically in enabling incremental and agile delivery using continuous integration/delivery.
* Strong proficiency in domain\-driven design and programming languages such as react.js, Next.js, typescript, Java and unit testing (Jest/JUnit).
* Experience with databases like Mongo and RDS (Postgres/MySQL/Maria DB)
* Experience with Content Management Systems, including Contentful and/or Drupal.
* Experience with Search Solutions like Elastic, OpenSearch and/or Apache Lucene.
* Familiarity with industry\-standard API specifications such as OpenAPI (Swagger), JSON, REST, and GraphQL.
* Experience building continuous integration and delivery pipelines using tools like Bamboo, github actions etc.
* Strong understanding of cloud architecture, particularly leveraging AWS services to build cloud\-native solutions.
* Experience standardizing web component development leveraging design systems and modern UI frameworks.
* Strong track record of translating business requirements into architecture and design for new solutions.
**What Would Make You Stand Out**
* Experience with microservices and frameworks such as Spring\-Boot.
* Good understanding of LLMs, Agentic AI and mainstream coding assistants like GitHub copilot and/or Amazon Q.
* Knowledge of emerging AI API standards like MCP and A2A.
* Demonstrated ability to quickly learn and adapt to new technologies, knock down impediments, and deliver great products in an agile environment.
* Ability to work with cross\-functional teams towards a common goal.
**Why Choose Fitch**
* Hybrid Work Environment: 2 to 3 days a week in office required based on your line of business and location
* A Culture of Learning \&amp; Mobility: Dedicated trainings, leadership development and mentorship programs designed to ensure that your time at Fitch will be a continuous learning opportunity
* Investing in Your Future: Retirement planning and tuition reimbursement programs that empower you to achieve your short and long\-term goals
* Promoting Health \&amp; Wellbeing: Comprehensive healthcare offerings that enable physical, mental, financial, social, and occupational wellbeing
* Supportive Parenting Policies: Family\-friendly policies, including a generous global parental leave plan, designed to help you balance career and family life effectively
* Inclusive Work Environment : A collaborative workplace where all voices are valued, with Employee Resource Groups that unite and empower our colleagues around the globe
* Dedication to Giving Back: Paid volunteer days, matched funding for donations and ample opportunities to volunteer in your community
 Fitch is committed to providing global securities markets with objective, timely, independent and forward\-looking credit opinions. To protect Fitch’s credibility and reputation, our employees must take every precaution to avoid conflicts of interest or any appearance of a conflict of interest. Should you be successful in the recruitment process at Fitch Ratings you will be asked to declare any securities holdings and other potential conflicts prior to commencing employment. If you, or your immediate family, have any holdings that may conflict with your work responsibilities, you may be asked to divest yourself of them before beginning work.
 Fitch is proud to be an Equal Opportunity and Affirmative Action Employer. We evaluate qualified applicants without regard to race, color, national origin, religion, sex, sexual orientation, gender identity, disability, protected veteran status, and other statuses protected by law.
**FOR NEW YORK AND CHICAGO ROLES ONLY:** 
 Expected base pay rates for the role will be between $150,000 and $170,000 per year. Actual salaries will be determined on an individualized basis and may vary based on factors including but not limited to education, training, experience, past performance, and other job\-related factors. Base pay is one part of Fitch’s total compensation package, which, depending on the position, may also include commission earnings, discretionary bonuses, long\-term incentives, and other benefits sponsored by Fitch.</t>
        </is>
      </c>
    </row>
    <row r="189">
      <c r="A189" t="inlineStr">
        <is>
          <t>li-4347091527</t>
        </is>
      </c>
      <c r="B189" t="inlineStr">
        <is>
          <t>Staff Software Engineer - Artifact Management</t>
        </is>
      </c>
      <c r="C189" t="inlineStr">
        <is>
          <t>CoreWeave</t>
        </is>
      </c>
      <c r="D189" t="inlineStr">
        <is>
          <t>linkedin</t>
        </is>
      </c>
      <c r="E189">
        <f>HYPERLINK("https://www.linkedin.com/jobs/view/4347091527", "https://www.linkedin.com/jobs/view/4347091527")</f>
        <v/>
      </c>
      <c r="F189">
        <f>HYPERLINK("https://coreweave.com/careers/job?4612032006&amp;board=coreweave&amp;gh_jid=4612032006&amp;urlHash=7gTq", "https://coreweave.com/careers/job?4612032006&amp;board=coreweave&amp;gh_jid=4612032006&amp;urlHash=7gTq")</f>
        <v/>
      </c>
      <c r="G189" t="inlineStr">
        <is>
          <t>Bellevue, WA</t>
        </is>
      </c>
      <c r="H189" t="inlineStr"/>
      <c r="I189"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he Artifact Management team is building and operating a large\-scale distributed system that stores, serves, and updates artifacts at massive scale. We’re looking for engineers passionate about designing high\-performance, storage\-efficient systems that power critical development workflows.
 As an engineer on the team, you’ll build a platform that enables developers to securely and seamlessly publish their artifacts.
**In this role, you will**
* Design and implement distributed storage and caching solutions for artifacts
* Evaluate and explore third\-party solutions that could accelerate our vision
* Develop APIs and services for artifact publishing, retrieval, and version management
* Optimize performance, reliability, and cost efficiency across multi\-region deployments
* Work closely with build, release, and infrastructure teams to ensure seamless integration into developer workflows
* Drive observability, automation, and resilience in a high\-traffic production environment by creating dashboards, metrics and alerts.
* Diagnose and resolve system bottlenecks, storage issues, and dependency\-related failures.
* Drive and implement best practices in artifact creation and lifecycle management.
* Grow, change, invest in your teammates, be invested\-in, share your ideas, listen to others, be curious, have fun, and, above all, be yourself.
* Partner with cross\-functional teams to implement best practices and drive migration from legacy systems
 Investing in our people is one of our top priorities, and we value candidates who can bring their diversified experiences to our teams. Here are some qualities we’ve found compatible with our team. We'd love to talk about whether this aligns with your experience and interests and what you’re excited to work on next.
**Who You Are**
**Minimum Qualifications**
* 7\+ years of experience in a software or infrastructure engineering industry
* Deep experience operating services in production and at scale.
* Proficient in Go as your primary programming language.
* Strong experience with infrastructure\-as\-code, CI/CD systems (e.g., GitHub Actions, ArgoCD), and containerization (e.g., Docker, Kubernetes).
* Expertise in leading scale system design, scalability and efficiency.
* Experience with third party vendors like Artifactory. Cloudsmith is a plus.
* Passionate about improving developer experience and enabling other engineers to do their best work.
**Preferred Qualifications**
* Experience integrating or enabling tools that leverage LLMs or code intelligence for developers (e.g., GitHub Copilot, Cody, custom LLM integrations)
* Experience with KubeVirt, KataContainers
* Experience with LangGraph/LangChain
**Wondering if you’re a good fit?** 
**We believe in investing in our people, and value candidates who can bring their own diversified experiences to our teams – even if you aren't a 100% skill or experience match.**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$188,000 to $275,000\.**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90">
      <c r="A190" t="inlineStr">
        <is>
          <t>li-4373217784</t>
        </is>
      </c>
      <c r="B190" t="inlineStr">
        <is>
          <t>Senior Software Engineer, Android (Bank Tech)</t>
        </is>
      </c>
      <c r="C190" t="inlineStr">
        <is>
          <t>Capital One</t>
        </is>
      </c>
      <c r="D190" t="inlineStr">
        <is>
          <t>linkedin</t>
        </is>
      </c>
      <c r="E190">
        <f>HYPERLINK("https://www.linkedin.com/jobs/view/4373217784", "https://www.linkedin.com/jobs/view/4373217784")</f>
        <v/>
      </c>
      <c r="F190">
        <f>HYPERLINK("https://dsp.prng.co/gVSZQob&amp;urlHash=KVXu", "https://dsp.prng.co/gVSZQob&amp;urlHash=KVXu")</f>
        <v/>
      </c>
      <c r="G190" t="inlineStr">
        <is>
          <t>New York, NY</t>
        </is>
      </c>
      <c r="H190" t="inlineStr"/>
      <c r="I190"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**Android Software Engineer** 
 , you’ll have the opportunity to be on the forefront of driving a major transformation within Capital One.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
****Responsibilities** 
 :**
* Develop Android client code solutions that deliver on Product Strategy and adhere to established engineering best practices, design guidelines and principles
* Partner with Software Engineers, UX/UI, Quality Engineers, Product Owners/Analysts to deliver high performing quality customer experiences that are engaging, purposeful and powerful in their simplicity
* Actively participate in all team agile ceremonies, contributing to ensure that all team commitments are delivered on time and of the highest quality
* Be an active advocate of the mobile platform through both internal and external developer communities
* Remain an active learner in all technologies related to mobile development (Kotlin, Swift 3rd party libraries, etc.)
* Influence and contribute to group discussions and incorporate feedback/communication from the broader team
* Mentor junior to mid\-level members of the team
* Actively engage with developers outside of the local sprint team across various disciplines (Android, iOS, APIs, Web, etc.)
* Own and lead delivery of major components and platform needs in partnership with Senior Engineers and Architects
* Consistently share best practices and improve processes within and across sprint teams
* Identify technical obstacles early and work closely with the team to find creative solutions
* Review pull requests and ensure adherence to Kotlin and other language idioms
****Basic Qualifications:****
* Bachelor’s Degree
* At least 3 years of professional software engineering experience (Internship experience does not apply)
* At least 2 years of experience building Android applications
* At least 2 years of experience with Kotlin
****Preferred Qualifications:****
* 3\+ years of experience building Android applications
* 3\+ years of experience with Kotlin
* 1\+ years of experience in open source frameworks
* 1\+ years of experience with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New York, NY: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91">
      <c r="A191" t="inlineStr">
        <is>
          <t>li-4365542299</t>
        </is>
      </c>
      <c r="B191" t="inlineStr">
        <is>
          <t>Lead Software Engineer, Back End</t>
        </is>
      </c>
      <c r="C191" t="inlineStr">
        <is>
          <t>Capital One</t>
        </is>
      </c>
      <c r="D191" t="inlineStr">
        <is>
          <t>linkedin</t>
        </is>
      </c>
      <c r="E191">
        <f>HYPERLINK("https://www.linkedin.com/jobs/view/4365542299", "https://www.linkedin.com/jobs/view/4365542299")</f>
        <v/>
      </c>
      <c r="F191" t="inlineStr"/>
      <c r="G191" t="inlineStr">
        <is>
          <t>McLean, VA</t>
        </is>
      </c>
      <c r="H191" t="inlineStr"/>
      <c r="I191"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4 years of professional software engineering experience (Internship experience does not apply)
* At least 1 year experience with cloud computing (AWS, Microsoft Azure, Google Cloud)
****Preferred Qualifications:****
* Master's Degree
* 7\+ years of experience in at least one of the following: Java, Scala, Python, Go, or Node.js
* 2\+ years of experience with AWS, GCP,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$179,400 \- $204,700 for Lead Software Engineer
 McLean, VA: $197,300 \- $225,100 for Lead Software Engineer
 Riverwoods, IL: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92">
      <c r="A192" t="inlineStr">
        <is>
          <t>li-4365536371</t>
        </is>
      </c>
      <c r="B192" t="inlineStr">
        <is>
          <t>Lead Software Engineer, Back End</t>
        </is>
      </c>
      <c r="C192" t="inlineStr">
        <is>
          <t>Capital One</t>
        </is>
      </c>
      <c r="D192" t="inlineStr">
        <is>
          <t>linkedin</t>
        </is>
      </c>
      <c r="E192">
        <f>HYPERLINK("https://www.linkedin.com/jobs/view/4365536371", "https://www.linkedin.com/jobs/view/4365536371")</f>
        <v/>
      </c>
      <c r="F192">
        <f>HYPERLINK("https://dsp.prng.co/3CKH0gb&amp;urlHash=gnLR", "https://dsp.prng.co/3CKH0gb&amp;urlHash=gnLR")</f>
        <v/>
      </c>
      <c r="G192" t="inlineStr">
        <is>
          <t>Deerfield, IL</t>
        </is>
      </c>
      <c r="H192" t="inlineStr"/>
      <c r="I192"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4 years of professional software engineering experience (Internship experience does not apply)
* At least 1 year experience with cloud computing (AWS, Microsoft Azure, Google Cloud)
****Preferred Qualifications:****
* Master's Degree
* 7\+ years of experience in Java
* 2\+ years of experience with AWS (EMR, Lambdas, SQS, Step Functions, Dynamo DB)
* 2\+ years of experience with Apache Spark
* 4\+ years of experience in open source frameworks
* 2\+ years of experience in Agile practices
* 2\+ years of experience in Containerization (Openshift or Docker)
* 5\+ years of experience in CI/CD pipelines (Jenkins or similar)
* 2\+ years of experience with Terraform or Ansible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$179,400 \- $204,700 for Lead Software Engineer
 McLean, VA: $197,300 \- $225,100 for Lead Software Engineer
 Riverwoods, IL: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93">
      <c r="A193" t="inlineStr">
        <is>
          <t>li-4365603227</t>
        </is>
      </c>
      <c r="B193" t="inlineStr">
        <is>
          <t>Lead Software Engineer, Full-Stack</t>
        </is>
      </c>
      <c r="C193" t="inlineStr">
        <is>
          <t>Capital One</t>
        </is>
      </c>
      <c r="D193" t="inlineStr">
        <is>
          <t>linkedin</t>
        </is>
      </c>
      <c r="E193">
        <f>HYPERLINK("https://www.linkedin.com/jobs/view/4365603227", "https://www.linkedin.com/jobs/view/4365603227")</f>
        <v/>
      </c>
      <c r="F193">
        <f>HYPERLINK("https://dsp.prng.co/J6hkKAb&amp;urlHash=QQRI", "https://dsp.prng.co/J6hkKAb&amp;urlHash=QQRI")</f>
        <v/>
      </c>
      <c r="G193" t="inlineStr">
        <is>
          <t>Wilmington, DE</t>
        </is>
      </c>
      <c r="H193" t="inlineStr"/>
      <c r="I193"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Angular,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Wilmington, DE: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94">
      <c r="A194" t="inlineStr">
        <is>
          <t>li-4343049997</t>
        </is>
      </c>
      <c r="B194" t="inlineStr">
        <is>
          <t>Principal II, Software Engineer, DevEx</t>
        </is>
      </c>
      <c r="C194" t="inlineStr">
        <is>
          <t>Herbalife</t>
        </is>
      </c>
      <c r="D194" t="inlineStr">
        <is>
          <t>linkedin</t>
        </is>
      </c>
      <c r="E194">
        <f>HYPERLINK("https://www.linkedin.com/jobs/view/4343049997", "https://www.linkedin.com/jobs/view/4343049997")</f>
        <v/>
      </c>
      <c r="F194">
        <f>HYPERLINK("https://herbalifecareers.ttcportals.com/jobs/17132076-principal-ii-software-engineer-devex?site_type=US&amp;mode=apply&amp;iis=LinkedIn&amp;urlHash=hHgf", "https://herbalifecareers.ttcportals.com/jobs/17132076-principal-ii-software-engineer-devex?site_type=US&amp;mode=apply&amp;iis=LinkedIn&amp;urlHash=hHgf")</f>
        <v/>
      </c>
      <c r="G194" t="inlineStr">
        <is>
          <t>Torrance, CA</t>
        </is>
      </c>
      <c r="H194" t="inlineStr"/>
      <c r="I194" t="inlineStr">
        <is>
          <t>**Overview**
**THE ROLE:**
 We are seeking a Principal II Software Engineer specializing in Developer Experience (DevEx) to lead the vision, strategy, and execution of developer productivity initiatives at Herbalife. This role is pivotal in transforming how our developers build, test, and deliver software by driving consistency, efficiency, and empowerment across our global organization.
**HOW YOU WOULD CONTRIBUTE:**
* Architecting developer platforms within Herbalife: build, improve, and centralize CI/CD systems, implement self\-service tooling
* Define, implement, and integrate workflows for builds, deployments, and testing to reduce friction and improve reliability
* Establish standards for code quality, outline and document procedures and guidelines, and provide operational excellence baked into workflows
* Pioneer and rollout new systems throughout organization
* Deliver implementations and proof\-of\-concepts that application teams can adopt organization wide.
* Build and maintain frameworks and libraries that contribute to reusability across the DevEx platforms and systems
* Make measurable improvements to release cadence and a positive developer experience.
* Collaborate with Cloud, DevOps, and Security teams to ensure compliance, and resilience within the developer experience
**WHAT’S SPECIAL ABOUT THE TEAM:**
 The DevEx team is evolving from the former CI/CD team, with a renewed focus on improving build pipelines, deployment systems, and developer workflows. Our team’s mission is to streamline the software development life cycle, reduce friction, and empower application teams to release with better speed and reliability.
**Qualifications**
**SKILLS AND BACKGROUND REQUIRED TO BE SUCCESSFUL:**
* 7\+ years of software engineering experience with modern languages and frameworks.
* Proficiency in at least one modern programming language (e.g., Python, Go, Java).
* Deep experience in CI/CD pipelines, automation, and developer tooling.
* Proven ability to design and evolve workflows that improve productivity and reliability
* Knowledge of cloud platforms and container orchestration (GCP, Azure, Kubernetes)
* Expertise defining and communicating standards and best practices for application development teams.
* Track record mentoring, guiding, and collaborating with the ability to influence technical and business stakeholders.
* Ability to work autonomously, while identifying opportunities, recommending solutions, and driving organizational improvements and cost savings initiatives
**Education**
* Bachelor’s Degree in Computer Science, Engineering, or related field required.
 At Herbalife, we value doing what’s right. We are proud to be an equal opportunity employer, making decisions without regard to race, color, religion, sex, sexual orientation, gender identity, marital status, national origin, age, veteran status, disability, or any other protected characteristic. We value diversity, strive for inclusivity, and believe the differences among our teammates is a key contributor to Herbalife’s ongoing success.
 Herbalife offers a variety of benefits to eligible employees in the U.S. (limited to the 50 States and the District of Columbia), which includes Group Health Programs, other Voluntary Benefit Programs, and Paid Time Off. Group Health Programs include Medical, Dental, Vision, Health Savings Account (HSA), Flexible Spending Accounts (FSA), Basic Life/AD\&amp;D; Short\-Term and Long\-Term Disability and an Employee Assistance Program (EAP).
 Other Voluntary Benefit Programs include a 401(k) plan, Wellness Incentive Program, Employee Stock Purchase Plan (ESPP), Supplemental Life/Critical Illness/Hospitalization/Accident Insurance, and Pet Insurance. Paid time off includes Company\-observed U.S. Holidays, Floating Holidays, Vacation, Sick Time, a Volunteer Program, Paid Maternity and Paternity Leave, Bereavement Leave, Personal Leave and time off for voting.
 If reasonable accommodation is needed to participate in the job application or interview process, to perform essential job functions, and/or to receive other benefits and privileges of employment, please email your request to \[email protected].
 Terms of Use Privacy Policy CCPA Supplemental Notice Herbalife Consumer Health Data Privacy Policy</t>
        </is>
      </c>
    </row>
    <row r="195">
      <c r="A195" t="inlineStr">
        <is>
          <t>li-4326786684</t>
        </is>
      </c>
      <c r="B195" t="inlineStr">
        <is>
          <t>Applied Cryptography &amp; Cybersecurity Software Engineer – Post Quantum Focus (M.S. or Ph.D.)</t>
        </is>
      </c>
      <c r="C195" t="inlineStr">
        <is>
          <t>Exponent</t>
        </is>
      </c>
      <c r="D195" t="inlineStr">
        <is>
          <t>linkedin</t>
        </is>
      </c>
      <c r="E195">
        <f>HYPERLINK("https://www.linkedin.com/jobs/view/4326786684", "https://www.linkedin.com/jobs/view/4326786684")</f>
        <v/>
      </c>
      <c r="F195">
        <f>HYPERLINK("https://careers-exponent.icims.com/jobs/2265/applied-cryptography-&amp;-cybersecurity-software-engineer-%E2%80%93-post-quantum-focus-(m.s.-or-ph.d.)/job?in_iframe=1&amp;mode=apply&amp;iis=LinkedIn&amp;urlHash=6L79", "https://careers-exponent.icims.com/jobs/2265/applied-cryptography-&amp;-cybersecurity-software-engineer-%E2%80%93-post-quantum-focus-(m.s.-or-ph.d.)/job?in_iframe=1&amp;mode=apply&amp;iis=LinkedIn&amp;urlHash=6L79")</f>
        <v/>
      </c>
      <c r="G195" t="inlineStr">
        <is>
          <t>Menlo Park, CA</t>
        </is>
      </c>
      <c r="H195" t="inlineStr"/>
      <c r="I195" t="inlineStr">
        <is>
          <t>**About Exponent**
**Exponent** 
 is the only premium engineering and scientific consulting firm with the depth and breadth of expertise to solve our clients’ most profoundly unique, unprecedented, and urgent challenges.
 Our vision is to engage multidisciplinary teams of science, engineering, and regulatory experts to empower clients with solutions that create a safer, healthier, more sustainable world. For over five decades, we've connected the lessons of past failures with tomorrow's solutions to advise clients as they innovate technologically complex products and processes, ensure the safety and health of their users, and address the challenges of sustainability.
 Join our team of experts with degrees from top programs at over 500 universities and extensive experience spanning a variety of industries. At Exponent, you’ll contribute to the diverse pool of ideas, talents, backgrounds, and experiences that drives our collaborative teamwork and breakthrough insights. Plus, we help you grow your career through mentoring, sponsorship, and a culture of learning. Thanks for your interest in joining our team!
**Key statistics:**
* 950\+ Consultants
* 640\+ Ph.D.s
* 90\+ Disciplines
* 30\+ Offices globally
**Our Opportunity**
 We are seeking an
 **Applied Cryptography \&amp; Cybersecurity Software Engineer – Post‑Quantum Focus** 
 to join our
 **Data Sciences** 
 Practice in
 **Irvine, CA, Los Angeles, CA, or Menlo Park, CA** 
 .
 This role is ideal for someone who thrives at the intersection of cryptography research, cybersecurity architecture, and hands‑on software engineering, and who is passionate about securing real‑world, mission‑critical systems. You will contribute to impactful projects across sectors including defense, utilities, and other critical infrastructure domains, helping to design and implement secure, resilient systems that can withstand today’s and tomorrow’s adversaries.
 You will work on cryptographic modernization and post‑quantum transition efforts, architect secure systems and protocols, and help build robust software and data infrastructure that “bakes in” security from the ground up. You’ll collaborate with multidisciplinary teams of engineers, data scientists, and domain experts to solve complex, applied security problems in production environments.
**You will be responsible for**
* Designing and architecting secure software systems and services, with strong emphasis on cryptography, key management, and secure protocol design
* Leading post‑quantum cryptography assessments and migration planning, including algorithm selection, hybrid approaches, and performance/latency tradeoff analysis
* Evaluating, integrating, and hardening cryptographic libraries, modules, and products, including FIPS‑validated components where applicable
* Developing and reviewing secure communication protocols, authentication schemes, and data‑at‑rest / data‑in‑transit protection mechanisms
* Performing security architecture reviews for new and existing systems
* Wearing multiple hats across data engineering and software teams to incorporate cryptographic controls and security best practices into data pipelines, APIs, and microservices
* Supporting the development of policies, standards, and technical guidance related to cryptographic modernization (including PQC) and cybersecurity architecture
* Translating complex cryptographic and cybersecurity concepts into clear requirements, design documents, and presentations for both technical and non‑technical stakeholders, including senior government clients
* Ensuring security controls and cryptographic implementations align with federal and industry standards (e.g., NIST PQC, CNSS, DoD directives, FedRAMP) and client‑specific compliance requirements
* Contributing to internal R\&amp;D and prototyping efforts in areas such as PQC benchmarking, secure enclaves, zero‑trust architectures, and secure DevSecOps pipelines
**You Will Have The Following Skills And Qualifications**
* Ph.D. in Computer Science, Electrical/Computer Engineering, Applied Mathematics, or a related scientific/engineering field with a focus in cryptography, cybersecurity, or information security
+ OR M.S. plus 5\+ years of post‑degree industry or government experience in applied cryptography, cybersecurity architecture, or secure software engineering
* Deep expertise in modern cryptography, including:
+ Public‑key and symmetric cryptography, key exchange, digital signatures, hashing, and MACs
+ Understanding of post‑quantum cryptography concepts and NIST PQC standards (e.g., Kyber, Dilithium, other lattice‑based or code‑based schemes)
+ Familiarity with cryptographic protocols (e.g., TLS, IPsec, SSH) and their failure modes
* Demonstrated experience designing and reviewing secure system and software architectures for mission‑critical or sensitive environments
* Strong software engineering skills, including:
+ Proficiency in at least one systems or backend language (e.g., Python, C/C\+\+, Go, Rust, or Java)
+ Experience building, testing, and maintaining production‑grade software using version control (Git or similar)
+ Familiarity with secure coding practices, code review, and CI/CD or DevSecOps workflows
* Experience integrating cryptography into real‑world systems, including:
+ Using and evaluating cryptographic libraries (e.g., OpenSSL, BoringSSL, libsodium, Bouncy Castle, AWS KMS, Azure Key Vault, or equivalent)
+ Implementing or integrating key management, HSMs, or hardware‑backed trust (e.g., TPM, secure enclaves)
* Working knowledge of cybersecurity concepts and frameworks, such as:
+ Zero‑trust architectures, identity and access management, network segmentation, logging and monitoring
+ NIST SP 800‑series guidance, DoD or IC security policies, or similar regulatory frameworks
* Experience communicating complex technical material clearly and concisely to diverse audiences, including senior leadership and non‑technical stakeholders
* Strong writing skills to enable generation of concise, clear, and accurate standards and guidance documentation
* Ability to work independently and in multidisciplinary teams, managing priorities across concurrent projects
**Highly Desirable Experience**
* Hands‑on work in post‑quantum cryptography transition or evaluation (e.g., performance benchmarking, hybrid key exchange, impact analysis on existing protocols)
* Experience with DoD, IC, or other U.S. Government clients, including familiarity with cryptography‑related policies and guidance
* Experience architecting secure solutions on major cloud platforms (AWS, Azure, or GCP), including use of managed key management and cryptographic services
* Background in secure networking, endpoint protection, or security operations as it relates to cryptographic controls
* Experience with formal methods, protocol verification, or side‑channel and implementation‑level attack considerations
* Relevant certifications (e.g., CISSP, GSEC, CSSLP, GIAC, or similar)
**Security Requirements**
 Our contracts with the United States Government for this position require:
* Proof of U.S. citizenship
* The possession of, or ability to obtain, a U.S. DoD Security Clearance (Secret or higher)
 Applicants selected will be subject to a security investigation and may need to meet eligibility requirements for access to classified information.
 Applicants are encouraged to submit a CV (Curriculum Vitae) with publications (feel free to include publications that are in review or pending) \[not restricted to 1 page].
**Life @ Exponent**
 To learn more about life at Exponent and our impact, please visit the following links:
 https://www.exponent.com/careers/life\-exponent
 https://www.exponent.com/company/our\-impact
 Attracting, inspiring, developing, and rewarding exceptional people with diverse backgrounds and expertise are central to our corporate culture. Our diverse team allows us to provide better value to our clients and enjoy an enriched work environment.
 Our firm is committed to offering a variety of programs and resources to support health and well\-being. We believe that providing competitive benefits as well as compensation and recognition programs empowers our staff to do work that makes a difference.
**Work Environment**
 At Exponent, we have found that in\-person interactions deepen employee engagement and are crucial for development, for realizing the full potential of our talented and diverse teams, and for building a more inclusive workplace where all have a sense of belonging. In our offices, you can expect a supportive culture and a collaborative, dynamic, multi\-disciplinary work environment. Our consultants engage in\-person in the office unless they are traveling for client work or other business activities.
 We value the rich lives our colleagues enjoy outside of work and understand that work/life balance is critical to our employees and their well\-being. Consultants have the autonomy to balance their work and personal schedules so you can meet with clients, visit inspection sites, attend conferences, and make time for priorities outside of work, too. It is this flexible, agile work style and working hours that allow our teams to drive innovation and results in their own ways, while meeting the needs of clients.
**Compensation**
 Our consultants are rewarded for their technical and business contributions and have an opportunity to plan for future success and career growth. Exponent's total compensation plan is consistent with its expectations of the quality and quantity of work performed and with the professional standards set by Exponent. At the Associate and Senior Associate level, total compensation includes base salary, bi\-weekly bonuses for high\-intensity efforts, annual bonus and 401(k) employer contribution of 7% of base salary.
 The base salary range for this position is dependent on experience and capabilities which will be assessed during the interview process.
**Salary Range**
 USD $133,000\.00 \- USD $145,000\.00 /Yr.
**Benefits You Will Enjoy**
 Access benefits information on our Life@Exponent page:
 https://www.exponent.com/careers/life\-exponent
 Exponent is a proud equal opportunity employer. All qualified applicants will receive consideration for employment without regard to race, color, religion, sex, national origin, veteran status, disability, sexual orientation, gender identity, or any other protected status.
 If you need assistance or accommodation due to a disability, you may email us at HR\-Accommodations@exponent.com .
**Job Locations**
 US\-CA\-Irvine
 US\-CA\-Los Angeles
 US\-CA\-Menlo Park</t>
        </is>
      </c>
    </row>
    <row r="196">
      <c r="A196" t="inlineStr">
        <is>
          <t>li-4326873345</t>
        </is>
      </c>
      <c r="B196" t="inlineStr">
        <is>
          <t>Applied Cryptography &amp; Cybersecurity Software Engineer – Post Quantum Focus (M.S. or Ph.D.)</t>
        </is>
      </c>
      <c r="C196" t="inlineStr">
        <is>
          <t>Exponent</t>
        </is>
      </c>
      <c r="D196" t="inlineStr">
        <is>
          <t>linkedin</t>
        </is>
      </c>
      <c r="E196">
        <f>HYPERLINK("https://www.linkedin.com/jobs/view/4326873345", "https://www.linkedin.com/jobs/view/4326873345")</f>
        <v/>
      </c>
      <c r="F196">
        <f>HYPERLINK("https://careers-exponent.icims.com/jobs/2265/applied-cryptography-&amp;-cybersecurity-software-engineer-%E2%80%93-post-quantum-focus-(m.s.-or-ph.d.)/job?in_iframe=1&amp;mode=apply&amp;iis=LinkedIn&amp;urlHash=6L79", "https://careers-exponent.icims.com/jobs/2265/applied-cryptography-&amp;-cybersecurity-software-engineer-%E2%80%93-post-quantum-focus-(m.s.-or-ph.d.)/job?in_iframe=1&amp;mode=apply&amp;iis=LinkedIn&amp;urlHash=6L79")</f>
        <v/>
      </c>
      <c r="G196" t="inlineStr">
        <is>
          <t>Los Angeles, CA</t>
        </is>
      </c>
      <c r="H196" t="inlineStr"/>
      <c r="I196" t="inlineStr">
        <is>
          <t>**About Exponent**
**Exponent** 
 is the only premium engineering and scientific consulting firm with the depth and breadth of expertise to solve our clients’ most profoundly unique, unprecedented, and urgent challenges.
 Our vision is to engage multidisciplinary teams of science, engineering, and regulatory experts to empower clients with solutions that create a safer, healthier, more sustainable world. For over five decades, we've connected the lessons of past failures with tomorrow's solutions to advise clients as they innovate technologically complex products and processes, ensure the safety and health of their users, and address the challenges of sustainability.
 Join our team of experts with degrees from top programs at over 500 universities and extensive experience spanning a variety of industries. At Exponent, you’ll contribute to the diverse pool of ideas, talents, backgrounds, and experiences that drives our collaborative teamwork and breakthrough insights. Plus, we help you grow your career through mentoring, sponsorship, and a culture of learning. Thanks for your interest in joining our team!
**Key statistics:**
* 950\+ Consultants
* 640\+ Ph.D.s
* 90\+ Disciplines
* 30\+ Offices globally
**Our Opportunity**
 We are seeking an
 **Applied Cryptography \&amp; Cybersecurity Software Engineer – Post‑Quantum Focus** 
 to join our
 **Data Sciences** 
 Practice in
 **Irvine, CA, Los Angeles, CA, or Menlo Park, CA** 
 .
 This role is ideal for someone who thrives at the intersection of cryptography research, cybersecurity architecture, and hands‑on software engineering, and who is passionate about securing real‑world, mission‑critical systems. You will contribute to impactful projects across sectors including defense, utilities, and other critical infrastructure domains, helping to design and implement secure, resilient systems that can withstand today’s and tomorrow’s adversaries.
 You will work on cryptographic modernization and post‑quantum transition efforts, architect secure systems and protocols, and help build robust software and data infrastructure that “bakes in” security from the ground up. You’ll collaborate with multidisciplinary teams of engineers, data scientists, and domain experts to solve complex, applied security problems in production environments.
**You will be responsible for**
* Designing and architecting secure software systems and services, with strong emphasis on cryptography, key management, and secure protocol design
* Leading post‑quantum cryptography assessments and migration planning, including algorithm selection, hybrid approaches, and performance/latency tradeoff analysis
* Evaluating, integrating, and hardening cryptographic libraries, modules, and products, including FIPS‑validated components where applicable
* Developing and reviewing secure communication protocols, authentication schemes, and data‑at‑rest / data‑in‑transit protection mechanisms
* Performing security architecture reviews for new and existing systems
* Wearing multiple hats across data engineering and software teams to incorporate cryptographic controls and security best practices into data pipelines, APIs, and microservices
* Supporting the development of policies, standards, and technical guidance related to cryptographic modernization (including PQC) and cybersecurity architecture
* Translating complex cryptographic and cybersecurity concepts into clear requirements, design documents, and presentations for both technical and non‑technical stakeholders, including senior government clients
* Ensuring security controls and cryptographic implementations align with federal and industry standards (e.g., NIST PQC, CNSS, DoD directives, FedRAMP) and client‑specific compliance requirements
* Contributing to internal R\&amp;D and prototyping efforts in areas such as PQC benchmarking, secure enclaves, zero‑trust architectures, and secure DevSecOps pipelines
**You Will Have The Following Skills And Qualifications**
* Ph.D. in Computer Science, Electrical/Computer Engineering, Applied Mathematics, or a related scientific/engineering field with a focus in cryptography, cybersecurity, or information security
+ OR M.S. plus 5\+ years of post‑degree industry or government experience in applied cryptography, cybersecurity architecture, or secure software engineering
* Deep expertise in modern cryptography, including:
+ Public‑key and symmetric cryptography, key exchange, digital signatures, hashing, and MACs
+ Understanding of post‑quantum cryptography concepts and NIST PQC standards (e.g., Kyber, Dilithium, other lattice‑based or code‑based schemes)
+ Familiarity with cryptographic protocols (e.g., TLS, IPsec, SSH) and their failure modes
* Demonstrated experience designing and reviewing secure system and software architectures for mission‑critical or sensitive environments
* Strong software engineering skills, including:
+ Proficiency in at least one systems or backend language (e.g., Python, C/C\+\+, Go, Rust, or Java)
+ Experience building, testing, and maintaining production‑grade software using version control (Git or similar)
+ Familiarity with secure coding practices, code review, and CI/CD or DevSecOps workflows
* Experience integrating cryptography into real‑world systems, including:
+ Using and evaluating cryptographic libraries (e.g., OpenSSL, BoringSSL, libsodium, Bouncy Castle, AWS KMS, Azure Key Vault, or equivalent)
+ Implementing or integrating key management, HSMs, or hardware‑backed trust (e.g., TPM, secure enclaves)
* Working knowledge of cybersecurity concepts and frameworks, such as:
+ Zero‑trust architectures, identity and access management, network segmentation, logging and monitoring
+ NIST SP 800‑series guidance, DoD or IC security policies, or similar regulatory frameworks
* Experience communicating complex technical material clearly and concisely to diverse audiences, including senior leadership and non‑technical stakeholders
* Strong writing skills to enable generation of concise, clear, and accurate standards and guidance documentation
* Ability to work independently and in multidisciplinary teams, managing priorities across concurrent projects
**Highly Desirable Experience**
* Hands‑on work in post‑quantum cryptography transition or evaluation (e.g., performance benchmarking, hybrid key exchange, impact analysis on existing protocols)
* Experience with DoD, IC, or other U.S. Government clients, including familiarity with cryptography‑related policies and guidance
* Experience architecting secure solutions on major cloud platforms (AWS, Azure, or GCP), including use of managed key management and cryptographic services
* Background in secure networking, endpoint protection, or security operations as it relates to cryptographic controls
* Experience with formal methods, protocol verification, or side‑channel and implementation‑level attack considerations
* Relevant certifications (e.g., CISSP, GSEC, CSSLP, GIAC, or similar)
**Security Requirements**
 Our contracts with the United States Government for this position require:
* Proof of U.S. citizenship
* The possession of, or ability to obtain, a U.S. DoD Security Clearance (Secret or higher)
 Applicants selected will be subject to a security investigation and may need to meet eligibility requirements for access to classified information.
 Applicants are encouraged to submit a CV (Curriculum Vitae) with publications (feel free to include publications that are in review or pending) \[not restricted to 1 page].
**Life @ Exponent**
 To learn more about life at Exponent and our impact, please visit the following links:
 https://www.exponent.com/careers/life\-exponent
 https://www.exponent.com/company/our\-impact
 Attracting, inspiring, developing, and rewarding exceptional people with diverse backgrounds and expertise are central to our corporate culture. Our diverse team allows us to provide better value to our clients and enjoy an enriched work environment.
 Our firm is committed to offering a variety of programs and resources to support health and well\-being. We believe that providing competitive benefits as well as compensation and recognition programs empowers our staff to do work that makes a difference.
**Work Environment**
 At Exponent, we have found that in\-person interactions deepen employee engagement and are crucial for development, for realizing the full potential of our talented and diverse teams, and for building a more inclusive workplace where all have a sense of belonging. In our offices, you can expect a supportive culture and a collaborative, dynamic, multi\-disciplinary work environment. Our consultants engage in\-person in the office unless they are traveling for client work or other business activities.
 We value the rich lives our colleagues enjoy outside of work and understand that work/life balance is critical to our employees and their well\-being. Consultants have the autonomy to balance their work and personal schedules so you can meet with clients, visit inspection sites, attend conferences, and make time for priorities outside of work, too. It is this flexible, agile work style and working hours that allow our teams to drive innovation and results in their own ways, while meeting the needs of clients.
**Compensation**
 Our consultants are rewarded for their technical and business contributions and have an opportunity to plan for future success and career growth. Exponent's total compensation plan is consistent with its expectations of the quality and quantity of work performed and with the professional standards set by Exponent. At the Associate and Senior Associate level, total compensation includes base salary, bi\-weekly bonuses for high\-intensity efforts, annual bonus and 401(k) employer contribution of 7% of base salary.
 The base salary range for this position is dependent on experience and capabilities which will be assessed during the interview process.
**Salary Range**
 USD $133,000\.00 \- USD $145,000\.00 /Yr.
**Benefits You Will Enjoy**
 Access benefits information on our Life@Exponent page:
 https://www.exponent.com/careers/life\-exponent
 Exponent is a proud equal opportunity employer. All qualified applicants will receive consideration for employment without regard to race, color, religion, sex, national origin, veteran status, disability, sexual orientation, gender identity, or any other protected status.
 If you need assistance or accommodation due to a disability, you may email us at HR\-Accommodations@exponent.com .
**Job Locations**
 US\-CA\-Irvine
 US\-CA\-Los Angeles
 US\-CA\-Menlo Park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2026-03-08T17:28:54Z</dcterms:created>
  <dcterms:modified xsi:type="dcterms:W3CDTF">2026-03-08T17:28:54Z</dcterms:modified>
</cp:coreProperties>
</file>